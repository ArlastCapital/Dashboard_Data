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arlast-my.sharepoint.com/personal/sergio_arlast_com/Documents/Desktop/AVA_Dashboard/dashboard/public/"/>
    </mc:Choice>
  </mc:AlternateContent>
  <xr:revisionPtr revIDLastSave="0" documentId="8_{60812843-1F3B-4358-8CD3-6A6D220A639A}" xr6:coauthVersionLast="47" xr6:coauthVersionMax="47" xr10:uidLastSave="{00000000-0000-0000-0000-000000000000}"/>
  <bookViews>
    <workbookView xWindow="19090" yWindow="-110" windowWidth="19420" windowHeight="10300" tabRatio="911" firstSheet="3" activeTab="7" xr2:uid="{00000000-000D-0000-FFFF-FFFF00000000}"/>
  </bookViews>
  <sheets>
    <sheet name="Claude Log" sheetId="52" state="hidden" r:id="rId1"/>
    <sheet name="Instructions" sheetId="1" r:id="rId2"/>
    <sheet name="Incentive_Scorecard" sheetId="56" r:id="rId3"/>
    <sheet name="Dashboard_1" sheetId="2" r:id="rId4"/>
    <sheet name="Data_2" sheetId="4" r:id="rId5"/>
    <sheet name="Delinquency_Detail_3" sheetId="19" r:id="rId6"/>
    <sheet name="App_Pipeline_Intel_4" sheetId="27" r:id="rId7"/>
    <sheet name="Action_Item_Tracker_5" sheetId="24" r:id="rId8"/>
    <sheet name="Weekly_Question_Set_6" sheetId="23" r:id="rId9"/>
    <sheet name="Screening_Impact_Analysis_7" sheetId="38" r:id="rId10"/>
    <sheet name="Eviction_Success_Rate" sheetId="51" r:id="rId11"/>
    <sheet name="CAF_App_Tracker" sheetId="50" r:id="rId12"/>
    <sheet name="CAF vs Pipeline Comparison" sheetId="34" r:id="rId13"/>
    <sheet name="DSO_Calculation" sheetId="3" r:id="rId14"/>
    <sheet name="Write_Off_Recon" sheetId="37" r:id="rId15"/>
    <sheet name="Targets" sheetId="5" r:id="rId16"/>
    <sheet name="Historical" sheetId="6" r:id="rId17"/>
    <sheet name="Competitors" sheetId="7" state="hidden" r:id="rId18"/>
    <sheet name="Boxscore MMR -Availability" sheetId="8" r:id="rId19"/>
    <sheet name="Boxscore MMR -Lead Activity" sheetId="9" r:id="rId20"/>
    <sheet name="Boxscore MMR- Lead Conversion" sheetId="10" r:id="rId21"/>
    <sheet name="Resident Retention -12 months" sheetId="11" r:id="rId22"/>
    <sheet name="Boxscore MMR-Property Pulse" sheetId="12" r:id="rId23"/>
    <sheet name="receipts by charge code-AVA" sheetId="13" r:id="rId24"/>
    <sheet name="trending delinquency" sheetId="22" r:id="rId25"/>
    <sheet name="resident aged receivable" sheetId="14" r:id="rId26"/>
    <sheet name="Work order summary-Maintenance " sheetId="15" r:id="rId27"/>
    <sheet name="T12" sheetId="16" r:id="rId28"/>
    <sheet name="lease trade out NER -AVA" sheetId="17" r:id="rId29"/>
    <sheet name="NSF -AVA" sheetId="18" r:id="rId30"/>
    <sheet name="Delinq Data" sheetId="20" r:id="rId31"/>
    <sheet name="Application_Status_Feb" sheetId="25" r:id="rId32"/>
    <sheet name="Application_Status_Mar" sheetId="26" r:id="rId33"/>
    <sheet name="Application_Status_Apr" sheetId="55" r:id="rId34"/>
    <sheet name="Res_Retention" sheetId="28" r:id="rId35"/>
    <sheet name="Evictions_RSI" sheetId="29" r:id="rId36"/>
    <sheet name="Move_Outs_ResMan" sheetId="31" r:id="rId37"/>
    <sheet name="Nationwide_JP3-1" sheetId="39" r:id="rId38"/>
    <sheet name="Nationwide_BRR" sheetId="40" r:id="rId39"/>
    <sheet name="LeaseLock" sheetId="46" r:id="rId40"/>
    <sheet name="RR_Unit_Details" sheetId="44" r:id="rId41"/>
    <sheet name="Move_Out_Reasons" sheetId="30" r:id="rId42"/>
  </sheets>
  <definedNames>
    <definedName name="_xlnm._FilterDatabase" localSheetId="6" hidden="1">App_Pipeline_Intel_4!$A$65:$K$65</definedName>
    <definedName name="_xlnm._FilterDatabase" localSheetId="30" hidden="1">'Delinq Data'!$A$1:$J$1</definedName>
    <definedName name="_xlnm._FilterDatabase" localSheetId="5" hidden="1">Delinquency_Detail_3!$A$66:$Z$66</definedName>
    <definedName name="_xlnm._FilterDatabase" localSheetId="28" hidden="1">'lease trade out NER -AVA'!$A$1:$AA$1</definedName>
    <definedName name="_xlnm._FilterDatabase" localSheetId="38" hidden="1">Nationwide_BRR!$A$1:$R$1</definedName>
    <definedName name="_xlnm._FilterDatabase" localSheetId="21" hidden="1">'Resident Retention -12 months'!$A$1:$J$1</definedName>
    <definedName name="_xlnm.Print_Area" localSheetId="7">Action_Item_Tracker_5!$B$1:$H$36</definedName>
    <definedName name="_xlnm.Print_Area" localSheetId="6">App_Pipeline_Intel_4!$A$1:$K$233</definedName>
    <definedName name="_xlnm.Print_Area" localSheetId="3">Dashboard_1!$A$1:$H$67</definedName>
    <definedName name="_xlnm.Print_Area" localSheetId="4">Data_2!$A$1:$V$91</definedName>
    <definedName name="_xlnm.Print_Area" localSheetId="5">Delinquency_Detail_3!$A$1:$L$182</definedName>
    <definedName name="_xlnm.Print_Area" localSheetId="9">Screening_Impact_Analysis_7!$A$1:$J$71</definedName>
    <definedName name="_xlnm.Print_Area" localSheetId="8">Weekly_Question_Set_6!$B$1:$H$24</definedName>
    <definedName name="_xlnm.Print_Titles" localSheetId="11">CAF_App_Tracker!$5:$5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4" i="19" l="1" a="1"/>
  <c r="G144" i="19" s="1"/>
  <c r="D102" i="51"/>
  <c r="B102" i="51"/>
  <c r="D14" i="51"/>
  <c r="B15" i="51"/>
  <c r="B14" i="51"/>
  <c r="B9" i="51"/>
  <c r="E101" i="51"/>
  <c r="C101" i="51"/>
  <c r="B101" i="51"/>
  <c r="E100" i="51"/>
  <c r="C100" i="51"/>
  <c r="B100" i="51"/>
  <c r="E99" i="51"/>
  <c r="C99" i="51"/>
  <c r="B99" i="51"/>
  <c r="E98" i="51"/>
  <c r="C98" i="51"/>
  <c r="B98" i="51"/>
  <c r="E97" i="51"/>
  <c r="C97" i="51"/>
  <c r="B97" i="51"/>
  <c r="E96" i="51"/>
  <c r="C96" i="51"/>
  <c r="B96" i="51"/>
  <c r="E95" i="51"/>
  <c r="C95" i="51"/>
  <c r="B95" i="51"/>
  <c r="E94" i="51"/>
  <c r="C94" i="51"/>
  <c r="B94" i="51"/>
  <c r="E93" i="51"/>
  <c r="C93" i="51"/>
  <c r="B93" i="51"/>
  <c r="E92" i="51"/>
  <c r="C92" i="51"/>
  <c r="B92" i="51"/>
  <c r="E91" i="51"/>
  <c r="C91" i="51"/>
  <c r="B91" i="51"/>
  <c r="E90" i="51"/>
  <c r="C90" i="51"/>
  <c r="B90" i="51"/>
  <c r="E89" i="51"/>
  <c r="C89" i="51"/>
  <c r="B89" i="51"/>
  <c r="E88" i="51"/>
  <c r="C88" i="51"/>
  <c r="B88" i="51"/>
  <c r="E87" i="51"/>
  <c r="C87" i="51"/>
  <c r="B87" i="51"/>
  <c r="E86" i="51"/>
  <c r="C86" i="51"/>
  <c r="B86" i="51"/>
  <c r="E85" i="51"/>
  <c r="C85" i="51"/>
  <c r="B85" i="51"/>
  <c r="E84" i="51"/>
  <c r="C84" i="51"/>
  <c r="B84" i="51"/>
  <c r="E83" i="51"/>
  <c r="C83" i="51"/>
  <c r="B83" i="51"/>
  <c r="E82" i="51"/>
  <c r="C82" i="51"/>
  <c r="B82" i="51"/>
  <c r="E81" i="51"/>
  <c r="C81" i="51"/>
  <c r="B81" i="51"/>
  <c r="E80" i="51"/>
  <c r="C80" i="51"/>
  <c r="B80" i="51"/>
  <c r="E79" i="51"/>
  <c r="C79" i="51"/>
  <c r="B79" i="51"/>
  <c r="E78" i="51"/>
  <c r="C78" i="51"/>
  <c r="B78" i="51"/>
  <c r="E77" i="51"/>
  <c r="C77" i="51"/>
  <c r="B77" i="51"/>
  <c r="E76" i="51"/>
  <c r="C76" i="51"/>
  <c r="B76" i="51"/>
  <c r="E75" i="51"/>
  <c r="C75" i="51"/>
  <c r="B75" i="51"/>
  <c r="E74" i="51"/>
  <c r="C74" i="51"/>
  <c r="B74" i="51"/>
  <c r="E73" i="51"/>
  <c r="C73" i="51"/>
  <c r="B73" i="51"/>
  <c r="E72" i="51"/>
  <c r="C72" i="51"/>
  <c r="B72" i="51"/>
  <c r="E71" i="51"/>
  <c r="C71" i="51"/>
  <c r="B71" i="51"/>
  <c r="E70" i="51"/>
  <c r="C70" i="51"/>
  <c r="B70" i="51"/>
  <c r="E69" i="51"/>
  <c r="C69" i="51"/>
  <c r="B69" i="51"/>
  <c r="E68" i="51"/>
  <c r="C68" i="51"/>
  <c r="B68" i="51"/>
  <c r="E67" i="51"/>
  <c r="C67" i="51"/>
  <c r="B67" i="51"/>
  <c r="C22" i="38"/>
  <c r="B22" i="38"/>
  <c r="B135" i="19" a="1"/>
  <c r="B135" i="19" s="1"/>
  <c r="E11" i="19"/>
  <c r="A181" i="19" a="1"/>
  <c r="A181" i="19" s="1"/>
  <c r="H14" i="19"/>
  <c r="H13" i="19"/>
  <c r="C13" i="19"/>
  <c r="H12" i="19"/>
  <c r="H11" i="19"/>
  <c r="C12" i="19"/>
  <c r="C11" i="19"/>
  <c r="B182" i="19" a="1"/>
  <c r="B182" i="19" s="1"/>
  <c r="A140" i="19" a="1"/>
  <c r="A140" i="19" s="1"/>
  <c r="A141" i="19" a="1"/>
  <c r="A141" i="19" s="1"/>
  <c r="A142" i="19" a="1"/>
  <c r="A142" i="19" s="1"/>
  <c r="A143" i="19" a="1"/>
  <c r="A143" i="19" s="1"/>
  <c r="A144" i="19" a="1"/>
  <c r="A144" i="19" s="1"/>
  <c r="A145" i="19" a="1"/>
  <c r="A145" i="19" s="1"/>
  <c r="A146" i="19" a="1"/>
  <c r="A146" i="19" s="1"/>
  <c r="A147" i="19" a="1"/>
  <c r="A147" i="19" s="1"/>
  <c r="A148" i="19" a="1"/>
  <c r="A148" i="19" s="1"/>
  <c r="A149" i="19" a="1"/>
  <c r="A149" i="19" s="1"/>
  <c r="A150" i="19" a="1"/>
  <c r="A150" i="19" s="1"/>
  <c r="A151" i="19" a="1"/>
  <c r="A151" i="19" s="1"/>
  <c r="A152" i="19" a="1"/>
  <c r="A152" i="19" s="1"/>
  <c r="A153" i="19" a="1"/>
  <c r="A153" i="19" s="1"/>
  <c r="A154" i="19" a="1"/>
  <c r="A154" i="19" s="1"/>
  <c r="A155" i="19" a="1"/>
  <c r="A155" i="19" s="1"/>
  <c r="A156" i="19" a="1"/>
  <c r="A156" i="19" s="1"/>
  <c r="A157" i="19" a="1"/>
  <c r="A157" i="19" s="1"/>
  <c r="A158" i="19" a="1"/>
  <c r="A158" i="19" s="1"/>
  <c r="A159" i="19" a="1"/>
  <c r="A159" i="19" s="1"/>
  <c r="A160" i="19" a="1"/>
  <c r="A160" i="19" s="1"/>
  <c r="A161" i="19" a="1"/>
  <c r="A161" i="19" s="1"/>
  <c r="A162" i="19" a="1"/>
  <c r="A162" i="19" s="1"/>
  <c r="A163" i="19" a="1"/>
  <c r="A163" i="19" s="1"/>
  <c r="A164" i="19" a="1"/>
  <c r="A164" i="19" s="1"/>
  <c r="A165" i="19" a="1"/>
  <c r="A165" i="19" s="1"/>
  <c r="A166" i="19" a="1"/>
  <c r="A166" i="19" s="1"/>
  <c r="A167" i="19" a="1"/>
  <c r="A167" i="19" s="1"/>
  <c r="A168" i="19" a="1"/>
  <c r="A168" i="19" s="1"/>
  <c r="A169" i="19" a="1"/>
  <c r="A169" i="19" s="1"/>
  <c r="A170" i="19" a="1"/>
  <c r="A170" i="19" s="1"/>
  <c r="A171" i="19" a="1"/>
  <c r="A171" i="19" s="1"/>
  <c r="A172" i="19" a="1"/>
  <c r="A172" i="19" s="1"/>
  <c r="A173" i="19" a="1"/>
  <c r="A173" i="19" s="1"/>
  <c r="A174" i="19" a="1"/>
  <c r="A174" i="19" s="1"/>
  <c r="A175" i="19" a="1"/>
  <c r="A175" i="19" s="1"/>
  <c r="A176" i="19" a="1"/>
  <c r="A176" i="19" s="1"/>
  <c r="A177" i="19" a="1"/>
  <c r="A177" i="19" s="1"/>
  <c r="A178" i="19" a="1"/>
  <c r="A178" i="19" s="1"/>
  <c r="A179" i="19" a="1"/>
  <c r="A179" i="19" s="1"/>
  <c r="A180" i="19" a="1"/>
  <c r="A180" i="19" s="1"/>
  <c r="A139" i="19" a="1"/>
  <c r="A139" i="19" s="1"/>
  <c r="A182" i="19" a="1"/>
  <c r="A182" i="19" s="1"/>
  <c r="A18" i="19" a="1"/>
  <c r="A18" i="19" s="1"/>
  <c r="A19" i="19" a="1"/>
  <c r="A19" i="19" s="1"/>
  <c r="A20" i="19" a="1"/>
  <c r="A20" i="19" s="1"/>
  <c r="A21" i="19" a="1"/>
  <c r="A21" i="19" s="1"/>
  <c r="A22" i="19" a="1"/>
  <c r="A22" i="19" s="1"/>
  <c r="A23" i="19" a="1"/>
  <c r="A23" i="19" s="1"/>
  <c r="A24" i="19" a="1"/>
  <c r="A24" i="19" s="1"/>
  <c r="J24" i="19" s="1" a="1"/>
  <c r="J24" i="19" s="1"/>
  <c r="A25" i="19" a="1"/>
  <c r="A25" i="19" s="1"/>
  <c r="A26" i="19" a="1"/>
  <c r="A26" i="19" s="1"/>
  <c r="A27" i="19" a="1"/>
  <c r="A27" i="19" s="1"/>
  <c r="A28" i="19" a="1"/>
  <c r="A28" i="19" s="1"/>
  <c r="A29" i="19" a="1"/>
  <c r="A29" i="19" s="1"/>
  <c r="A30" i="19" a="1"/>
  <c r="A30" i="19" s="1"/>
  <c r="A31" i="19" a="1"/>
  <c r="A31" i="19" s="1"/>
  <c r="A32" i="19" a="1"/>
  <c r="A32" i="19" s="1"/>
  <c r="A33" i="19" a="1"/>
  <c r="A33" i="19" s="1"/>
  <c r="A34" i="19" a="1"/>
  <c r="A34" i="19" s="1"/>
  <c r="A35" i="19" a="1"/>
  <c r="A35" i="19" s="1"/>
  <c r="A36" i="19" a="1"/>
  <c r="A36" i="19" s="1"/>
  <c r="A37" i="19" a="1"/>
  <c r="A37" i="19" s="1"/>
  <c r="A38" i="19" a="1"/>
  <c r="A38" i="19" s="1"/>
  <c r="A39" i="19" a="1"/>
  <c r="A39" i="19" s="1"/>
  <c r="A40" i="19" a="1"/>
  <c r="A40" i="19" s="1"/>
  <c r="A41" i="19" a="1"/>
  <c r="A41" i="19" s="1"/>
  <c r="A42" i="19" a="1"/>
  <c r="A42" i="19" s="1"/>
  <c r="A43" i="19" a="1"/>
  <c r="A43" i="19" s="1"/>
  <c r="A44" i="19" a="1"/>
  <c r="A44" i="19" s="1"/>
  <c r="A45" i="19" a="1"/>
  <c r="A45" i="19" s="1"/>
  <c r="A46" i="19" a="1"/>
  <c r="A46" i="19" s="1"/>
  <c r="A47" i="19" a="1"/>
  <c r="A47" i="19" s="1"/>
  <c r="A48" i="19" a="1"/>
  <c r="A48" i="19" s="1"/>
  <c r="A49" i="19" a="1"/>
  <c r="A49" i="19" s="1"/>
  <c r="A50" i="19" a="1"/>
  <c r="A50" i="19" s="1"/>
  <c r="A51" i="19" a="1"/>
  <c r="A51" i="19" s="1"/>
  <c r="A52" i="19" a="1"/>
  <c r="A52" i="19" s="1"/>
  <c r="A53" i="19" a="1"/>
  <c r="A53" i="19" s="1"/>
  <c r="A54" i="19" a="1"/>
  <c r="A54" i="19" s="1"/>
  <c r="A55" i="19" a="1"/>
  <c r="A55" i="19" s="1"/>
  <c r="A56" i="19" a="1"/>
  <c r="A56" i="19" s="1"/>
  <c r="A57" i="19" a="1"/>
  <c r="A57" i="19" s="1"/>
  <c r="A58" i="19" a="1"/>
  <c r="A58" i="19" s="1"/>
  <c r="A59" i="19" a="1"/>
  <c r="A59" i="19" s="1"/>
  <c r="A60" i="19" a="1"/>
  <c r="A60" i="19" s="1"/>
  <c r="A61" i="19" a="1"/>
  <c r="A61" i="19" s="1"/>
  <c r="A62" i="19" a="1"/>
  <c r="A62" i="19" s="1"/>
  <c r="A63" i="19" a="1"/>
  <c r="A63" i="19" s="1"/>
  <c r="A64" i="19" a="1"/>
  <c r="A64" i="19" s="1"/>
  <c r="A65" i="19" a="1"/>
  <c r="A65" i="19" s="1"/>
  <c r="A66" i="19" a="1"/>
  <c r="A66" i="19" s="1"/>
  <c r="A67" i="19" a="1"/>
  <c r="A67" i="19" s="1"/>
  <c r="A68" i="19" a="1"/>
  <c r="A68" i="19" s="1"/>
  <c r="A69" i="19" a="1"/>
  <c r="A69" i="19" s="1"/>
  <c r="A70" i="19" a="1"/>
  <c r="A70" i="19" s="1"/>
  <c r="A71" i="19" a="1"/>
  <c r="A71" i="19" s="1"/>
  <c r="A72" i="19" a="1"/>
  <c r="A72" i="19" s="1"/>
  <c r="A73" i="19" a="1"/>
  <c r="A73" i="19" s="1"/>
  <c r="A74" i="19" a="1"/>
  <c r="A74" i="19" s="1"/>
  <c r="A75" i="19" a="1"/>
  <c r="A75" i="19" s="1"/>
  <c r="A76" i="19" a="1"/>
  <c r="A76" i="19" s="1"/>
  <c r="A77" i="19" a="1"/>
  <c r="A77" i="19" s="1"/>
  <c r="A78" i="19" a="1"/>
  <c r="A78" i="19" s="1"/>
  <c r="A79" i="19" a="1"/>
  <c r="A79" i="19" s="1"/>
  <c r="A80" i="19" a="1"/>
  <c r="A80" i="19" s="1"/>
  <c r="A81" i="19" a="1"/>
  <c r="A81" i="19" s="1"/>
  <c r="A82" i="19" a="1"/>
  <c r="A82" i="19" s="1"/>
  <c r="A83" i="19" a="1"/>
  <c r="A83" i="19" s="1"/>
  <c r="A84" i="19" a="1"/>
  <c r="A84" i="19" s="1"/>
  <c r="A85" i="19" a="1"/>
  <c r="A85" i="19" s="1"/>
  <c r="A86" i="19" a="1"/>
  <c r="A86" i="19" s="1"/>
  <c r="A87" i="19" a="1"/>
  <c r="A87" i="19" s="1"/>
  <c r="A88" i="19" a="1"/>
  <c r="A88" i="19" s="1"/>
  <c r="A89" i="19" a="1"/>
  <c r="A89" i="19" s="1"/>
  <c r="A90" i="19" a="1"/>
  <c r="A90" i="19" s="1"/>
  <c r="A91" i="19" a="1"/>
  <c r="A91" i="19" s="1"/>
  <c r="A92" i="19" a="1"/>
  <c r="A92" i="19" s="1"/>
  <c r="A93" i="19" a="1"/>
  <c r="A93" i="19" s="1"/>
  <c r="A94" i="19" a="1"/>
  <c r="A94" i="19" s="1"/>
  <c r="A95" i="19" a="1"/>
  <c r="A95" i="19" s="1"/>
  <c r="A96" i="19" a="1"/>
  <c r="A96" i="19" s="1"/>
  <c r="A97" i="19" a="1"/>
  <c r="A97" i="19" s="1"/>
  <c r="A98" i="19" a="1"/>
  <c r="A98" i="19" s="1"/>
  <c r="A99" i="19" a="1"/>
  <c r="A99" i="19" s="1"/>
  <c r="A100" i="19" a="1"/>
  <c r="A100" i="19" s="1"/>
  <c r="A101" i="19" a="1"/>
  <c r="A101" i="19" s="1"/>
  <c r="A102" i="19" a="1"/>
  <c r="A102" i="19" s="1"/>
  <c r="A103" i="19" a="1"/>
  <c r="A103" i="19" s="1"/>
  <c r="A104" i="19" a="1"/>
  <c r="A104" i="19" s="1"/>
  <c r="A105" i="19" a="1"/>
  <c r="A105" i="19" s="1"/>
  <c r="A106" i="19" a="1"/>
  <c r="A106" i="19" s="1"/>
  <c r="A107" i="19" a="1"/>
  <c r="A107" i="19" s="1"/>
  <c r="A108" i="19" a="1"/>
  <c r="A108" i="19" s="1"/>
  <c r="A109" i="19" a="1"/>
  <c r="A109" i="19" s="1"/>
  <c r="A110" i="19" a="1"/>
  <c r="A110" i="19" s="1"/>
  <c r="A111" i="19" a="1"/>
  <c r="A111" i="19" s="1"/>
  <c r="A112" i="19" a="1"/>
  <c r="A112" i="19" s="1"/>
  <c r="A113" i="19" a="1"/>
  <c r="A113" i="19" s="1"/>
  <c r="A114" i="19" a="1"/>
  <c r="A114" i="19" s="1"/>
  <c r="A115" i="19" a="1"/>
  <c r="A115" i="19" s="1"/>
  <c r="A116" i="19" a="1"/>
  <c r="A116" i="19" s="1"/>
  <c r="A117" i="19" a="1"/>
  <c r="A117" i="19" s="1"/>
  <c r="A118" i="19" a="1"/>
  <c r="A118" i="19" s="1"/>
  <c r="A119" i="19" a="1"/>
  <c r="A119" i="19" s="1"/>
  <c r="A120" i="19" a="1"/>
  <c r="A120" i="19" s="1"/>
  <c r="A121" i="19" a="1"/>
  <c r="A121" i="19" s="1"/>
  <c r="A122" i="19" a="1"/>
  <c r="A122" i="19" s="1"/>
  <c r="A123" i="19" a="1"/>
  <c r="A123" i="19" s="1"/>
  <c r="A124" i="19" a="1"/>
  <c r="A124" i="19" s="1"/>
  <c r="A125" i="19" a="1"/>
  <c r="A125" i="19" s="1"/>
  <c r="A126" i="19" a="1"/>
  <c r="A126" i="19" s="1"/>
  <c r="A127" i="19" a="1"/>
  <c r="A127" i="19" s="1"/>
  <c r="A128" i="19" a="1"/>
  <c r="A128" i="19" s="1"/>
  <c r="A129" i="19" a="1"/>
  <c r="A129" i="19" s="1"/>
  <c r="A130" i="19" a="1"/>
  <c r="A130" i="19" s="1"/>
  <c r="A131" i="19" a="1"/>
  <c r="A131" i="19" s="1"/>
  <c r="A132" i="19" a="1"/>
  <c r="A132" i="19" s="1"/>
  <c r="A133" i="19" a="1"/>
  <c r="A133" i="19" s="1"/>
  <c r="A134" i="19" a="1"/>
  <c r="A134" i="19" s="1"/>
  <c r="A135" i="19" a="1"/>
  <c r="A135" i="19" s="1"/>
  <c r="A136" i="19" a="1"/>
  <c r="A136" i="19" s="1"/>
  <c r="A17" i="19" a="1"/>
  <c r="A17" i="19" s="1"/>
  <c r="V73" i="4"/>
  <c r="V86" i="4"/>
  <c r="V91" i="4"/>
  <c r="V90" i="4"/>
  <c r="V89" i="4"/>
  <c r="V88" i="4"/>
  <c r="D61" i="2" s="1" a="1"/>
  <c r="D61" i="2" s="1"/>
  <c r="V84" i="4"/>
  <c r="V83" i="4"/>
  <c r="D57" i="2" s="1" a="1"/>
  <c r="D57" i="2" s="1"/>
  <c r="V82" i="4"/>
  <c r="V77" i="4"/>
  <c r="V76" i="4"/>
  <c r="V75" i="4"/>
  <c r="V74" i="4"/>
  <c r="V69" i="4"/>
  <c r="D49" i="2" s="1" a="1"/>
  <c r="D49" i="2" s="1"/>
  <c r="V67" i="4"/>
  <c r="V66" i="4"/>
  <c r="V65" i="4"/>
  <c r="V68" i="4" s="1"/>
  <c r="V63" i="4"/>
  <c r="V62" i="4"/>
  <c r="V60" i="4"/>
  <c r="V59" i="4"/>
  <c r="V57" i="4"/>
  <c r="D46" i="2" s="1" a="1"/>
  <c r="D46" i="2" s="1"/>
  <c r="V54" i="4"/>
  <c r="V53" i="4"/>
  <c r="V52" i="4"/>
  <c r="V55" i="4" s="1"/>
  <c r="V49" i="4"/>
  <c r="V48" i="4"/>
  <c r="V47" i="4"/>
  <c r="V50" i="4" s="1"/>
  <c r="D35" i="2" s="1" a="1"/>
  <c r="D35" i="2" s="1"/>
  <c r="V44" i="4"/>
  <c r="V43" i="4"/>
  <c r="V42" i="4"/>
  <c r="V45" i="4" s="1"/>
  <c r="V39" i="4"/>
  <c r="D44" i="2" s="1" a="1"/>
  <c r="D44" i="2" s="1"/>
  <c r="V38" i="4"/>
  <c r="D43" i="2" s="1" a="1"/>
  <c r="D43" i="2" s="1"/>
  <c r="V37" i="4"/>
  <c r="V40" i="4" s="1"/>
  <c r="V30" i="4"/>
  <c r="V26" i="4"/>
  <c r="D15" i="2" s="1" a="1"/>
  <c r="D15" i="2" s="1"/>
  <c r="V25" i="4"/>
  <c r="V22" i="4"/>
  <c r="V21" i="4"/>
  <c r="V19" i="4"/>
  <c r="V18" i="4"/>
  <c r="D13" i="2" s="1" a="1"/>
  <c r="D13" i="2" s="1"/>
  <c r="V16" i="4"/>
  <c r="D12" i="2" s="1" a="1"/>
  <c r="D12" i="2" s="1"/>
  <c r="V15" i="4"/>
  <c r="D11" i="2" s="1" a="1"/>
  <c r="D11" i="2" s="1"/>
  <c r="V13" i="4" a="1"/>
  <c r="V13" i="4" s="1"/>
  <c r="D9" i="2" s="1" a="1"/>
  <c r="D9" i="2" s="1"/>
  <c r="V12" i="4"/>
  <c r="V11" i="4" a="1"/>
  <c r="V11" i="4" s="1"/>
  <c r="V10" i="4" a="1"/>
  <c r="V10" i="4" s="1"/>
  <c r="V9" i="4"/>
  <c r="V7" i="4"/>
  <c r="D8" i="2" s="1" a="1"/>
  <c r="D8" i="2" s="1"/>
  <c r="V6" i="4"/>
  <c r="D7" i="2" s="1" a="1"/>
  <c r="D7" i="2" s="1"/>
  <c r="B66" i="27" a="1"/>
  <c r="F15" i="27" a="1"/>
  <c r="F15" i="27" s="1"/>
  <c r="E15" i="27" a="1"/>
  <c r="E15" i="27" s="1"/>
  <c r="D15" i="27" a="1"/>
  <c r="D15" i="27" s="1"/>
  <c r="C15" i="27" a="1"/>
  <c r="C15" i="27" s="1"/>
  <c r="G15" i="27" s="1"/>
  <c r="F14" i="27" a="1"/>
  <c r="F14" i="27" s="1"/>
  <c r="E14" i="27" a="1"/>
  <c r="E14" i="27" s="1"/>
  <c r="D14" i="27" a="1"/>
  <c r="D14" i="27" s="1"/>
  <c r="C14" i="27" a="1"/>
  <c r="C14" i="27" s="1"/>
  <c r="G14" i="27" s="1"/>
  <c r="D18" i="27"/>
  <c r="E18" i="27"/>
  <c r="C22" i="27"/>
  <c r="B65" i="38"/>
  <c r="D22" i="38"/>
  <c r="E13" i="38"/>
  <c r="B29" i="38" s="1"/>
  <c r="B137" i="19"/>
  <c r="V105" i="46"/>
  <c r="O105" i="46"/>
  <c r="N105" i="46"/>
  <c r="V100" i="46"/>
  <c r="O100" i="46"/>
  <c r="N100" i="46"/>
  <c r="V99" i="46"/>
  <c r="O99" i="46"/>
  <c r="N99" i="46"/>
  <c r="V98" i="46"/>
  <c r="O98" i="46"/>
  <c r="N98" i="46"/>
  <c r="V97" i="46"/>
  <c r="O97" i="46"/>
  <c r="N97" i="46"/>
  <c r="V96" i="46"/>
  <c r="O96" i="46"/>
  <c r="N96" i="46"/>
  <c r="V95" i="46"/>
  <c r="O95" i="46"/>
  <c r="N95" i="46"/>
  <c r="V94" i="46"/>
  <c r="O94" i="46"/>
  <c r="N94" i="46"/>
  <c r="V93" i="46"/>
  <c r="O93" i="46"/>
  <c r="N93" i="46"/>
  <c r="V92" i="46"/>
  <c r="O92" i="46"/>
  <c r="N92" i="46"/>
  <c r="V91" i="46"/>
  <c r="O91" i="46"/>
  <c r="N91" i="46"/>
  <c r="V90" i="46"/>
  <c r="O90" i="46"/>
  <c r="N90" i="46"/>
  <c r="V89" i="46"/>
  <c r="O89" i="46"/>
  <c r="N89" i="46"/>
  <c r="V88" i="46"/>
  <c r="O88" i="46"/>
  <c r="N88" i="46"/>
  <c r="V87" i="46"/>
  <c r="O87" i="46"/>
  <c r="N87" i="46"/>
  <c r="V86" i="46"/>
  <c r="O86" i="46"/>
  <c r="N86" i="46"/>
  <c r="V85" i="46"/>
  <c r="O85" i="46"/>
  <c r="N85" i="46"/>
  <c r="V84" i="46"/>
  <c r="O84" i="46"/>
  <c r="N84" i="46"/>
  <c r="V83" i="46"/>
  <c r="O83" i="46"/>
  <c r="N83" i="46"/>
  <c r="V82" i="46"/>
  <c r="O82" i="46"/>
  <c r="N82" i="46"/>
  <c r="V81" i="46"/>
  <c r="O81" i="46"/>
  <c r="N81" i="46"/>
  <c r="V80" i="46"/>
  <c r="O80" i="46"/>
  <c r="N80" i="46"/>
  <c r="V79" i="46"/>
  <c r="O79" i="46"/>
  <c r="N79" i="46"/>
  <c r="V78" i="46"/>
  <c r="O78" i="46"/>
  <c r="N78" i="46"/>
  <c r="V77" i="46"/>
  <c r="O77" i="46"/>
  <c r="N77" i="46"/>
  <c r="V76" i="46"/>
  <c r="O76" i="46"/>
  <c r="N76" i="46"/>
  <c r="V75" i="46"/>
  <c r="O75" i="46"/>
  <c r="N75" i="46"/>
  <c r="V74" i="46"/>
  <c r="O74" i="46"/>
  <c r="N74" i="46"/>
  <c r="V73" i="46"/>
  <c r="O73" i="46"/>
  <c r="N73" i="46"/>
  <c r="V72" i="46"/>
  <c r="O72" i="46"/>
  <c r="N72" i="46"/>
  <c r="V71" i="46"/>
  <c r="O71" i="46"/>
  <c r="N71" i="46"/>
  <c r="V70" i="46"/>
  <c r="O70" i="46"/>
  <c r="N70" i="46"/>
  <c r="V69" i="46"/>
  <c r="O69" i="46"/>
  <c r="N69" i="46"/>
  <c r="V68" i="46"/>
  <c r="O68" i="46"/>
  <c r="N68" i="46"/>
  <c r="V67" i="46"/>
  <c r="O67" i="46"/>
  <c r="N67" i="46"/>
  <c r="V66" i="46"/>
  <c r="O66" i="46"/>
  <c r="N66" i="46"/>
  <c r="V65" i="46"/>
  <c r="O65" i="46"/>
  <c r="N65" i="46"/>
  <c r="V64" i="46"/>
  <c r="O64" i="46"/>
  <c r="N64" i="46"/>
  <c r="V63" i="46"/>
  <c r="O63" i="46"/>
  <c r="N63" i="46"/>
  <c r="V62" i="46"/>
  <c r="O62" i="46"/>
  <c r="N62" i="46"/>
  <c r="V61" i="46"/>
  <c r="O61" i="46"/>
  <c r="N61" i="46"/>
  <c r="V60" i="46"/>
  <c r="O60" i="46"/>
  <c r="N60" i="46"/>
  <c r="V59" i="46"/>
  <c r="O59" i="46"/>
  <c r="N59" i="46"/>
  <c r="V58" i="46"/>
  <c r="O58" i="46"/>
  <c r="N58" i="46"/>
  <c r="V57" i="46"/>
  <c r="O57" i="46"/>
  <c r="N57" i="46"/>
  <c r="V56" i="46"/>
  <c r="O56" i="46"/>
  <c r="N56" i="46"/>
  <c r="V55" i="46"/>
  <c r="O55" i="46"/>
  <c r="N55" i="46"/>
  <c r="V54" i="46"/>
  <c r="O54" i="46"/>
  <c r="N54" i="46"/>
  <c r="V53" i="46"/>
  <c r="O53" i="46"/>
  <c r="N53" i="46"/>
  <c r="V52" i="46"/>
  <c r="O52" i="46"/>
  <c r="N52" i="46"/>
  <c r="V51" i="46"/>
  <c r="O51" i="46"/>
  <c r="N51" i="46"/>
  <c r="V50" i="46"/>
  <c r="O50" i="46"/>
  <c r="N50" i="46"/>
  <c r="V49" i="46"/>
  <c r="O49" i="46"/>
  <c r="N49" i="46"/>
  <c r="V48" i="46"/>
  <c r="O48" i="46"/>
  <c r="N48" i="46"/>
  <c r="V47" i="46"/>
  <c r="O47" i="46"/>
  <c r="N47" i="46"/>
  <c r="V46" i="46"/>
  <c r="O46" i="46"/>
  <c r="N46" i="46"/>
  <c r="V45" i="46"/>
  <c r="O45" i="46"/>
  <c r="N45" i="46"/>
  <c r="V44" i="46"/>
  <c r="O44" i="46"/>
  <c r="N44" i="46"/>
  <c r="V43" i="46"/>
  <c r="O43" i="46"/>
  <c r="N43" i="46"/>
  <c r="V42" i="46"/>
  <c r="O42" i="46"/>
  <c r="N42" i="46"/>
  <c r="V41" i="46"/>
  <c r="O41" i="46"/>
  <c r="N41" i="46"/>
  <c r="V40" i="46"/>
  <c r="O40" i="46"/>
  <c r="N40" i="46"/>
  <c r="V39" i="46"/>
  <c r="O39" i="46"/>
  <c r="N39" i="46"/>
  <c r="V38" i="46"/>
  <c r="O38" i="46"/>
  <c r="N38" i="46"/>
  <c r="V37" i="46"/>
  <c r="O37" i="46"/>
  <c r="N37" i="46"/>
  <c r="V36" i="46"/>
  <c r="O36" i="46"/>
  <c r="N36" i="46"/>
  <c r="V35" i="46"/>
  <c r="O35" i="46"/>
  <c r="N35" i="46"/>
  <c r="V34" i="46"/>
  <c r="O34" i="46"/>
  <c r="N34" i="46"/>
  <c r="V33" i="46"/>
  <c r="O33" i="46"/>
  <c r="N33" i="46"/>
  <c r="V32" i="46"/>
  <c r="O32" i="46"/>
  <c r="N32" i="46"/>
  <c r="V31" i="46"/>
  <c r="O31" i="46"/>
  <c r="N31" i="46"/>
  <c r="V30" i="46"/>
  <c r="O30" i="46"/>
  <c r="N30" i="46"/>
  <c r="V29" i="46"/>
  <c r="O29" i="46"/>
  <c r="N29" i="46"/>
  <c r="V28" i="46"/>
  <c r="O28" i="46"/>
  <c r="N28" i="46"/>
  <c r="V27" i="46"/>
  <c r="O27" i="46"/>
  <c r="N27" i="46"/>
  <c r="V26" i="46"/>
  <c r="O26" i="46"/>
  <c r="N26" i="46"/>
  <c r="V25" i="46"/>
  <c r="O25" i="46"/>
  <c r="N25" i="46"/>
  <c r="V24" i="46"/>
  <c r="O24" i="46"/>
  <c r="N24" i="46"/>
  <c r="V23" i="46"/>
  <c r="O23" i="46"/>
  <c r="N23" i="46"/>
  <c r="V22" i="46"/>
  <c r="O22" i="46"/>
  <c r="N22" i="46"/>
  <c r="V21" i="46"/>
  <c r="O21" i="46"/>
  <c r="N21" i="46"/>
  <c r="V20" i="46"/>
  <c r="O20" i="46"/>
  <c r="N20" i="46"/>
  <c r="V19" i="46"/>
  <c r="O19" i="46"/>
  <c r="N19" i="46"/>
  <c r="V18" i="46"/>
  <c r="O18" i="46"/>
  <c r="N18" i="46"/>
  <c r="V17" i="46"/>
  <c r="O17" i="46"/>
  <c r="N17" i="46"/>
  <c r="V16" i="46"/>
  <c r="O16" i="46"/>
  <c r="N16" i="46"/>
  <c r="V15" i="46"/>
  <c r="O15" i="46"/>
  <c r="N15" i="46"/>
  <c r="V14" i="46"/>
  <c r="O14" i="46"/>
  <c r="N14" i="46"/>
  <c r="V13" i="46"/>
  <c r="O13" i="46"/>
  <c r="N13" i="46"/>
  <c r="V12" i="46"/>
  <c r="O12" i="46"/>
  <c r="N12" i="46"/>
  <c r="V11" i="46"/>
  <c r="O11" i="46"/>
  <c r="N11" i="46"/>
  <c r="V10" i="46"/>
  <c r="O10" i="46"/>
  <c r="N10" i="46"/>
  <c r="V9" i="46"/>
  <c r="O9" i="46"/>
  <c r="N9" i="46"/>
  <c r="V8" i="46"/>
  <c r="O8" i="46"/>
  <c r="N8" i="46"/>
  <c r="V7" i="46"/>
  <c r="O7" i="46"/>
  <c r="N7" i="46"/>
  <c r="V6" i="46"/>
  <c r="O6" i="46"/>
  <c r="N6" i="46"/>
  <c r="V5" i="46"/>
  <c r="O5" i="46"/>
  <c r="N5" i="46"/>
  <c r="V4" i="46"/>
  <c r="O4" i="46"/>
  <c r="N4" i="46"/>
  <c r="V3" i="46"/>
  <c r="O3" i="46"/>
  <c r="N3" i="46"/>
  <c r="V2" i="46"/>
  <c r="O2" i="46"/>
  <c r="N2" i="46"/>
  <c r="B37" i="56"/>
  <c r="G35" i="56"/>
  <c r="H35" i="56" s="1"/>
  <c r="I35" i="56" s="1"/>
  <c r="E9" i="56" s="1"/>
  <c r="G34" i="56"/>
  <c r="H34" i="56" s="1"/>
  <c r="I34" i="56" s="1"/>
  <c r="B30" i="56"/>
  <c r="G28" i="56"/>
  <c r="H28" i="56" s="1"/>
  <c r="I28" i="56" s="1"/>
  <c r="E8" i="56" s="1"/>
  <c r="G27" i="56"/>
  <c r="H27" i="56" s="1"/>
  <c r="I27" i="56" s="1"/>
  <c r="B23" i="56"/>
  <c r="G21" i="56"/>
  <c r="H21" i="56" s="1"/>
  <c r="H20" i="56"/>
  <c r="I20" i="56" s="1"/>
  <c r="B16" i="56"/>
  <c r="G15" i="56"/>
  <c r="H15" i="56" s="1"/>
  <c r="I15" i="56" s="1"/>
  <c r="E6" i="56" s="1"/>
  <c r="G14" i="56"/>
  <c r="H14" i="56" s="1"/>
  <c r="I14" i="56" s="1"/>
  <c r="C10" i="56"/>
  <c r="F45" i="2" a="1"/>
  <c r="F45" i="2" s="1"/>
  <c r="F44" i="2" a="1"/>
  <c r="F44" i="2" s="1"/>
  <c r="F43" i="2" a="1"/>
  <c r="F43" i="2" s="1"/>
  <c r="F42" i="2" a="1"/>
  <c r="F42" i="2" s="1"/>
  <c r="F40" i="2" a="1"/>
  <c r="F40" i="2" s="1"/>
  <c r="F39" i="2" a="1"/>
  <c r="F39" i="2" s="1"/>
  <c r="F38" i="2" a="1"/>
  <c r="F38" i="2" s="1"/>
  <c r="F37" i="2" a="1"/>
  <c r="F37" i="2" s="1"/>
  <c r="F35" i="2" a="1"/>
  <c r="F35" i="2" s="1"/>
  <c r="F34" i="2" a="1"/>
  <c r="F34" i="2" s="1"/>
  <c r="F33" i="2" a="1"/>
  <c r="F33" i="2" s="1"/>
  <c r="F32" i="2" a="1"/>
  <c r="F32" i="2" s="1"/>
  <c r="F30" i="2" a="1"/>
  <c r="F30" i="2" s="1"/>
  <c r="F29" i="2" a="1"/>
  <c r="F29" i="2" s="1"/>
  <c r="F28" i="2" a="1"/>
  <c r="F28" i="2" s="1"/>
  <c r="F27" i="2" a="1"/>
  <c r="F27" i="2" s="1"/>
  <c r="G18" i="16"/>
  <c r="D18" i="16"/>
  <c r="E18" i="16"/>
  <c r="F18" i="16"/>
  <c r="C18" i="16"/>
  <c r="F17" i="16"/>
  <c r="G17" i="16"/>
  <c r="F13" i="16"/>
  <c r="G11" i="16"/>
  <c r="F11" i="16"/>
  <c r="G12" i="16"/>
  <c r="G13" i="16"/>
  <c r="G14" i="16"/>
  <c r="G15" i="16"/>
  <c r="G16" i="16"/>
  <c r="E21" i="51"/>
  <c r="E22" i="51"/>
  <c r="E23" i="51"/>
  <c r="E24" i="51"/>
  <c r="E25" i="51"/>
  <c r="E26" i="51"/>
  <c r="E27" i="51"/>
  <c r="E28" i="51"/>
  <c r="E29" i="51"/>
  <c r="E30" i="51"/>
  <c r="E31" i="51"/>
  <c r="E32" i="51"/>
  <c r="E33" i="51"/>
  <c r="E34" i="51"/>
  <c r="E35" i="51"/>
  <c r="E36" i="51"/>
  <c r="E37" i="51"/>
  <c r="E38" i="51"/>
  <c r="E39" i="51"/>
  <c r="E40" i="51"/>
  <c r="E41" i="51"/>
  <c r="E42" i="51"/>
  <c r="E43" i="51"/>
  <c r="E44" i="51"/>
  <c r="E45" i="51"/>
  <c r="E46" i="51"/>
  <c r="E47" i="51"/>
  <c r="E48" i="51"/>
  <c r="E49" i="51"/>
  <c r="E50" i="51"/>
  <c r="E51" i="51"/>
  <c r="E52" i="51"/>
  <c r="E53" i="51"/>
  <c r="E54" i="51"/>
  <c r="E55" i="51"/>
  <c r="E56" i="51"/>
  <c r="E57" i="51"/>
  <c r="E58" i="51"/>
  <c r="E59" i="51"/>
  <c r="E60" i="51"/>
  <c r="E61" i="51"/>
  <c r="E62" i="51"/>
  <c r="E63" i="51"/>
  <c r="E64" i="51"/>
  <c r="E65" i="51"/>
  <c r="E66" i="51"/>
  <c r="C21" i="51"/>
  <c r="C22" i="51"/>
  <c r="C23" i="51"/>
  <c r="C24" i="51"/>
  <c r="C15" i="51" s="1"/>
  <c r="C25" i="51"/>
  <c r="C26" i="51"/>
  <c r="C27" i="51"/>
  <c r="C28" i="51"/>
  <c r="C29" i="51"/>
  <c r="C30" i="51"/>
  <c r="C31" i="51"/>
  <c r="C32" i="51"/>
  <c r="C33" i="51"/>
  <c r="C34" i="51"/>
  <c r="C35" i="51"/>
  <c r="C36" i="51"/>
  <c r="C37" i="51"/>
  <c r="C38" i="51"/>
  <c r="C39" i="51"/>
  <c r="C40" i="51"/>
  <c r="C41" i="51"/>
  <c r="C42" i="51"/>
  <c r="C43" i="51"/>
  <c r="C44" i="51"/>
  <c r="C45" i="51"/>
  <c r="C46" i="51"/>
  <c r="C47" i="51"/>
  <c r="C48" i="51"/>
  <c r="C49" i="51"/>
  <c r="C50" i="51"/>
  <c r="C51" i="51"/>
  <c r="C52" i="51"/>
  <c r="C53" i="51"/>
  <c r="C54" i="51"/>
  <c r="C55" i="51"/>
  <c r="C56" i="51"/>
  <c r="C57" i="51"/>
  <c r="C58" i="51"/>
  <c r="C59" i="51"/>
  <c r="C60" i="51"/>
  <c r="C61" i="51"/>
  <c r="C62" i="51"/>
  <c r="C63" i="51"/>
  <c r="C64" i="51"/>
  <c r="C65" i="51"/>
  <c r="C66" i="51"/>
  <c r="B21" i="51"/>
  <c r="B22" i="51"/>
  <c r="B23" i="51"/>
  <c r="B24" i="51"/>
  <c r="B25" i="51"/>
  <c r="B26" i="51"/>
  <c r="B27" i="51"/>
  <c r="B28" i="51"/>
  <c r="B29" i="51"/>
  <c r="B30" i="51"/>
  <c r="B31" i="51"/>
  <c r="B32" i="51"/>
  <c r="B33" i="51"/>
  <c r="B34" i="51"/>
  <c r="B35" i="51"/>
  <c r="B36" i="51"/>
  <c r="B37" i="51"/>
  <c r="B38" i="51"/>
  <c r="B39" i="51"/>
  <c r="B40" i="51"/>
  <c r="B41" i="51"/>
  <c r="B42" i="51"/>
  <c r="B43" i="51"/>
  <c r="B44" i="51"/>
  <c r="B45" i="51"/>
  <c r="B46" i="51"/>
  <c r="B47" i="51"/>
  <c r="B48" i="51"/>
  <c r="B49" i="51"/>
  <c r="B50" i="51"/>
  <c r="B51" i="51"/>
  <c r="B52" i="51"/>
  <c r="B53" i="51"/>
  <c r="B54" i="51"/>
  <c r="B55" i="51"/>
  <c r="B56" i="51"/>
  <c r="B57" i="51"/>
  <c r="B58" i="51"/>
  <c r="B59" i="51"/>
  <c r="B60" i="51"/>
  <c r="B61" i="51"/>
  <c r="B62" i="51"/>
  <c r="B63" i="51"/>
  <c r="B64" i="51"/>
  <c r="B65" i="51"/>
  <c r="B66" i="51"/>
  <c r="E20" i="51"/>
  <c r="C20" i="51"/>
  <c r="B20" i="51"/>
  <c r="C135" i="51"/>
  <c r="B135" i="51"/>
  <c r="B136" i="51" s="1"/>
  <c r="C145" i="51"/>
  <c r="B145" i="51"/>
  <c r="C143" i="51"/>
  <c r="B143" i="51"/>
  <c r="C142" i="51"/>
  <c r="B142" i="51"/>
  <c r="D134" i="51"/>
  <c r="D133" i="51"/>
  <c r="D132" i="51"/>
  <c r="D131" i="51"/>
  <c r="D130" i="51"/>
  <c r="D129" i="51"/>
  <c r="D128" i="51"/>
  <c r="D135" i="51" s="1"/>
  <c r="B108" i="51"/>
  <c r="C107" i="51"/>
  <c r="B107" i="51"/>
  <c r="D107" i="51" s="1"/>
  <c r="C3" i="23"/>
  <c r="L7" i="34"/>
  <c r="O7" i="34" s="1"/>
  <c r="L8" i="34"/>
  <c r="O8" i="34"/>
  <c r="L9" i="34"/>
  <c r="O9" i="34" s="1"/>
  <c r="L20" i="34"/>
  <c r="L21" i="34"/>
  <c r="L22" i="34"/>
  <c r="L23" i="34"/>
  <c r="L24" i="34"/>
  <c r="M24" i="34"/>
  <c r="N24" i="34"/>
  <c r="O24" i="34"/>
  <c r="P24" i="34"/>
  <c r="L25" i="34"/>
  <c r="O25" i="34"/>
  <c r="L26" i="34"/>
  <c r="L27" i="34"/>
  <c r="L28" i="34"/>
  <c r="L29" i="34"/>
  <c r="L30" i="34"/>
  <c r="L31" i="34"/>
  <c r="O31" i="34" s="1"/>
  <c r="L32" i="34"/>
  <c r="L33" i="34"/>
  <c r="L34" i="34"/>
  <c r="L35" i="34"/>
  <c r="L36" i="34"/>
  <c r="L37" i="34"/>
  <c r="L38" i="34"/>
  <c r="L39" i="34"/>
  <c r="L40" i="34"/>
  <c r="L41" i="34"/>
  <c r="L42" i="34"/>
  <c r="C3" i="24"/>
  <c r="D11" i="16"/>
  <c r="E11" i="16"/>
  <c r="E12" i="16" s="1"/>
  <c r="E14" i="16" s="1"/>
  <c r="F12" i="16"/>
  <c r="F14" i="16" s="1"/>
  <c r="F16" i="16" s="1"/>
  <c r="D12" i="16"/>
  <c r="D13" i="16"/>
  <c r="E13" i="16"/>
  <c r="D14" i="16"/>
  <c r="D17" i="16"/>
  <c r="E17" i="16"/>
  <c r="C11" i="16"/>
  <c r="C12" i="16" s="1"/>
  <c r="C14" i="16" s="1"/>
  <c r="B54" i="38"/>
  <c r="C59" i="38"/>
  <c r="B59" i="38"/>
  <c r="C58" i="38"/>
  <c r="B58" i="38"/>
  <c r="C57" i="38"/>
  <c r="B57" i="38"/>
  <c r="D48" i="38"/>
  <c r="C48" i="38"/>
  <c r="B48" i="38"/>
  <c r="D47" i="38"/>
  <c r="C47" i="38"/>
  <c r="B47" i="38"/>
  <c r="D46" i="38"/>
  <c r="C46" i="38"/>
  <c r="B46" i="38"/>
  <c r="D45" i="38"/>
  <c r="C45" i="38"/>
  <c r="B45" i="38"/>
  <c r="B25" i="38"/>
  <c r="H80" i="37"/>
  <c r="G80" i="37"/>
  <c r="E80" i="37"/>
  <c r="D80" i="37"/>
  <c r="C80" i="37"/>
  <c r="B80" i="37"/>
  <c r="H79" i="37"/>
  <c r="G79" i="37"/>
  <c r="E79" i="37"/>
  <c r="D79" i="37"/>
  <c r="C79" i="37"/>
  <c r="B79" i="37"/>
  <c r="H78" i="37"/>
  <c r="G78" i="37"/>
  <c r="E78" i="37"/>
  <c r="D78" i="37"/>
  <c r="C78" i="37"/>
  <c r="B78" i="37"/>
  <c r="H77" i="37"/>
  <c r="G77" i="37"/>
  <c r="E77" i="37"/>
  <c r="D77" i="37"/>
  <c r="C77" i="37"/>
  <c r="B77" i="37"/>
  <c r="H76" i="37"/>
  <c r="G76" i="37"/>
  <c r="E76" i="37"/>
  <c r="D76" i="37"/>
  <c r="C76" i="37"/>
  <c r="B76" i="37"/>
  <c r="H75" i="37"/>
  <c r="G75" i="37"/>
  <c r="E75" i="37"/>
  <c r="D75" i="37"/>
  <c r="C75" i="37"/>
  <c r="B75" i="37"/>
  <c r="H74" i="37"/>
  <c r="G74" i="37"/>
  <c r="E74" i="37"/>
  <c r="D74" i="37"/>
  <c r="C74" i="37"/>
  <c r="B74" i="37"/>
  <c r="H73" i="37"/>
  <c r="G73" i="37"/>
  <c r="E73" i="37"/>
  <c r="D73" i="37"/>
  <c r="C73" i="37"/>
  <c r="B73" i="37"/>
  <c r="H72" i="37"/>
  <c r="G72" i="37"/>
  <c r="E72" i="37"/>
  <c r="D72" i="37"/>
  <c r="C72" i="37"/>
  <c r="B72" i="37"/>
  <c r="H71" i="37"/>
  <c r="G71" i="37"/>
  <c r="E71" i="37"/>
  <c r="D71" i="37"/>
  <c r="C71" i="37"/>
  <c r="B71" i="37"/>
  <c r="H70" i="37"/>
  <c r="G70" i="37"/>
  <c r="E70" i="37"/>
  <c r="D70" i="37"/>
  <c r="C70" i="37"/>
  <c r="B70" i="37"/>
  <c r="H69" i="37"/>
  <c r="G69" i="37"/>
  <c r="E69" i="37"/>
  <c r="D69" i="37"/>
  <c r="C69" i="37"/>
  <c r="B69" i="37"/>
  <c r="D6" i="37"/>
  <c r="F61" i="37"/>
  <c r="F60" i="37"/>
  <c r="F59" i="37"/>
  <c r="F58" i="37"/>
  <c r="F57" i="37"/>
  <c r="F56" i="37"/>
  <c r="F55" i="37"/>
  <c r="F80" i="37" s="1"/>
  <c r="F54" i="37"/>
  <c r="F79" i="37" s="1"/>
  <c r="F53" i="37"/>
  <c r="F78" i="37" s="1"/>
  <c r="F52" i="37"/>
  <c r="F51" i="37"/>
  <c r="F50" i="37"/>
  <c r="F49" i="37"/>
  <c r="F77" i="37" s="1"/>
  <c r="F48" i="37"/>
  <c r="F76" i="37" s="1"/>
  <c r="F47" i="37"/>
  <c r="F75" i="37" s="1"/>
  <c r="F46" i="37"/>
  <c r="F45" i="37"/>
  <c r="F74" i="37" s="1"/>
  <c r="F44" i="37"/>
  <c r="F73" i="37" s="1"/>
  <c r="F43" i="37"/>
  <c r="F42" i="37"/>
  <c r="F72" i="37" s="1"/>
  <c r="F41" i="37"/>
  <c r="F40" i="37"/>
  <c r="F39" i="37"/>
  <c r="F38" i="37"/>
  <c r="F37" i="37"/>
  <c r="F36" i="37"/>
  <c r="F35" i="37"/>
  <c r="F34" i="37"/>
  <c r="F33" i="37"/>
  <c r="F32" i="37"/>
  <c r="F71" i="37" s="1"/>
  <c r="F31" i="37"/>
  <c r="F30" i="37"/>
  <c r="F29" i="37"/>
  <c r="F28" i="37"/>
  <c r="F70" i="37" s="1"/>
  <c r="F27" i="37"/>
  <c r="F26" i="37"/>
  <c r="F25" i="37"/>
  <c r="F69" i="37" s="1"/>
  <c r="F24" i="37"/>
  <c r="F23" i="37"/>
  <c r="F22" i="37"/>
  <c r="F21" i="37"/>
  <c r="F20" i="37"/>
  <c r="F19" i="37"/>
  <c r="F18" i="37"/>
  <c r="F17" i="37"/>
  <c r="F16" i="37"/>
  <c r="F15" i="37"/>
  <c r="F14" i="37"/>
  <c r="C24" i="2"/>
  <c r="C23" i="2"/>
  <c r="C22" i="2"/>
  <c r="C21" i="2"/>
  <c r="C20" i="2"/>
  <c r="C18" i="2"/>
  <c r="C17" i="2"/>
  <c r="L84" i="4"/>
  <c r="K84" i="4"/>
  <c r="J84" i="4"/>
  <c r="I84" i="4"/>
  <c r="H84" i="4"/>
  <c r="G84" i="4"/>
  <c r="F84" i="4"/>
  <c r="E84" i="4"/>
  <c r="F46" i="2" a="1"/>
  <c r="F46" i="2" s="1"/>
  <c r="D32" i="3"/>
  <c r="C9" i="19"/>
  <c r="C25" i="38" s="1"/>
  <c r="H7" i="19"/>
  <c r="C16" i="38" s="1"/>
  <c r="C7" i="19"/>
  <c r="B16" i="38" s="1"/>
  <c r="M13" i="5"/>
  <c r="F22" i="2" a="1"/>
  <c r="F22" i="2" s="1"/>
  <c r="F21" i="2" a="1"/>
  <c r="F21" i="2" s="1"/>
  <c r="F20" i="2" a="1"/>
  <c r="F20" i="2" s="1"/>
  <c r="F19" i="2" a="1"/>
  <c r="F19" i="2" s="1"/>
  <c r="F18" i="2" a="1"/>
  <c r="F18" i="2" s="1"/>
  <c r="F17" i="2" a="1"/>
  <c r="F17" i="2" s="1"/>
  <c r="C43" i="2"/>
  <c r="C38" i="2"/>
  <c r="C33" i="2"/>
  <c r="C28" i="2"/>
  <c r="C45" i="2"/>
  <c r="C40" i="2"/>
  <c r="C35" i="2"/>
  <c r="C30" i="2"/>
  <c r="F62" i="2" a="1"/>
  <c r="F62" i="2" s="1"/>
  <c r="F61" i="2" a="1"/>
  <c r="F61" i="2" s="1"/>
  <c r="F59" i="2" a="1"/>
  <c r="F59" i="2" s="1"/>
  <c r="F58" i="2" a="1"/>
  <c r="F58" i="2" s="1"/>
  <c r="F57" i="2" a="1"/>
  <c r="F57" i="2" s="1"/>
  <c r="F56" i="2" a="1"/>
  <c r="F56" i="2" s="1"/>
  <c r="F50" i="2" a="1"/>
  <c r="F50" i="2" s="1"/>
  <c r="F49" i="2" a="1"/>
  <c r="F49" i="2" s="1"/>
  <c r="F48" i="2" a="1"/>
  <c r="F48" i="2" s="1"/>
  <c r="C17" i="16"/>
  <c r="C13" i="16"/>
  <c r="L73" i="4"/>
  <c r="F52" i="2" s="1" a="1"/>
  <c r="F52" i="2" s="1"/>
  <c r="K73" i="4"/>
  <c r="J80" i="4"/>
  <c r="I80" i="4"/>
  <c r="H80" i="4"/>
  <c r="G80" i="4"/>
  <c r="F80" i="4"/>
  <c r="E80" i="4"/>
  <c r="D80" i="4"/>
  <c r="J79" i="4"/>
  <c r="I79" i="4"/>
  <c r="H79" i="4"/>
  <c r="G79" i="4"/>
  <c r="F79" i="4"/>
  <c r="E79" i="4"/>
  <c r="D79" i="4"/>
  <c r="D31" i="3"/>
  <c r="F31" i="3" s="1"/>
  <c r="B52" i="38" s="1"/>
  <c r="J85" i="4"/>
  <c r="C6" i="19"/>
  <c r="B21" i="38" s="1"/>
  <c r="C5" i="19"/>
  <c r="C21" i="38" s="1"/>
  <c r="H6" i="19"/>
  <c r="H9" i="19"/>
  <c r="H5" i="19"/>
  <c r="H8" i="19"/>
  <c r="C17" i="38" s="1"/>
  <c r="C8" i="19"/>
  <c r="B17" i="38" s="1"/>
  <c r="F54" i="2" a="1"/>
  <c r="F54" i="2" s="1"/>
  <c r="C52" i="2"/>
  <c r="V61" i="4" l="1"/>
  <c r="C102" i="51"/>
  <c r="C14" i="51"/>
  <c r="B10" i="51"/>
  <c r="B16" i="51"/>
  <c r="C108" i="51"/>
  <c r="A111" i="51" s="1"/>
  <c r="C201" i="27" a="1"/>
  <c r="C201" i="27" s="1"/>
  <c r="D201" i="27" a="1"/>
  <c r="D201" i="27" s="1"/>
  <c r="E201" i="27" s="1"/>
  <c r="F201" i="27" a="1"/>
  <c r="F201" i="27" s="1"/>
  <c r="G201" i="27" a="1"/>
  <c r="G201" i="27" s="1"/>
  <c r="H201" i="27" a="1"/>
  <c r="H201" i="27" s="1"/>
  <c r="I201" i="27" a="1"/>
  <c r="I201" i="27" s="1"/>
  <c r="C202" i="27" a="1"/>
  <c r="C202" i="27" s="1"/>
  <c r="D202" i="27" a="1"/>
  <c r="D202" i="27" s="1"/>
  <c r="E202" i="27" s="1"/>
  <c r="F202" i="27" a="1"/>
  <c r="F202" i="27" s="1"/>
  <c r="G202" i="27" a="1"/>
  <c r="G202" i="27" s="1"/>
  <c r="H202" i="27" a="1"/>
  <c r="H202" i="27" s="1"/>
  <c r="I202" i="27" a="1"/>
  <c r="I202" i="27" s="1"/>
  <c r="C203" i="27" a="1"/>
  <c r="C203" i="27" s="1"/>
  <c r="D203" i="27" a="1"/>
  <c r="D203" i="27" s="1"/>
  <c r="E203" i="27" s="1"/>
  <c r="F203" i="27" a="1"/>
  <c r="F203" i="27" s="1"/>
  <c r="G203" i="27" a="1"/>
  <c r="G203" i="27" s="1"/>
  <c r="H203" i="27" a="1"/>
  <c r="H203" i="27" s="1"/>
  <c r="I203" i="27" a="1"/>
  <c r="I203" i="27" s="1"/>
  <c r="C204" i="27" a="1"/>
  <c r="C204" i="27" s="1"/>
  <c r="D204" i="27" a="1"/>
  <c r="D204" i="27" s="1"/>
  <c r="E204" i="27" s="1"/>
  <c r="F204" i="27" a="1"/>
  <c r="F204" i="27" s="1"/>
  <c r="G204" i="27" a="1"/>
  <c r="G204" i="27" s="1"/>
  <c r="H204" i="27" a="1"/>
  <c r="H204" i="27" s="1"/>
  <c r="I204" i="27" a="1"/>
  <c r="I204" i="27" s="1"/>
  <c r="C205" i="27" a="1"/>
  <c r="C205" i="27" s="1"/>
  <c r="D205" i="27" a="1"/>
  <c r="D205" i="27" s="1"/>
  <c r="E205" i="27" s="1"/>
  <c r="F205" i="27" a="1"/>
  <c r="F205" i="27" s="1"/>
  <c r="G205" i="27" a="1"/>
  <c r="G205" i="27" s="1"/>
  <c r="H205" i="27" a="1"/>
  <c r="H205" i="27" s="1"/>
  <c r="I205" i="27" a="1"/>
  <c r="I205" i="27" s="1"/>
  <c r="C206" i="27" a="1"/>
  <c r="C206" i="27" s="1"/>
  <c r="D206" i="27" a="1"/>
  <c r="D206" i="27" s="1"/>
  <c r="E206" i="27" s="1"/>
  <c r="F206" i="27" a="1"/>
  <c r="F206" i="27" s="1"/>
  <c r="G206" i="27" a="1"/>
  <c r="G206" i="27" s="1"/>
  <c r="H206" i="27" a="1"/>
  <c r="H206" i="27" s="1"/>
  <c r="I206" i="27" a="1"/>
  <c r="I206" i="27" s="1"/>
  <c r="C207" i="27" a="1"/>
  <c r="C207" i="27" s="1"/>
  <c r="D207" i="27" a="1"/>
  <c r="D207" i="27" s="1"/>
  <c r="E207" i="27" s="1"/>
  <c r="F207" i="27" a="1"/>
  <c r="F207" i="27" s="1"/>
  <c r="G207" i="27" a="1"/>
  <c r="G207" i="27" s="1"/>
  <c r="H207" i="27" a="1"/>
  <c r="H207" i="27" s="1"/>
  <c r="I207" i="27" a="1"/>
  <c r="I207" i="27" s="1"/>
  <c r="C208" i="27" a="1"/>
  <c r="C208" i="27" s="1"/>
  <c r="D208" i="27" a="1"/>
  <c r="D208" i="27" s="1"/>
  <c r="E208" i="27" s="1"/>
  <c r="F208" i="27" a="1"/>
  <c r="F208" i="27" s="1"/>
  <c r="G208" i="27" a="1"/>
  <c r="G208" i="27" s="1"/>
  <c r="H208" i="27" a="1"/>
  <c r="H208" i="27" s="1"/>
  <c r="I208" i="27" a="1"/>
  <c r="I208" i="27" s="1"/>
  <c r="C209" i="27" a="1"/>
  <c r="C209" i="27" s="1"/>
  <c r="D209" i="27" a="1"/>
  <c r="D209" i="27" s="1"/>
  <c r="E209" i="27" s="1"/>
  <c r="F209" i="27" a="1"/>
  <c r="F209" i="27" s="1"/>
  <c r="G209" i="27" a="1"/>
  <c r="G209" i="27" s="1"/>
  <c r="H209" i="27" a="1"/>
  <c r="H209" i="27" s="1"/>
  <c r="I209" i="27" a="1"/>
  <c r="I209" i="27" s="1"/>
  <c r="C210" i="27" a="1"/>
  <c r="C210" i="27" s="1"/>
  <c r="D210" i="27" a="1"/>
  <c r="D210" i="27" s="1"/>
  <c r="E210" i="27" s="1"/>
  <c r="F210" i="27" a="1"/>
  <c r="F210" i="27" s="1"/>
  <c r="G210" i="27" a="1"/>
  <c r="G210" i="27" s="1"/>
  <c r="H210" i="27" a="1"/>
  <c r="H210" i="27" s="1"/>
  <c r="I210" i="27" a="1"/>
  <c r="I210" i="27" s="1"/>
  <c r="C211" i="27" a="1"/>
  <c r="C211" i="27" s="1"/>
  <c r="D211" i="27" a="1"/>
  <c r="D211" i="27" s="1"/>
  <c r="E211" i="27" s="1"/>
  <c r="F211" i="27" a="1"/>
  <c r="F211" i="27" s="1"/>
  <c r="G211" i="27" a="1"/>
  <c r="G211" i="27" s="1"/>
  <c r="H211" i="27" a="1"/>
  <c r="H211" i="27" s="1"/>
  <c r="I211" i="27" a="1"/>
  <c r="I211" i="27" s="1"/>
  <c r="C212" i="27" a="1"/>
  <c r="C212" i="27" s="1"/>
  <c r="D212" i="27" a="1"/>
  <c r="D212" i="27" s="1"/>
  <c r="E212" i="27" s="1"/>
  <c r="F212" i="27" a="1"/>
  <c r="F212" i="27" s="1"/>
  <c r="G212" i="27" a="1"/>
  <c r="G212" i="27" s="1"/>
  <c r="H212" i="27" a="1"/>
  <c r="H212" i="27" s="1"/>
  <c r="I212" i="27" a="1"/>
  <c r="I212" i="27" s="1"/>
  <c r="C213" i="27" a="1"/>
  <c r="C213" i="27" s="1"/>
  <c r="D213" i="27" a="1"/>
  <c r="D213" i="27" s="1"/>
  <c r="E213" i="27" s="1"/>
  <c r="F213" i="27" a="1"/>
  <c r="F213" i="27" s="1"/>
  <c r="G213" i="27" a="1"/>
  <c r="G213" i="27" s="1"/>
  <c r="H213" i="27" a="1"/>
  <c r="H213" i="27" s="1"/>
  <c r="I213" i="27" a="1"/>
  <c r="I213" i="27" s="1"/>
  <c r="C214" i="27" a="1"/>
  <c r="C214" i="27" s="1"/>
  <c r="D214" i="27" a="1"/>
  <c r="D214" i="27" s="1"/>
  <c r="E214" i="27" s="1"/>
  <c r="F214" i="27" a="1"/>
  <c r="F214" i="27" s="1"/>
  <c r="G214" i="27" a="1"/>
  <c r="G214" i="27" s="1"/>
  <c r="H214" i="27" a="1"/>
  <c r="H214" i="27" s="1"/>
  <c r="I214" i="27" a="1"/>
  <c r="I214" i="27" s="1"/>
  <c r="C215" i="27" a="1"/>
  <c r="C215" i="27" s="1"/>
  <c r="D215" i="27" a="1"/>
  <c r="D215" i="27" s="1"/>
  <c r="E215" i="27" s="1"/>
  <c r="F215" i="27" a="1"/>
  <c r="F215" i="27" s="1"/>
  <c r="G215" i="27" a="1"/>
  <c r="G215" i="27" s="1"/>
  <c r="H215" i="27" a="1"/>
  <c r="H215" i="27" s="1"/>
  <c r="I215" i="27" a="1"/>
  <c r="I215" i="27" s="1"/>
  <c r="C216" i="27" a="1"/>
  <c r="C216" i="27" s="1"/>
  <c r="D216" i="27" a="1"/>
  <c r="D216" i="27" s="1"/>
  <c r="E216" i="27" s="1"/>
  <c r="F216" i="27" a="1"/>
  <c r="F216" i="27" s="1"/>
  <c r="G216" i="27" a="1"/>
  <c r="G216" i="27" s="1"/>
  <c r="H216" i="27" a="1"/>
  <c r="H216" i="27" s="1"/>
  <c r="I216" i="27" a="1"/>
  <c r="I216" i="27" s="1"/>
  <c r="C217" i="27" a="1"/>
  <c r="C217" i="27" s="1"/>
  <c r="D217" i="27" a="1"/>
  <c r="D217" i="27" s="1"/>
  <c r="E217" i="27" s="1"/>
  <c r="F217" i="27" a="1"/>
  <c r="F217" i="27" s="1"/>
  <c r="G217" i="27" a="1"/>
  <c r="G217" i="27" s="1"/>
  <c r="H217" i="27" a="1"/>
  <c r="H217" i="27" s="1"/>
  <c r="I217" i="27" a="1"/>
  <c r="I217" i="27" s="1"/>
  <c r="C218" i="27" a="1"/>
  <c r="C218" i="27" s="1"/>
  <c r="D218" i="27" a="1"/>
  <c r="D218" i="27" s="1"/>
  <c r="E218" i="27" s="1"/>
  <c r="F218" i="27" a="1"/>
  <c r="F218" i="27" s="1"/>
  <c r="G218" i="27" a="1"/>
  <c r="G218" i="27" s="1"/>
  <c r="H218" i="27" a="1"/>
  <c r="H218" i="27" s="1"/>
  <c r="I218" i="27" a="1"/>
  <c r="I218" i="27" s="1"/>
  <c r="C219" i="27" a="1"/>
  <c r="C219" i="27" s="1"/>
  <c r="D219" i="27" a="1"/>
  <c r="D219" i="27" s="1"/>
  <c r="E219" i="27" s="1"/>
  <c r="F219" i="27" a="1"/>
  <c r="F219" i="27" s="1"/>
  <c r="G219" i="27" a="1"/>
  <c r="G219" i="27" s="1"/>
  <c r="H219" i="27" a="1"/>
  <c r="H219" i="27" s="1"/>
  <c r="I219" i="27" a="1"/>
  <c r="I219" i="27" s="1"/>
  <c r="C220" i="27" a="1"/>
  <c r="C220" i="27" s="1"/>
  <c r="D220" i="27" a="1"/>
  <c r="D220" i="27" s="1"/>
  <c r="E220" i="27" s="1"/>
  <c r="F220" i="27" a="1"/>
  <c r="F220" i="27" s="1"/>
  <c r="G220" i="27" a="1"/>
  <c r="G220" i="27" s="1"/>
  <c r="H220" i="27" a="1"/>
  <c r="H220" i="27" s="1"/>
  <c r="I220" i="27" a="1"/>
  <c r="I220" i="27" s="1"/>
  <c r="C221" i="27" a="1"/>
  <c r="C221" i="27" s="1"/>
  <c r="D221" i="27" a="1"/>
  <c r="D221" i="27" s="1"/>
  <c r="E221" i="27" s="1"/>
  <c r="F221" i="27" a="1"/>
  <c r="F221" i="27" s="1"/>
  <c r="G221" i="27" a="1"/>
  <c r="G221" i="27" s="1"/>
  <c r="H221" i="27" a="1"/>
  <c r="H221" i="27" s="1"/>
  <c r="I221" i="27" a="1"/>
  <c r="I221" i="27" s="1"/>
  <c r="C222" i="27" a="1"/>
  <c r="C222" i="27" s="1"/>
  <c r="D222" i="27" a="1"/>
  <c r="D222" i="27" s="1"/>
  <c r="E222" i="27" s="1"/>
  <c r="F222" i="27" a="1"/>
  <c r="F222" i="27" s="1"/>
  <c r="G222" i="27" a="1"/>
  <c r="G222" i="27" s="1"/>
  <c r="H222" i="27" a="1"/>
  <c r="H222" i="27" s="1"/>
  <c r="I222" i="27" a="1"/>
  <c r="I222" i="27" s="1"/>
  <c r="C223" i="27" a="1"/>
  <c r="C223" i="27" s="1"/>
  <c r="D223" i="27" a="1"/>
  <c r="D223" i="27" s="1"/>
  <c r="E223" i="27" s="1"/>
  <c r="F223" i="27" a="1"/>
  <c r="F223" i="27" s="1"/>
  <c r="G223" i="27" a="1"/>
  <c r="G223" i="27" s="1"/>
  <c r="H223" i="27" a="1"/>
  <c r="H223" i="27" s="1"/>
  <c r="I223" i="27" a="1"/>
  <c r="I223" i="27" s="1"/>
  <c r="C224" i="27" a="1"/>
  <c r="C224" i="27" s="1"/>
  <c r="D224" i="27" a="1"/>
  <c r="D224" i="27" s="1"/>
  <c r="E224" i="27" s="1"/>
  <c r="F224" i="27" a="1"/>
  <c r="F224" i="27" s="1"/>
  <c r="G224" i="27" a="1"/>
  <c r="G224" i="27" s="1"/>
  <c r="H224" i="27" a="1"/>
  <c r="H224" i="27" s="1"/>
  <c r="I224" i="27" a="1"/>
  <c r="I224" i="27" s="1"/>
  <c r="C225" i="27" a="1"/>
  <c r="C225" i="27" s="1"/>
  <c r="D225" i="27" a="1"/>
  <c r="D225" i="27" s="1"/>
  <c r="E225" i="27" s="1"/>
  <c r="F225" i="27" a="1"/>
  <c r="F225" i="27" s="1"/>
  <c r="G225" i="27" a="1"/>
  <c r="G225" i="27" s="1"/>
  <c r="H225" i="27" a="1"/>
  <c r="H225" i="27" s="1"/>
  <c r="I225" i="27" a="1"/>
  <c r="I225" i="27" s="1"/>
  <c r="C226" i="27" a="1"/>
  <c r="C226" i="27" s="1"/>
  <c r="D226" i="27" a="1"/>
  <c r="D226" i="27" s="1"/>
  <c r="E226" i="27" s="1"/>
  <c r="F226" i="27" a="1"/>
  <c r="F226" i="27" s="1"/>
  <c r="G226" i="27" a="1"/>
  <c r="G226" i="27" s="1"/>
  <c r="H226" i="27" a="1"/>
  <c r="H226" i="27" s="1"/>
  <c r="I226" i="27" a="1"/>
  <c r="I226" i="27" s="1"/>
  <c r="C227" i="27" a="1"/>
  <c r="C227" i="27" s="1"/>
  <c r="D227" i="27" a="1"/>
  <c r="D227" i="27" s="1"/>
  <c r="E227" i="27" s="1"/>
  <c r="F227" i="27" a="1"/>
  <c r="F227" i="27" s="1"/>
  <c r="G227" i="27" a="1"/>
  <c r="G227" i="27" s="1"/>
  <c r="H227" i="27" a="1"/>
  <c r="H227" i="27" s="1"/>
  <c r="I227" i="27" a="1"/>
  <c r="I227" i="27" s="1"/>
  <c r="C228" i="27" a="1"/>
  <c r="C228" i="27" s="1"/>
  <c r="D228" i="27" a="1"/>
  <c r="D228" i="27" s="1"/>
  <c r="E228" i="27" s="1"/>
  <c r="F228" i="27" a="1"/>
  <c r="F228" i="27" s="1"/>
  <c r="G228" i="27" a="1"/>
  <c r="G228" i="27" s="1"/>
  <c r="H228" i="27" a="1"/>
  <c r="H228" i="27" s="1"/>
  <c r="I228" i="27" a="1"/>
  <c r="I228" i="27" s="1"/>
  <c r="C229" i="27" a="1"/>
  <c r="C229" i="27" s="1"/>
  <c r="D229" i="27" a="1"/>
  <c r="D229" i="27" s="1"/>
  <c r="E229" i="27" s="1"/>
  <c r="F229" i="27" a="1"/>
  <c r="F229" i="27" s="1"/>
  <c r="G229" i="27" a="1"/>
  <c r="G229" i="27" s="1"/>
  <c r="H229" i="27" a="1"/>
  <c r="H229" i="27" s="1"/>
  <c r="I229" i="27" a="1"/>
  <c r="I229" i="27" s="1"/>
  <c r="C230" i="27" a="1"/>
  <c r="C230" i="27" s="1"/>
  <c r="D230" i="27" a="1"/>
  <c r="D230" i="27" s="1"/>
  <c r="E230" i="27" s="1"/>
  <c r="F230" i="27" a="1"/>
  <c r="F230" i="27" s="1"/>
  <c r="G230" i="27" a="1"/>
  <c r="G230" i="27" s="1"/>
  <c r="H230" i="27" a="1"/>
  <c r="H230" i="27" s="1"/>
  <c r="I230" i="27" a="1"/>
  <c r="I230" i="27" s="1"/>
  <c r="C231" i="27" a="1"/>
  <c r="C231" i="27" s="1"/>
  <c r="D231" i="27" a="1"/>
  <c r="D231" i="27" s="1"/>
  <c r="E231" i="27" s="1"/>
  <c r="J231" i="27" s="1"/>
  <c r="F231" i="27" a="1"/>
  <c r="F231" i="27" s="1"/>
  <c r="G231" i="27" a="1"/>
  <c r="G231" i="27" s="1"/>
  <c r="H231" i="27" a="1"/>
  <c r="H231" i="27" s="1"/>
  <c r="I231" i="27" a="1"/>
  <c r="I231" i="27" s="1"/>
  <c r="C232" i="27" a="1"/>
  <c r="C232" i="27" s="1"/>
  <c r="D232" i="27" a="1"/>
  <c r="D232" i="27" s="1"/>
  <c r="E232" i="27" s="1"/>
  <c r="F232" i="27" a="1"/>
  <c r="F232" i="27" s="1"/>
  <c r="G232" i="27" a="1"/>
  <c r="G232" i="27" s="1"/>
  <c r="H232" i="27" a="1"/>
  <c r="H232" i="27" s="1"/>
  <c r="I232" i="27" a="1"/>
  <c r="I232" i="27" s="1"/>
  <c r="C233" i="27" a="1"/>
  <c r="C233" i="27" s="1"/>
  <c r="D233" i="27" a="1"/>
  <c r="D233" i="27" s="1"/>
  <c r="E233" i="27" s="1"/>
  <c r="F233" i="27" a="1"/>
  <c r="F233" i="27" s="1"/>
  <c r="G233" i="27" a="1"/>
  <c r="G233" i="27" s="1"/>
  <c r="H233" i="27" a="1"/>
  <c r="H233" i="27" s="1"/>
  <c r="I233" i="27" a="1"/>
  <c r="I233" i="27" s="1"/>
  <c r="K231" i="27"/>
  <c r="J216" i="27"/>
  <c r="K217" i="27"/>
  <c r="J217" i="27"/>
  <c r="J232" i="27"/>
  <c r="K233" i="27"/>
  <c r="J233" i="27"/>
  <c r="K201" i="27"/>
  <c r="J201" i="27"/>
  <c r="K202" i="27"/>
  <c r="J202" i="27"/>
  <c r="K203" i="27"/>
  <c r="J203" i="27"/>
  <c r="K204" i="27"/>
  <c r="J204" i="27"/>
  <c r="K205" i="27"/>
  <c r="J205" i="27"/>
  <c r="K206" i="27"/>
  <c r="J206" i="27"/>
  <c r="K207" i="27"/>
  <c r="J207" i="27"/>
  <c r="K208" i="27"/>
  <c r="J208" i="27"/>
  <c r="J209" i="27"/>
  <c r="J210" i="27"/>
  <c r="J211" i="27"/>
  <c r="J212" i="27"/>
  <c r="J213" i="27"/>
  <c r="K214" i="27"/>
  <c r="J214" i="27"/>
  <c r="J215" i="27"/>
  <c r="K220" i="27"/>
  <c r="J220" i="27"/>
  <c r="J221" i="27"/>
  <c r="K222" i="27"/>
  <c r="J222" i="27"/>
  <c r="J223" i="27"/>
  <c r="K224" i="27"/>
  <c r="J224" i="27"/>
  <c r="K225" i="27"/>
  <c r="J225" i="27"/>
  <c r="K226" i="27"/>
  <c r="J226" i="27"/>
  <c r="J227" i="27"/>
  <c r="K228" i="27"/>
  <c r="J228" i="27"/>
  <c r="J229" i="27"/>
  <c r="K230" i="27"/>
  <c r="J230" i="27"/>
  <c r="H84" i="37"/>
  <c r="I181" i="19" a="1"/>
  <c r="I181" i="19" s="1"/>
  <c r="H181" i="19" a="1"/>
  <c r="H181" i="19" s="1"/>
  <c r="D181" i="19" a="1"/>
  <c r="D181" i="19" s="1"/>
  <c r="F181" i="19" s="1"/>
  <c r="B181" i="19" a="1"/>
  <c r="B181" i="19" s="1"/>
  <c r="J181" i="19" a="1"/>
  <c r="J181" i="19" s="1"/>
  <c r="E181" i="19" a="1"/>
  <c r="E181" i="19" s="1"/>
  <c r="C181" i="19" a="1"/>
  <c r="C181" i="19" s="1"/>
  <c r="G181" i="19" s="1" a="1"/>
  <c r="G181" i="19" s="1"/>
  <c r="D16" i="16"/>
  <c r="D15" i="16"/>
  <c r="F15" i="16"/>
  <c r="I200" i="27" a="1"/>
  <c r="I200" i="27" s="1"/>
  <c r="H200" i="27" a="1"/>
  <c r="H200" i="27" s="1"/>
  <c r="G200" i="27" a="1"/>
  <c r="G200" i="27" s="1"/>
  <c r="F200" i="27" a="1"/>
  <c r="F200" i="27" s="1"/>
  <c r="D200" i="27" a="1"/>
  <c r="D200" i="27" s="1"/>
  <c r="E200" i="27" s="1"/>
  <c r="C200" i="27" a="1"/>
  <c r="C200" i="27" s="1"/>
  <c r="I199" i="27" a="1"/>
  <c r="I199" i="27" s="1"/>
  <c r="H199" i="27" a="1"/>
  <c r="H199" i="27" s="1"/>
  <c r="G199" i="27" a="1"/>
  <c r="G199" i="27" s="1"/>
  <c r="F199" i="27" a="1"/>
  <c r="F199" i="27" s="1"/>
  <c r="D199" i="27" a="1"/>
  <c r="D199" i="27" s="1"/>
  <c r="E199" i="27" s="1"/>
  <c r="C199" i="27" a="1"/>
  <c r="C199" i="27" s="1"/>
  <c r="I198" i="27" a="1"/>
  <c r="I198" i="27" s="1"/>
  <c r="H198" i="27" a="1"/>
  <c r="H198" i="27" s="1"/>
  <c r="G198" i="27" a="1"/>
  <c r="G198" i="27" s="1"/>
  <c r="F198" i="27" a="1"/>
  <c r="F198" i="27" s="1"/>
  <c r="D198" i="27" a="1"/>
  <c r="D198" i="27" s="1"/>
  <c r="E198" i="27" s="1"/>
  <c r="C198" i="27" a="1"/>
  <c r="C198" i="27" s="1"/>
  <c r="I197" i="27" a="1"/>
  <c r="I197" i="27" s="1"/>
  <c r="H197" i="27" a="1"/>
  <c r="H197" i="27" s="1"/>
  <c r="G197" i="27" a="1"/>
  <c r="G197" i="27" s="1"/>
  <c r="F197" i="27" a="1"/>
  <c r="F197" i="27" s="1"/>
  <c r="D197" i="27" a="1"/>
  <c r="D197" i="27" s="1"/>
  <c r="E197" i="27" s="1"/>
  <c r="C197" i="27" a="1"/>
  <c r="C197" i="27" s="1"/>
  <c r="I196" i="27" a="1"/>
  <c r="I196" i="27" s="1"/>
  <c r="H196" i="27" a="1"/>
  <c r="H196" i="27" s="1"/>
  <c r="G196" i="27" a="1"/>
  <c r="G196" i="27" s="1"/>
  <c r="F196" i="27" a="1"/>
  <c r="F196" i="27" s="1"/>
  <c r="D196" i="27" a="1"/>
  <c r="D196" i="27" s="1"/>
  <c r="E196" i="27" s="1"/>
  <c r="C196" i="27" a="1"/>
  <c r="C196" i="27" s="1"/>
  <c r="I195" i="27" a="1"/>
  <c r="I195" i="27" s="1"/>
  <c r="H195" i="27" a="1"/>
  <c r="H195" i="27" s="1"/>
  <c r="G195" i="27" a="1"/>
  <c r="G195" i="27" s="1"/>
  <c r="F195" i="27" a="1"/>
  <c r="F195" i="27" s="1"/>
  <c r="D195" i="27" a="1"/>
  <c r="D195" i="27" s="1"/>
  <c r="E195" i="27" s="1"/>
  <c r="C195" i="27" a="1"/>
  <c r="C195" i="27" s="1"/>
  <c r="I194" i="27" a="1"/>
  <c r="I194" i="27" s="1"/>
  <c r="H194" i="27" a="1"/>
  <c r="H194" i="27" s="1"/>
  <c r="G194" i="27" a="1"/>
  <c r="G194" i="27" s="1"/>
  <c r="F194" i="27" a="1"/>
  <c r="F194" i="27" s="1"/>
  <c r="D194" i="27" a="1"/>
  <c r="D194" i="27" s="1"/>
  <c r="E194" i="27" s="1"/>
  <c r="C194" i="27" a="1"/>
  <c r="C194" i="27" s="1"/>
  <c r="I193" i="27" a="1"/>
  <c r="I193" i="27" s="1"/>
  <c r="H193" i="27" a="1"/>
  <c r="H193" i="27" s="1"/>
  <c r="G193" i="27" a="1"/>
  <c r="G193" i="27" s="1"/>
  <c r="F193" i="27" a="1"/>
  <c r="F193" i="27" s="1"/>
  <c r="D193" i="27" a="1"/>
  <c r="D193" i="27" s="1"/>
  <c r="E193" i="27" s="1"/>
  <c r="C193" i="27" a="1"/>
  <c r="C193" i="27" s="1"/>
  <c r="I192" i="27" a="1"/>
  <c r="I192" i="27" s="1"/>
  <c r="H192" i="27" a="1"/>
  <c r="H192" i="27" s="1"/>
  <c r="G192" i="27" a="1"/>
  <c r="G192" i="27" s="1"/>
  <c r="F192" i="27" a="1"/>
  <c r="F192" i="27" s="1"/>
  <c r="D192" i="27" a="1"/>
  <c r="D192" i="27" s="1"/>
  <c r="E192" i="27" s="1"/>
  <c r="C192" i="27" a="1"/>
  <c r="C192" i="27" s="1"/>
  <c r="I191" i="27" a="1"/>
  <c r="I191" i="27" s="1"/>
  <c r="H191" i="27" a="1"/>
  <c r="H191" i="27" s="1"/>
  <c r="G191" i="27" a="1"/>
  <c r="G191" i="27" s="1"/>
  <c r="F191" i="27" a="1"/>
  <c r="F191" i="27" s="1"/>
  <c r="D191" i="27" a="1"/>
  <c r="D191" i="27" s="1"/>
  <c r="E191" i="27" s="1"/>
  <c r="C191" i="27" a="1"/>
  <c r="C191" i="27" s="1"/>
  <c r="I190" i="27" a="1"/>
  <c r="I190" i="27" s="1"/>
  <c r="H190" i="27" a="1"/>
  <c r="H190" i="27" s="1"/>
  <c r="G190" i="27" a="1"/>
  <c r="G190" i="27" s="1"/>
  <c r="F190" i="27" a="1"/>
  <c r="F190" i="27" s="1"/>
  <c r="D190" i="27" a="1"/>
  <c r="D190" i="27" s="1"/>
  <c r="E190" i="27" s="1"/>
  <c r="C190" i="27" a="1"/>
  <c r="C190" i="27" s="1"/>
  <c r="I189" i="27" a="1"/>
  <c r="I189" i="27" s="1"/>
  <c r="H189" i="27" a="1"/>
  <c r="H189" i="27" s="1"/>
  <c r="G189" i="27" a="1"/>
  <c r="G189" i="27" s="1"/>
  <c r="F189" i="27" a="1"/>
  <c r="F189" i="27" s="1"/>
  <c r="D189" i="27" a="1"/>
  <c r="D189" i="27" s="1"/>
  <c r="E189" i="27" s="1"/>
  <c r="J189" i="27" s="1"/>
  <c r="C189" i="27" a="1"/>
  <c r="C189" i="27" s="1"/>
  <c r="I188" i="27" a="1"/>
  <c r="I188" i="27" s="1"/>
  <c r="H188" i="27" a="1"/>
  <c r="H188" i="27" s="1"/>
  <c r="G188" i="27" a="1"/>
  <c r="G188" i="27" s="1"/>
  <c r="F188" i="27" a="1"/>
  <c r="F188" i="27" s="1"/>
  <c r="D188" i="27" a="1"/>
  <c r="D188" i="27" s="1"/>
  <c r="E188" i="27" s="1"/>
  <c r="J188" i="27" s="1"/>
  <c r="C188" i="27" a="1"/>
  <c r="C188" i="27" s="1"/>
  <c r="I187" i="27" a="1"/>
  <c r="I187" i="27" s="1"/>
  <c r="H187" i="27" a="1"/>
  <c r="H187" i="27" s="1"/>
  <c r="G187" i="27" a="1"/>
  <c r="G187" i="27" s="1"/>
  <c r="F187" i="27" a="1"/>
  <c r="F187" i="27" s="1"/>
  <c r="D187" i="27" a="1"/>
  <c r="D187" i="27" s="1"/>
  <c r="E187" i="27" s="1"/>
  <c r="J187" i="27" s="1"/>
  <c r="C187" i="27" a="1"/>
  <c r="C187" i="27" s="1"/>
  <c r="I186" i="27" a="1"/>
  <c r="I186" i="27" s="1"/>
  <c r="H186" i="27" a="1"/>
  <c r="H186" i="27" s="1"/>
  <c r="G186" i="27" a="1"/>
  <c r="G186" i="27" s="1"/>
  <c r="F186" i="27" a="1"/>
  <c r="F186" i="27" s="1"/>
  <c r="D186" i="27" a="1"/>
  <c r="D186" i="27" s="1"/>
  <c r="E186" i="27" s="1"/>
  <c r="J186" i="27" s="1"/>
  <c r="C186" i="27" a="1"/>
  <c r="C186" i="27" s="1"/>
  <c r="I185" i="27" a="1"/>
  <c r="I185" i="27" s="1"/>
  <c r="H185" i="27" a="1"/>
  <c r="H185" i="27" s="1"/>
  <c r="G185" i="27" a="1"/>
  <c r="G185" i="27" s="1"/>
  <c r="F185" i="27" a="1"/>
  <c r="F185" i="27" s="1"/>
  <c r="D185" i="27" a="1"/>
  <c r="D185" i="27" s="1"/>
  <c r="E185" i="27" s="1"/>
  <c r="J185" i="27" s="1"/>
  <c r="C185" i="27" a="1"/>
  <c r="C185" i="27" s="1"/>
  <c r="I184" i="27" a="1"/>
  <c r="I184" i="27" s="1"/>
  <c r="H184" i="27" a="1"/>
  <c r="H184" i="27" s="1"/>
  <c r="G184" i="27" a="1"/>
  <c r="G184" i="27" s="1"/>
  <c r="F184" i="27" a="1"/>
  <c r="F184" i="27" s="1"/>
  <c r="D184" i="27" a="1"/>
  <c r="D184" i="27" s="1"/>
  <c r="E184" i="27" s="1"/>
  <c r="J184" i="27" s="1"/>
  <c r="C184" i="27" a="1"/>
  <c r="C184" i="27" s="1"/>
  <c r="I183" i="27" a="1"/>
  <c r="I183" i="27" s="1"/>
  <c r="H183" i="27" a="1"/>
  <c r="H183" i="27" s="1"/>
  <c r="G183" i="27" a="1"/>
  <c r="G183" i="27" s="1"/>
  <c r="F183" i="27" a="1"/>
  <c r="F183" i="27" s="1"/>
  <c r="D183" i="27" a="1"/>
  <c r="D183" i="27" s="1"/>
  <c r="E183" i="27" s="1"/>
  <c r="J183" i="27" s="1"/>
  <c r="C183" i="27" a="1"/>
  <c r="C183" i="27" s="1"/>
  <c r="I182" i="27" a="1"/>
  <c r="I182" i="27" s="1"/>
  <c r="H182" i="27" a="1"/>
  <c r="H182" i="27" s="1"/>
  <c r="G182" i="27" a="1"/>
  <c r="G182" i="27" s="1"/>
  <c r="F182" i="27" a="1"/>
  <c r="F182" i="27" s="1"/>
  <c r="D182" i="27" a="1"/>
  <c r="D182" i="27" s="1"/>
  <c r="E182" i="27" s="1"/>
  <c r="J182" i="27" s="1"/>
  <c r="C182" i="27" a="1"/>
  <c r="C182" i="27" s="1"/>
  <c r="I181" i="27" a="1"/>
  <c r="I181" i="27" s="1"/>
  <c r="H181" i="27" a="1"/>
  <c r="H181" i="27" s="1"/>
  <c r="G181" i="27" a="1"/>
  <c r="G181" i="27" s="1"/>
  <c r="F181" i="27" a="1"/>
  <c r="F181" i="27" s="1"/>
  <c r="D181" i="27" a="1"/>
  <c r="D181" i="27" s="1"/>
  <c r="E181" i="27" s="1"/>
  <c r="J181" i="27" s="1"/>
  <c r="C181" i="27" a="1"/>
  <c r="C181" i="27" s="1"/>
  <c r="I180" i="27" a="1"/>
  <c r="I180" i="27" s="1"/>
  <c r="H180" i="27" a="1"/>
  <c r="H180" i="27" s="1"/>
  <c r="G180" i="27" a="1"/>
  <c r="G180" i="27" s="1"/>
  <c r="F180" i="27" a="1"/>
  <c r="F180" i="27" s="1"/>
  <c r="D180" i="27" a="1"/>
  <c r="D180" i="27" s="1"/>
  <c r="E180" i="27" s="1"/>
  <c r="J180" i="27" s="1"/>
  <c r="C180" i="27" a="1"/>
  <c r="C180" i="27" s="1"/>
  <c r="I179" i="27" a="1"/>
  <c r="I179" i="27" s="1"/>
  <c r="H179" i="27" a="1"/>
  <c r="H179" i="27" s="1"/>
  <c r="G179" i="27" a="1"/>
  <c r="G179" i="27" s="1"/>
  <c r="F179" i="27" a="1"/>
  <c r="F179" i="27" s="1"/>
  <c r="D179" i="27" a="1"/>
  <c r="D179" i="27" s="1"/>
  <c r="E179" i="27" s="1"/>
  <c r="J179" i="27" s="1"/>
  <c r="C179" i="27" a="1"/>
  <c r="C179" i="27" s="1"/>
  <c r="I178" i="27" a="1"/>
  <c r="I178" i="27" s="1"/>
  <c r="H178" i="27" a="1"/>
  <c r="H178" i="27" s="1"/>
  <c r="G178" i="27" a="1"/>
  <c r="G178" i="27" s="1"/>
  <c r="F178" i="27" a="1"/>
  <c r="F178" i="27" s="1"/>
  <c r="D178" i="27" a="1"/>
  <c r="D178" i="27" s="1"/>
  <c r="E178" i="27" s="1"/>
  <c r="J178" i="27" s="1"/>
  <c r="C178" i="27" a="1"/>
  <c r="C178" i="27" s="1"/>
  <c r="I177" i="27" a="1"/>
  <c r="I177" i="27" s="1"/>
  <c r="H177" i="27" a="1"/>
  <c r="H177" i="27" s="1"/>
  <c r="G177" i="27" a="1"/>
  <c r="G177" i="27" s="1"/>
  <c r="F177" i="27" a="1"/>
  <c r="F177" i="27" s="1"/>
  <c r="D177" i="27" a="1"/>
  <c r="D177" i="27" s="1"/>
  <c r="E177" i="27" s="1"/>
  <c r="J177" i="27" s="1"/>
  <c r="C177" i="27" a="1"/>
  <c r="C177" i="27" s="1"/>
  <c r="I176" i="27" a="1"/>
  <c r="I176" i="27" s="1"/>
  <c r="H176" i="27" a="1"/>
  <c r="H176" i="27" s="1"/>
  <c r="G176" i="27" a="1"/>
  <c r="G176" i="27" s="1"/>
  <c r="F176" i="27" a="1"/>
  <c r="F176" i="27" s="1"/>
  <c r="D176" i="27" a="1"/>
  <c r="D176" i="27" s="1"/>
  <c r="E176" i="27" s="1"/>
  <c r="J176" i="27" s="1"/>
  <c r="C176" i="27" a="1"/>
  <c r="C176" i="27" s="1"/>
  <c r="I175" i="27" a="1"/>
  <c r="I175" i="27" s="1"/>
  <c r="H175" i="27" a="1"/>
  <c r="H175" i="27" s="1"/>
  <c r="G175" i="27" a="1"/>
  <c r="G175" i="27" s="1"/>
  <c r="F175" i="27" a="1"/>
  <c r="F175" i="27" s="1"/>
  <c r="D175" i="27" a="1"/>
  <c r="D175" i="27" s="1"/>
  <c r="E175" i="27" s="1"/>
  <c r="J175" i="27" s="1"/>
  <c r="C175" i="27" a="1"/>
  <c r="C175" i="27" s="1"/>
  <c r="I174" i="27" a="1"/>
  <c r="I174" i="27" s="1"/>
  <c r="H174" i="27" a="1"/>
  <c r="H174" i="27" s="1"/>
  <c r="G174" i="27" a="1"/>
  <c r="G174" i="27" s="1"/>
  <c r="F174" i="27" a="1"/>
  <c r="F174" i="27" s="1"/>
  <c r="D174" i="27" a="1"/>
  <c r="D174" i="27" s="1"/>
  <c r="E174" i="27" s="1"/>
  <c r="J174" i="27" s="1"/>
  <c r="C174" i="27" a="1"/>
  <c r="C174" i="27" s="1"/>
  <c r="I173" i="27" a="1"/>
  <c r="I173" i="27" s="1"/>
  <c r="H173" i="27" a="1"/>
  <c r="H173" i="27" s="1"/>
  <c r="G173" i="27" a="1"/>
  <c r="G173" i="27" s="1"/>
  <c r="F173" i="27" a="1"/>
  <c r="F173" i="27" s="1"/>
  <c r="D173" i="27" a="1"/>
  <c r="D173" i="27" s="1"/>
  <c r="E173" i="27" s="1"/>
  <c r="J173" i="27" s="1"/>
  <c r="C173" i="27" a="1"/>
  <c r="C173" i="27" s="1"/>
  <c r="I172" i="27" a="1"/>
  <c r="I172" i="27" s="1"/>
  <c r="H172" i="27" a="1"/>
  <c r="H172" i="27" s="1"/>
  <c r="G172" i="27" a="1"/>
  <c r="G172" i="27" s="1"/>
  <c r="F172" i="27" a="1"/>
  <c r="F172" i="27" s="1"/>
  <c r="D172" i="27" a="1"/>
  <c r="D172" i="27" s="1"/>
  <c r="E172" i="27" s="1"/>
  <c r="J172" i="27" s="1"/>
  <c r="C172" i="27" a="1"/>
  <c r="C172" i="27" s="1"/>
  <c r="I171" i="27" a="1"/>
  <c r="I171" i="27" s="1"/>
  <c r="H171" i="27" a="1"/>
  <c r="H171" i="27" s="1"/>
  <c r="G171" i="27" a="1"/>
  <c r="G171" i="27" s="1"/>
  <c r="F171" i="27" a="1"/>
  <c r="F171" i="27" s="1"/>
  <c r="D171" i="27" a="1"/>
  <c r="D171" i="27" s="1"/>
  <c r="E171" i="27" s="1"/>
  <c r="J171" i="27" s="1"/>
  <c r="C171" i="27" a="1"/>
  <c r="C171" i="27" s="1"/>
  <c r="I170" i="27" a="1"/>
  <c r="I170" i="27" s="1"/>
  <c r="H170" i="27" a="1"/>
  <c r="H170" i="27" s="1"/>
  <c r="G170" i="27" a="1"/>
  <c r="G170" i="27" s="1"/>
  <c r="F170" i="27" a="1"/>
  <c r="F170" i="27" s="1"/>
  <c r="D170" i="27" a="1"/>
  <c r="D170" i="27" s="1"/>
  <c r="E170" i="27" s="1"/>
  <c r="J170" i="27" s="1"/>
  <c r="C170" i="27" a="1"/>
  <c r="C170" i="27" s="1"/>
  <c r="I169" i="27" a="1"/>
  <c r="I169" i="27" s="1"/>
  <c r="H169" i="27" a="1"/>
  <c r="H169" i="27" s="1"/>
  <c r="C67" i="27" a="1"/>
  <c r="C67" i="27" s="1"/>
  <c r="G169" i="27" a="1"/>
  <c r="G169" i="27" s="1"/>
  <c r="F169" i="27" a="1"/>
  <c r="F169" i="27" s="1"/>
  <c r="D169" i="27" a="1"/>
  <c r="D169" i="27" s="1"/>
  <c r="E169" i="27" s="1"/>
  <c r="C169" i="27" a="1"/>
  <c r="C169" i="27" s="1"/>
  <c r="I168" i="27" a="1"/>
  <c r="I168" i="27" s="1"/>
  <c r="H168" i="27" a="1"/>
  <c r="H168" i="27" s="1"/>
  <c r="G168" i="27" a="1"/>
  <c r="G168" i="27" s="1"/>
  <c r="F168" i="27" a="1"/>
  <c r="F168" i="27" s="1"/>
  <c r="D168" i="27" a="1"/>
  <c r="D168" i="27" s="1"/>
  <c r="E168" i="27" s="1"/>
  <c r="J168" i="27" s="1"/>
  <c r="C168" i="27" a="1"/>
  <c r="C168" i="27" s="1"/>
  <c r="I167" i="27" a="1"/>
  <c r="I167" i="27" s="1"/>
  <c r="H167" i="27" a="1"/>
  <c r="H167" i="27" s="1"/>
  <c r="G167" i="27" a="1"/>
  <c r="G167" i="27" s="1"/>
  <c r="F167" i="27" a="1"/>
  <c r="F167" i="27" s="1"/>
  <c r="D167" i="27" a="1"/>
  <c r="D167" i="27" s="1"/>
  <c r="E167" i="27" s="1"/>
  <c r="J167" i="27" s="1"/>
  <c r="C167" i="27" a="1"/>
  <c r="C167" i="27" s="1"/>
  <c r="I166" i="27" a="1"/>
  <c r="I166" i="27" s="1"/>
  <c r="H166" i="27" a="1"/>
  <c r="H166" i="27" s="1"/>
  <c r="G166" i="27" a="1"/>
  <c r="G166" i="27" s="1"/>
  <c r="F166" i="27" a="1"/>
  <c r="F166" i="27" s="1"/>
  <c r="D166" i="27" a="1"/>
  <c r="D166" i="27" s="1"/>
  <c r="E166" i="27" s="1"/>
  <c r="C166" i="27" a="1"/>
  <c r="C166" i="27" s="1"/>
  <c r="I165" i="27" a="1"/>
  <c r="I165" i="27" s="1"/>
  <c r="H165" i="27" a="1"/>
  <c r="H165" i="27" s="1"/>
  <c r="G165" i="27" a="1"/>
  <c r="G165" i="27" s="1"/>
  <c r="F165" i="27" a="1"/>
  <c r="F165" i="27" s="1"/>
  <c r="D165" i="27" a="1"/>
  <c r="D165" i="27" s="1"/>
  <c r="E165" i="27" s="1"/>
  <c r="J165" i="27" s="1"/>
  <c r="C165" i="27" a="1"/>
  <c r="C165" i="27" s="1"/>
  <c r="I164" i="27" a="1"/>
  <c r="I164" i="27" s="1"/>
  <c r="H164" i="27" a="1"/>
  <c r="H164" i="27" s="1"/>
  <c r="G164" i="27" a="1"/>
  <c r="G164" i="27" s="1"/>
  <c r="F164" i="27" a="1"/>
  <c r="F164" i="27" s="1"/>
  <c r="D164" i="27" a="1"/>
  <c r="D164" i="27" s="1"/>
  <c r="E164" i="27" s="1"/>
  <c r="J164" i="27" s="1"/>
  <c r="C164" i="27" a="1"/>
  <c r="C164" i="27" s="1"/>
  <c r="I163" i="27" a="1"/>
  <c r="I163" i="27" s="1"/>
  <c r="H163" i="27" a="1"/>
  <c r="H163" i="27" s="1"/>
  <c r="G163" i="27" a="1"/>
  <c r="G163" i="27" s="1"/>
  <c r="F163" i="27" a="1"/>
  <c r="F163" i="27" s="1"/>
  <c r="D163" i="27" a="1"/>
  <c r="D163" i="27" s="1"/>
  <c r="E163" i="27" s="1"/>
  <c r="J163" i="27" s="1"/>
  <c r="C163" i="27" a="1"/>
  <c r="C163" i="27" s="1"/>
  <c r="I162" i="27" a="1"/>
  <c r="I162" i="27" s="1"/>
  <c r="H162" i="27" a="1"/>
  <c r="H162" i="27" s="1"/>
  <c r="G162" i="27" a="1"/>
  <c r="G162" i="27" s="1"/>
  <c r="F162" i="27" a="1"/>
  <c r="F162" i="27" s="1"/>
  <c r="D162" i="27" a="1"/>
  <c r="D162" i="27" s="1"/>
  <c r="E162" i="27" s="1"/>
  <c r="C162" i="27" a="1"/>
  <c r="C162" i="27" s="1"/>
  <c r="I161" i="27" a="1"/>
  <c r="I161" i="27" s="1"/>
  <c r="H161" i="27" a="1"/>
  <c r="H161" i="27" s="1"/>
  <c r="G161" i="27" a="1"/>
  <c r="G161" i="27" s="1"/>
  <c r="F161" i="27" a="1"/>
  <c r="F161" i="27" s="1"/>
  <c r="D161" i="27" a="1"/>
  <c r="D161" i="27" s="1"/>
  <c r="E161" i="27" s="1"/>
  <c r="J161" i="27" s="1"/>
  <c r="C161" i="27" a="1"/>
  <c r="C161" i="27" s="1"/>
  <c r="I160" i="27" a="1"/>
  <c r="I160" i="27" s="1"/>
  <c r="H160" i="27" a="1"/>
  <c r="H160" i="27" s="1"/>
  <c r="G160" i="27" a="1"/>
  <c r="G160" i="27" s="1"/>
  <c r="F160" i="27" a="1"/>
  <c r="F160" i="27" s="1"/>
  <c r="D160" i="27" a="1"/>
  <c r="D160" i="27" s="1"/>
  <c r="E160" i="27" s="1"/>
  <c r="C160" i="27" a="1"/>
  <c r="C160" i="27" s="1"/>
  <c r="I159" i="27" a="1"/>
  <c r="I159" i="27" s="1"/>
  <c r="H159" i="27" a="1"/>
  <c r="H159" i="27" s="1"/>
  <c r="G159" i="27" a="1"/>
  <c r="G159" i="27" s="1"/>
  <c r="F159" i="27" a="1"/>
  <c r="F159" i="27" s="1"/>
  <c r="D159" i="27" a="1"/>
  <c r="D159" i="27" s="1"/>
  <c r="E159" i="27" s="1"/>
  <c r="J159" i="27" s="1"/>
  <c r="C159" i="27" a="1"/>
  <c r="C159" i="27" s="1"/>
  <c r="I158" i="27" a="1"/>
  <c r="I158" i="27" s="1"/>
  <c r="H158" i="27" a="1"/>
  <c r="H158" i="27" s="1"/>
  <c r="G158" i="27" a="1"/>
  <c r="G158" i="27" s="1"/>
  <c r="F158" i="27" a="1"/>
  <c r="F158" i="27" s="1"/>
  <c r="D158" i="27" a="1"/>
  <c r="D158" i="27" s="1"/>
  <c r="E158" i="27" s="1"/>
  <c r="C158" i="27" a="1"/>
  <c r="C158" i="27" s="1"/>
  <c r="I157" i="27" a="1"/>
  <c r="I157" i="27" s="1"/>
  <c r="H157" i="27" a="1"/>
  <c r="H157" i="27" s="1"/>
  <c r="G157" i="27" a="1"/>
  <c r="G157" i="27" s="1"/>
  <c r="F157" i="27" a="1"/>
  <c r="F157" i="27" s="1"/>
  <c r="D157" i="27" a="1"/>
  <c r="D157" i="27" s="1"/>
  <c r="E157" i="27" s="1"/>
  <c r="C157" i="27" a="1"/>
  <c r="C157" i="27" s="1"/>
  <c r="I156" i="27" a="1"/>
  <c r="I156" i="27" s="1"/>
  <c r="H156" i="27" a="1"/>
  <c r="H156" i="27" s="1"/>
  <c r="G156" i="27" a="1"/>
  <c r="G156" i="27" s="1"/>
  <c r="F156" i="27" a="1"/>
  <c r="F156" i="27" s="1"/>
  <c r="D156" i="27" a="1"/>
  <c r="D156" i="27" s="1"/>
  <c r="E156" i="27" s="1"/>
  <c r="J156" i="27" s="1"/>
  <c r="C156" i="27" a="1"/>
  <c r="C156" i="27" s="1"/>
  <c r="I155" i="27" a="1"/>
  <c r="I155" i="27" s="1"/>
  <c r="H155" i="27" a="1"/>
  <c r="H155" i="27" s="1"/>
  <c r="G155" i="27" a="1"/>
  <c r="G155" i="27" s="1"/>
  <c r="F155" i="27" a="1"/>
  <c r="F155" i="27" s="1"/>
  <c r="D155" i="27" a="1"/>
  <c r="D155" i="27" s="1"/>
  <c r="E155" i="27" s="1"/>
  <c r="J155" i="27" s="1"/>
  <c r="C155" i="27" a="1"/>
  <c r="C155" i="27" s="1"/>
  <c r="I154" i="27" a="1"/>
  <c r="I154" i="27" s="1"/>
  <c r="H154" i="27" a="1"/>
  <c r="H154" i="27" s="1"/>
  <c r="G154" i="27" a="1"/>
  <c r="G154" i="27" s="1"/>
  <c r="F154" i="27" a="1"/>
  <c r="F154" i="27" s="1"/>
  <c r="D154" i="27" a="1"/>
  <c r="D154" i="27" s="1"/>
  <c r="E154" i="27" s="1"/>
  <c r="J154" i="27" s="1"/>
  <c r="C154" i="27" a="1"/>
  <c r="C154" i="27" s="1"/>
  <c r="I153" i="27" a="1"/>
  <c r="I153" i="27" s="1"/>
  <c r="H153" i="27" a="1"/>
  <c r="H153" i="27" s="1"/>
  <c r="G153" i="27" a="1"/>
  <c r="G153" i="27" s="1"/>
  <c r="F153" i="27" a="1"/>
  <c r="F153" i="27" s="1"/>
  <c r="D153" i="27" a="1"/>
  <c r="D153" i="27" s="1"/>
  <c r="E153" i="27" s="1"/>
  <c r="J153" i="27" s="1"/>
  <c r="C153" i="27" a="1"/>
  <c r="C153" i="27" s="1"/>
  <c r="I152" i="27" a="1"/>
  <c r="I152" i="27" s="1"/>
  <c r="H152" i="27" a="1"/>
  <c r="H152" i="27" s="1"/>
  <c r="G152" i="27" a="1"/>
  <c r="G152" i="27" s="1"/>
  <c r="F152" i="27" a="1"/>
  <c r="F152" i="27" s="1"/>
  <c r="D152" i="27" a="1"/>
  <c r="D152" i="27" s="1"/>
  <c r="E152" i="27" s="1"/>
  <c r="J152" i="27" s="1"/>
  <c r="C152" i="27" a="1"/>
  <c r="C152" i="27" s="1"/>
  <c r="I151" i="27" a="1"/>
  <c r="I151" i="27" s="1"/>
  <c r="H151" i="27" a="1"/>
  <c r="H151" i="27" s="1"/>
  <c r="G151" i="27" a="1"/>
  <c r="G151" i="27" s="1"/>
  <c r="F151" i="27" a="1"/>
  <c r="F151" i="27" s="1"/>
  <c r="D151" i="27" a="1"/>
  <c r="D151" i="27" s="1"/>
  <c r="E151" i="27" s="1"/>
  <c r="C151" i="27" a="1"/>
  <c r="C151" i="27" s="1"/>
  <c r="I150" i="27" a="1"/>
  <c r="I150" i="27" s="1"/>
  <c r="H150" i="27" a="1"/>
  <c r="H150" i="27" s="1"/>
  <c r="G150" i="27" a="1"/>
  <c r="G150" i="27" s="1"/>
  <c r="F150" i="27" a="1"/>
  <c r="F150" i="27" s="1"/>
  <c r="D150" i="27" a="1"/>
  <c r="D150" i="27" s="1"/>
  <c r="E150" i="27" s="1"/>
  <c r="C150" i="27" a="1"/>
  <c r="C150" i="27" s="1"/>
  <c r="I149" i="27" a="1"/>
  <c r="I149" i="27" s="1"/>
  <c r="H149" i="27" a="1"/>
  <c r="H149" i="27" s="1"/>
  <c r="G149" i="27" a="1"/>
  <c r="G149" i="27" s="1"/>
  <c r="F149" i="27" a="1"/>
  <c r="F149" i="27" s="1"/>
  <c r="D149" i="27" a="1"/>
  <c r="D149" i="27" s="1"/>
  <c r="E149" i="27" s="1"/>
  <c r="C149" i="27" a="1"/>
  <c r="C149" i="27" s="1"/>
  <c r="I148" i="27" a="1"/>
  <c r="I148" i="27" s="1"/>
  <c r="H148" i="27" a="1"/>
  <c r="H148" i="27" s="1"/>
  <c r="G148" i="27" a="1"/>
  <c r="G148" i="27" s="1"/>
  <c r="F148" i="27" a="1"/>
  <c r="F148" i="27" s="1"/>
  <c r="D148" i="27" a="1"/>
  <c r="D148" i="27" s="1"/>
  <c r="E148" i="27" s="1"/>
  <c r="C148" i="27" a="1"/>
  <c r="C148" i="27" s="1"/>
  <c r="I147" i="27" a="1"/>
  <c r="I147" i="27" s="1"/>
  <c r="H147" i="27" a="1"/>
  <c r="H147" i="27" s="1"/>
  <c r="G147" i="27" a="1"/>
  <c r="G147" i="27" s="1"/>
  <c r="F147" i="27" a="1"/>
  <c r="F147" i="27" s="1"/>
  <c r="D147" i="27" a="1"/>
  <c r="D147" i="27" s="1"/>
  <c r="E147" i="27" s="1"/>
  <c r="C147" i="27" a="1"/>
  <c r="C147" i="27" s="1"/>
  <c r="I146" i="27" a="1"/>
  <c r="I146" i="27" s="1"/>
  <c r="H146" i="27" a="1"/>
  <c r="H146" i="27" s="1"/>
  <c r="G146" i="27" a="1"/>
  <c r="G146" i="27" s="1"/>
  <c r="F146" i="27" a="1"/>
  <c r="F146" i="27" s="1"/>
  <c r="D146" i="27" a="1"/>
  <c r="D146" i="27" s="1"/>
  <c r="E146" i="27" s="1"/>
  <c r="C146" i="27" a="1"/>
  <c r="C146" i="27" s="1"/>
  <c r="I145" i="27" a="1"/>
  <c r="I145" i="27" s="1"/>
  <c r="H145" i="27" a="1"/>
  <c r="H145" i="27" s="1"/>
  <c r="G145" i="27" a="1"/>
  <c r="G145" i="27" s="1"/>
  <c r="F145" i="27" a="1"/>
  <c r="F145" i="27" s="1"/>
  <c r="D145" i="27" a="1"/>
  <c r="D145" i="27" s="1"/>
  <c r="E145" i="27" s="1"/>
  <c r="C145" i="27" a="1"/>
  <c r="C145" i="27" s="1"/>
  <c r="I144" i="27" a="1"/>
  <c r="I144" i="27" s="1"/>
  <c r="H144" i="27" a="1"/>
  <c r="H144" i="27" s="1"/>
  <c r="G144" i="27" a="1"/>
  <c r="G144" i="27" s="1"/>
  <c r="F144" i="27" a="1"/>
  <c r="F144" i="27" s="1"/>
  <c r="D144" i="27" a="1"/>
  <c r="D144" i="27" s="1"/>
  <c r="E144" i="27" s="1"/>
  <c r="C144" i="27" a="1"/>
  <c r="C144" i="27" s="1"/>
  <c r="I143" i="27" a="1"/>
  <c r="I143" i="27" s="1"/>
  <c r="H143" i="27" a="1"/>
  <c r="H143" i="27" s="1"/>
  <c r="G143" i="27" a="1"/>
  <c r="G143" i="27" s="1"/>
  <c r="F143" i="27" a="1"/>
  <c r="F143" i="27" s="1"/>
  <c r="D143" i="27" a="1"/>
  <c r="D143" i="27" s="1"/>
  <c r="E143" i="27" s="1"/>
  <c r="C143" i="27" a="1"/>
  <c r="C143" i="27" s="1"/>
  <c r="I142" i="27" a="1"/>
  <c r="I142" i="27" s="1"/>
  <c r="H142" i="27" a="1"/>
  <c r="H142" i="27" s="1"/>
  <c r="G142" i="27" a="1"/>
  <c r="G142" i="27" s="1"/>
  <c r="F142" i="27" a="1"/>
  <c r="F142" i="27" s="1"/>
  <c r="D142" i="27" a="1"/>
  <c r="D142" i="27" s="1"/>
  <c r="E142" i="27" s="1"/>
  <c r="C142" i="27" a="1"/>
  <c r="C142" i="27" s="1"/>
  <c r="I141" i="27" a="1"/>
  <c r="I141" i="27" s="1"/>
  <c r="H141" i="27" a="1"/>
  <c r="H141" i="27" s="1"/>
  <c r="G141" i="27" a="1"/>
  <c r="G141" i="27" s="1"/>
  <c r="F141" i="27" a="1"/>
  <c r="F141" i="27" s="1"/>
  <c r="D141" i="27" a="1"/>
  <c r="D141" i="27" s="1"/>
  <c r="E141" i="27" s="1"/>
  <c r="C141" i="27" a="1"/>
  <c r="C141" i="27" s="1"/>
  <c r="I140" i="27" a="1"/>
  <c r="I140" i="27" s="1"/>
  <c r="H140" i="27" a="1"/>
  <c r="H140" i="27" s="1"/>
  <c r="G140" i="27" a="1"/>
  <c r="G140" i="27" s="1"/>
  <c r="F140" i="27" a="1"/>
  <c r="F140" i="27" s="1"/>
  <c r="D140" i="27" a="1"/>
  <c r="D140" i="27" s="1"/>
  <c r="E140" i="27" s="1"/>
  <c r="J140" i="27" s="1"/>
  <c r="C140" i="27" a="1"/>
  <c r="C140" i="27" s="1"/>
  <c r="I139" i="27" a="1"/>
  <c r="I139" i="27" s="1"/>
  <c r="H139" i="27" a="1"/>
  <c r="H139" i="27" s="1"/>
  <c r="G139" i="27" a="1"/>
  <c r="G139" i="27" s="1"/>
  <c r="F139" i="27" a="1"/>
  <c r="F139" i="27" s="1"/>
  <c r="D139" i="27" a="1"/>
  <c r="D139" i="27" s="1"/>
  <c r="E139" i="27" s="1"/>
  <c r="C139" i="27" a="1"/>
  <c r="C139" i="27" s="1"/>
  <c r="I138" i="27" a="1"/>
  <c r="I138" i="27" s="1"/>
  <c r="H138" i="27" a="1"/>
  <c r="H138" i="27" s="1"/>
  <c r="G138" i="27" a="1"/>
  <c r="G138" i="27" s="1"/>
  <c r="F138" i="27" a="1"/>
  <c r="F138" i="27" s="1"/>
  <c r="D138" i="27" a="1"/>
  <c r="D138" i="27" s="1"/>
  <c r="E138" i="27" s="1"/>
  <c r="C138" i="27" a="1"/>
  <c r="C138" i="27" s="1"/>
  <c r="I137" i="27" a="1"/>
  <c r="I137" i="27" s="1"/>
  <c r="H137" i="27" a="1"/>
  <c r="H137" i="27" s="1"/>
  <c r="G137" i="27" a="1"/>
  <c r="G137" i="27" s="1"/>
  <c r="F137" i="27" a="1"/>
  <c r="F137" i="27" s="1"/>
  <c r="D137" i="27" a="1"/>
  <c r="D137" i="27" s="1"/>
  <c r="E137" i="27" s="1"/>
  <c r="C137" i="27" a="1"/>
  <c r="C137" i="27" s="1"/>
  <c r="I136" i="27" a="1"/>
  <c r="I136" i="27" s="1"/>
  <c r="H136" i="27" a="1"/>
  <c r="H136" i="27" s="1"/>
  <c r="G136" i="27" a="1"/>
  <c r="G136" i="27" s="1"/>
  <c r="F136" i="27" a="1"/>
  <c r="F136" i="27" s="1"/>
  <c r="D136" i="27" a="1"/>
  <c r="D136" i="27" s="1"/>
  <c r="E136" i="27" s="1"/>
  <c r="C136" i="27" a="1"/>
  <c r="C136" i="27" s="1"/>
  <c r="I135" i="27" a="1"/>
  <c r="I135" i="27" s="1"/>
  <c r="H135" i="27" a="1"/>
  <c r="H135" i="27" s="1"/>
  <c r="G135" i="27" a="1"/>
  <c r="G135" i="27" s="1"/>
  <c r="F135" i="27" a="1"/>
  <c r="F135" i="27" s="1"/>
  <c r="D135" i="27" a="1"/>
  <c r="D135" i="27" s="1"/>
  <c r="E135" i="27" s="1"/>
  <c r="J135" i="27" s="1"/>
  <c r="C135" i="27" a="1"/>
  <c r="C135" i="27" s="1"/>
  <c r="I134" i="27" a="1"/>
  <c r="I134" i="27" s="1"/>
  <c r="H134" i="27" a="1"/>
  <c r="H134" i="27" s="1"/>
  <c r="G134" i="27" a="1"/>
  <c r="G134" i="27" s="1"/>
  <c r="F134" i="27" a="1"/>
  <c r="F134" i="27" s="1"/>
  <c r="D134" i="27" a="1"/>
  <c r="D134" i="27" s="1"/>
  <c r="E134" i="27" s="1"/>
  <c r="J134" i="27" s="1"/>
  <c r="C134" i="27" a="1"/>
  <c r="C134" i="27" s="1"/>
  <c r="I133" i="27" a="1"/>
  <c r="I133" i="27" s="1"/>
  <c r="H133" i="27" a="1"/>
  <c r="H133" i="27" s="1"/>
  <c r="G133" i="27" a="1"/>
  <c r="G133" i="27" s="1"/>
  <c r="F133" i="27" a="1"/>
  <c r="F133" i="27" s="1"/>
  <c r="D133" i="27" a="1"/>
  <c r="D133" i="27" s="1"/>
  <c r="E133" i="27" s="1"/>
  <c r="C133" i="27" a="1"/>
  <c r="C133" i="27" s="1"/>
  <c r="I132" i="27" a="1"/>
  <c r="I132" i="27" s="1"/>
  <c r="H132" i="27" a="1"/>
  <c r="H132" i="27" s="1"/>
  <c r="G132" i="27" a="1"/>
  <c r="G132" i="27" s="1"/>
  <c r="F132" i="27" a="1"/>
  <c r="F132" i="27" s="1"/>
  <c r="D132" i="27" a="1"/>
  <c r="D132" i="27" s="1"/>
  <c r="E132" i="27" s="1"/>
  <c r="C132" i="27" a="1"/>
  <c r="C132" i="27" s="1"/>
  <c r="I131" i="27" a="1"/>
  <c r="I131" i="27" s="1"/>
  <c r="H131" i="27" a="1"/>
  <c r="H131" i="27" s="1"/>
  <c r="G131" i="27" a="1"/>
  <c r="G131" i="27" s="1"/>
  <c r="F131" i="27" a="1"/>
  <c r="F131" i="27" s="1"/>
  <c r="D131" i="27" a="1"/>
  <c r="D131" i="27" s="1"/>
  <c r="E131" i="27" s="1"/>
  <c r="C131" i="27" a="1"/>
  <c r="C131" i="27" s="1"/>
  <c r="I130" i="27" a="1"/>
  <c r="I130" i="27" s="1"/>
  <c r="H130" i="27" a="1"/>
  <c r="H130" i="27" s="1"/>
  <c r="G130" i="27" a="1"/>
  <c r="G130" i="27" s="1"/>
  <c r="F130" i="27" a="1"/>
  <c r="F130" i="27" s="1"/>
  <c r="D130" i="27" a="1"/>
  <c r="D130" i="27" s="1"/>
  <c r="E130" i="27" s="1"/>
  <c r="C130" i="27" a="1"/>
  <c r="C130" i="27" s="1"/>
  <c r="I129" i="27" a="1"/>
  <c r="I129" i="27" s="1"/>
  <c r="H129" i="27" a="1"/>
  <c r="H129" i="27" s="1"/>
  <c r="G129" i="27" a="1"/>
  <c r="G129" i="27" s="1"/>
  <c r="F129" i="27" a="1"/>
  <c r="F129" i="27" s="1"/>
  <c r="D129" i="27" a="1"/>
  <c r="D129" i="27" s="1"/>
  <c r="E129" i="27" s="1"/>
  <c r="C129" i="27" a="1"/>
  <c r="C129" i="27" s="1"/>
  <c r="I128" i="27" a="1"/>
  <c r="I128" i="27" s="1"/>
  <c r="H128" i="27" a="1"/>
  <c r="H128" i="27" s="1"/>
  <c r="G128" i="27" a="1"/>
  <c r="G128" i="27" s="1"/>
  <c r="F128" i="27" a="1"/>
  <c r="F128" i="27" s="1"/>
  <c r="D128" i="27" a="1"/>
  <c r="D128" i="27" s="1"/>
  <c r="E128" i="27" s="1"/>
  <c r="J128" i="27" s="1"/>
  <c r="C128" i="27" a="1"/>
  <c r="C128" i="27" s="1"/>
  <c r="I127" i="27" a="1"/>
  <c r="I127" i="27" s="1"/>
  <c r="H127" i="27" a="1"/>
  <c r="H127" i="27" s="1"/>
  <c r="G127" i="27" a="1"/>
  <c r="G127" i="27" s="1"/>
  <c r="F127" i="27" a="1"/>
  <c r="F127" i="27" s="1"/>
  <c r="D127" i="27" a="1"/>
  <c r="D127" i="27" s="1"/>
  <c r="E127" i="27" s="1"/>
  <c r="J127" i="27" s="1"/>
  <c r="C127" i="27" a="1"/>
  <c r="C127" i="27" s="1"/>
  <c r="I126" i="27" a="1"/>
  <c r="I126" i="27" s="1"/>
  <c r="H126" i="27" a="1"/>
  <c r="H126" i="27" s="1"/>
  <c r="G126" i="27" a="1"/>
  <c r="G126" i="27" s="1"/>
  <c r="F126" i="27" a="1"/>
  <c r="F126" i="27" s="1"/>
  <c r="D126" i="27" a="1"/>
  <c r="D126" i="27" s="1"/>
  <c r="E126" i="27" s="1"/>
  <c r="J126" i="27" s="1"/>
  <c r="C126" i="27" a="1"/>
  <c r="C126" i="27" s="1"/>
  <c r="I125" i="27" a="1"/>
  <c r="I125" i="27" s="1"/>
  <c r="H125" i="27" a="1"/>
  <c r="H125" i="27" s="1"/>
  <c r="G125" i="27" a="1"/>
  <c r="G125" i="27" s="1"/>
  <c r="F125" i="27" a="1"/>
  <c r="F125" i="27" s="1"/>
  <c r="D125" i="27" a="1"/>
  <c r="D125" i="27" s="1"/>
  <c r="E125" i="27" s="1"/>
  <c r="J125" i="27" s="1"/>
  <c r="C125" i="27" a="1"/>
  <c r="C125" i="27" s="1"/>
  <c r="I124" i="27" a="1"/>
  <c r="I124" i="27" s="1"/>
  <c r="H124" i="27" a="1"/>
  <c r="H124" i="27" s="1"/>
  <c r="G124" i="27" a="1"/>
  <c r="G124" i="27" s="1"/>
  <c r="F124" i="27" a="1"/>
  <c r="F124" i="27" s="1"/>
  <c r="D124" i="27" a="1"/>
  <c r="D124" i="27" s="1"/>
  <c r="E124" i="27" s="1"/>
  <c r="C124" i="27" a="1"/>
  <c r="C124" i="27" s="1"/>
  <c r="I123" i="27" a="1"/>
  <c r="I123" i="27" s="1"/>
  <c r="H123" i="27" a="1"/>
  <c r="H123" i="27" s="1"/>
  <c r="G123" i="27" a="1"/>
  <c r="G123" i="27" s="1"/>
  <c r="F123" i="27" a="1"/>
  <c r="F123" i="27" s="1"/>
  <c r="D123" i="27" a="1"/>
  <c r="D123" i="27" s="1"/>
  <c r="E123" i="27" s="1"/>
  <c r="C123" i="27" a="1"/>
  <c r="C123" i="27" s="1"/>
  <c r="I122" i="27" a="1"/>
  <c r="I122" i="27" s="1"/>
  <c r="H122" i="27" a="1"/>
  <c r="H122" i="27" s="1"/>
  <c r="G122" i="27" a="1"/>
  <c r="G122" i="27" s="1"/>
  <c r="F122" i="27" a="1"/>
  <c r="F122" i="27" s="1"/>
  <c r="D122" i="27" a="1"/>
  <c r="D122" i="27" s="1"/>
  <c r="E122" i="27" s="1"/>
  <c r="J122" i="27" s="1"/>
  <c r="C122" i="27" a="1"/>
  <c r="C122" i="27" s="1"/>
  <c r="I121" i="27" a="1"/>
  <c r="I121" i="27" s="1"/>
  <c r="H121" i="27" a="1"/>
  <c r="H121" i="27" s="1"/>
  <c r="G121" i="27" a="1"/>
  <c r="G121" i="27" s="1"/>
  <c r="F121" i="27" a="1"/>
  <c r="F121" i="27" s="1"/>
  <c r="D121" i="27" a="1"/>
  <c r="D121" i="27" s="1"/>
  <c r="E121" i="27" s="1"/>
  <c r="J121" i="27" s="1"/>
  <c r="C121" i="27" a="1"/>
  <c r="C121" i="27" s="1"/>
  <c r="I120" i="27" a="1"/>
  <c r="I120" i="27" s="1"/>
  <c r="H120" i="27" a="1"/>
  <c r="H120" i="27" s="1"/>
  <c r="G120" i="27" a="1"/>
  <c r="G120" i="27" s="1"/>
  <c r="F120" i="27" a="1"/>
  <c r="F120" i="27" s="1"/>
  <c r="D120" i="27" a="1"/>
  <c r="D120" i="27" s="1"/>
  <c r="E120" i="27" s="1"/>
  <c r="J120" i="27" s="1"/>
  <c r="C120" i="27" a="1"/>
  <c r="C120" i="27" s="1"/>
  <c r="I119" i="27" a="1"/>
  <c r="I119" i="27" s="1"/>
  <c r="H119" i="27" a="1"/>
  <c r="H119" i="27" s="1"/>
  <c r="G119" i="27" a="1"/>
  <c r="G119" i="27" s="1"/>
  <c r="F119" i="27" a="1"/>
  <c r="F119" i="27" s="1"/>
  <c r="D119" i="27" a="1"/>
  <c r="D119" i="27" s="1"/>
  <c r="E119" i="27" s="1"/>
  <c r="C119" i="27" a="1"/>
  <c r="C119" i="27" s="1"/>
  <c r="I118" i="27" a="1"/>
  <c r="I118" i="27" s="1"/>
  <c r="H118" i="27" a="1"/>
  <c r="H118" i="27" s="1"/>
  <c r="G118" i="27" a="1"/>
  <c r="G118" i="27" s="1"/>
  <c r="F118" i="27" a="1"/>
  <c r="F118" i="27" s="1"/>
  <c r="D118" i="27" a="1"/>
  <c r="D118" i="27" s="1"/>
  <c r="E118" i="27" s="1"/>
  <c r="J118" i="27" s="1"/>
  <c r="C118" i="27" a="1"/>
  <c r="C118" i="27" s="1"/>
  <c r="I117" i="27" a="1"/>
  <c r="I117" i="27" s="1"/>
  <c r="H117" i="27" a="1"/>
  <c r="H117" i="27" s="1"/>
  <c r="G117" i="27" a="1"/>
  <c r="G117" i="27" s="1"/>
  <c r="F117" i="27" a="1"/>
  <c r="F117" i="27" s="1"/>
  <c r="D117" i="27" a="1"/>
  <c r="D117" i="27" s="1"/>
  <c r="E117" i="27" s="1"/>
  <c r="J117" i="27" s="1"/>
  <c r="C117" i="27" a="1"/>
  <c r="C117" i="27" s="1"/>
  <c r="I116" i="27" a="1"/>
  <c r="I116" i="27" s="1"/>
  <c r="H116" i="27" a="1"/>
  <c r="H116" i="27" s="1"/>
  <c r="G116" i="27" a="1"/>
  <c r="G116" i="27" s="1"/>
  <c r="F116" i="27" a="1"/>
  <c r="F116" i="27" s="1"/>
  <c r="D116" i="27" a="1"/>
  <c r="D116" i="27" s="1"/>
  <c r="E116" i="27" s="1"/>
  <c r="J116" i="27" s="1"/>
  <c r="C116" i="27" a="1"/>
  <c r="C116" i="27" s="1"/>
  <c r="I115" i="27" a="1"/>
  <c r="I115" i="27" s="1"/>
  <c r="H115" i="27" a="1"/>
  <c r="H115" i="27" s="1"/>
  <c r="G115" i="27" a="1"/>
  <c r="G115" i="27" s="1"/>
  <c r="F115" i="27" a="1"/>
  <c r="F115" i="27" s="1"/>
  <c r="D115" i="27" a="1"/>
  <c r="D115" i="27" s="1"/>
  <c r="E115" i="27" s="1"/>
  <c r="C115" i="27" a="1"/>
  <c r="C115" i="27" s="1"/>
  <c r="I114" i="27" a="1"/>
  <c r="I114" i="27" s="1"/>
  <c r="H114" i="27" a="1"/>
  <c r="H114" i="27" s="1"/>
  <c r="G114" i="27" a="1"/>
  <c r="G114" i="27" s="1"/>
  <c r="F114" i="27" a="1"/>
  <c r="F114" i="27" s="1"/>
  <c r="D114" i="27" a="1"/>
  <c r="D114" i="27" s="1"/>
  <c r="E114" i="27" s="1"/>
  <c r="C114" i="27" a="1"/>
  <c r="C114" i="27" s="1"/>
  <c r="I113" i="27" a="1"/>
  <c r="I113" i="27" s="1"/>
  <c r="H113" i="27" a="1"/>
  <c r="H113" i="27" s="1"/>
  <c r="G113" i="27" a="1"/>
  <c r="G113" i="27" s="1"/>
  <c r="F113" i="27" a="1"/>
  <c r="F113" i="27" s="1"/>
  <c r="D113" i="27" a="1"/>
  <c r="D113" i="27" s="1"/>
  <c r="E113" i="27" s="1"/>
  <c r="C113" i="27" a="1"/>
  <c r="C113" i="27" s="1"/>
  <c r="I112" i="27" a="1"/>
  <c r="I112" i="27" s="1"/>
  <c r="H112" i="27" a="1"/>
  <c r="H112" i="27" s="1"/>
  <c r="G112" i="27" a="1"/>
  <c r="G112" i="27" s="1"/>
  <c r="F112" i="27" a="1"/>
  <c r="F112" i="27" s="1"/>
  <c r="D112" i="27" a="1"/>
  <c r="D112" i="27" s="1"/>
  <c r="E112" i="27" s="1"/>
  <c r="C112" i="27" a="1"/>
  <c r="C112" i="27" s="1"/>
  <c r="I111" i="27" a="1"/>
  <c r="I111" i="27" s="1"/>
  <c r="H111" i="27" a="1"/>
  <c r="H111" i="27" s="1"/>
  <c r="G111" i="27" a="1"/>
  <c r="G111" i="27" s="1"/>
  <c r="F111" i="27" a="1"/>
  <c r="F111" i="27" s="1"/>
  <c r="D111" i="27" a="1"/>
  <c r="D111" i="27" s="1"/>
  <c r="E111" i="27" s="1"/>
  <c r="C111" i="27" a="1"/>
  <c r="C111" i="27" s="1"/>
  <c r="I110" i="27" a="1"/>
  <c r="I110" i="27" s="1"/>
  <c r="H110" i="27" a="1"/>
  <c r="H110" i="27" s="1"/>
  <c r="G110" i="27" a="1"/>
  <c r="G110" i="27" s="1"/>
  <c r="F110" i="27" a="1"/>
  <c r="F110" i="27" s="1"/>
  <c r="D110" i="27" a="1"/>
  <c r="D110" i="27" s="1"/>
  <c r="E110" i="27" s="1"/>
  <c r="C110" i="27" a="1"/>
  <c r="C110" i="27" s="1"/>
  <c r="I109" i="27" a="1"/>
  <c r="I109" i="27" s="1"/>
  <c r="H109" i="27" a="1"/>
  <c r="H109" i="27" s="1"/>
  <c r="G109" i="27" a="1"/>
  <c r="G109" i="27" s="1"/>
  <c r="F109" i="27" a="1"/>
  <c r="F109" i="27" s="1"/>
  <c r="D109" i="27" a="1"/>
  <c r="D109" i="27" s="1"/>
  <c r="E109" i="27" s="1"/>
  <c r="C109" i="27" a="1"/>
  <c r="C109" i="27" s="1"/>
  <c r="H76" i="27" a="1"/>
  <c r="H76" i="27" s="1"/>
  <c r="F76" i="27" a="1"/>
  <c r="F76" i="27" s="1"/>
  <c r="C76" i="27" a="1"/>
  <c r="C76" i="27" s="1"/>
  <c r="H75" i="27" a="1"/>
  <c r="H75" i="27" s="1"/>
  <c r="D75" i="27" a="1"/>
  <c r="D75" i="27" s="1"/>
  <c r="E75" i="27" s="1"/>
  <c r="I74" i="27" a="1"/>
  <c r="I74" i="27" s="1"/>
  <c r="G74" i="27" a="1"/>
  <c r="G74" i="27" s="1"/>
  <c r="I108" i="27" a="1"/>
  <c r="I108" i="27" s="1"/>
  <c r="H108" i="27" a="1"/>
  <c r="H108" i="27" s="1"/>
  <c r="G108" i="27" a="1"/>
  <c r="G108" i="27" s="1"/>
  <c r="F108" i="27" a="1"/>
  <c r="F108" i="27" s="1"/>
  <c r="D108" i="27" a="1"/>
  <c r="D108" i="27" s="1"/>
  <c r="E108" i="27" s="1"/>
  <c r="J108" i="27" s="1"/>
  <c r="C108" i="27" a="1"/>
  <c r="C108" i="27" s="1"/>
  <c r="I107" i="27" a="1"/>
  <c r="I107" i="27" s="1"/>
  <c r="H107" i="27" a="1"/>
  <c r="H107" i="27" s="1"/>
  <c r="G107" i="27" a="1"/>
  <c r="G107" i="27" s="1"/>
  <c r="F107" i="27" a="1"/>
  <c r="F107" i="27" s="1"/>
  <c r="D107" i="27" a="1"/>
  <c r="D107" i="27" s="1"/>
  <c r="E107" i="27" s="1"/>
  <c r="C107" i="27" a="1"/>
  <c r="C107" i="27" s="1"/>
  <c r="I106" i="27" a="1"/>
  <c r="I106" i="27" s="1"/>
  <c r="H106" i="27" a="1"/>
  <c r="H106" i="27" s="1"/>
  <c r="G106" i="27" a="1"/>
  <c r="G106" i="27" s="1"/>
  <c r="F106" i="27" a="1"/>
  <c r="F106" i="27" s="1"/>
  <c r="D106" i="27" a="1"/>
  <c r="D106" i="27" s="1"/>
  <c r="E106" i="27" s="1"/>
  <c r="C106" i="27" a="1"/>
  <c r="C106" i="27" s="1"/>
  <c r="I105" i="27" a="1"/>
  <c r="I105" i="27" s="1"/>
  <c r="H105" i="27" a="1"/>
  <c r="H105" i="27" s="1"/>
  <c r="G105" i="27" a="1"/>
  <c r="G105" i="27" s="1"/>
  <c r="F105" i="27" a="1"/>
  <c r="F105" i="27" s="1"/>
  <c r="D105" i="27" a="1"/>
  <c r="D105" i="27" s="1"/>
  <c r="E105" i="27" s="1"/>
  <c r="J105" i="27" s="1"/>
  <c r="C105" i="27" a="1"/>
  <c r="C105" i="27" s="1"/>
  <c r="I104" i="27" a="1"/>
  <c r="I104" i="27" s="1"/>
  <c r="H104" i="27" a="1"/>
  <c r="H104" i="27" s="1"/>
  <c r="G104" i="27" a="1"/>
  <c r="G104" i="27" s="1"/>
  <c r="F104" i="27" a="1"/>
  <c r="F104" i="27" s="1"/>
  <c r="D104" i="27" a="1"/>
  <c r="D104" i="27" s="1"/>
  <c r="E104" i="27" s="1"/>
  <c r="J104" i="27" s="1"/>
  <c r="C104" i="27" a="1"/>
  <c r="C104" i="27" s="1"/>
  <c r="I103" i="27" a="1"/>
  <c r="I103" i="27" s="1"/>
  <c r="H103" i="27" a="1"/>
  <c r="H103" i="27" s="1"/>
  <c r="G103" i="27" a="1"/>
  <c r="G103" i="27" s="1"/>
  <c r="F103" i="27" a="1"/>
  <c r="F103" i="27" s="1"/>
  <c r="D103" i="27" a="1"/>
  <c r="D103" i="27" s="1"/>
  <c r="E103" i="27" s="1"/>
  <c r="J103" i="27" s="1"/>
  <c r="C103" i="27" a="1"/>
  <c r="C103" i="27" s="1"/>
  <c r="I102" i="27" a="1"/>
  <c r="I102" i="27" s="1"/>
  <c r="H102" i="27" a="1"/>
  <c r="H102" i="27" s="1"/>
  <c r="G102" i="27" a="1"/>
  <c r="G102" i="27" s="1"/>
  <c r="F102" i="27" a="1"/>
  <c r="F102" i="27" s="1"/>
  <c r="D102" i="27" a="1"/>
  <c r="D102" i="27" s="1"/>
  <c r="E102" i="27" s="1"/>
  <c r="C102" i="27" a="1"/>
  <c r="C102" i="27" s="1"/>
  <c r="I101" i="27" a="1"/>
  <c r="I101" i="27" s="1"/>
  <c r="H101" i="27" a="1"/>
  <c r="H101" i="27" s="1"/>
  <c r="G101" i="27" a="1"/>
  <c r="G101" i="27" s="1"/>
  <c r="F101" i="27" a="1"/>
  <c r="F101" i="27" s="1"/>
  <c r="D101" i="27" a="1"/>
  <c r="D101" i="27" s="1"/>
  <c r="E101" i="27" s="1"/>
  <c r="C101" i="27" a="1"/>
  <c r="C101" i="27" s="1"/>
  <c r="I100" i="27" a="1"/>
  <c r="I100" i="27" s="1"/>
  <c r="H100" i="27" a="1"/>
  <c r="H100" i="27" s="1"/>
  <c r="G100" i="27" a="1"/>
  <c r="G100" i="27" s="1"/>
  <c r="F100" i="27" a="1"/>
  <c r="F100" i="27" s="1"/>
  <c r="D100" i="27" a="1"/>
  <c r="D100" i="27" s="1"/>
  <c r="E100" i="27" s="1"/>
  <c r="C100" i="27" a="1"/>
  <c r="C100" i="27" s="1"/>
  <c r="I99" i="27" a="1"/>
  <c r="I99" i="27" s="1"/>
  <c r="H99" i="27" a="1"/>
  <c r="H99" i="27" s="1"/>
  <c r="G99" i="27" a="1"/>
  <c r="G99" i="27" s="1"/>
  <c r="F99" i="27" a="1"/>
  <c r="F99" i="27" s="1"/>
  <c r="D99" i="27" a="1"/>
  <c r="D99" i="27" s="1"/>
  <c r="E99" i="27" s="1"/>
  <c r="C99" i="27" a="1"/>
  <c r="C99" i="27" s="1"/>
  <c r="I98" i="27" a="1"/>
  <c r="I98" i="27" s="1"/>
  <c r="H98" i="27" a="1"/>
  <c r="H98" i="27" s="1"/>
  <c r="G98" i="27" a="1"/>
  <c r="G98" i="27" s="1"/>
  <c r="F98" i="27" a="1"/>
  <c r="F98" i="27" s="1"/>
  <c r="D98" i="27" a="1"/>
  <c r="D98" i="27" s="1"/>
  <c r="E98" i="27" s="1"/>
  <c r="C98" i="27" a="1"/>
  <c r="C98" i="27" s="1"/>
  <c r="I97" i="27" a="1"/>
  <c r="I97" i="27" s="1"/>
  <c r="H97" i="27" a="1"/>
  <c r="H97" i="27" s="1"/>
  <c r="G97" i="27" a="1"/>
  <c r="G97" i="27" s="1"/>
  <c r="F97" i="27" a="1"/>
  <c r="F97" i="27" s="1"/>
  <c r="D97" i="27" a="1"/>
  <c r="D97" i="27" s="1"/>
  <c r="E97" i="27" s="1"/>
  <c r="C97" i="27" a="1"/>
  <c r="C97" i="27" s="1"/>
  <c r="I96" i="27" a="1"/>
  <c r="I96" i="27" s="1"/>
  <c r="H96" i="27" a="1"/>
  <c r="H96" i="27" s="1"/>
  <c r="G96" i="27" a="1"/>
  <c r="G96" i="27" s="1"/>
  <c r="F96" i="27" a="1"/>
  <c r="F96" i="27" s="1"/>
  <c r="D96" i="27" a="1"/>
  <c r="D96" i="27" s="1"/>
  <c r="E96" i="27" s="1"/>
  <c r="C96" i="27" a="1"/>
  <c r="C96" i="27" s="1"/>
  <c r="I95" i="27" a="1"/>
  <c r="I95" i="27" s="1"/>
  <c r="H95" i="27" a="1"/>
  <c r="H95" i="27" s="1"/>
  <c r="G95" i="27" a="1"/>
  <c r="G95" i="27" s="1"/>
  <c r="F95" i="27" a="1"/>
  <c r="F95" i="27" s="1"/>
  <c r="D95" i="27" a="1"/>
  <c r="D95" i="27" s="1"/>
  <c r="E95" i="27" s="1"/>
  <c r="J95" i="27" s="1"/>
  <c r="C95" i="27" a="1"/>
  <c r="C95" i="27" s="1"/>
  <c r="I94" i="27" a="1"/>
  <c r="I94" i="27" s="1"/>
  <c r="H94" i="27" a="1"/>
  <c r="H94" i="27" s="1"/>
  <c r="G94" i="27" a="1"/>
  <c r="G94" i="27" s="1"/>
  <c r="F94" i="27" a="1"/>
  <c r="F94" i="27" s="1"/>
  <c r="D94" i="27" a="1"/>
  <c r="D94" i="27" s="1"/>
  <c r="E94" i="27" s="1"/>
  <c r="C94" i="27" a="1"/>
  <c r="C94" i="27" s="1"/>
  <c r="I93" i="27" a="1"/>
  <c r="I93" i="27" s="1"/>
  <c r="H93" i="27" a="1"/>
  <c r="H93" i="27" s="1"/>
  <c r="G93" i="27" a="1"/>
  <c r="G93" i="27" s="1"/>
  <c r="F93" i="27" a="1"/>
  <c r="F93" i="27" s="1"/>
  <c r="D93" i="27" a="1"/>
  <c r="D93" i="27" s="1"/>
  <c r="E93" i="27" s="1"/>
  <c r="C93" i="27" a="1"/>
  <c r="C93" i="27" s="1"/>
  <c r="I92" i="27" a="1"/>
  <c r="I92" i="27" s="1"/>
  <c r="H92" i="27" a="1"/>
  <c r="H92" i="27" s="1"/>
  <c r="G92" i="27" a="1"/>
  <c r="G92" i="27" s="1"/>
  <c r="F92" i="27" a="1"/>
  <c r="F92" i="27" s="1"/>
  <c r="D92" i="27" a="1"/>
  <c r="D92" i="27" s="1"/>
  <c r="E92" i="27" s="1"/>
  <c r="J92" i="27" s="1"/>
  <c r="C92" i="27" a="1"/>
  <c r="C92" i="27" s="1"/>
  <c r="I91" i="27" a="1"/>
  <c r="I91" i="27" s="1"/>
  <c r="H91" i="27" a="1"/>
  <c r="H91" i="27" s="1"/>
  <c r="G91" i="27" a="1"/>
  <c r="G91" i="27" s="1"/>
  <c r="F91" i="27" a="1"/>
  <c r="F91" i="27" s="1"/>
  <c r="D91" i="27" a="1"/>
  <c r="D91" i="27" s="1"/>
  <c r="E91" i="27" s="1"/>
  <c r="C91" i="27" a="1"/>
  <c r="C91" i="27" s="1"/>
  <c r="I90" i="27" a="1"/>
  <c r="I90" i="27" s="1"/>
  <c r="H90" i="27" a="1"/>
  <c r="H90" i="27" s="1"/>
  <c r="G90" i="27" a="1"/>
  <c r="G90" i="27" s="1"/>
  <c r="F90" i="27" a="1"/>
  <c r="F90" i="27" s="1"/>
  <c r="D90" i="27" a="1"/>
  <c r="D90" i="27" s="1"/>
  <c r="E90" i="27" s="1"/>
  <c r="C90" i="27" a="1"/>
  <c r="C90" i="27" s="1"/>
  <c r="I89" i="27" a="1"/>
  <c r="I89" i="27" s="1"/>
  <c r="H89" i="27" a="1"/>
  <c r="H89" i="27" s="1"/>
  <c r="G89" i="27" a="1"/>
  <c r="G89" i="27" s="1"/>
  <c r="F89" i="27" a="1"/>
  <c r="F89" i="27" s="1"/>
  <c r="D89" i="27" a="1"/>
  <c r="D89" i="27" s="1"/>
  <c r="E89" i="27" s="1"/>
  <c r="C89" i="27" a="1"/>
  <c r="C89" i="27" s="1"/>
  <c r="I88" i="27" a="1"/>
  <c r="I88" i="27" s="1"/>
  <c r="H88" i="27" a="1"/>
  <c r="H88" i="27" s="1"/>
  <c r="G88" i="27" a="1"/>
  <c r="G88" i="27" s="1"/>
  <c r="F88" i="27" a="1"/>
  <c r="F88" i="27" s="1"/>
  <c r="D88" i="27" a="1"/>
  <c r="D88" i="27" s="1"/>
  <c r="E88" i="27" s="1"/>
  <c r="C88" i="27" a="1"/>
  <c r="C88" i="27" s="1"/>
  <c r="I87" i="27" a="1"/>
  <c r="I87" i="27" s="1"/>
  <c r="H87" i="27" a="1"/>
  <c r="H87" i="27" s="1"/>
  <c r="G87" i="27" a="1"/>
  <c r="G87" i="27" s="1"/>
  <c r="F87" i="27" a="1"/>
  <c r="F87" i="27" s="1"/>
  <c r="D87" i="27" a="1"/>
  <c r="D87" i="27" s="1"/>
  <c r="E87" i="27" s="1"/>
  <c r="J87" i="27" s="1"/>
  <c r="C87" i="27" a="1"/>
  <c r="C87" i="27" s="1"/>
  <c r="I86" i="27" a="1"/>
  <c r="I86" i="27" s="1"/>
  <c r="H86" i="27" a="1"/>
  <c r="H86" i="27" s="1"/>
  <c r="G86" i="27" a="1"/>
  <c r="G86" i="27" s="1"/>
  <c r="F86" i="27" a="1"/>
  <c r="F86" i="27" s="1"/>
  <c r="D86" i="27" a="1"/>
  <c r="D86" i="27" s="1"/>
  <c r="E86" i="27" s="1"/>
  <c r="J86" i="27" s="1"/>
  <c r="C86" i="27" a="1"/>
  <c r="C86" i="27" s="1"/>
  <c r="I85" i="27" a="1"/>
  <c r="I85" i="27" s="1"/>
  <c r="H85" i="27" a="1"/>
  <c r="H85" i="27" s="1"/>
  <c r="G85" i="27" a="1"/>
  <c r="G85" i="27" s="1"/>
  <c r="F85" i="27" a="1"/>
  <c r="F85" i="27" s="1"/>
  <c r="D85" i="27" a="1"/>
  <c r="D85" i="27" s="1"/>
  <c r="E85" i="27" s="1"/>
  <c r="C85" i="27" a="1"/>
  <c r="C85" i="27" s="1"/>
  <c r="I84" i="27" a="1"/>
  <c r="I84" i="27" s="1"/>
  <c r="H84" i="27" a="1"/>
  <c r="H84" i="27" s="1"/>
  <c r="G84" i="27" a="1"/>
  <c r="G84" i="27" s="1"/>
  <c r="F84" i="27" a="1"/>
  <c r="F84" i="27" s="1"/>
  <c r="D84" i="27" a="1"/>
  <c r="D84" i="27" s="1"/>
  <c r="E84" i="27" s="1"/>
  <c r="C84" i="27" a="1"/>
  <c r="C84" i="27" s="1"/>
  <c r="I83" i="27" a="1"/>
  <c r="I83" i="27" s="1"/>
  <c r="H83" i="27" a="1"/>
  <c r="H83" i="27" s="1"/>
  <c r="G83" i="27" a="1"/>
  <c r="G83" i="27" s="1"/>
  <c r="F83" i="27" a="1"/>
  <c r="F83" i="27" s="1"/>
  <c r="D83" i="27" a="1"/>
  <c r="D83" i="27" s="1"/>
  <c r="E83" i="27" s="1"/>
  <c r="J83" i="27" s="1"/>
  <c r="C83" i="27" a="1"/>
  <c r="C83" i="27" s="1"/>
  <c r="I82" i="27" a="1"/>
  <c r="I82" i="27" s="1"/>
  <c r="H82" i="27" a="1"/>
  <c r="H82" i="27" s="1"/>
  <c r="G82" i="27" a="1"/>
  <c r="G82" i="27" s="1"/>
  <c r="F82" i="27" a="1"/>
  <c r="F82" i="27" s="1"/>
  <c r="D82" i="27" a="1"/>
  <c r="D82" i="27" s="1"/>
  <c r="E82" i="27" s="1"/>
  <c r="C82" i="27" a="1"/>
  <c r="C82" i="27" s="1"/>
  <c r="I81" i="27" a="1"/>
  <c r="I81" i="27" s="1"/>
  <c r="H81" i="27" a="1"/>
  <c r="H81" i="27" s="1"/>
  <c r="G81" i="27" a="1"/>
  <c r="G81" i="27" s="1"/>
  <c r="F81" i="27" a="1"/>
  <c r="F81" i="27" s="1"/>
  <c r="D81" i="27" a="1"/>
  <c r="D81" i="27" s="1"/>
  <c r="E81" i="27" s="1"/>
  <c r="C81" i="27" a="1"/>
  <c r="C81" i="27" s="1"/>
  <c r="I80" i="27" a="1"/>
  <c r="I80" i="27" s="1"/>
  <c r="H80" i="27" a="1"/>
  <c r="H80" i="27" s="1"/>
  <c r="G80" i="27" a="1"/>
  <c r="G80" i="27" s="1"/>
  <c r="F80" i="27" a="1"/>
  <c r="F80" i="27" s="1"/>
  <c r="D80" i="27" a="1"/>
  <c r="D80" i="27" s="1"/>
  <c r="E80" i="27" s="1"/>
  <c r="C80" i="27" a="1"/>
  <c r="C80" i="27" s="1"/>
  <c r="I79" i="27" a="1"/>
  <c r="I79" i="27" s="1"/>
  <c r="H79" i="27" a="1"/>
  <c r="H79" i="27" s="1"/>
  <c r="G79" i="27" a="1"/>
  <c r="G79" i="27" s="1"/>
  <c r="F79" i="27" a="1"/>
  <c r="F79" i="27" s="1"/>
  <c r="D79" i="27" a="1"/>
  <c r="D79" i="27" s="1"/>
  <c r="E79" i="27" s="1"/>
  <c r="C79" i="27" a="1"/>
  <c r="C79" i="27" s="1"/>
  <c r="I78" i="27" a="1"/>
  <c r="I78" i="27" s="1"/>
  <c r="H78" i="27" a="1"/>
  <c r="H78" i="27" s="1"/>
  <c r="G78" i="27" a="1"/>
  <c r="G78" i="27" s="1"/>
  <c r="F78" i="27" a="1"/>
  <c r="F78" i="27" s="1"/>
  <c r="D78" i="27" a="1"/>
  <c r="D78" i="27" s="1"/>
  <c r="E78" i="27" s="1"/>
  <c r="J78" i="27" s="1"/>
  <c r="C78" i="27" a="1"/>
  <c r="C78" i="27" s="1"/>
  <c r="I77" i="27" a="1"/>
  <c r="I77" i="27" s="1"/>
  <c r="H77" i="27" a="1"/>
  <c r="H77" i="27" s="1"/>
  <c r="G77" i="27" a="1"/>
  <c r="G77" i="27" s="1"/>
  <c r="F77" i="27" a="1"/>
  <c r="F77" i="27" s="1"/>
  <c r="D77" i="27" a="1"/>
  <c r="D77" i="27" s="1"/>
  <c r="E77" i="27" s="1"/>
  <c r="C77" i="27" a="1"/>
  <c r="C77" i="27" s="1"/>
  <c r="I76" i="27" a="1"/>
  <c r="I76" i="27" s="1"/>
  <c r="G76" i="27" a="1"/>
  <c r="G76" i="27" s="1"/>
  <c r="D76" i="27" a="1"/>
  <c r="D76" i="27" s="1"/>
  <c r="E76" i="27" s="1"/>
  <c r="I75" i="27" a="1"/>
  <c r="I75" i="27" s="1"/>
  <c r="G75" i="27" a="1"/>
  <c r="G75" i="27" s="1"/>
  <c r="F75" i="27" a="1"/>
  <c r="F75" i="27" s="1"/>
  <c r="C75" i="27" a="1"/>
  <c r="C75" i="27" s="1"/>
  <c r="H74" i="27" a="1"/>
  <c r="H74" i="27" s="1"/>
  <c r="B66" i="27"/>
  <c r="F74" i="27" a="1"/>
  <c r="F74" i="27" s="1"/>
  <c r="D74" i="27" a="1"/>
  <c r="D74" i="27" s="1"/>
  <c r="E74" i="27" s="1"/>
  <c r="C74" i="27" a="1"/>
  <c r="C74" i="27" s="1"/>
  <c r="I73" i="27" a="1"/>
  <c r="I73" i="27" s="1"/>
  <c r="H73" i="27" a="1"/>
  <c r="H73" i="27" s="1"/>
  <c r="G73" i="27" a="1"/>
  <c r="G73" i="27" s="1"/>
  <c r="F73" i="27" a="1"/>
  <c r="F73" i="27" s="1"/>
  <c r="D73" i="27" a="1"/>
  <c r="D73" i="27" s="1"/>
  <c r="E73" i="27" s="1"/>
  <c r="C73" i="27" a="1"/>
  <c r="C73" i="27" s="1"/>
  <c r="I72" i="27" a="1"/>
  <c r="I72" i="27" s="1"/>
  <c r="H72" i="27" a="1"/>
  <c r="H72" i="27" s="1"/>
  <c r="G72" i="27" a="1"/>
  <c r="G72" i="27" s="1"/>
  <c r="F72" i="27" a="1"/>
  <c r="F72" i="27" s="1"/>
  <c r="D72" i="27" a="1"/>
  <c r="D72" i="27" s="1"/>
  <c r="E72" i="27" s="1"/>
  <c r="C72" i="27" a="1"/>
  <c r="C72" i="27" s="1"/>
  <c r="I71" i="27" a="1"/>
  <c r="I71" i="27" s="1"/>
  <c r="H71" i="27" a="1"/>
  <c r="H71" i="27" s="1"/>
  <c r="G71" i="27" a="1"/>
  <c r="G71" i="27" s="1"/>
  <c r="F71" i="27" a="1"/>
  <c r="F71" i="27" s="1"/>
  <c r="D71" i="27" a="1"/>
  <c r="D71" i="27" s="1"/>
  <c r="E71" i="27" s="1"/>
  <c r="C71" i="27" a="1"/>
  <c r="C71" i="27" s="1"/>
  <c r="I70" i="27" a="1"/>
  <c r="I70" i="27" s="1"/>
  <c r="H70" i="27" a="1"/>
  <c r="H70" i="27" s="1"/>
  <c r="G70" i="27" a="1"/>
  <c r="G70" i="27" s="1"/>
  <c r="F70" i="27" a="1"/>
  <c r="F70" i="27" s="1"/>
  <c r="D70" i="27" a="1"/>
  <c r="D70" i="27" s="1"/>
  <c r="E70" i="27" s="1"/>
  <c r="C70" i="27" a="1"/>
  <c r="C70" i="27" s="1"/>
  <c r="I69" i="27" a="1"/>
  <c r="I69" i="27" s="1"/>
  <c r="H69" i="27" a="1"/>
  <c r="H69" i="27" s="1"/>
  <c r="G69" i="27" a="1"/>
  <c r="G69" i="27" s="1"/>
  <c r="F69" i="27" a="1"/>
  <c r="F69" i="27" s="1"/>
  <c r="D69" i="27" a="1"/>
  <c r="D69" i="27" s="1"/>
  <c r="E69" i="27" s="1"/>
  <c r="C69" i="27" a="1"/>
  <c r="C69" i="27" s="1"/>
  <c r="I68" i="27" a="1"/>
  <c r="I68" i="27" s="1"/>
  <c r="H68" i="27" a="1"/>
  <c r="H68" i="27" s="1"/>
  <c r="G68" i="27" a="1"/>
  <c r="G68" i="27" s="1"/>
  <c r="F68" i="27" a="1"/>
  <c r="F68" i="27" s="1"/>
  <c r="D68" i="27" a="1"/>
  <c r="D68" i="27" s="1"/>
  <c r="E68" i="27" s="1"/>
  <c r="C68" i="27" a="1"/>
  <c r="C68" i="27" s="1"/>
  <c r="I67" i="27" a="1"/>
  <c r="I67" i="27" s="1"/>
  <c r="H67" i="27" a="1"/>
  <c r="H67" i="27" s="1"/>
  <c r="G67" i="27" a="1"/>
  <c r="G67" i="27" s="1"/>
  <c r="F67" i="27" a="1"/>
  <c r="F67" i="27" s="1"/>
  <c r="D67" i="27" a="1"/>
  <c r="D67" i="27" s="1"/>
  <c r="E67" i="27" s="1"/>
  <c r="J67" i="27" s="1"/>
  <c r="G22" i="27"/>
  <c r="D22" i="27"/>
  <c r="F6" i="38" s="1"/>
  <c r="D17" i="38"/>
  <c r="J179" i="19" a="1"/>
  <c r="J179" i="19" s="1"/>
  <c r="I179" i="19" a="1"/>
  <c r="I179" i="19" s="1"/>
  <c r="H179" i="19" a="1"/>
  <c r="H179" i="19" s="1"/>
  <c r="E179" i="19" a="1"/>
  <c r="E179" i="19" s="1"/>
  <c r="D179" i="19" a="1"/>
  <c r="D179" i="19" s="1"/>
  <c r="F179" i="19" s="1"/>
  <c r="C179" i="19" a="1"/>
  <c r="C179" i="19" s="1"/>
  <c r="G179" i="19" s="1" a="1"/>
  <c r="G179" i="19" s="1"/>
  <c r="B179" i="19" a="1"/>
  <c r="B179" i="19" s="1"/>
  <c r="K179" i="19" s="1" a="1"/>
  <c r="K179" i="19" s="1"/>
  <c r="J180" i="19" a="1"/>
  <c r="J180" i="19" s="1"/>
  <c r="I180" i="19" a="1"/>
  <c r="I180" i="19" s="1"/>
  <c r="H180" i="19" a="1"/>
  <c r="H180" i="19" s="1"/>
  <c r="E180" i="19" a="1"/>
  <c r="E180" i="19" s="1"/>
  <c r="D180" i="19" a="1"/>
  <c r="D180" i="19" s="1"/>
  <c r="F180" i="19" s="1"/>
  <c r="C180" i="19" a="1"/>
  <c r="C180" i="19" s="1"/>
  <c r="G180" i="19" s="1" a="1"/>
  <c r="G180" i="19" s="1"/>
  <c r="B180" i="19" a="1"/>
  <c r="B180" i="19" s="1"/>
  <c r="K180" i="19" s="1" a="1"/>
  <c r="K180" i="19" s="1"/>
  <c r="I21" i="56"/>
  <c r="V17" i="4"/>
  <c r="V23" i="4"/>
  <c r="V24" i="4" s="1"/>
  <c r="V20" i="4"/>
  <c r="V71" i="4"/>
  <c r="V70" i="4"/>
  <c r="V80" i="4"/>
  <c r="D54" i="2" s="1" a="1"/>
  <c r="D54" i="2" s="1"/>
  <c r="G54" i="2" s="1"/>
  <c r="V79" i="4"/>
  <c r="D53" i="2" s="1" a="1"/>
  <c r="D53" i="2" s="1"/>
  <c r="V78" i="4"/>
  <c r="V85" i="4"/>
  <c r="D59" i="2" s="1" a="1"/>
  <c r="D59" i="2" s="1"/>
  <c r="D16" i="38"/>
  <c r="D21" i="38"/>
  <c r="J200" i="27"/>
  <c r="J199" i="27"/>
  <c r="J198" i="27"/>
  <c r="J197" i="27"/>
  <c r="J196" i="27"/>
  <c r="J195" i="27"/>
  <c r="J194" i="27"/>
  <c r="J193" i="27"/>
  <c r="J192" i="27"/>
  <c r="J191" i="27"/>
  <c r="J190" i="27"/>
  <c r="J158" i="27"/>
  <c r="J18" i="19" a="1"/>
  <c r="J18" i="19" s="1"/>
  <c r="I18" i="19" a="1"/>
  <c r="I18" i="19" s="1"/>
  <c r="H18" i="19" a="1"/>
  <c r="H18" i="19" s="1"/>
  <c r="D18" i="19" a="1"/>
  <c r="D18" i="19" s="1"/>
  <c r="F18" i="19" s="1"/>
  <c r="C18" i="19" a="1"/>
  <c r="C18" i="19" s="1"/>
  <c r="B18" i="19" a="1"/>
  <c r="B18" i="19" s="1"/>
  <c r="J19" i="19" a="1"/>
  <c r="J19" i="19" s="1"/>
  <c r="I19" i="19" a="1"/>
  <c r="I19" i="19" s="1"/>
  <c r="H19" i="19" a="1"/>
  <c r="H19" i="19" s="1"/>
  <c r="D19" i="19" a="1"/>
  <c r="D19" i="19" s="1"/>
  <c r="F19" i="19" s="1"/>
  <c r="C19" i="19" a="1"/>
  <c r="C19" i="19" s="1"/>
  <c r="B19" i="19" a="1"/>
  <c r="B19" i="19" s="1"/>
  <c r="K19" i="19" s="1" a="1"/>
  <c r="K19" i="19" s="1"/>
  <c r="J20" i="19" a="1"/>
  <c r="J20" i="19" s="1"/>
  <c r="I20" i="19" a="1"/>
  <c r="I20" i="19" s="1"/>
  <c r="H20" i="19" a="1"/>
  <c r="H20" i="19" s="1"/>
  <c r="D20" i="19" a="1"/>
  <c r="D20" i="19" s="1"/>
  <c r="F20" i="19" s="1"/>
  <c r="C20" i="19" a="1"/>
  <c r="C20" i="19" s="1"/>
  <c r="B20" i="19" a="1"/>
  <c r="B20" i="19" s="1"/>
  <c r="K20" i="19" s="1" a="1"/>
  <c r="K20" i="19" s="1"/>
  <c r="J21" i="19" a="1"/>
  <c r="J21" i="19" s="1"/>
  <c r="I21" i="19" a="1"/>
  <c r="I21" i="19" s="1"/>
  <c r="H21" i="19" a="1"/>
  <c r="H21" i="19" s="1"/>
  <c r="D21" i="19" a="1"/>
  <c r="D21" i="19" s="1"/>
  <c r="F21" i="19" s="1"/>
  <c r="C21" i="19" a="1"/>
  <c r="C21" i="19" s="1"/>
  <c r="B21" i="19" a="1"/>
  <c r="B21" i="19" s="1"/>
  <c r="K21" i="19" s="1" a="1"/>
  <c r="K21" i="19" s="1"/>
  <c r="J22" i="19" a="1"/>
  <c r="J22" i="19" s="1"/>
  <c r="I22" i="19" a="1"/>
  <c r="I22" i="19" s="1"/>
  <c r="H22" i="19" a="1"/>
  <c r="H22" i="19" s="1"/>
  <c r="D22" i="19" a="1"/>
  <c r="D22" i="19" s="1"/>
  <c r="F22" i="19" s="1"/>
  <c r="C22" i="19" a="1"/>
  <c r="C22" i="19" s="1"/>
  <c r="B22" i="19" a="1"/>
  <c r="B22" i="19" s="1"/>
  <c r="K22" i="19" s="1" a="1"/>
  <c r="K22" i="19" s="1"/>
  <c r="J23" i="19" a="1"/>
  <c r="J23" i="19" s="1"/>
  <c r="I23" i="19" a="1"/>
  <c r="I23" i="19" s="1"/>
  <c r="H23" i="19" a="1"/>
  <c r="H23" i="19" s="1"/>
  <c r="D23" i="19" a="1"/>
  <c r="D23" i="19" s="1"/>
  <c r="F23" i="19" s="1"/>
  <c r="C23" i="19" a="1"/>
  <c r="C23" i="19" s="1"/>
  <c r="B23" i="19" a="1"/>
  <c r="B23" i="19" s="1"/>
  <c r="K23" i="19" s="1" a="1"/>
  <c r="K23" i="19" s="1"/>
  <c r="I24" i="19" a="1"/>
  <c r="I24" i="19" s="1"/>
  <c r="H24" i="19" a="1"/>
  <c r="H24" i="19" s="1"/>
  <c r="D24" i="19" a="1"/>
  <c r="D24" i="19" s="1"/>
  <c r="F24" i="19" s="1"/>
  <c r="C24" i="19" a="1"/>
  <c r="C24" i="19" s="1"/>
  <c r="B24" i="19" a="1"/>
  <c r="B24" i="19" s="1"/>
  <c r="K24" i="19" s="1" a="1"/>
  <c r="K24" i="19" s="1"/>
  <c r="J25" i="19" a="1"/>
  <c r="J25" i="19" s="1"/>
  <c r="I25" i="19" a="1"/>
  <c r="I25" i="19" s="1"/>
  <c r="H25" i="19" a="1"/>
  <c r="H25" i="19" s="1"/>
  <c r="D25" i="19" a="1"/>
  <c r="D25" i="19" s="1"/>
  <c r="F25" i="19" s="1"/>
  <c r="C25" i="19" a="1"/>
  <c r="C25" i="19" s="1"/>
  <c r="B25" i="19" a="1"/>
  <c r="B25" i="19" s="1"/>
  <c r="K25" i="19" s="1" a="1"/>
  <c r="K25" i="19" s="1"/>
  <c r="J26" i="19" a="1"/>
  <c r="J26" i="19" s="1"/>
  <c r="I26" i="19" a="1"/>
  <c r="I26" i="19" s="1"/>
  <c r="H26" i="19" a="1"/>
  <c r="H26" i="19" s="1"/>
  <c r="D26" i="19" a="1"/>
  <c r="D26" i="19" s="1"/>
  <c r="F26" i="19" s="1"/>
  <c r="C26" i="19" a="1"/>
  <c r="C26" i="19" s="1"/>
  <c r="B26" i="19" a="1"/>
  <c r="B26" i="19" s="1"/>
  <c r="K26" i="19" s="1" a="1"/>
  <c r="K26" i="19" s="1"/>
  <c r="J27" i="19" a="1"/>
  <c r="J27" i="19" s="1"/>
  <c r="I27" i="19" a="1"/>
  <c r="I27" i="19" s="1"/>
  <c r="H27" i="19" a="1"/>
  <c r="H27" i="19" s="1"/>
  <c r="D27" i="19" a="1"/>
  <c r="D27" i="19" s="1"/>
  <c r="F27" i="19" s="1"/>
  <c r="C27" i="19" a="1"/>
  <c r="C27" i="19" s="1"/>
  <c r="B27" i="19" a="1"/>
  <c r="B27" i="19" s="1"/>
  <c r="K27" i="19" s="1" a="1"/>
  <c r="K27" i="19" s="1"/>
  <c r="J28" i="19" a="1"/>
  <c r="J28" i="19" s="1"/>
  <c r="I28" i="19" a="1"/>
  <c r="I28" i="19" s="1"/>
  <c r="H28" i="19" a="1"/>
  <c r="H28" i="19" s="1"/>
  <c r="D28" i="19" a="1"/>
  <c r="D28" i="19" s="1"/>
  <c r="F28" i="19" s="1"/>
  <c r="C28" i="19" a="1"/>
  <c r="C28" i="19" s="1"/>
  <c r="B28" i="19" a="1"/>
  <c r="B28" i="19" s="1"/>
  <c r="K28" i="19" s="1" a="1"/>
  <c r="K28" i="19" s="1"/>
  <c r="J29" i="19" a="1"/>
  <c r="J29" i="19" s="1"/>
  <c r="I29" i="19" a="1"/>
  <c r="I29" i="19" s="1"/>
  <c r="H29" i="19" a="1"/>
  <c r="H29" i="19" s="1"/>
  <c r="D29" i="19" a="1"/>
  <c r="D29" i="19" s="1"/>
  <c r="F29" i="19" s="1"/>
  <c r="C29" i="19" a="1"/>
  <c r="C29" i="19" s="1"/>
  <c r="B29" i="19" a="1"/>
  <c r="B29" i="19" s="1"/>
  <c r="K29" i="19" s="1" a="1"/>
  <c r="K29" i="19" s="1"/>
  <c r="J30" i="19" a="1"/>
  <c r="J30" i="19" s="1"/>
  <c r="I30" i="19" a="1"/>
  <c r="I30" i="19" s="1"/>
  <c r="H30" i="19" a="1"/>
  <c r="H30" i="19" s="1"/>
  <c r="D30" i="19" a="1"/>
  <c r="D30" i="19" s="1"/>
  <c r="F30" i="19" s="1"/>
  <c r="C30" i="19" a="1"/>
  <c r="C30" i="19" s="1"/>
  <c r="B30" i="19" a="1"/>
  <c r="B30" i="19" s="1"/>
  <c r="K30" i="19" s="1" a="1"/>
  <c r="K30" i="19" s="1"/>
  <c r="J31" i="19" a="1"/>
  <c r="J31" i="19" s="1"/>
  <c r="I31" i="19" a="1"/>
  <c r="I31" i="19" s="1"/>
  <c r="H31" i="19" a="1"/>
  <c r="H31" i="19" s="1"/>
  <c r="D31" i="19" a="1"/>
  <c r="D31" i="19" s="1"/>
  <c r="F31" i="19" s="1"/>
  <c r="C31" i="19" a="1"/>
  <c r="C31" i="19" s="1"/>
  <c r="B31" i="19" a="1"/>
  <c r="B31" i="19" s="1"/>
  <c r="K31" i="19" s="1" a="1"/>
  <c r="K31" i="19" s="1"/>
  <c r="J32" i="19" a="1"/>
  <c r="J32" i="19" s="1"/>
  <c r="I32" i="19" a="1"/>
  <c r="I32" i="19" s="1"/>
  <c r="H32" i="19" a="1"/>
  <c r="H32" i="19" s="1"/>
  <c r="D32" i="19" a="1"/>
  <c r="D32" i="19" s="1"/>
  <c r="F32" i="19" s="1"/>
  <c r="C32" i="19" a="1"/>
  <c r="C32" i="19" s="1"/>
  <c r="B32" i="19" a="1"/>
  <c r="B32" i="19" s="1"/>
  <c r="K32" i="19" s="1" a="1"/>
  <c r="K32" i="19" s="1"/>
  <c r="J33" i="19" a="1"/>
  <c r="J33" i="19" s="1"/>
  <c r="I33" i="19" a="1"/>
  <c r="I33" i="19" s="1"/>
  <c r="H33" i="19" a="1"/>
  <c r="H33" i="19" s="1"/>
  <c r="D33" i="19" a="1"/>
  <c r="D33" i="19" s="1"/>
  <c r="F33" i="19" s="1"/>
  <c r="C33" i="19" a="1"/>
  <c r="C33" i="19" s="1"/>
  <c r="B33" i="19" a="1"/>
  <c r="B33" i="19" s="1"/>
  <c r="K33" i="19" s="1" a="1"/>
  <c r="K33" i="19" s="1"/>
  <c r="J34" i="19" a="1"/>
  <c r="J34" i="19" s="1"/>
  <c r="I34" i="19" a="1"/>
  <c r="I34" i="19" s="1"/>
  <c r="H34" i="19" a="1"/>
  <c r="H34" i="19" s="1"/>
  <c r="D34" i="19" a="1"/>
  <c r="D34" i="19" s="1"/>
  <c r="F34" i="19" s="1"/>
  <c r="C34" i="19" a="1"/>
  <c r="C34" i="19" s="1"/>
  <c r="B34" i="19" a="1"/>
  <c r="B34" i="19" s="1"/>
  <c r="K34" i="19" s="1" a="1"/>
  <c r="K34" i="19" s="1"/>
  <c r="J35" i="19" a="1"/>
  <c r="J35" i="19" s="1"/>
  <c r="I35" i="19" a="1"/>
  <c r="I35" i="19" s="1"/>
  <c r="H35" i="19" a="1"/>
  <c r="H35" i="19" s="1"/>
  <c r="D35" i="19" a="1"/>
  <c r="D35" i="19" s="1"/>
  <c r="F35" i="19" s="1"/>
  <c r="C35" i="19" a="1"/>
  <c r="C35" i="19" s="1"/>
  <c r="B35" i="19" a="1"/>
  <c r="B35" i="19" s="1"/>
  <c r="K35" i="19" s="1" a="1"/>
  <c r="K35" i="19" s="1"/>
  <c r="J36" i="19" a="1"/>
  <c r="J36" i="19" s="1"/>
  <c r="I36" i="19" a="1"/>
  <c r="I36" i="19" s="1"/>
  <c r="H36" i="19" a="1"/>
  <c r="H36" i="19" s="1"/>
  <c r="D36" i="19" a="1"/>
  <c r="D36" i="19" s="1"/>
  <c r="F36" i="19" s="1"/>
  <c r="C36" i="19" a="1"/>
  <c r="C36" i="19" s="1"/>
  <c r="B36" i="19" a="1"/>
  <c r="B36" i="19" s="1"/>
  <c r="K36" i="19" s="1" a="1"/>
  <c r="K36" i="19" s="1"/>
  <c r="J37" i="19" a="1"/>
  <c r="J37" i="19" s="1"/>
  <c r="I37" i="19" a="1"/>
  <c r="I37" i="19" s="1"/>
  <c r="H37" i="19" a="1"/>
  <c r="H37" i="19" s="1"/>
  <c r="D37" i="19" a="1"/>
  <c r="D37" i="19" s="1"/>
  <c r="F37" i="19" s="1"/>
  <c r="C37" i="19" a="1"/>
  <c r="C37" i="19" s="1"/>
  <c r="B37" i="19" a="1"/>
  <c r="B37" i="19" s="1"/>
  <c r="K37" i="19" s="1" a="1"/>
  <c r="K37" i="19" s="1"/>
  <c r="J38" i="19" a="1"/>
  <c r="J38" i="19" s="1"/>
  <c r="I38" i="19" a="1"/>
  <c r="I38" i="19" s="1"/>
  <c r="H38" i="19" a="1"/>
  <c r="H38" i="19" s="1"/>
  <c r="D38" i="19" a="1"/>
  <c r="D38" i="19" s="1"/>
  <c r="F38" i="19" s="1"/>
  <c r="C38" i="19" a="1"/>
  <c r="C38" i="19" s="1"/>
  <c r="B38" i="19" a="1"/>
  <c r="B38" i="19" s="1"/>
  <c r="K38" i="19" s="1" a="1"/>
  <c r="K38" i="19" s="1"/>
  <c r="J39" i="19" a="1"/>
  <c r="J39" i="19" s="1"/>
  <c r="I39" i="19" a="1"/>
  <c r="I39" i="19" s="1"/>
  <c r="H39" i="19" a="1"/>
  <c r="H39" i="19" s="1"/>
  <c r="D39" i="19" a="1"/>
  <c r="D39" i="19" s="1"/>
  <c r="F39" i="19" s="1"/>
  <c r="C39" i="19" a="1"/>
  <c r="C39" i="19" s="1"/>
  <c r="B39" i="19" a="1"/>
  <c r="B39" i="19" s="1"/>
  <c r="K39" i="19" s="1" a="1"/>
  <c r="K39" i="19" s="1"/>
  <c r="J40" i="19" a="1"/>
  <c r="J40" i="19" s="1"/>
  <c r="I40" i="19" a="1"/>
  <c r="I40" i="19" s="1"/>
  <c r="H40" i="19" a="1"/>
  <c r="H40" i="19" s="1"/>
  <c r="D40" i="19" a="1"/>
  <c r="D40" i="19" s="1"/>
  <c r="F40" i="19" s="1"/>
  <c r="C40" i="19" a="1"/>
  <c r="C40" i="19" s="1"/>
  <c r="B40" i="19" a="1"/>
  <c r="B40" i="19" s="1"/>
  <c r="K40" i="19" s="1" a="1"/>
  <c r="K40" i="19" s="1"/>
  <c r="J41" i="19" a="1"/>
  <c r="J41" i="19" s="1"/>
  <c r="I41" i="19" a="1"/>
  <c r="I41" i="19" s="1"/>
  <c r="H41" i="19" a="1"/>
  <c r="H41" i="19" s="1"/>
  <c r="D41" i="19" a="1"/>
  <c r="D41" i="19" s="1"/>
  <c r="F41" i="19" s="1"/>
  <c r="C41" i="19" a="1"/>
  <c r="C41" i="19" s="1"/>
  <c r="B41" i="19" a="1"/>
  <c r="B41" i="19" s="1"/>
  <c r="J42" i="19" a="1"/>
  <c r="J42" i="19" s="1"/>
  <c r="I42" i="19" a="1"/>
  <c r="I42" i="19" s="1"/>
  <c r="H42" i="19" a="1"/>
  <c r="H42" i="19" s="1"/>
  <c r="D42" i="19" a="1"/>
  <c r="D42" i="19" s="1"/>
  <c r="F42" i="19" s="1"/>
  <c r="C42" i="19" a="1"/>
  <c r="C42" i="19" s="1"/>
  <c r="B42" i="19" a="1"/>
  <c r="B42" i="19" s="1"/>
  <c r="K42" i="19" s="1" a="1"/>
  <c r="K42" i="19" s="1"/>
  <c r="J43" i="19" a="1"/>
  <c r="J43" i="19" s="1"/>
  <c r="I43" i="19" a="1"/>
  <c r="I43" i="19" s="1"/>
  <c r="H43" i="19" a="1"/>
  <c r="H43" i="19" s="1"/>
  <c r="D43" i="19" a="1"/>
  <c r="D43" i="19" s="1"/>
  <c r="F43" i="19" s="1"/>
  <c r="C43" i="19" a="1"/>
  <c r="C43" i="19" s="1"/>
  <c r="B43" i="19" a="1"/>
  <c r="B43" i="19" s="1"/>
  <c r="K43" i="19" s="1" a="1"/>
  <c r="K43" i="19" s="1"/>
  <c r="J44" i="19" a="1"/>
  <c r="J44" i="19" s="1"/>
  <c r="I44" i="19" a="1"/>
  <c r="I44" i="19" s="1"/>
  <c r="H44" i="19" a="1"/>
  <c r="H44" i="19" s="1"/>
  <c r="D44" i="19" a="1"/>
  <c r="D44" i="19" s="1"/>
  <c r="F44" i="19" s="1"/>
  <c r="C44" i="19" a="1"/>
  <c r="C44" i="19" s="1"/>
  <c r="B44" i="19" a="1"/>
  <c r="B44" i="19" s="1"/>
  <c r="K44" i="19" s="1" a="1"/>
  <c r="K44" i="19" s="1"/>
  <c r="J45" i="19" a="1"/>
  <c r="J45" i="19" s="1"/>
  <c r="I45" i="19" a="1"/>
  <c r="I45" i="19" s="1"/>
  <c r="H45" i="19" a="1"/>
  <c r="H45" i="19" s="1"/>
  <c r="D45" i="19" a="1"/>
  <c r="D45" i="19" s="1"/>
  <c r="F45" i="19" s="1"/>
  <c r="C45" i="19" a="1"/>
  <c r="C45" i="19" s="1"/>
  <c r="B45" i="19" a="1"/>
  <c r="B45" i="19" s="1"/>
  <c r="K45" i="19" s="1" a="1"/>
  <c r="K45" i="19" s="1"/>
  <c r="J46" i="19" a="1"/>
  <c r="J46" i="19" s="1"/>
  <c r="I46" i="19" a="1"/>
  <c r="I46" i="19" s="1"/>
  <c r="H46" i="19" a="1"/>
  <c r="H46" i="19" s="1"/>
  <c r="D46" i="19" a="1"/>
  <c r="D46" i="19" s="1"/>
  <c r="F46" i="19" s="1"/>
  <c r="C46" i="19" a="1"/>
  <c r="C46" i="19" s="1"/>
  <c r="B46" i="19" a="1"/>
  <c r="B46" i="19" s="1"/>
  <c r="K46" i="19" s="1" a="1"/>
  <c r="K46" i="19" s="1"/>
  <c r="J47" i="19" a="1"/>
  <c r="J47" i="19" s="1"/>
  <c r="I47" i="19" a="1"/>
  <c r="I47" i="19" s="1"/>
  <c r="H47" i="19" a="1"/>
  <c r="H47" i="19" s="1"/>
  <c r="D47" i="19" a="1"/>
  <c r="D47" i="19" s="1"/>
  <c r="F47" i="19" s="1"/>
  <c r="C47" i="19" a="1"/>
  <c r="C47" i="19" s="1"/>
  <c r="B47" i="19" a="1"/>
  <c r="B47" i="19" s="1"/>
  <c r="K47" i="19" s="1" a="1"/>
  <c r="K47" i="19" s="1"/>
  <c r="J48" i="19" a="1"/>
  <c r="J48" i="19" s="1"/>
  <c r="I48" i="19" a="1"/>
  <c r="I48" i="19" s="1"/>
  <c r="H48" i="19" a="1"/>
  <c r="H48" i="19" s="1"/>
  <c r="D48" i="19" a="1"/>
  <c r="D48" i="19" s="1"/>
  <c r="F48" i="19" s="1"/>
  <c r="C48" i="19" a="1"/>
  <c r="C48" i="19" s="1"/>
  <c r="B48" i="19" a="1"/>
  <c r="B48" i="19" s="1"/>
  <c r="K48" i="19" s="1" a="1"/>
  <c r="K48" i="19" s="1"/>
  <c r="J49" i="19" a="1"/>
  <c r="J49" i="19" s="1"/>
  <c r="I49" i="19" a="1"/>
  <c r="I49" i="19" s="1"/>
  <c r="H49" i="19" a="1"/>
  <c r="H49" i="19" s="1"/>
  <c r="D49" i="19" a="1"/>
  <c r="D49" i="19" s="1"/>
  <c r="F49" i="19" s="1"/>
  <c r="C49" i="19" a="1"/>
  <c r="C49" i="19" s="1"/>
  <c r="B49" i="19" a="1"/>
  <c r="B49" i="19" s="1"/>
  <c r="K49" i="19" s="1" a="1"/>
  <c r="K49" i="19" s="1"/>
  <c r="J50" i="19" a="1"/>
  <c r="J50" i="19" s="1"/>
  <c r="I50" i="19" a="1"/>
  <c r="I50" i="19" s="1"/>
  <c r="H50" i="19" a="1"/>
  <c r="H50" i="19" s="1"/>
  <c r="D50" i="19" a="1"/>
  <c r="D50" i="19" s="1"/>
  <c r="F50" i="19" s="1"/>
  <c r="C50" i="19" a="1"/>
  <c r="C50" i="19" s="1"/>
  <c r="B50" i="19" a="1"/>
  <c r="B50" i="19" s="1"/>
  <c r="K50" i="19" s="1" a="1"/>
  <c r="K50" i="19" s="1"/>
  <c r="J51" i="19" a="1"/>
  <c r="J51" i="19" s="1"/>
  <c r="I51" i="19" a="1"/>
  <c r="I51" i="19" s="1"/>
  <c r="H51" i="19" a="1"/>
  <c r="H51" i="19" s="1"/>
  <c r="D51" i="19" a="1"/>
  <c r="D51" i="19" s="1"/>
  <c r="F51" i="19" s="1"/>
  <c r="C51" i="19" a="1"/>
  <c r="C51" i="19" s="1"/>
  <c r="B51" i="19" a="1"/>
  <c r="B51" i="19" s="1"/>
  <c r="K51" i="19" s="1" a="1"/>
  <c r="K51" i="19" s="1"/>
  <c r="J52" i="19" a="1"/>
  <c r="J52" i="19" s="1"/>
  <c r="I52" i="19" a="1"/>
  <c r="I52" i="19" s="1"/>
  <c r="H52" i="19" a="1"/>
  <c r="H52" i="19" s="1"/>
  <c r="D52" i="19" a="1"/>
  <c r="D52" i="19" s="1"/>
  <c r="F52" i="19" s="1"/>
  <c r="C52" i="19" a="1"/>
  <c r="C52" i="19" s="1"/>
  <c r="B52" i="19" a="1"/>
  <c r="B52" i="19" s="1"/>
  <c r="K52" i="19" s="1" a="1"/>
  <c r="K52" i="19" s="1"/>
  <c r="J53" i="19" a="1"/>
  <c r="J53" i="19" s="1"/>
  <c r="I53" i="19" a="1"/>
  <c r="I53" i="19" s="1"/>
  <c r="H53" i="19" a="1"/>
  <c r="H53" i="19" s="1"/>
  <c r="D53" i="19" a="1"/>
  <c r="D53" i="19" s="1"/>
  <c r="F53" i="19" s="1"/>
  <c r="C53" i="19" a="1"/>
  <c r="C53" i="19" s="1"/>
  <c r="B53" i="19" a="1"/>
  <c r="B53" i="19" s="1"/>
  <c r="K53" i="19" s="1" a="1"/>
  <c r="K53" i="19" s="1"/>
  <c r="J54" i="19" a="1"/>
  <c r="J54" i="19" s="1"/>
  <c r="I54" i="19" a="1"/>
  <c r="I54" i="19" s="1"/>
  <c r="H54" i="19" a="1"/>
  <c r="H54" i="19" s="1"/>
  <c r="D54" i="19" a="1"/>
  <c r="D54" i="19" s="1"/>
  <c r="F54" i="19" s="1"/>
  <c r="C54" i="19" a="1"/>
  <c r="C54" i="19" s="1"/>
  <c r="B54" i="19" a="1"/>
  <c r="B54" i="19" s="1"/>
  <c r="K54" i="19" s="1" a="1"/>
  <c r="K54" i="19" s="1"/>
  <c r="J55" i="19" a="1"/>
  <c r="J55" i="19" s="1"/>
  <c r="I55" i="19" a="1"/>
  <c r="I55" i="19" s="1"/>
  <c r="H55" i="19" a="1"/>
  <c r="H55" i="19" s="1"/>
  <c r="D55" i="19" a="1"/>
  <c r="D55" i="19" s="1"/>
  <c r="F55" i="19" s="1"/>
  <c r="C55" i="19" a="1"/>
  <c r="C55" i="19" s="1"/>
  <c r="B55" i="19" a="1"/>
  <c r="B55" i="19" s="1"/>
  <c r="K55" i="19" s="1" a="1"/>
  <c r="K55" i="19" s="1"/>
  <c r="J56" i="19" a="1"/>
  <c r="J56" i="19" s="1"/>
  <c r="I56" i="19" a="1"/>
  <c r="I56" i="19" s="1"/>
  <c r="H56" i="19" a="1"/>
  <c r="H56" i="19" s="1"/>
  <c r="D56" i="19" a="1"/>
  <c r="D56" i="19" s="1"/>
  <c r="F56" i="19" s="1"/>
  <c r="C56" i="19" a="1"/>
  <c r="C56" i="19" s="1"/>
  <c r="B56" i="19" a="1"/>
  <c r="B56" i="19" s="1"/>
  <c r="K56" i="19" s="1" a="1"/>
  <c r="K56" i="19" s="1"/>
  <c r="J57" i="19" a="1"/>
  <c r="J57" i="19" s="1"/>
  <c r="I57" i="19" a="1"/>
  <c r="I57" i="19" s="1"/>
  <c r="H57" i="19" a="1"/>
  <c r="H57" i="19" s="1"/>
  <c r="D57" i="19" a="1"/>
  <c r="D57" i="19" s="1"/>
  <c r="F57" i="19" s="1"/>
  <c r="C57" i="19" a="1"/>
  <c r="C57" i="19" s="1"/>
  <c r="B57" i="19" a="1"/>
  <c r="B57" i="19" s="1"/>
  <c r="K57" i="19" s="1" a="1"/>
  <c r="K57" i="19" s="1"/>
  <c r="J58" i="19" a="1"/>
  <c r="J58" i="19" s="1"/>
  <c r="I58" i="19" a="1"/>
  <c r="I58" i="19" s="1"/>
  <c r="H58" i="19" a="1"/>
  <c r="H58" i="19" s="1"/>
  <c r="D58" i="19" a="1"/>
  <c r="D58" i="19" s="1"/>
  <c r="F58" i="19" s="1"/>
  <c r="C58" i="19" a="1"/>
  <c r="C58" i="19" s="1"/>
  <c r="B58" i="19" a="1"/>
  <c r="B58" i="19" s="1"/>
  <c r="K58" i="19" s="1" a="1"/>
  <c r="K58" i="19" s="1"/>
  <c r="J59" i="19" a="1"/>
  <c r="J59" i="19" s="1"/>
  <c r="I59" i="19" a="1"/>
  <c r="I59" i="19" s="1"/>
  <c r="H59" i="19" a="1"/>
  <c r="H59" i="19" s="1"/>
  <c r="D59" i="19" a="1"/>
  <c r="D59" i="19" s="1"/>
  <c r="F59" i="19" s="1"/>
  <c r="C59" i="19" a="1"/>
  <c r="C59" i="19" s="1"/>
  <c r="B59" i="19" a="1"/>
  <c r="B59" i="19" s="1"/>
  <c r="K59" i="19" s="1" a="1"/>
  <c r="K59" i="19" s="1"/>
  <c r="J60" i="19" a="1"/>
  <c r="J60" i="19" s="1"/>
  <c r="I60" i="19" a="1"/>
  <c r="I60" i="19" s="1"/>
  <c r="H60" i="19" a="1"/>
  <c r="H60" i="19" s="1"/>
  <c r="D60" i="19" a="1"/>
  <c r="D60" i="19" s="1"/>
  <c r="F60" i="19" s="1"/>
  <c r="C60" i="19" a="1"/>
  <c r="C60" i="19" s="1"/>
  <c r="B60" i="19" a="1"/>
  <c r="B60" i="19" s="1"/>
  <c r="K60" i="19" s="1" a="1"/>
  <c r="K60" i="19" s="1"/>
  <c r="J61" i="19" a="1"/>
  <c r="J61" i="19" s="1"/>
  <c r="I61" i="19" a="1"/>
  <c r="I61" i="19" s="1"/>
  <c r="H61" i="19" a="1"/>
  <c r="H61" i="19" s="1"/>
  <c r="D61" i="19" a="1"/>
  <c r="D61" i="19" s="1"/>
  <c r="F61" i="19" s="1"/>
  <c r="C61" i="19" a="1"/>
  <c r="C61" i="19" s="1"/>
  <c r="B61" i="19" a="1"/>
  <c r="B61" i="19" s="1"/>
  <c r="K61" i="19" s="1" a="1"/>
  <c r="K61" i="19" s="1"/>
  <c r="J62" i="19" a="1"/>
  <c r="J62" i="19" s="1"/>
  <c r="I62" i="19" a="1"/>
  <c r="I62" i="19" s="1"/>
  <c r="H62" i="19" a="1"/>
  <c r="H62" i="19" s="1"/>
  <c r="D62" i="19" a="1"/>
  <c r="D62" i="19" s="1"/>
  <c r="F62" i="19" s="1"/>
  <c r="C62" i="19" a="1"/>
  <c r="C62" i="19" s="1"/>
  <c r="B62" i="19" a="1"/>
  <c r="B62" i="19" s="1"/>
  <c r="K62" i="19" s="1" a="1"/>
  <c r="K62" i="19" s="1"/>
  <c r="J63" i="19" a="1"/>
  <c r="J63" i="19" s="1"/>
  <c r="I63" i="19" a="1"/>
  <c r="I63" i="19" s="1"/>
  <c r="H63" i="19" a="1"/>
  <c r="H63" i="19" s="1"/>
  <c r="D63" i="19" a="1"/>
  <c r="D63" i="19" s="1"/>
  <c r="F63" i="19" s="1"/>
  <c r="C63" i="19" a="1"/>
  <c r="C63" i="19" s="1"/>
  <c r="B63" i="19" a="1"/>
  <c r="B63" i="19" s="1"/>
  <c r="K63" i="19" s="1" a="1"/>
  <c r="K63" i="19" s="1"/>
  <c r="J64" i="19" a="1"/>
  <c r="J64" i="19" s="1"/>
  <c r="I64" i="19" a="1"/>
  <c r="I64" i="19" s="1"/>
  <c r="H64" i="19" a="1"/>
  <c r="H64" i="19" s="1"/>
  <c r="D64" i="19" a="1"/>
  <c r="D64" i="19" s="1"/>
  <c r="F64" i="19" s="1"/>
  <c r="C64" i="19" a="1"/>
  <c r="C64" i="19" s="1"/>
  <c r="B64" i="19" a="1"/>
  <c r="B64" i="19" s="1"/>
  <c r="K64" i="19" s="1" a="1"/>
  <c r="K64" i="19" s="1"/>
  <c r="J65" i="19" a="1"/>
  <c r="J65" i="19" s="1"/>
  <c r="I65" i="19" a="1"/>
  <c r="I65" i="19" s="1"/>
  <c r="H65" i="19" a="1"/>
  <c r="H65" i="19" s="1"/>
  <c r="D65" i="19" a="1"/>
  <c r="D65" i="19" s="1"/>
  <c r="F65" i="19" s="1"/>
  <c r="C65" i="19" a="1"/>
  <c r="C65" i="19" s="1"/>
  <c r="B65" i="19" a="1"/>
  <c r="B65" i="19" s="1"/>
  <c r="K65" i="19" s="1" a="1"/>
  <c r="K65" i="19" s="1"/>
  <c r="J66" i="19" a="1"/>
  <c r="J66" i="19" s="1"/>
  <c r="I66" i="19" a="1"/>
  <c r="I66" i="19" s="1"/>
  <c r="H66" i="19" a="1"/>
  <c r="H66" i="19" s="1"/>
  <c r="D66" i="19" a="1"/>
  <c r="D66" i="19" s="1"/>
  <c r="F66" i="19" s="1"/>
  <c r="C66" i="19" a="1"/>
  <c r="C66" i="19" s="1"/>
  <c r="B66" i="19" a="1"/>
  <c r="B66" i="19" s="1"/>
  <c r="K66" i="19" s="1" a="1"/>
  <c r="K66" i="19" s="1"/>
  <c r="J67" i="19" a="1"/>
  <c r="J67" i="19" s="1"/>
  <c r="I67" i="19" a="1"/>
  <c r="I67" i="19" s="1"/>
  <c r="H67" i="19" a="1"/>
  <c r="H67" i="19" s="1"/>
  <c r="D67" i="19" a="1"/>
  <c r="D67" i="19" s="1"/>
  <c r="F67" i="19" s="1"/>
  <c r="C67" i="19" a="1"/>
  <c r="C67" i="19" s="1"/>
  <c r="B67" i="19" a="1"/>
  <c r="B67" i="19" s="1"/>
  <c r="K67" i="19" s="1" a="1"/>
  <c r="K67" i="19" s="1"/>
  <c r="J68" i="19" a="1"/>
  <c r="J68" i="19" s="1"/>
  <c r="I68" i="19" a="1"/>
  <c r="I68" i="19" s="1"/>
  <c r="H68" i="19" a="1"/>
  <c r="H68" i="19" s="1"/>
  <c r="D68" i="19" a="1"/>
  <c r="D68" i="19" s="1"/>
  <c r="F68" i="19" s="1"/>
  <c r="C68" i="19" a="1"/>
  <c r="C68" i="19" s="1"/>
  <c r="B68" i="19" a="1"/>
  <c r="B68" i="19" s="1"/>
  <c r="K68" i="19" s="1" a="1"/>
  <c r="K68" i="19" s="1"/>
  <c r="J69" i="19" a="1"/>
  <c r="J69" i="19" s="1"/>
  <c r="I69" i="19" a="1"/>
  <c r="I69" i="19" s="1"/>
  <c r="H69" i="19" a="1"/>
  <c r="H69" i="19" s="1"/>
  <c r="D69" i="19" a="1"/>
  <c r="D69" i="19" s="1"/>
  <c r="F69" i="19" s="1"/>
  <c r="C69" i="19" a="1"/>
  <c r="C69" i="19" s="1"/>
  <c r="B69" i="19" a="1"/>
  <c r="B69" i="19" s="1"/>
  <c r="J70" i="19" a="1"/>
  <c r="J70" i="19" s="1"/>
  <c r="I70" i="19" a="1"/>
  <c r="I70" i="19" s="1"/>
  <c r="H70" i="19" a="1"/>
  <c r="H70" i="19" s="1"/>
  <c r="D70" i="19" a="1"/>
  <c r="D70" i="19" s="1"/>
  <c r="F70" i="19" s="1"/>
  <c r="C70" i="19" a="1"/>
  <c r="C70" i="19" s="1"/>
  <c r="B70" i="19" a="1"/>
  <c r="B70" i="19" s="1"/>
  <c r="K70" i="19" s="1" a="1"/>
  <c r="K70" i="19" s="1"/>
  <c r="J71" i="19" a="1"/>
  <c r="J71" i="19" s="1"/>
  <c r="I71" i="19" a="1"/>
  <c r="I71" i="19" s="1"/>
  <c r="H71" i="19" a="1"/>
  <c r="H71" i="19" s="1"/>
  <c r="D71" i="19" a="1"/>
  <c r="D71" i="19" s="1"/>
  <c r="F71" i="19" s="1"/>
  <c r="C71" i="19" a="1"/>
  <c r="C71" i="19" s="1"/>
  <c r="B71" i="19" a="1"/>
  <c r="B71" i="19" s="1"/>
  <c r="K71" i="19" s="1" a="1"/>
  <c r="K71" i="19" s="1"/>
  <c r="J72" i="19" a="1"/>
  <c r="J72" i="19" s="1"/>
  <c r="I72" i="19" a="1"/>
  <c r="I72" i="19" s="1"/>
  <c r="H72" i="19" a="1"/>
  <c r="H72" i="19" s="1"/>
  <c r="D72" i="19" a="1"/>
  <c r="D72" i="19" s="1"/>
  <c r="F72" i="19" s="1"/>
  <c r="C72" i="19" a="1"/>
  <c r="C72" i="19" s="1"/>
  <c r="B72" i="19" a="1"/>
  <c r="B72" i="19" s="1"/>
  <c r="K72" i="19" s="1" a="1"/>
  <c r="K72" i="19" s="1"/>
  <c r="J73" i="19" a="1"/>
  <c r="J73" i="19" s="1"/>
  <c r="I73" i="19" a="1"/>
  <c r="I73" i="19" s="1"/>
  <c r="H73" i="19" a="1"/>
  <c r="H73" i="19" s="1"/>
  <c r="D73" i="19" a="1"/>
  <c r="D73" i="19" s="1"/>
  <c r="F73" i="19" s="1"/>
  <c r="C73" i="19" a="1"/>
  <c r="C73" i="19" s="1"/>
  <c r="B73" i="19" a="1"/>
  <c r="B73" i="19" s="1"/>
  <c r="K73" i="19" s="1" a="1"/>
  <c r="K73" i="19" s="1"/>
  <c r="J74" i="19" a="1"/>
  <c r="J74" i="19" s="1"/>
  <c r="I74" i="19" a="1"/>
  <c r="I74" i="19" s="1"/>
  <c r="H74" i="19" a="1"/>
  <c r="H74" i="19" s="1"/>
  <c r="D74" i="19" a="1"/>
  <c r="D74" i="19" s="1"/>
  <c r="F74" i="19" s="1"/>
  <c r="C74" i="19" a="1"/>
  <c r="C74" i="19" s="1"/>
  <c r="B74" i="19" a="1"/>
  <c r="B74" i="19" s="1"/>
  <c r="K74" i="19" s="1" a="1"/>
  <c r="K74" i="19" s="1"/>
  <c r="J75" i="19" a="1"/>
  <c r="J75" i="19" s="1"/>
  <c r="I75" i="19" a="1"/>
  <c r="I75" i="19" s="1"/>
  <c r="H75" i="19" a="1"/>
  <c r="H75" i="19" s="1"/>
  <c r="D75" i="19" a="1"/>
  <c r="D75" i="19" s="1"/>
  <c r="F75" i="19" s="1"/>
  <c r="C75" i="19" a="1"/>
  <c r="C75" i="19" s="1"/>
  <c r="B75" i="19" a="1"/>
  <c r="B75" i="19" s="1"/>
  <c r="J76" i="19" a="1"/>
  <c r="J76" i="19" s="1"/>
  <c r="I76" i="19" a="1"/>
  <c r="I76" i="19" s="1"/>
  <c r="H76" i="19" a="1"/>
  <c r="H76" i="19" s="1"/>
  <c r="D76" i="19" a="1"/>
  <c r="D76" i="19" s="1"/>
  <c r="F76" i="19" s="1"/>
  <c r="C76" i="19" a="1"/>
  <c r="C76" i="19" s="1"/>
  <c r="B76" i="19" a="1"/>
  <c r="B76" i="19" s="1"/>
  <c r="K76" i="19" s="1" a="1"/>
  <c r="K76" i="19" s="1"/>
  <c r="J77" i="19" a="1"/>
  <c r="J77" i="19" s="1"/>
  <c r="I77" i="19" a="1"/>
  <c r="I77" i="19" s="1"/>
  <c r="H77" i="19" a="1"/>
  <c r="H77" i="19" s="1"/>
  <c r="D77" i="19" a="1"/>
  <c r="D77" i="19" s="1"/>
  <c r="F77" i="19" s="1"/>
  <c r="C77" i="19" a="1"/>
  <c r="C77" i="19" s="1"/>
  <c r="B77" i="19" a="1"/>
  <c r="B77" i="19" s="1"/>
  <c r="K77" i="19" s="1" a="1"/>
  <c r="K77" i="19" s="1"/>
  <c r="J78" i="19" a="1"/>
  <c r="J78" i="19" s="1"/>
  <c r="I78" i="19" a="1"/>
  <c r="I78" i="19" s="1"/>
  <c r="H78" i="19" a="1"/>
  <c r="H78" i="19" s="1"/>
  <c r="D78" i="19" a="1"/>
  <c r="D78" i="19" s="1"/>
  <c r="F78" i="19" s="1"/>
  <c r="C78" i="19" a="1"/>
  <c r="C78" i="19" s="1"/>
  <c r="B78" i="19" a="1"/>
  <c r="B78" i="19" s="1"/>
  <c r="K78" i="19" s="1" a="1"/>
  <c r="K78" i="19" s="1"/>
  <c r="J79" i="19" a="1"/>
  <c r="J79" i="19" s="1"/>
  <c r="I79" i="19" a="1"/>
  <c r="I79" i="19" s="1"/>
  <c r="H79" i="19" a="1"/>
  <c r="H79" i="19" s="1"/>
  <c r="D79" i="19" a="1"/>
  <c r="D79" i="19" s="1"/>
  <c r="F79" i="19" s="1"/>
  <c r="C79" i="19" a="1"/>
  <c r="C79" i="19" s="1"/>
  <c r="B79" i="19" a="1"/>
  <c r="B79" i="19" s="1"/>
  <c r="K79" i="19" s="1" a="1"/>
  <c r="K79" i="19" s="1"/>
  <c r="J80" i="19" a="1"/>
  <c r="J80" i="19" s="1"/>
  <c r="I80" i="19" a="1"/>
  <c r="I80" i="19" s="1"/>
  <c r="H80" i="19" a="1"/>
  <c r="H80" i="19" s="1"/>
  <c r="D80" i="19" a="1"/>
  <c r="D80" i="19" s="1"/>
  <c r="F80" i="19" s="1"/>
  <c r="C80" i="19" a="1"/>
  <c r="C80" i="19" s="1"/>
  <c r="B80" i="19" a="1"/>
  <c r="B80" i="19" s="1"/>
  <c r="K80" i="19" s="1" a="1"/>
  <c r="K80" i="19" s="1"/>
  <c r="J81" i="19" a="1"/>
  <c r="J81" i="19" s="1"/>
  <c r="I81" i="19" a="1"/>
  <c r="I81" i="19" s="1"/>
  <c r="H81" i="19" a="1"/>
  <c r="H81" i="19" s="1"/>
  <c r="D81" i="19" a="1"/>
  <c r="D81" i="19" s="1"/>
  <c r="F81" i="19" s="1"/>
  <c r="C81" i="19" a="1"/>
  <c r="C81" i="19" s="1"/>
  <c r="B81" i="19" a="1"/>
  <c r="B81" i="19" s="1"/>
  <c r="K81" i="19" s="1" a="1"/>
  <c r="K81" i="19" s="1"/>
  <c r="J82" i="19" a="1"/>
  <c r="J82" i="19" s="1"/>
  <c r="I82" i="19" a="1"/>
  <c r="I82" i="19" s="1"/>
  <c r="H82" i="19" a="1"/>
  <c r="H82" i="19" s="1"/>
  <c r="D82" i="19" a="1"/>
  <c r="D82" i="19" s="1"/>
  <c r="F82" i="19" s="1"/>
  <c r="C82" i="19" a="1"/>
  <c r="C82" i="19" s="1"/>
  <c r="B82" i="19" a="1"/>
  <c r="B82" i="19" s="1"/>
  <c r="K82" i="19" s="1" a="1"/>
  <c r="K82" i="19" s="1"/>
  <c r="J83" i="19" a="1"/>
  <c r="J83" i="19" s="1"/>
  <c r="I83" i="19" a="1"/>
  <c r="I83" i="19" s="1"/>
  <c r="H83" i="19" a="1"/>
  <c r="H83" i="19" s="1"/>
  <c r="D83" i="19" a="1"/>
  <c r="D83" i="19" s="1"/>
  <c r="F83" i="19" s="1"/>
  <c r="C83" i="19" a="1"/>
  <c r="C83" i="19" s="1"/>
  <c r="B83" i="19" a="1"/>
  <c r="B83" i="19" s="1"/>
  <c r="J84" i="19" a="1"/>
  <c r="J84" i="19" s="1"/>
  <c r="I84" i="19" a="1"/>
  <c r="I84" i="19" s="1"/>
  <c r="H84" i="19" a="1"/>
  <c r="H84" i="19" s="1"/>
  <c r="D84" i="19" a="1"/>
  <c r="D84" i="19" s="1"/>
  <c r="F84" i="19" s="1"/>
  <c r="C84" i="19" a="1"/>
  <c r="C84" i="19" s="1"/>
  <c r="B84" i="19" a="1"/>
  <c r="B84" i="19" s="1"/>
  <c r="K84" i="19" s="1" a="1"/>
  <c r="K84" i="19" s="1"/>
  <c r="J85" i="19" a="1"/>
  <c r="J85" i="19" s="1"/>
  <c r="I85" i="19" a="1"/>
  <c r="I85" i="19" s="1"/>
  <c r="H85" i="19" a="1"/>
  <c r="H85" i="19" s="1"/>
  <c r="D85" i="19" a="1"/>
  <c r="D85" i="19" s="1"/>
  <c r="F85" i="19" s="1"/>
  <c r="C85" i="19" a="1"/>
  <c r="C85" i="19" s="1"/>
  <c r="B85" i="19" a="1"/>
  <c r="B85" i="19" s="1"/>
  <c r="K85" i="19" s="1" a="1"/>
  <c r="K85" i="19" s="1"/>
  <c r="J86" i="19" a="1"/>
  <c r="J86" i="19" s="1"/>
  <c r="I86" i="19" a="1"/>
  <c r="I86" i="19" s="1"/>
  <c r="H86" i="19" a="1"/>
  <c r="H86" i="19" s="1"/>
  <c r="D86" i="19" a="1"/>
  <c r="D86" i="19" s="1"/>
  <c r="F86" i="19" s="1"/>
  <c r="C86" i="19" a="1"/>
  <c r="C86" i="19" s="1"/>
  <c r="B86" i="19" a="1"/>
  <c r="B86" i="19" s="1"/>
  <c r="K86" i="19" s="1" a="1"/>
  <c r="K86" i="19" s="1"/>
  <c r="J87" i="19" a="1"/>
  <c r="J87" i="19" s="1"/>
  <c r="I87" i="19" a="1"/>
  <c r="I87" i="19" s="1"/>
  <c r="H87" i="19" a="1"/>
  <c r="H87" i="19" s="1"/>
  <c r="D87" i="19" a="1"/>
  <c r="D87" i="19" s="1"/>
  <c r="F87" i="19" s="1"/>
  <c r="C87" i="19" a="1"/>
  <c r="C87" i="19" s="1"/>
  <c r="B87" i="19" a="1"/>
  <c r="B87" i="19" s="1"/>
  <c r="K87" i="19" s="1" a="1"/>
  <c r="K87" i="19" s="1"/>
  <c r="J88" i="19" a="1"/>
  <c r="J88" i="19" s="1"/>
  <c r="I88" i="19" a="1"/>
  <c r="I88" i="19" s="1"/>
  <c r="H88" i="19" a="1"/>
  <c r="H88" i="19" s="1"/>
  <c r="D88" i="19" a="1"/>
  <c r="D88" i="19" s="1"/>
  <c r="F88" i="19" s="1"/>
  <c r="C88" i="19" a="1"/>
  <c r="C88" i="19" s="1"/>
  <c r="B88" i="19" a="1"/>
  <c r="B88" i="19" s="1"/>
  <c r="K88" i="19" s="1" a="1"/>
  <c r="K88" i="19" s="1"/>
  <c r="J89" i="19" a="1"/>
  <c r="J89" i="19" s="1"/>
  <c r="I89" i="19" a="1"/>
  <c r="I89" i="19" s="1"/>
  <c r="H89" i="19" a="1"/>
  <c r="H89" i="19" s="1"/>
  <c r="D89" i="19" a="1"/>
  <c r="D89" i="19" s="1"/>
  <c r="F89" i="19" s="1"/>
  <c r="C89" i="19" a="1"/>
  <c r="C89" i="19" s="1"/>
  <c r="B89" i="19" a="1"/>
  <c r="B89" i="19" s="1"/>
  <c r="K89" i="19" s="1" a="1"/>
  <c r="K89" i="19" s="1"/>
  <c r="J90" i="19" a="1"/>
  <c r="J90" i="19" s="1"/>
  <c r="I90" i="19" a="1"/>
  <c r="I90" i="19" s="1"/>
  <c r="H90" i="19" a="1"/>
  <c r="H90" i="19" s="1"/>
  <c r="D90" i="19" a="1"/>
  <c r="D90" i="19" s="1"/>
  <c r="F90" i="19" s="1"/>
  <c r="C90" i="19" a="1"/>
  <c r="C90" i="19" s="1"/>
  <c r="B90" i="19" a="1"/>
  <c r="B90" i="19" s="1"/>
  <c r="K90" i="19" s="1" a="1"/>
  <c r="K90" i="19" s="1"/>
  <c r="J91" i="19" a="1"/>
  <c r="J91" i="19" s="1"/>
  <c r="I91" i="19" a="1"/>
  <c r="I91" i="19" s="1"/>
  <c r="H91" i="19" a="1"/>
  <c r="H91" i="19" s="1"/>
  <c r="D91" i="19" a="1"/>
  <c r="D91" i="19" s="1"/>
  <c r="F91" i="19" s="1"/>
  <c r="C91" i="19" a="1"/>
  <c r="C91" i="19" s="1"/>
  <c r="B91" i="19" a="1"/>
  <c r="B91" i="19" s="1"/>
  <c r="K91" i="19" s="1" a="1"/>
  <c r="K91" i="19" s="1"/>
  <c r="J92" i="19" a="1"/>
  <c r="J92" i="19" s="1"/>
  <c r="I92" i="19" a="1"/>
  <c r="I92" i="19" s="1"/>
  <c r="H92" i="19" a="1"/>
  <c r="H92" i="19" s="1"/>
  <c r="D92" i="19" a="1"/>
  <c r="D92" i="19" s="1"/>
  <c r="F92" i="19" s="1"/>
  <c r="C92" i="19" a="1"/>
  <c r="C92" i="19" s="1"/>
  <c r="B92" i="19" a="1"/>
  <c r="B92" i="19" s="1"/>
  <c r="K92" i="19" s="1" a="1"/>
  <c r="K92" i="19" s="1"/>
  <c r="J93" i="19" a="1"/>
  <c r="J93" i="19" s="1"/>
  <c r="I93" i="19" a="1"/>
  <c r="I93" i="19" s="1"/>
  <c r="H93" i="19" a="1"/>
  <c r="H93" i="19" s="1"/>
  <c r="D93" i="19" a="1"/>
  <c r="D93" i="19" s="1"/>
  <c r="F93" i="19" s="1"/>
  <c r="C93" i="19" a="1"/>
  <c r="C93" i="19" s="1"/>
  <c r="B93" i="19" a="1"/>
  <c r="B93" i="19" s="1"/>
  <c r="K93" i="19" s="1" a="1"/>
  <c r="K93" i="19" s="1"/>
  <c r="J94" i="19" a="1"/>
  <c r="J94" i="19" s="1"/>
  <c r="I94" i="19" a="1"/>
  <c r="I94" i="19" s="1"/>
  <c r="H94" i="19" a="1"/>
  <c r="H94" i="19" s="1"/>
  <c r="D94" i="19" a="1"/>
  <c r="D94" i="19" s="1"/>
  <c r="F94" i="19" s="1"/>
  <c r="C94" i="19" a="1"/>
  <c r="C94" i="19" s="1"/>
  <c r="B94" i="19" a="1"/>
  <c r="B94" i="19" s="1"/>
  <c r="K94" i="19" s="1" a="1"/>
  <c r="K94" i="19" s="1"/>
  <c r="J95" i="19" a="1"/>
  <c r="J95" i="19" s="1"/>
  <c r="I95" i="19" a="1"/>
  <c r="I95" i="19" s="1"/>
  <c r="H95" i="19" a="1"/>
  <c r="H95" i="19" s="1"/>
  <c r="D95" i="19" a="1"/>
  <c r="D95" i="19" s="1"/>
  <c r="F95" i="19" s="1"/>
  <c r="C95" i="19" a="1"/>
  <c r="C95" i="19" s="1"/>
  <c r="B95" i="19" a="1"/>
  <c r="B95" i="19" s="1"/>
  <c r="K95" i="19" s="1" a="1"/>
  <c r="K95" i="19" s="1"/>
  <c r="J96" i="19" a="1"/>
  <c r="J96" i="19" s="1"/>
  <c r="I96" i="19" a="1"/>
  <c r="I96" i="19" s="1"/>
  <c r="H96" i="19" a="1"/>
  <c r="H96" i="19" s="1"/>
  <c r="D96" i="19" a="1"/>
  <c r="D96" i="19" s="1"/>
  <c r="F96" i="19" s="1"/>
  <c r="C96" i="19" a="1"/>
  <c r="C96" i="19" s="1"/>
  <c r="B96" i="19" a="1"/>
  <c r="B96" i="19" s="1"/>
  <c r="K96" i="19" s="1" a="1"/>
  <c r="K96" i="19" s="1"/>
  <c r="J97" i="19" a="1"/>
  <c r="J97" i="19" s="1"/>
  <c r="I97" i="19" a="1"/>
  <c r="I97" i="19" s="1"/>
  <c r="H97" i="19" a="1"/>
  <c r="H97" i="19" s="1"/>
  <c r="D97" i="19" a="1"/>
  <c r="D97" i="19" s="1"/>
  <c r="F97" i="19" s="1"/>
  <c r="C97" i="19" a="1"/>
  <c r="C97" i="19" s="1"/>
  <c r="B97" i="19" a="1"/>
  <c r="B97" i="19" s="1"/>
  <c r="J98" i="19" a="1"/>
  <c r="J98" i="19" s="1"/>
  <c r="I98" i="19" a="1"/>
  <c r="I98" i="19" s="1"/>
  <c r="H98" i="19" a="1"/>
  <c r="H98" i="19" s="1"/>
  <c r="D98" i="19" a="1"/>
  <c r="D98" i="19" s="1"/>
  <c r="F98" i="19" s="1"/>
  <c r="C98" i="19" a="1"/>
  <c r="C98" i="19" s="1"/>
  <c r="B98" i="19" a="1"/>
  <c r="B98" i="19" s="1"/>
  <c r="K98" i="19" s="1" a="1"/>
  <c r="K98" i="19" s="1"/>
  <c r="J99" i="19" a="1"/>
  <c r="J99" i="19" s="1"/>
  <c r="I99" i="19" a="1"/>
  <c r="I99" i="19" s="1"/>
  <c r="H99" i="19" a="1"/>
  <c r="H99" i="19" s="1"/>
  <c r="D99" i="19" a="1"/>
  <c r="D99" i="19" s="1"/>
  <c r="F99" i="19" s="1"/>
  <c r="C99" i="19" a="1"/>
  <c r="C99" i="19" s="1"/>
  <c r="B99" i="19" a="1"/>
  <c r="B99" i="19" s="1"/>
  <c r="K99" i="19" s="1" a="1"/>
  <c r="K99" i="19" s="1"/>
  <c r="J100" i="19" a="1"/>
  <c r="J100" i="19" s="1"/>
  <c r="I100" i="19" a="1"/>
  <c r="I100" i="19" s="1"/>
  <c r="H100" i="19" a="1"/>
  <c r="H100" i="19" s="1"/>
  <c r="D100" i="19" a="1"/>
  <c r="D100" i="19" s="1"/>
  <c r="F100" i="19" s="1"/>
  <c r="C100" i="19" a="1"/>
  <c r="C100" i="19" s="1"/>
  <c r="B100" i="19" a="1"/>
  <c r="B100" i="19" s="1"/>
  <c r="K100" i="19" s="1" a="1"/>
  <c r="K100" i="19" s="1"/>
  <c r="J101" i="19" a="1"/>
  <c r="J101" i="19" s="1"/>
  <c r="I101" i="19" a="1"/>
  <c r="I101" i="19" s="1"/>
  <c r="H101" i="19" a="1"/>
  <c r="H101" i="19" s="1"/>
  <c r="D101" i="19" a="1"/>
  <c r="D101" i="19" s="1"/>
  <c r="F101" i="19" s="1"/>
  <c r="C101" i="19" a="1"/>
  <c r="C101" i="19" s="1"/>
  <c r="B101" i="19" a="1"/>
  <c r="B101" i="19" s="1"/>
  <c r="K101" i="19" s="1" a="1"/>
  <c r="K101" i="19" s="1"/>
  <c r="J102" i="19" a="1"/>
  <c r="J102" i="19" s="1"/>
  <c r="I102" i="19" a="1"/>
  <c r="I102" i="19" s="1"/>
  <c r="H102" i="19" a="1"/>
  <c r="H102" i="19" s="1"/>
  <c r="D102" i="19" a="1"/>
  <c r="D102" i="19" s="1"/>
  <c r="F102" i="19" s="1"/>
  <c r="C102" i="19" a="1"/>
  <c r="C102" i="19" s="1"/>
  <c r="B102" i="19" a="1"/>
  <c r="B102" i="19" s="1"/>
  <c r="K102" i="19" s="1" a="1"/>
  <c r="K102" i="19" s="1"/>
  <c r="J103" i="19" a="1"/>
  <c r="J103" i="19" s="1"/>
  <c r="I103" i="19" a="1"/>
  <c r="I103" i="19" s="1"/>
  <c r="H103" i="19" a="1"/>
  <c r="H103" i="19" s="1"/>
  <c r="D103" i="19" a="1"/>
  <c r="D103" i="19" s="1"/>
  <c r="F103" i="19" s="1"/>
  <c r="C103" i="19" a="1"/>
  <c r="C103" i="19" s="1"/>
  <c r="B103" i="19" a="1"/>
  <c r="B103" i="19" s="1"/>
  <c r="K103" i="19" s="1" a="1"/>
  <c r="K103" i="19" s="1"/>
  <c r="J104" i="19" a="1"/>
  <c r="J104" i="19" s="1"/>
  <c r="I104" i="19" a="1"/>
  <c r="I104" i="19" s="1"/>
  <c r="H104" i="19" a="1"/>
  <c r="H104" i="19" s="1"/>
  <c r="D104" i="19" a="1"/>
  <c r="D104" i="19" s="1"/>
  <c r="F104" i="19" s="1"/>
  <c r="C104" i="19" a="1"/>
  <c r="C104" i="19" s="1"/>
  <c r="B104" i="19" a="1"/>
  <c r="B104" i="19" s="1"/>
  <c r="K104" i="19" s="1" a="1"/>
  <c r="K104" i="19" s="1"/>
  <c r="J105" i="19" a="1"/>
  <c r="J105" i="19" s="1"/>
  <c r="I105" i="19" a="1"/>
  <c r="I105" i="19" s="1"/>
  <c r="H105" i="19" a="1"/>
  <c r="H105" i="19" s="1"/>
  <c r="D105" i="19" a="1"/>
  <c r="D105" i="19" s="1"/>
  <c r="F105" i="19" s="1"/>
  <c r="C105" i="19" a="1"/>
  <c r="C105" i="19" s="1"/>
  <c r="B105" i="19" a="1"/>
  <c r="B105" i="19" s="1"/>
  <c r="K105" i="19" s="1" a="1"/>
  <c r="K105" i="19" s="1"/>
  <c r="J106" i="19" a="1"/>
  <c r="J106" i="19" s="1"/>
  <c r="I106" i="19" a="1"/>
  <c r="I106" i="19" s="1"/>
  <c r="H106" i="19" a="1"/>
  <c r="H106" i="19" s="1"/>
  <c r="D106" i="19" a="1"/>
  <c r="D106" i="19" s="1"/>
  <c r="F106" i="19" s="1"/>
  <c r="C106" i="19" a="1"/>
  <c r="C106" i="19" s="1"/>
  <c r="B106" i="19" a="1"/>
  <c r="B106" i="19" s="1"/>
  <c r="K106" i="19" s="1" a="1"/>
  <c r="K106" i="19" s="1"/>
  <c r="J107" i="19" a="1"/>
  <c r="J107" i="19" s="1"/>
  <c r="I107" i="19" a="1"/>
  <c r="I107" i="19" s="1"/>
  <c r="H107" i="19" a="1"/>
  <c r="H107" i="19" s="1"/>
  <c r="D107" i="19" a="1"/>
  <c r="D107" i="19" s="1"/>
  <c r="F107" i="19" s="1"/>
  <c r="C107" i="19" a="1"/>
  <c r="C107" i="19" s="1"/>
  <c r="B107" i="19" a="1"/>
  <c r="B107" i="19" s="1"/>
  <c r="K107" i="19" s="1" a="1"/>
  <c r="K107" i="19" s="1"/>
  <c r="J108" i="19" a="1"/>
  <c r="J108" i="19" s="1"/>
  <c r="I108" i="19" a="1"/>
  <c r="I108" i="19" s="1"/>
  <c r="H108" i="19" a="1"/>
  <c r="H108" i="19" s="1"/>
  <c r="D108" i="19" a="1"/>
  <c r="D108" i="19" s="1"/>
  <c r="F108" i="19" s="1"/>
  <c r="C108" i="19" a="1"/>
  <c r="C108" i="19" s="1"/>
  <c r="B108" i="19" a="1"/>
  <c r="B108" i="19" s="1"/>
  <c r="K108" i="19" s="1" a="1"/>
  <c r="K108" i="19" s="1"/>
  <c r="J109" i="19" a="1"/>
  <c r="J109" i="19" s="1"/>
  <c r="I109" i="19" a="1"/>
  <c r="I109" i="19" s="1"/>
  <c r="H109" i="19" a="1"/>
  <c r="H109" i="19" s="1"/>
  <c r="D109" i="19" a="1"/>
  <c r="D109" i="19" s="1"/>
  <c r="F109" i="19" s="1"/>
  <c r="C109" i="19" a="1"/>
  <c r="C109" i="19" s="1"/>
  <c r="B109" i="19" a="1"/>
  <c r="B109" i="19" s="1"/>
  <c r="K109" i="19" s="1" a="1"/>
  <c r="K109" i="19" s="1"/>
  <c r="J110" i="19" a="1"/>
  <c r="J110" i="19" s="1"/>
  <c r="I110" i="19" a="1"/>
  <c r="I110" i="19" s="1"/>
  <c r="H110" i="19" a="1"/>
  <c r="H110" i="19" s="1"/>
  <c r="D110" i="19" a="1"/>
  <c r="D110" i="19" s="1"/>
  <c r="F110" i="19" s="1"/>
  <c r="C110" i="19" a="1"/>
  <c r="C110" i="19" s="1"/>
  <c r="B110" i="19" a="1"/>
  <c r="B110" i="19" s="1"/>
  <c r="K110" i="19" s="1" a="1"/>
  <c r="K110" i="19" s="1"/>
  <c r="J111" i="19" a="1"/>
  <c r="J111" i="19" s="1"/>
  <c r="I111" i="19" a="1"/>
  <c r="I111" i="19" s="1"/>
  <c r="H111" i="19" a="1"/>
  <c r="H111" i="19" s="1"/>
  <c r="D111" i="19" a="1"/>
  <c r="D111" i="19" s="1"/>
  <c r="F111" i="19" s="1"/>
  <c r="C111" i="19" a="1"/>
  <c r="C111" i="19" s="1"/>
  <c r="B111" i="19" a="1"/>
  <c r="B111" i="19" s="1"/>
  <c r="K111" i="19" s="1" a="1"/>
  <c r="K111" i="19" s="1"/>
  <c r="J112" i="19" a="1"/>
  <c r="J112" i="19" s="1"/>
  <c r="I112" i="19" a="1"/>
  <c r="I112" i="19" s="1"/>
  <c r="H112" i="19" a="1"/>
  <c r="H112" i="19" s="1"/>
  <c r="D112" i="19" a="1"/>
  <c r="D112" i="19" s="1"/>
  <c r="F112" i="19" s="1"/>
  <c r="C112" i="19" a="1"/>
  <c r="C112" i="19" s="1"/>
  <c r="B112" i="19" a="1"/>
  <c r="B112" i="19" s="1"/>
  <c r="K112" i="19" s="1" a="1"/>
  <c r="K112" i="19" s="1"/>
  <c r="J113" i="19" a="1"/>
  <c r="J113" i="19" s="1"/>
  <c r="I113" i="19" a="1"/>
  <c r="I113" i="19" s="1"/>
  <c r="H113" i="19" a="1"/>
  <c r="H113" i="19" s="1"/>
  <c r="D113" i="19" a="1"/>
  <c r="D113" i="19" s="1"/>
  <c r="F113" i="19" s="1"/>
  <c r="C113" i="19" a="1"/>
  <c r="C113" i="19" s="1"/>
  <c r="G113" i="19" s="1" a="1"/>
  <c r="G113" i="19" s="1"/>
  <c r="B113" i="19" a="1"/>
  <c r="B113" i="19" s="1"/>
  <c r="K113" i="19" s="1" a="1"/>
  <c r="K113" i="19" s="1"/>
  <c r="J114" i="19" a="1"/>
  <c r="J114" i="19" s="1"/>
  <c r="I114" i="19" a="1"/>
  <c r="I114" i="19" s="1"/>
  <c r="H114" i="19" a="1"/>
  <c r="H114" i="19" s="1"/>
  <c r="D114" i="19" a="1"/>
  <c r="D114" i="19" s="1"/>
  <c r="F114" i="19" s="1"/>
  <c r="C114" i="19" a="1"/>
  <c r="C114" i="19" s="1"/>
  <c r="E114" i="19" s="1" a="1"/>
  <c r="E114" i="19" s="1"/>
  <c r="B114" i="19" a="1"/>
  <c r="B114" i="19" s="1"/>
  <c r="K114" i="19" s="1" a="1"/>
  <c r="K114" i="19" s="1"/>
  <c r="J115" i="19" a="1"/>
  <c r="J115" i="19" s="1"/>
  <c r="I115" i="19" a="1"/>
  <c r="I115" i="19" s="1"/>
  <c r="H115" i="19" a="1"/>
  <c r="H115" i="19" s="1"/>
  <c r="D115" i="19" a="1"/>
  <c r="D115" i="19" s="1"/>
  <c r="F115" i="19" s="1"/>
  <c r="C115" i="19" a="1"/>
  <c r="C115" i="19" s="1"/>
  <c r="G115" i="19" s="1" a="1"/>
  <c r="G115" i="19" s="1"/>
  <c r="B115" i="19" a="1"/>
  <c r="B115" i="19" s="1"/>
  <c r="K115" i="19" s="1" a="1"/>
  <c r="K115" i="19" s="1"/>
  <c r="J116" i="19" a="1"/>
  <c r="J116" i="19" s="1"/>
  <c r="I116" i="19" a="1"/>
  <c r="I116" i="19" s="1"/>
  <c r="H116" i="19" a="1"/>
  <c r="H116" i="19" s="1"/>
  <c r="D116" i="19" a="1"/>
  <c r="D116" i="19" s="1"/>
  <c r="F116" i="19" s="1"/>
  <c r="C116" i="19" a="1"/>
  <c r="C116" i="19" s="1"/>
  <c r="G116" i="19" s="1" a="1"/>
  <c r="G116" i="19" s="1"/>
  <c r="B116" i="19" a="1"/>
  <c r="B116" i="19" s="1"/>
  <c r="K116" i="19" s="1" a="1"/>
  <c r="K116" i="19" s="1"/>
  <c r="J117" i="19" a="1"/>
  <c r="J117" i="19" s="1"/>
  <c r="I117" i="19" a="1"/>
  <c r="I117" i="19" s="1"/>
  <c r="H117" i="19" a="1"/>
  <c r="H117" i="19" s="1"/>
  <c r="D117" i="19" a="1"/>
  <c r="D117" i="19" s="1"/>
  <c r="F117" i="19" s="1"/>
  <c r="C117" i="19" a="1"/>
  <c r="C117" i="19" s="1"/>
  <c r="E117" i="19" s="1" a="1"/>
  <c r="E117" i="19" s="1"/>
  <c r="B117" i="19" a="1"/>
  <c r="B117" i="19" s="1"/>
  <c r="K117" i="19" s="1" a="1"/>
  <c r="K117" i="19" s="1"/>
  <c r="J118" i="19" a="1"/>
  <c r="J118" i="19" s="1"/>
  <c r="I118" i="19" a="1"/>
  <c r="I118" i="19" s="1"/>
  <c r="H118" i="19" a="1"/>
  <c r="H118" i="19" s="1"/>
  <c r="D118" i="19" a="1"/>
  <c r="D118" i="19" s="1"/>
  <c r="F118" i="19" s="1"/>
  <c r="C118" i="19" a="1"/>
  <c r="C118" i="19" s="1"/>
  <c r="G118" i="19" s="1" a="1"/>
  <c r="G118" i="19" s="1"/>
  <c r="B118" i="19" a="1"/>
  <c r="B118" i="19" s="1"/>
  <c r="K118" i="19" s="1" a="1"/>
  <c r="K118" i="19" s="1"/>
  <c r="J119" i="19" a="1"/>
  <c r="J119" i="19" s="1"/>
  <c r="I119" i="19" a="1"/>
  <c r="I119" i="19" s="1"/>
  <c r="H119" i="19" a="1"/>
  <c r="H119" i="19" s="1"/>
  <c r="D119" i="19" a="1"/>
  <c r="D119" i="19" s="1"/>
  <c r="F119" i="19" s="1"/>
  <c r="C119" i="19" a="1"/>
  <c r="C119" i="19" s="1"/>
  <c r="G119" i="19" s="1" a="1"/>
  <c r="G119" i="19" s="1"/>
  <c r="B119" i="19" a="1"/>
  <c r="B119" i="19" s="1"/>
  <c r="K119" i="19" s="1" a="1"/>
  <c r="K119" i="19" s="1"/>
  <c r="J120" i="19" a="1"/>
  <c r="J120" i="19" s="1"/>
  <c r="I120" i="19" a="1"/>
  <c r="I120" i="19" s="1"/>
  <c r="H120" i="19" a="1"/>
  <c r="H120" i="19" s="1"/>
  <c r="D120" i="19" a="1"/>
  <c r="D120" i="19" s="1"/>
  <c r="F120" i="19" s="1"/>
  <c r="C120" i="19" a="1"/>
  <c r="C120" i="19" s="1"/>
  <c r="E120" i="19" s="1" a="1"/>
  <c r="E120" i="19" s="1"/>
  <c r="B120" i="19" a="1"/>
  <c r="B120" i="19" s="1"/>
  <c r="K120" i="19" s="1" a="1"/>
  <c r="K120" i="19" s="1"/>
  <c r="J121" i="19" a="1"/>
  <c r="J121" i="19" s="1"/>
  <c r="I121" i="19" a="1"/>
  <c r="I121" i="19" s="1"/>
  <c r="H121" i="19" a="1"/>
  <c r="H121" i="19" s="1"/>
  <c r="D121" i="19" a="1"/>
  <c r="D121" i="19" s="1"/>
  <c r="F121" i="19" s="1"/>
  <c r="C121" i="19" a="1"/>
  <c r="C121" i="19" s="1"/>
  <c r="G121" i="19" s="1" a="1"/>
  <c r="G121" i="19" s="1"/>
  <c r="B121" i="19" a="1"/>
  <c r="B121" i="19" s="1"/>
  <c r="K121" i="19" s="1" a="1"/>
  <c r="K121" i="19" s="1"/>
  <c r="J122" i="19" a="1"/>
  <c r="J122" i="19" s="1"/>
  <c r="I122" i="19" a="1"/>
  <c r="I122" i="19" s="1"/>
  <c r="H122" i="19" a="1"/>
  <c r="H122" i="19" s="1"/>
  <c r="D122" i="19" a="1"/>
  <c r="D122" i="19" s="1"/>
  <c r="F122" i="19" s="1"/>
  <c r="C122" i="19" a="1"/>
  <c r="C122" i="19" s="1"/>
  <c r="G122" i="19" s="1" a="1"/>
  <c r="G122" i="19" s="1"/>
  <c r="B122" i="19" a="1"/>
  <c r="B122" i="19" s="1"/>
  <c r="K122" i="19" s="1" a="1"/>
  <c r="K122" i="19" s="1"/>
  <c r="J123" i="19" a="1"/>
  <c r="J123" i="19" s="1"/>
  <c r="I123" i="19" a="1"/>
  <c r="I123" i="19" s="1"/>
  <c r="H123" i="19" a="1"/>
  <c r="H123" i="19" s="1"/>
  <c r="D123" i="19" a="1"/>
  <c r="D123" i="19" s="1"/>
  <c r="F123" i="19" s="1"/>
  <c r="C123" i="19" a="1"/>
  <c r="C123" i="19" s="1"/>
  <c r="E123" i="19" s="1" a="1"/>
  <c r="E123" i="19" s="1"/>
  <c r="B123" i="19" a="1"/>
  <c r="B123" i="19" s="1"/>
  <c r="K123" i="19" s="1" a="1"/>
  <c r="K123" i="19" s="1"/>
  <c r="J124" i="19" a="1"/>
  <c r="J124" i="19" s="1"/>
  <c r="I124" i="19" a="1"/>
  <c r="I124" i="19" s="1"/>
  <c r="H124" i="19" a="1"/>
  <c r="H124" i="19" s="1"/>
  <c r="D124" i="19" a="1"/>
  <c r="D124" i="19" s="1"/>
  <c r="F124" i="19" s="1"/>
  <c r="C124" i="19" a="1"/>
  <c r="C124" i="19" s="1"/>
  <c r="G124" i="19" s="1" a="1"/>
  <c r="G124" i="19" s="1"/>
  <c r="B124" i="19" a="1"/>
  <c r="B124" i="19" s="1"/>
  <c r="K124" i="19" s="1" a="1"/>
  <c r="K124" i="19" s="1"/>
  <c r="J125" i="19" a="1"/>
  <c r="J125" i="19" s="1"/>
  <c r="I125" i="19" a="1"/>
  <c r="I125" i="19" s="1"/>
  <c r="H125" i="19" a="1"/>
  <c r="H125" i="19" s="1"/>
  <c r="D125" i="19" a="1"/>
  <c r="D125" i="19" s="1"/>
  <c r="F125" i="19" s="1"/>
  <c r="C125" i="19" a="1"/>
  <c r="C125" i="19" s="1"/>
  <c r="G125" i="19" s="1" a="1"/>
  <c r="G125" i="19" s="1"/>
  <c r="B125" i="19" a="1"/>
  <c r="B125" i="19" s="1"/>
  <c r="J126" i="19" a="1"/>
  <c r="J126" i="19" s="1"/>
  <c r="I126" i="19" a="1"/>
  <c r="I126" i="19" s="1"/>
  <c r="H126" i="19" a="1"/>
  <c r="H126" i="19" s="1"/>
  <c r="D126" i="19" a="1"/>
  <c r="D126" i="19" s="1"/>
  <c r="F126" i="19" s="1"/>
  <c r="C126" i="19" a="1"/>
  <c r="C126" i="19" s="1"/>
  <c r="G126" i="19" s="1" a="1"/>
  <c r="G126" i="19" s="1"/>
  <c r="B126" i="19" a="1"/>
  <c r="B126" i="19" s="1"/>
  <c r="K126" i="19" s="1" a="1"/>
  <c r="K126" i="19" s="1"/>
  <c r="J127" i="19" a="1"/>
  <c r="J127" i="19" s="1"/>
  <c r="I127" i="19" a="1"/>
  <c r="I127" i="19" s="1"/>
  <c r="H127" i="19" a="1"/>
  <c r="H127" i="19" s="1"/>
  <c r="D127" i="19" a="1"/>
  <c r="D127" i="19" s="1"/>
  <c r="F127" i="19" s="1"/>
  <c r="C127" i="19" a="1"/>
  <c r="C127" i="19" s="1"/>
  <c r="G127" i="19" s="1" a="1"/>
  <c r="G127" i="19" s="1"/>
  <c r="B127" i="19" a="1"/>
  <c r="B127" i="19" s="1"/>
  <c r="K127" i="19" s="1" a="1"/>
  <c r="K127" i="19" s="1"/>
  <c r="J128" i="19" a="1"/>
  <c r="J128" i="19" s="1"/>
  <c r="I128" i="19" a="1"/>
  <c r="I128" i="19" s="1"/>
  <c r="H128" i="19" a="1"/>
  <c r="H128" i="19" s="1"/>
  <c r="D128" i="19" a="1"/>
  <c r="D128" i="19" s="1"/>
  <c r="F128" i="19" s="1"/>
  <c r="C128" i="19" a="1"/>
  <c r="C128" i="19" s="1"/>
  <c r="G128" i="19" s="1" a="1"/>
  <c r="G128" i="19" s="1"/>
  <c r="B128" i="19" a="1"/>
  <c r="B128" i="19" s="1"/>
  <c r="K128" i="19" s="1" a="1"/>
  <c r="K128" i="19" s="1"/>
  <c r="J129" i="19" a="1"/>
  <c r="J129" i="19" s="1"/>
  <c r="I129" i="19" a="1"/>
  <c r="I129" i="19" s="1"/>
  <c r="H129" i="19" a="1"/>
  <c r="H129" i="19" s="1"/>
  <c r="D129" i="19" a="1"/>
  <c r="D129" i="19" s="1"/>
  <c r="F129" i="19" s="1"/>
  <c r="C129" i="19" a="1"/>
  <c r="C129" i="19" s="1"/>
  <c r="G129" i="19" s="1" a="1"/>
  <c r="G129" i="19" s="1"/>
  <c r="B129" i="19" a="1"/>
  <c r="B129" i="19" s="1"/>
  <c r="K129" i="19" s="1" a="1"/>
  <c r="K129" i="19" s="1"/>
  <c r="J130" i="19" a="1"/>
  <c r="J130" i="19" s="1"/>
  <c r="I130" i="19" a="1"/>
  <c r="I130" i="19" s="1"/>
  <c r="H130" i="19" a="1"/>
  <c r="H130" i="19" s="1"/>
  <c r="D130" i="19" a="1"/>
  <c r="D130" i="19" s="1"/>
  <c r="F130" i="19" s="1"/>
  <c r="C130" i="19" a="1"/>
  <c r="C130" i="19" s="1"/>
  <c r="G130" i="19" s="1" a="1"/>
  <c r="G130" i="19" s="1"/>
  <c r="B130" i="19" a="1"/>
  <c r="B130" i="19" s="1"/>
  <c r="K130" i="19" s="1" a="1"/>
  <c r="K130" i="19" s="1"/>
  <c r="J131" i="19" a="1"/>
  <c r="J131" i="19" s="1"/>
  <c r="I131" i="19" a="1"/>
  <c r="I131" i="19" s="1"/>
  <c r="H131" i="19" a="1"/>
  <c r="H131" i="19" s="1"/>
  <c r="D131" i="19" a="1"/>
  <c r="D131" i="19" s="1"/>
  <c r="F131" i="19" s="1"/>
  <c r="C131" i="19" a="1"/>
  <c r="C131" i="19" s="1"/>
  <c r="G131" i="19" s="1" a="1"/>
  <c r="G131" i="19" s="1"/>
  <c r="B131" i="19" a="1"/>
  <c r="B131" i="19" s="1"/>
  <c r="K131" i="19" s="1" a="1"/>
  <c r="K131" i="19" s="1"/>
  <c r="J132" i="19" a="1"/>
  <c r="J132" i="19" s="1"/>
  <c r="I132" i="19" a="1"/>
  <c r="I132" i="19" s="1"/>
  <c r="H132" i="19" a="1"/>
  <c r="H132" i="19" s="1"/>
  <c r="D132" i="19" a="1"/>
  <c r="D132" i="19" s="1"/>
  <c r="F132" i="19" s="1"/>
  <c r="C132" i="19" a="1"/>
  <c r="C132" i="19" s="1"/>
  <c r="G132" i="19" s="1" a="1"/>
  <c r="G132" i="19" s="1"/>
  <c r="B132" i="19" a="1"/>
  <c r="B132" i="19" s="1"/>
  <c r="K132" i="19" s="1" a="1"/>
  <c r="K132" i="19" s="1"/>
  <c r="J133" i="19" a="1"/>
  <c r="J133" i="19" s="1"/>
  <c r="I133" i="19" a="1"/>
  <c r="I133" i="19" s="1"/>
  <c r="H133" i="19" a="1"/>
  <c r="H133" i="19" s="1"/>
  <c r="D133" i="19" a="1"/>
  <c r="D133" i="19" s="1"/>
  <c r="F133" i="19" s="1"/>
  <c r="C133" i="19" a="1"/>
  <c r="C133" i="19" s="1"/>
  <c r="G133" i="19" s="1" a="1"/>
  <c r="G133" i="19" s="1"/>
  <c r="B133" i="19" a="1"/>
  <c r="B133" i="19" s="1"/>
  <c r="K133" i="19" s="1" a="1"/>
  <c r="K133" i="19" s="1"/>
  <c r="J134" i="19" a="1"/>
  <c r="J134" i="19" s="1"/>
  <c r="I134" i="19" a="1"/>
  <c r="I134" i="19" s="1"/>
  <c r="H134" i="19" a="1"/>
  <c r="H134" i="19" s="1"/>
  <c r="D134" i="19" a="1"/>
  <c r="D134" i="19" s="1"/>
  <c r="F134" i="19" s="1"/>
  <c r="C134" i="19" a="1"/>
  <c r="C134" i="19" s="1"/>
  <c r="G134" i="19" s="1" a="1"/>
  <c r="G134" i="19" s="1"/>
  <c r="B134" i="19" a="1"/>
  <c r="B134" i="19" s="1"/>
  <c r="J139" i="19" a="1"/>
  <c r="J139" i="19" s="1"/>
  <c r="I139" i="19" a="1"/>
  <c r="I139" i="19" s="1"/>
  <c r="H139" i="19" a="1"/>
  <c r="H139" i="19" s="1"/>
  <c r="E139" i="19" a="1"/>
  <c r="E139" i="19" s="1"/>
  <c r="D139" i="19" a="1"/>
  <c r="D139" i="19" s="1"/>
  <c r="F139" i="19" s="1"/>
  <c r="C139" i="19" a="1"/>
  <c r="C139" i="19" s="1"/>
  <c r="G139" i="19" s="1" a="1"/>
  <c r="G139" i="19" s="1"/>
  <c r="B139" i="19" a="1"/>
  <c r="B139" i="19" s="1"/>
  <c r="K139" i="19" s="1" a="1"/>
  <c r="K139" i="19" s="1"/>
  <c r="J140" i="19" a="1"/>
  <c r="J140" i="19" s="1"/>
  <c r="I140" i="19" a="1"/>
  <c r="I140" i="19" s="1"/>
  <c r="H140" i="19" a="1"/>
  <c r="H140" i="19" s="1"/>
  <c r="E140" i="19" a="1"/>
  <c r="E140" i="19" s="1"/>
  <c r="D140" i="19" a="1"/>
  <c r="D140" i="19" s="1"/>
  <c r="F140" i="19" s="1"/>
  <c r="C140" i="19" a="1"/>
  <c r="C140" i="19" s="1"/>
  <c r="G140" i="19" s="1" a="1"/>
  <c r="G140" i="19" s="1"/>
  <c r="B140" i="19" a="1"/>
  <c r="B140" i="19" s="1"/>
  <c r="K140" i="19" s="1" a="1"/>
  <c r="K140" i="19" s="1"/>
  <c r="J141" i="19" a="1"/>
  <c r="J141" i="19" s="1"/>
  <c r="I141" i="19" a="1"/>
  <c r="I141" i="19" s="1"/>
  <c r="H141" i="19" a="1"/>
  <c r="H141" i="19" s="1"/>
  <c r="E141" i="19" a="1"/>
  <c r="E141" i="19" s="1"/>
  <c r="D141" i="19" a="1"/>
  <c r="D141" i="19" s="1"/>
  <c r="F141" i="19" s="1"/>
  <c r="C141" i="19" a="1"/>
  <c r="C141" i="19" s="1"/>
  <c r="G141" i="19" s="1" a="1"/>
  <c r="G141" i="19" s="1"/>
  <c r="B141" i="19" a="1"/>
  <c r="B141" i="19" s="1"/>
  <c r="K141" i="19" s="1" a="1"/>
  <c r="K141" i="19" s="1"/>
  <c r="J142" i="19" a="1"/>
  <c r="J142" i="19" s="1"/>
  <c r="I142" i="19" a="1"/>
  <c r="I142" i="19" s="1"/>
  <c r="H142" i="19" a="1"/>
  <c r="H142" i="19" s="1"/>
  <c r="E142" i="19" a="1"/>
  <c r="E142" i="19" s="1"/>
  <c r="D142" i="19" a="1"/>
  <c r="D142" i="19" s="1"/>
  <c r="F142" i="19" s="1"/>
  <c r="C142" i="19" a="1"/>
  <c r="C142" i="19" s="1"/>
  <c r="G142" i="19" s="1" a="1"/>
  <c r="G142" i="19" s="1"/>
  <c r="B142" i="19" a="1"/>
  <c r="B142" i="19" s="1"/>
  <c r="K142" i="19" s="1" a="1"/>
  <c r="K142" i="19" s="1"/>
  <c r="J143" i="19" a="1"/>
  <c r="J143" i="19" s="1"/>
  <c r="I143" i="19" a="1"/>
  <c r="I143" i="19" s="1"/>
  <c r="H143" i="19" a="1"/>
  <c r="H143" i="19" s="1"/>
  <c r="E143" i="19" a="1"/>
  <c r="E143" i="19" s="1"/>
  <c r="D143" i="19" a="1"/>
  <c r="D143" i="19" s="1"/>
  <c r="F143" i="19" s="1"/>
  <c r="C143" i="19" a="1"/>
  <c r="C143" i="19" s="1"/>
  <c r="G143" i="19" s="1" a="1"/>
  <c r="G143" i="19" s="1"/>
  <c r="B143" i="19" a="1"/>
  <c r="B143" i="19" s="1"/>
  <c r="K143" i="19" s="1" a="1"/>
  <c r="K143" i="19" s="1"/>
  <c r="J144" i="19" a="1"/>
  <c r="J144" i="19" s="1"/>
  <c r="I144" i="19" a="1"/>
  <c r="I144" i="19" s="1"/>
  <c r="H144" i="19" a="1"/>
  <c r="H144" i="19" s="1"/>
  <c r="E144" i="19" a="1"/>
  <c r="E144" i="19" s="1"/>
  <c r="D144" i="19" a="1"/>
  <c r="D144" i="19" s="1"/>
  <c r="F144" i="19" s="1"/>
  <c r="C144" i="19" a="1"/>
  <c r="C144" i="19" s="1"/>
  <c r="B144" i="19" a="1"/>
  <c r="B144" i="19" s="1"/>
  <c r="K144" i="19" s="1" a="1"/>
  <c r="K144" i="19" s="1"/>
  <c r="J145" i="19" a="1"/>
  <c r="J145" i="19" s="1"/>
  <c r="I145" i="19" a="1"/>
  <c r="I145" i="19" s="1"/>
  <c r="H145" i="19" a="1"/>
  <c r="H145" i="19" s="1"/>
  <c r="E145" i="19" a="1"/>
  <c r="E145" i="19" s="1"/>
  <c r="D145" i="19" a="1"/>
  <c r="D145" i="19" s="1"/>
  <c r="F145" i="19" s="1"/>
  <c r="C145" i="19" a="1"/>
  <c r="C145" i="19" s="1"/>
  <c r="G145" i="19" s="1" a="1"/>
  <c r="G145" i="19" s="1"/>
  <c r="B145" i="19" a="1"/>
  <c r="B145" i="19" s="1"/>
  <c r="K145" i="19" s="1" a="1"/>
  <c r="K145" i="19" s="1"/>
  <c r="J146" i="19" a="1"/>
  <c r="J146" i="19" s="1"/>
  <c r="I146" i="19" a="1"/>
  <c r="I146" i="19" s="1"/>
  <c r="H146" i="19" a="1"/>
  <c r="H146" i="19" s="1"/>
  <c r="E146" i="19" a="1"/>
  <c r="E146" i="19" s="1"/>
  <c r="D146" i="19" a="1"/>
  <c r="D146" i="19" s="1"/>
  <c r="F146" i="19" s="1"/>
  <c r="C146" i="19" a="1"/>
  <c r="C146" i="19" s="1"/>
  <c r="G146" i="19" s="1" a="1"/>
  <c r="G146" i="19" s="1"/>
  <c r="B146" i="19" a="1"/>
  <c r="B146" i="19" s="1"/>
  <c r="K146" i="19" s="1" a="1"/>
  <c r="K146" i="19" s="1"/>
  <c r="J147" i="19" a="1"/>
  <c r="J147" i="19" s="1"/>
  <c r="I147" i="19" a="1"/>
  <c r="I147" i="19" s="1"/>
  <c r="H147" i="19" a="1"/>
  <c r="H147" i="19" s="1"/>
  <c r="E147" i="19" a="1"/>
  <c r="E147" i="19" s="1"/>
  <c r="D147" i="19" a="1"/>
  <c r="D147" i="19" s="1"/>
  <c r="F147" i="19" s="1"/>
  <c r="C147" i="19" a="1"/>
  <c r="C147" i="19" s="1"/>
  <c r="G147" i="19" s="1" a="1"/>
  <c r="G147" i="19" s="1"/>
  <c r="B147" i="19" a="1"/>
  <c r="B147" i="19" s="1"/>
  <c r="K147" i="19" s="1" a="1"/>
  <c r="K147" i="19" s="1"/>
  <c r="J148" i="19" a="1"/>
  <c r="J148" i="19" s="1"/>
  <c r="I148" i="19" a="1"/>
  <c r="I148" i="19" s="1"/>
  <c r="H148" i="19" a="1"/>
  <c r="H148" i="19" s="1"/>
  <c r="E148" i="19" a="1"/>
  <c r="E148" i="19" s="1"/>
  <c r="D148" i="19" a="1"/>
  <c r="D148" i="19" s="1"/>
  <c r="F148" i="19" s="1"/>
  <c r="C148" i="19" a="1"/>
  <c r="C148" i="19" s="1"/>
  <c r="G148" i="19" s="1" a="1"/>
  <c r="G148" i="19" s="1"/>
  <c r="B148" i="19" a="1"/>
  <c r="B148" i="19" s="1"/>
  <c r="K148" i="19" s="1" a="1"/>
  <c r="K148" i="19" s="1"/>
  <c r="J149" i="19" a="1"/>
  <c r="J149" i="19" s="1"/>
  <c r="I149" i="19" a="1"/>
  <c r="I149" i="19" s="1"/>
  <c r="H149" i="19" a="1"/>
  <c r="H149" i="19" s="1"/>
  <c r="E149" i="19" a="1"/>
  <c r="E149" i="19" s="1"/>
  <c r="D149" i="19" a="1"/>
  <c r="D149" i="19" s="1"/>
  <c r="F149" i="19" s="1"/>
  <c r="C149" i="19" a="1"/>
  <c r="C149" i="19" s="1"/>
  <c r="G149" i="19" s="1" a="1"/>
  <c r="G149" i="19" s="1"/>
  <c r="B149" i="19" a="1"/>
  <c r="B149" i="19" s="1"/>
  <c r="K149" i="19" s="1" a="1"/>
  <c r="K149" i="19" s="1"/>
  <c r="J150" i="19" a="1"/>
  <c r="J150" i="19" s="1"/>
  <c r="I150" i="19" a="1"/>
  <c r="I150" i="19" s="1"/>
  <c r="H150" i="19" a="1"/>
  <c r="H150" i="19" s="1"/>
  <c r="E150" i="19" a="1"/>
  <c r="E150" i="19" s="1"/>
  <c r="D150" i="19" a="1"/>
  <c r="D150" i="19" s="1"/>
  <c r="F150" i="19" s="1"/>
  <c r="C150" i="19" a="1"/>
  <c r="C150" i="19" s="1"/>
  <c r="G150" i="19" s="1" a="1"/>
  <c r="G150" i="19" s="1"/>
  <c r="B150" i="19" a="1"/>
  <c r="B150" i="19" s="1"/>
  <c r="K150" i="19" s="1" a="1"/>
  <c r="K150" i="19" s="1"/>
  <c r="J151" i="19" a="1"/>
  <c r="J151" i="19" s="1"/>
  <c r="I151" i="19" a="1"/>
  <c r="I151" i="19" s="1"/>
  <c r="H151" i="19" a="1"/>
  <c r="H151" i="19" s="1"/>
  <c r="E151" i="19" a="1"/>
  <c r="E151" i="19" s="1"/>
  <c r="D151" i="19" a="1"/>
  <c r="D151" i="19" s="1"/>
  <c r="F151" i="19" s="1"/>
  <c r="C151" i="19" a="1"/>
  <c r="C151" i="19" s="1"/>
  <c r="G151" i="19" s="1" a="1"/>
  <c r="G151" i="19" s="1"/>
  <c r="B151" i="19" a="1"/>
  <c r="B151" i="19" s="1"/>
  <c r="K151" i="19" s="1" a="1"/>
  <c r="K151" i="19" s="1"/>
  <c r="J152" i="19" a="1"/>
  <c r="J152" i="19" s="1"/>
  <c r="I152" i="19" a="1"/>
  <c r="I152" i="19" s="1"/>
  <c r="H152" i="19" a="1"/>
  <c r="H152" i="19" s="1"/>
  <c r="E152" i="19" a="1"/>
  <c r="E152" i="19" s="1"/>
  <c r="D152" i="19" a="1"/>
  <c r="D152" i="19" s="1"/>
  <c r="F152" i="19" s="1"/>
  <c r="C152" i="19" a="1"/>
  <c r="C152" i="19" s="1"/>
  <c r="G152" i="19" s="1" a="1"/>
  <c r="G152" i="19" s="1"/>
  <c r="B152" i="19" a="1"/>
  <c r="B152" i="19" s="1"/>
  <c r="K152" i="19" s="1" a="1"/>
  <c r="K152" i="19" s="1"/>
  <c r="J153" i="19" a="1"/>
  <c r="J153" i="19" s="1"/>
  <c r="I153" i="19" a="1"/>
  <c r="I153" i="19" s="1"/>
  <c r="H153" i="19" a="1"/>
  <c r="H153" i="19" s="1"/>
  <c r="E153" i="19" a="1"/>
  <c r="E153" i="19" s="1"/>
  <c r="D153" i="19" a="1"/>
  <c r="D153" i="19" s="1"/>
  <c r="F153" i="19" s="1"/>
  <c r="C153" i="19" a="1"/>
  <c r="C153" i="19" s="1"/>
  <c r="G153" i="19" s="1" a="1"/>
  <c r="G153" i="19" s="1"/>
  <c r="B153" i="19" a="1"/>
  <c r="B153" i="19" s="1"/>
  <c r="K153" i="19" s="1" a="1"/>
  <c r="K153" i="19" s="1"/>
  <c r="J154" i="19" a="1"/>
  <c r="J154" i="19" s="1"/>
  <c r="I154" i="19" a="1"/>
  <c r="I154" i="19" s="1"/>
  <c r="H154" i="19" a="1"/>
  <c r="H154" i="19" s="1"/>
  <c r="E154" i="19" a="1"/>
  <c r="E154" i="19" s="1"/>
  <c r="D154" i="19" a="1"/>
  <c r="D154" i="19" s="1"/>
  <c r="F154" i="19" s="1"/>
  <c r="C154" i="19" a="1"/>
  <c r="C154" i="19" s="1"/>
  <c r="G154" i="19" s="1" a="1"/>
  <c r="G154" i="19" s="1"/>
  <c r="B154" i="19" a="1"/>
  <c r="B154" i="19" s="1"/>
  <c r="K154" i="19" s="1" a="1"/>
  <c r="K154" i="19" s="1"/>
  <c r="J155" i="19" a="1"/>
  <c r="J155" i="19" s="1"/>
  <c r="I155" i="19" a="1"/>
  <c r="I155" i="19" s="1"/>
  <c r="H155" i="19" a="1"/>
  <c r="H155" i="19" s="1"/>
  <c r="E155" i="19" a="1"/>
  <c r="E155" i="19" s="1"/>
  <c r="D155" i="19" a="1"/>
  <c r="D155" i="19" s="1"/>
  <c r="F155" i="19" s="1"/>
  <c r="C155" i="19" a="1"/>
  <c r="C155" i="19" s="1"/>
  <c r="G155" i="19" s="1" a="1"/>
  <c r="G155" i="19" s="1"/>
  <c r="B155" i="19" a="1"/>
  <c r="B155" i="19" s="1"/>
  <c r="K155" i="19" s="1" a="1"/>
  <c r="K155" i="19" s="1"/>
  <c r="J156" i="19" a="1"/>
  <c r="J156" i="19" s="1"/>
  <c r="I156" i="19" a="1"/>
  <c r="I156" i="19" s="1"/>
  <c r="H156" i="19" a="1"/>
  <c r="H156" i="19" s="1"/>
  <c r="E156" i="19" a="1"/>
  <c r="E156" i="19" s="1"/>
  <c r="D156" i="19" a="1"/>
  <c r="D156" i="19" s="1"/>
  <c r="F156" i="19" s="1"/>
  <c r="C156" i="19" a="1"/>
  <c r="C156" i="19" s="1"/>
  <c r="G156" i="19" s="1" a="1"/>
  <c r="G156" i="19" s="1"/>
  <c r="B156" i="19" a="1"/>
  <c r="B156" i="19" s="1"/>
  <c r="K156" i="19" s="1" a="1"/>
  <c r="K156" i="19" s="1"/>
  <c r="J157" i="19" a="1"/>
  <c r="J157" i="19" s="1"/>
  <c r="I157" i="19" a="1"/>
  <c r="I157" i="19" s="1"/>
  <c r="H157" i="19" a="1"/>
  <c r="H157" i="19" s="1"/>
  <c r="E157" i="19" a="1"/>
  <c r="E157" i="19" s="1"/>
  <c r="D157" i="19" a="1"/>
  <c r="D157" i="19" s="1"/>
  <c r="F157" i="19" s="1"/>
  <c r="C157" i="19" a="1"/>
  <c r="C157" i="19" s="1"/>
  <c r="G157" i="19" s="1" a="1"/>
  <c r="G157" i="19" s="1"/>
  <c r="B157" i="19" a="1"/>
  <c r="B157" i="19" s="1"/>
  <c r="K157" i="19" s="1" a="1"/>
  <c r="K157" i="19" s="1"/>
  <c r="J158" i="19" a="1"/>
  <c r="J158" i="19" s="1"/>
  <c r="I158" i="19" a="1"/>
  <c r="I158" i="19" s="1"/>
  <c r="H158" i="19" a="1"/>
  <c r="H158" i="19" s="1"/>
  <c r="E158" i="19" a="1"/>
  <c r="E158" i="19" s="1"/>
  <c r="D158" i="19" a="1"/>
  <c r="D158" i="19" s="1"/>
  <c r="F158" i="19" s="1"/>
  <c r="C158" i="19" a="1"/>
  <c r="C158" i="19" s="1"/>
  <c r="G158" i="19" s="1" a="1"/>
  <c r="G158" i="19" s="1"/>
  <c r="B158" i="19" a="1"/>
  <c r="B158" i="19" s="1"/>
  <c r="K158" i="19" s="1" a="1"/>
  <c r="K158" i="19" s="1"/>
  <c r="J159" i="19" a="1"/>
  <c r="J159" i="19" s="1"/>
  <c r="I159" i="19" a="1"/>
  <c r="I159" i="19" s="1"/>
  <c r="H159" i="19" a="1"/>
  <c r="H159" i="19" s="1"/>
  <c r="E159" i="19" a="1"/>
  <c r="E159" i="19" s="1"/>
  <c r="D159" i="19" a="1"/>
  <c r="D159" i="19" s="1"/>
  <c r="F159" i="19" s="1"/>
  <c r="C159" i="19" a="1"/>
  <c r="C159" i="19" s="1"/>
  <c r="G159" i="19" s="1" a="1"/>
  <c r="G159" i="19" s="1"/>
  <c r="B159" i="19" a="1"/>
  <c r="B159" i="19" s="1"/>
  <c r="K159" i="19" s="1" a="1"/>
  <c r="K159" i="19" s="1"/>
  <c r="J160" i="19" a="1"/>
  <c r="J160" i="19" s="1"/>
  <c r="I160" i="19" a="1"/>
  <c r="I160" i="19" s="1"/>
  <c r="H160" i="19" a="1"/>
  <c r="H160" i="19" s="1"/>
  <c r="E160" i="19" a="1"/>
  <c r="E160" i="19" s="1"/>
  <c r="D160" i="19" a="1"/>
  <c r="D160" i="19" s="1"/>
  <c r="F160" i="19" s="1"/>
  <c r="C160" i="19" a="1"/>
  <c r="C160" i="19" s="1"/>
  <c r="G160" i="19" s="1" a="1"/>
  <c r="G160" i="19" s="1"/>
  <c r="B160" i="19" a="1"/>
  <c r="B160" i="19" s="1"/>
  <c r="K160" i="19" s="1" a="1"/>
  <c r="K160" i="19" s="1"/>
  <c r="J161" i="19" a="1"/>
  <c r="J161" i="19" s="1"/>
  <c r="I161" i="19" a="1"/>
  <c r="I161" i="19" s="1"/>
  <c r="H161" i="19" a="1"/>
  <c r="H161" i="19" s="1"/>
  <c r="E161" i="19" a="1"/>
  <c r="E161" i="19" s="1"/>
  <c r="D161" i="19" a="1"/>
  <c r="D161" i="19" s="1"/>
  <c r="F161" i="19" s="1"/>
  <c r="C161" i="19" a="1"/>
  <c r="C161" i="19" s="1"/>
  <c r="G161" i="19" s="1" a="1"/>
  <c r="G161" i="19" s="1"/>
  <c r="B161" i="19" a="1"/>
  <c r="B161" i="19" s="1"/>
  <c r="K161" i="19" s="1" a="1"/>
  <c r="K161" i="19" s="1"/>
  <c r="J162" i="19" a="1"/>
  <c r="J162" i="19" s="1"/>
  <c r="I162" i="19" a="1"/>
  <c r="I162" i="19" s="1"/>
  <c r="H162" i="19" a="1"/>
  <c r="H162" i="19" s="1"/>
  <c r="E162" i="19" a="1"/>
  <c r="E162" i="19" s="1"/>
  <c r="D162" i="19" a="1"/>
  <c r="D162" i="19" s="1"/>
  <c r="F162" i="19" s="1"/>
  <c r="C162" i="19" a="1"/>
  <c r="C162" i="19" s="1"/>
  <c r="G162" i="19" s="1" a="1"/>
  <c r="G162" i="19" s="1"/>
  <c r="B162" i="19" a="1"/>
  <c r="B162" i="19" s="1"/>
  <c r="K162" i="19" s="1" a="1"/>
  <c r="K162" i="19" s="1"/>
  <c r="J163" i="19" a="1"/>
  <c r="J163" i="19" s="1"/>
  <c r="I163" i="19" a="1"/>
  <c r="I163" i="19" s="1"/>
  <c r="H163" i="19" a="1"/>
  <c r="H163" i="19" s="1"/>
  <c r="E163" i="19" a="1"/>
  <c r="E163" i="19" s="1"/>
  <c r="D163" i="19" a="1"/>
  <c r="D163" i="19" s="1"/>
  <c r="F163" i="19" s="1"/>
  <c r="C163" i="19" a="1"/>
  <c r="C163" i="19" s="1"/>
  <c r="G163" i="19" s="1" a="1"/>
  <c r="G163" i="19" s="1"/>
  <c r="B163" i="19" a="1"/>
  <c r="B163" i="19" s="1"/>
  <c r="K163" i="19" s="1" a="1"/>
  <c r="K163" i="19" s="1"/>
  <c r="J164" i="19" a="1"/>
  <c r="J164" i="19" s="1"/>
  <c r="I164" i="19" a="1"/>
  <c r="I164" i="19" s="1"/>
  <c r="H164" i="19" a="1"/>
  <c r="H164" i="19" s="1"/>
  <c r="E164" i="19" a="1"/>
  <c r="E164" i="19" s="1"/>
  <c r="D164" i="19" a="1"/>
  <c r="D164" i="19" s="1"/>
  <c r="F164" i="19" s="1"/>
  <c r="C164" i="19" a="1"/>
  <c r="C164" i="19" s="1"/>
  <c r="G164" i="19" s="1" a="1"/>
  <c r="G164" i="19" s="1"/>
  <c r="B164" i="19" a="1"/>
  <c r="B164" i="19" s="1"/>
  <c r="K164" i="19" s="1" a="1"/>
  <c r="K164" i="19" s="1"/>
  <c r="J165" i="19" a="1"/>
  <c r="J165" i="19" s="1"/>
  <c r="I165" i="19" a="1"/>
  <c r="I165" i="19" s="1"/>
  <c r="H165" i="19" a="1"/>
  <c r="H165" i="19" s="1"/>
  <c r="E165" i="19" a="1"/>
  <c r="E165" i="19" s="1"/>
  <c r="D165" i="19" a="1"/>
  <c r="D165" i="19" s="1"/>
  <c r="F165" i="19" s="1"/>
  <c r="C165" i="19" a="1"/>
  <c r="C165" i="19" s="1"/>
  <c r="G165" i="19" s="1" a="1"/>
  <c r="G165" i="19" s="1"/>
  <c r="B165" i="19" a="1"/>
  <c r="B165" i="19" s="1"/>
  <c r="K165" i="19" s="1" a="1"/>
  <c r="K165" i="19" s="1"/>
  <c r="J166" i="19" a="1"/>
  <c r="J166" i="19" s="1"/>
  <c r="I166" i="19" a="1"/>
  <c r="I166" i="19" s="1"/>
  <c r="H166" i="19" a="1"/>
  <c r="H166" i="19" s="1"/>
  <c r="E166" i="19" a="1"/>
  <c r="E166" i="19" s="1"/>
  <c r="D166" i="19" a="1"/>
  <c r="D166" i="19" s="1"/>
  <c r="F166" i="19" s="1"/>
  <c r="C166" i="19" a="1"/>
  <c r="C166" i="19" s="1"/>
  <c r="G166" i="19" s="1" a="1"/>
  <c r="G166" i="19" s="1"/>
  <c r="B166" i="19" a="1"/>
  <c r="B166" i="19" s="1"/>
  <c r="K166" i="19" s="1" a="1"/>
  <c r="K166" i="19" s="1"/>
  <c r="J167" i="19" a="1"/>
  <c r="J167" i="19" s="1"/>
  <c r="I167" i="19" a="1"/>
  <c r="I167" i="19" s="1"/>
  <c r="H167" i="19" a="1"/>
  <c r="H167" i="19" s="1"/>
  <c r="E167" i="19" a="1"/>
  <c r="E167" i="19" s="1"/>
  <c r="D167" i="19" a="1"/>
  <c r="D167" i="19" s="1"/>
  <c r="F167" i="19" s="1"/>
  <c r="C167" i="19" a="1"/>
  <c r="C167" i="19" s="1"/>
  <c r="G167" i="19" s="1" a="1"/>
  <c r="G167" i="19" s="1"/>
  <c r="B167" i="19" a="1"/>
  <c r="B167" i="19" s="1"/>
  <c r="K167" i="19" s="1" a="1"/>
  <c r="K167" i="19" s="1"/>
  <c r="J168" i="19" a="1"/>
  <c r="J168" i="19" s="1"/>
  <c r="I168" i="19" a="1"/>
  <c r="I168" i="19" s="1"/>
  <c r="H168" i="19" a="1"/>
  <c r="H168" i="19" s="1"/>
  <c r="E168" i="19" a="1"/>
  <c r="E168" i="19" s="1"/>
  <c r="D168" i="19" a="1"/>
  <c r="D168" i="19" s="1"/>
  <c r="F168" i="19" s="1"/>
  <c r="C168" i="19" a="1"/>
  <c r="C168" i="19" s="1"/>
  <c r="G168" i="19" s="1" a="1"/>
  <c r="G168" i="19" s="1"/>
  <c r="B168" i="19" a="1"/>
  <c r="B168" i="19" s="1"/>
  <c r="K168" i="19" s="1" a="1"/>
  <c r="K168" i="19" s="1"/>
  <c r="J169" i="19" a="1"/>
  <c r="J169" i="19" s="1"/>
  <c r="I169" i="19" a="1"/>
  <c r="I169" i="19" s="1"/>
  <c r="H169" i="19" a="1"/>
  <c r="H169" i="19" s="1"/>
  <c r="E169" i="19" a="1"/>
  <c r="E169" i="19" s="1"/>
  <c r="D169" i="19" a="1"/>
  <c r="D169" i="19" s="1"/>
  <c r="F169" i="19" s="1"/>
  <c r="C169" i="19" a="1"/>
  <c r="C169" i="19" s="1"/>
  <c r="G169" i="19" s="1" a="1"/>
  <c r="G169" i="19" s="1"/>
  <c r="B169" i="19" a="1"/>
  <c r="B169" i="19" s="1"/>
  <c r="K169" i="19" s="1" a="1"/>
  <c r="K169" i="19" s="1"/>
  <c r="J170" i="19" a="1"/>
  <c r="J170" i="19" s="1"/>
  <c r="I170" i="19" a="1"/>
  <c r="I170" i="19" s="1"/>
  <c r="H170" i="19" a="1"/>
  <c r="H170" i="19" s="1"/>
  <c r="E170" i="19" a="1"/>
  <c r="E170" i="19" s="1"/>
  <c r="D170" i="19" a="1"/>
  <c r="D170" i="19" s="1"/>
  <c r="F170" i="19" s="1"/>
  <c r="C170" i="19" a="1"/>
  <c r="C170" i="19" s="1"/>
  <c r="G170" i="19" s="1" a="1"/>
  <c r="G170" i="19" s="1"/>
  <c r="B170" i="19" a="1"/>
  <c r="B170" i="19" s="1"/>
  <c r="K170" i="19" s="1" a="1"/>
  <c r="K170" i="19" s="1"/>
  <c r="J171" i="19" a="1"/>
  <c r="J171" i="19" s="1"/>
  <c r="I171" i="19" a="1"/>
  <c r="I171" i="19" s="1"/>
  <c r="H171" i="19" a="1"/>
  <c r="H171" i="19" s="1"/>
  <c r="E171" i="19" a="1"/>
  <c r="E171" i="19" s="1"/>
  <c r="D171" i="19" a="1"/>
  <c r="D171" i="19" s="1"/>
  <c r="F171" i="19" s="1"/>
  <c r="C171" i="19" a="1"/>
  <c r="C171" i="19" s="1"/>
  <c r="G171" i="19" s="1" a="1"/>
  <c r="G171" i="19" s="1"/>
  <c r="B171" i="19" a="1"/>
  <c r="B171" i="19" s="1"/>
  <c r="K171" i="19" s="1" a="1"/>
  <c r="K171" i="19" s="1"/>
  <c r="J172" i="19" a="1"/>
  <c r="J172" i="19" s="1"/>
  <c r="I172" i="19" a="1"/>
  <c r="I172" i="19" s="1"/>
  <c r="H172" i="19" a="1"/>
  <c r="H172" i="19" s="1"/>
  <c r="E172" i="19" a="1"/>
  <c r="E172" i="19" s="1"/>
  <c r="D172" i="19" a="1"/>
  <c r="D172" i="19" s="1"/>
  <c r="F172" i="19" s="1"/>
  <c r="C172" i="19" a="1"/>
  <c r="C172" i="19" s="1"/>
  <c r="G172" i="19" s="1" a="1"/>
  <c r="G172" i="19" s="1"/>
  <c r="B172" i="19" a="1"/>
  <c r="B172" i="19" s="1"/>
  <c r="K172" i="19" s="1" a="1"/>
  <c r="K172" i="19" s="1"/>
  <c r="J173" i="19" a="1"/>
  <c r="J173" i="19" s="1"/>
  <c r="I173" i="19" a="1"/>
  <c r="I173" i="19" s="1"/>
  <c r="H173" i="19" a="1"/>
  <c r="H173" i="19" s="1"/>
  <c r="E173" i="19" a="1"/>
  <c r="E173" i="19" s="1"/>
  <c r="D173" i="19" a="1"/>
  <c r="D173" i="19" s="1"/>
  <c r="F173" i="19" s="1"/>
  <c r="C173" i="19" a="1"/>
  <c r="C173" i="19" s="1"/>
  <c r="G173" i="19" s="1" a="1"/>
  <c r="G173" i="19" s="1"/>
  <c r="B173" i="19" a="1"/>
  <c r="B173" i="19" s="1"/>
  <c r="K173" i="19" s="1" a="1"/>
  <c r="K173" i="19" s="1"/>
  <c r="J174" i="19" a="1"/>
  <c r="J174" i="19" s="1"/>
  <c r="I174" i="19" a="1"/>
  <c r="I174" i="19" s="1"/>
  <c r="H174" i="19" a="1"/>
  <c r="H174" i="19" s="1"/>
  <c r="E174" i="19" a="1"/>
  <c r="E174" i="19" s="1"/>
  <c r="D174" i="19" a="1"/>
  <c r="D174" i="19" s="1"/>
  <c r="F174" i="19" s="1"/>
  <c r="C174" i="19" a="1"/>
  <c r="C174" i="19" s="1"/>
  <c r="G174" i="19" s="1" a="1"/>
  <c r="G174" i="19" s="1"/>
  <c r="B174" i="19" a="1"/>
  <c r="B174" i="19" s="1"/>
  <c r="K174" i="19" s="1" a="1"/>
  <c r="K174" i="19" s="1"/>
  <c r="J175" i="19" a="1"/>
  <c r="J175" i="19" s="1"/>
  <c r="I175" i="19" a="1"/>
  <c r="I175" i="19" s="1"/>
  <c r="H175" i="19" a="1"/>
  <c r="H175" i="19" s="1"/>
  <c r="E175" i="19" a="1"/>
  <c r="E175" i="19" s="1"/>
  <c r="D175" i="19" a="1"/>
  <c r="D175" i="19" s="1"/>
  <c r="F175" i="19" s="1"/>
  <c r="C175" i="19" a="1"/>
  <c r="C175" i="19" s="1"/>
  <c r="G175" i="19" s="1" a="1"/>
  <c r="G175" i="19" s="1"/>
  <c r="B175" i="19" a="1"/>
  <c r="B175" i="19" s="1"/>
  <c r="K175" i="19" s="1" a="1"/>
  <c r="K175" i="19" s="1"/>
  <c r="J176" i="19" a="1"/>
  <c r="J176" i="19" s="1"/>
  <c r="I176" i="19" a="1"/>
  <c r="I176" i="19" s="1"/>
  <c r="H176" i="19" a="1"/>
  <c r="H176" i="19" s="1"/>
  <c r="E176" i="19" a="1"/>
  <c r="E176" i="19" s="1"/>
  <c r="D176" i="19" a="1"/>
  <c r="D176" i="19" s="1"/>
  <c r="F176" i="19" s="1"/>
  <c r="C176" i="19" a="1"/>
  <c r="C176" i="19" s="1"/>
  <c r="G176" i="19" s="1" a="1"/>
  <c r="G176" i="19" s="1"/>
  <c r="B176" i="19" a="1"/>
  <c r="B176" i="19" s="1"/>
  <c r="K176" i="19" s="1" a="1"/>
  <c r="K176" i="19" s="1"/>
  <c r="J177" i="19" a="1"/>
  <c r="J177" i="19" s="1"/>
  <c r="I177" i="19" a="1"/>
  <c r="I177" i="19" s="1"/>
  <c r="H177" i="19" a="1"/>
  <c r="H177" i="19" s="1"/>
  <c r="E177" i="19" a="1"/>
  <c r="E177" i="19" s="1"/>
  <c r="D177" i="19" a="1"/>
  <c r="D177" i="19" s="1"/>
  <c r="F177" i="19" s="1"/>
  <c r="C177" i="19" a="1"/>
  <c r="C177" i="19" s="1"/>
  <c r="G177" i="19" s="1" a="1"/>
  <c r="G177" i="19" s="1"/>
  <c r="B177" i="19" a="1"/>
  <c r="B177" i="19" s="1"/>
  <c r="K177" i="19" s="1" a="1"/>
  <c r="K177" i="19" s="1"/>
  <c r="J178" i="19" a="1"/>
  <c r="J178" i="19" s="1"/>
  <c r="I178" i="19" a="1"/>
  <c r="I178" i="19" s="1"/>
  <c r="H178" i="19" a="1"/>
  <c r="H178" i="19" s="1"/>
  <c r="E178" i="19" a="1"/>
  <c r="E178" i="19" s="1"/>
  <c r="D178" i="19" a="1"/>
  <c r="D178" i="19" s="1"/>
  <c r="F178" i="19" s="1"/>
  <c r="C178" i="19" a="1"/>
  <c r="C178" i="19" s="1"/>
  <c r="G178" i="19" s="1" a="1"/>
  <c r="G178" i="19" s="1"/>
  <c r="B178" i="19" a="1"/>
  <c r="B178" i="19" s="1"/>
  <c r="K178" i="19" s="1" a="1"/>
  <c r="K178" i="19" s="1"/>
  <c r="J17" i="19" a="1"/>
  <c r="J17" i="19" s="1"/>
  <c r="I17" i="19" a="1"/>
  <c r="I17" i="19" s="1"/>
  <c r="H17" i="19" a="1"/>
  <c r="H17" i="19" s="1"/>
  <c r="D17" i="19" a="1"/>
  <c r="D17" i="19" s="1"/>
  <c r="F17" i="19" s="1"/>
  <c r="C17" i="19" a="1"/>
  <c r="C17" i="19" s="1"/>
  <c r="B17" i="19" a="1"/>
  <c r="B17" i="19" s="1"/>
  <c r="I37" i="56"/>
  <c r="D9" i="56"/>
  <c r="F9" i="56" s="1"/>
  <c r="D8" i="56"/>
  <c r="F8" i="56" s="1"/>
  <c r="I30" i="56"/>
  <c r="D7" i="56"/>
  <c r="D6" i="56"/>
  <c r="I16" i="56"/>
  <c r="D30" i="2" a="1"/>
  <c r="D30" i="2" s="1"/>
  <c r="D45" i="2" a="1"/>
  <c r="D45" i="2" s="1"/>
  <c r="D42" i="2" a="1"/>
  <c r="D42" i="2" s="1"/>
  <c r="G44" i="2"/>
  <c r="D39" i="2" a="1"/>
  <c r="D39" i="2" s="1"/>
  <c r="G39" i="2" s="1"/>
  <c r="D38" i="2" a="1"/>
  <c r="D38" i="2" s="1"/>
  <c r="D37" i="2" a="1"/>
  <c r="D37" i="2" s="1"/>
  <c r="D34" i="2" a="1"/>
  <c r="D34" i="2" s="1"/>
  <c r="G34" i="2" s="1"/>
  <c r="D33" i="2" a="1"/>
  <c r="D33" i="2" s="1"/>
  <c r="D32" i="2" a="1"/>
  <c r="D32" i="2" s="1"/>
  <c r="D29" i="2" a="1"/>
  <c r="D29" i="2" s="1"/>
  <c r="G29" i="2" s="1"/>
  <c r="D28" i="2" a="1"/>
  <c r="D28" i="2" s="1"/>
  <c r="D27" i="2" a="1"/>
  <c r="D27" i="2" s="1"/>
  <c r="E15" i="16"/>
  <c r="E16" i="16"/>
  <c r="H81" i="37"/>
  <c r="G81" i="37"/>
  <c r="D108" i="51"/>
  <c r="M7" i="34"/>
  <c r="P7" i="34" s="1"/>
  <c r="N7" i="34"/>
  <c r="M8" i="34"/>
  <c r="P8" i="34" s="1"/>
  <c r="N8" i="34"/>
  <c r="M9" i="34"/>
  <c r="P9" i="34" s="1"/>
  <c r="N9" i="34"/>
  <c r="M25" i="34"/>
  <c r="P25" i="34" s="1"/>
  <c r="N25" i="34"/>
  <c r="M29" i="34"/>
  <c r="P29" i="34" s="1"/>
  <c r="O29" i="34"/>
  <c r="N29" i="34"/>
  <c r="M30" i="34"/>
  <c r="N30" i="34"/>
  <c r="O30" i="34"/>
  <c r="P30" i="34"/>
  <c r="M32" i="34"/>
  <c r="P32" i="34" s="1"/>
  <c r="N32" i="34"/>
  <c r="O32" i="34"/>
  <c r="M33" i="34"/>
  <c r="P33" i="34" s="1"/>
  <c r="O33" i="34"/>
  <c r="N33" i="34"/>
  <c r="M38" i="34"/>
  <c r="P38" i="34" s="1"/>
  <c r="N38" i="34"/>
  <c r="O38" i="34"/>
  <c r="M26" i="34"/>
  <c r="P26" i="34" s="1"/>
  <c r="N26" i="34"/>
  <c r="O26" i="34"/>
  <c r="M27" i="34"/>
  <c r="N27" i="34"/>
  <c r="M28" i="34"/>
  <c r="P28" i="34" s="1"/>
  <c r="N28" i="34"/>
  <c r="O28" i="34"/>
  <c r="M31" i="34"/>
  <c r="P31" i="34" s="1"/>
  <c r="N31" i="34"/>
  <c r="X7" i="34"/>
  <c r="X8" i="34"/>
  <c r="X36" i="34"/>
  <c r="X37" i="34"/>
  <c r="X38" i="34"/>
  <c r="X39" i="34"/>
  <c r="X40" i="34"/>
  <c r="X41" i="34"/>
  <c r="X42" i="34"/>
  <c r="X43" i="34"/>
  <c r="X44" i="34"/>
  <c r="X45" i="34"/>
  <c r="X46" i="34"/>
  <c r="X47" i="34"/>
  <c r="X48" i="34"/>
  <c r="X49" i="34"/>
  <c r="X50" i="34"/>
  <c r="X51" i="34"/>
  <c r="X52" i="34"/>
  <c r="X53" i="34"/>
  <c r="X54" i="34"/>
  <c r="X55" i="34"/>
  <c r="X56" i="34"/>
  <c r="X57" i="34"/>
  <c r="X58" i="34"/>
  <c r="X59" i="34"/>
  <c r="X60" i="34"/>
  <c r="X61" i="34"/>
  <c r="X62" i="34"/>
  <c r="X63" i="34"/>
  <c r="X72" i="34"/>
  <c r="X73" i="34"/>
  <c r="X74" i="34"/>
  <c r="X75" i="34"/>
  <c r="X76" i="34"/>
  <c r="X20" i="34"/>
  <c r="X21" i="34"/>
  <c r="X24" i="34"/>
  <c r="X25" i="34"/>
  <c r="X26" i="34"/>
  <c r="X27" i="34"/>
  <c r="X29" i="34"/>
  <c r="X32" i="34"/>
  <c r="X34" i="34"/>
  <c r="X35" i="34"/>
  <c r="X9" i="34"/>
  <c r="X22" i="34"/>
  <c r="X23" i="34"/>
  <c r="X28" i="34"/>
  <c r="X30" i="34"/>
  <c r="X31" i="34"/>
  <c r="X33" i="34"/>
  <c r="M20" i="34"/>
  <c r="P20" i="34" s="1"/>
  <c r="N20" i="34"/>
  <c r="O20" i="34"/>
  <c r="O21" i="34"/>
  <c r="N21" i="34"/>
  <c r="M21" i="34"/>
  <c r="P21" i="34" s="1"/>
  <c r="O22" i="34"/>
  <c r="N22" i="34"/>
  <c r="M22" i="34"/>
  <c r="P22" i="34" s="1"/>
  <c r="M23" i="34"/>
  <c r="P23" i="34" s="1"/>
  <c r="N23" i="34"/>
  <c r="O23" i="34"/>
  <c r="O27" i="34"/>
  <c r="P27" i="34"/>
  <c r="O34" i="34"/>
  <c r="M34" i="34"/>
  <c r="P34" i="34" s="1"/>
  <c r="N34" i="34"/>
  <c r="N35" i="34"/>
  <c r="O35" i="34"/>
  <c r="M35" i="34"/>
  <c r="P35" i="34" s="1"/>
  <c r="O36" i="34"/>
  <c r="N36" i="34"/>
  <c r="M36" i="34"/>
  <c r="P36" i="34" s="1"/>
  <c r="O37" i="34"/>
  <c r="M37" i="34"/>
  <c r="P37" i="34" s="1"/>
  <c r="N37" i="34"/>
  <c r="O39" i="34"/>
  <c r="N39" i="34"/>
  <c r="M39" i="34"/>
  <c r="P39" i="34" s="1"/>
  <c r="M40" i="34"/>
  <c r="N40" i="34"/>
  <c r="O40" i="34"/>
  <c r="P40" i="34"/>
  <c r="M41" i="34"/>
  <c r="P41" i="34" s="1"/>
  <c r="O41" i="34"/>
  <c r="N41" i="34"/>
  <c r="M42" i="34"/>
  <c r="N42" i="34"/>
  <c r="O42" i="34"/>
  <c r="P42" i="34"/>
  <c r="D58" i="38"/>
  <c r="G46" i="2"/>
  <c r="D25" i="38"/>
  <c r="E6" i="38"/>
  <c r="D56" i="2" a="1"/>
  <c r="D56" i="2" s="1"/>
  <c r="D58" i="2" a="1"/>
  <c r="D58" i="2" s="1"/>
  <c r="C15" i="16"/>
  <c r="C16" i="16"/>
  <c r="D49" i="38"/>
  <c r="C49" i="38"/>
  <c r="B49" i="38"/>
  <c r="D59" i="38"/>
  <c r="D57" i="38"/>
  <c r="B35" i="38"/>
  <c r="B68" i="38" s="1"/>
  <c r="B70" i="38" s="1"/>
  <c r="B42" i="38"/>
  <c r="K7" i="37"/>
  <c r="E9" i="37"/>
  <c r="J8" i="37"/>
  <c r="B18" i="38" s="1"/>
  <c r="K8" i="37"/>
  <c r="C18" i="38" s="1"/>
  <c r="D10" i="37"/>
  <c r="C20" i="38" s="1"/>
  <c r="J7" i="37"/>
  <c r="J6" i="37"/>
  <c r="K6" i="37"/>
  <c r="B10" i="37"/>
  <c r="B20" i="38" s="1"/>
  <c r="B9" i="37"/>
  <c r="B7" i="37"/>
  <c r="C19" i="38" s="1"/>
  <c r="B6" i="37"/>
  <c r="B19" i="38" s="1"/>
  <c r="E44" i="2"/>
  <c r="E39" i="2"/>
  <c r="E34" i="2"/>
  <c r="E29" i="2"/>
  <c r="D48" i="2" a="1"/>
  <c r="D48" i="2" s="1"/>
  <c r="G43" i="2"/>
  <c r="E43" i="2"/>
  <c r="K80" i="4"/>
  <c r="K79" i="4"/>
  <c r="F53" i="2" s="1" a="1"/>
  <c r="F53" i="2" s="1"/>
  <c r="D52" i="2" a="1"/>
  <c r="D52" i="2" s="1"/>
  <c r="H52" i="2" s="1"/>
  <c r="K118" i="27" l="1"/>
  <c r="C16" i="51"/>
  <c r="K75" i="19" a="1"/>
  <c r="K75" i="19" s="1"/>
  <c r="J68" i="27"/>
  <c r="K68" i="27"/>
  <c r="J218" i="27"/>
  <c r="K219" i="27"/>
  <c r="J219" i="27"/>
  <c r="K67" i="27"/>
  <c r="J69" i="27"/>
  <c r="K69" i="27"/>
  <c r="J182" i="19"/>
  <c r="I182" i="19"/>
  <c r="H182" i="19"/>
  <c r="K181" i="19" a="1"/>
  <c r="K181" i="19" s="1"/>
  <c r="K125" i="19" a="1"/>
  <c r="K125" i="19" s="1"/>
  <c r="E7" i="56"/>
  <c r="E10" i="56" s="1"/>
  <c r="I23" i="56"/>
  <c r="K192" i="27"/>
  <c r="J169" i="27"/>
  <c r="J166" i="27"/>
  <c r="J160" i="27"/>
  <c r="K160" i="27"/>
  <c r="J157" i="27"/>
  <c r="K157" i="27"/>
  <c r="K150" i="27"/>
  <c r="J150" i="27"/>
  <c r="K149" i="27"/>
  <c r="J149" i="27"/>
  <c r="K148" i="27"/>
  <c r="J148" i="27"/>
  <c r="J147" i="27"/>
  <c r="K146" i="27"/>
  <c r="J146" i="27"/>
  <c r="D34" i="27" s="1"/>
  <c r="K145" i="27"/>
  <c r="J145" i="27"/>
  <c r="J144" i="27"/>
  <c r="K143" i="27"/>
  <c r="J143" i="27"/>
  <c r="K142" i="27"/>
  <c r="J142" i="27"/>
  <c r="K141" i="27"/>
  <c r="J141" i="27"/>
  <c r="K139" i="27"/>
  <c r="J139" i="27"/>
  <c r="K138" i="27"/>
  <c r="J138" i="27"/>
  <c r="K137" i="27"/>
  <c r="J137" i="27"/>
  <c r="J136" i="27"/>
  <c r="J133" i="27"/>
  <c r="K132" i="27"/>
  <c r="J132" i="27"/>
  <c r="K131" i="27"/>
  <c r="J131" i="27"/>
  <c r="K130" i="27"/>
  <c r="J130" i="27"/>
  <c r="K129" i="27"/>
  <c r="J129" i="27"/>
  <c r="K124" i="27"/>
  <c r="J124" i="27"/>
  <c r="J123" i="27"/>
  <c r="K115" i="27"/>
  <c r="J115" i="27"/>
  <c r="K114" i="27"/>
  <c r="J114" i="27"/>
  <c r="K113" i="27"/>
  <c r="J113" i="27"/>
  <c r="J112" i="27"/>
  <c r="D35" i="27" s="1"/>
  <c r="K111" i="27"/>
  <c r="J111" i="27"/>
  <c r="K110" i="27"/>
  <c r="J110" i="27"/>
  <c r="J109" i="27"/>
  <c r="K75" i="27"/>
  <c r="J75" i="27"/>
  <c r="J107" i="27"/>
  <c r="K106" i="27"/>
  <c r="J106" i="27"/>
  <c r="K102" i="27"/>
  <c r="J102" i="27"/>
  <c r="K101" i="27"/>
  <c r="J101" i="27"/>
  <c r="K100" i="27"/>
  <c r="J100" i="27"/>
  <c r="J99" i="27"/>
  <c r="K98" i="27"/>
  <c r="J98" i="27"/>
  <c r="K97" i="27"/>
  <c r="J97" i="27"/>
  <c r="K96" i="27"/>
  <c r="J96" i="27"/>
  <c r="J94" i="27"/>
  <c r="K93" i="27"/>
  <c r="J93" i="27"/>
  <c r="J91" i="27"/>
  <c r="K90" i="27"/>
  <c r="J90" i="27"/>
  <c r="K89" i="27"/>
  <c r="J89" i="27"/>
  <c r="K88" i="27"/>
  <c r="J88" i="27"/>
  <c r="K85" i="27"/>
  <c r="J85" i="27"/>
  <c r="K84" i="27"/>
  <c r="J84" i="27"/>
  <c r="K82" i="27"/>
  <c r="J82" i="27"/>
  <c r="K81" i="27"/>
  <c r="J81" i="27"/>
  <c r="K80" i="27"/>
  <c r="J80" i="27"/>
  <c r="K79" i="27"/>
  <c r="J79" i="27"/>
  <c r="K77" i="27"/>
  <c r="J77" i="27"/>
  <c r="K76" i="27"/>
  <c r="J76" i="27"/>
  <c r="E37" i="27"/>
  <c r="D37" i="27"/>
  <c r="C37" i="27"/>
  <c r="E36" i="27"/>
  <c r="C36" i="27"/>
  <c r="E34" i="27"/>
  <c r="C34" i="27"/>
  <c r="E33" i="27"/>
  <c r="C33" i="27"/>
  <c r="E32" i="27"/>
  <c r="C32" i="27"/>
  <c r="E31" i="27"/>
  <c r="C31" i="27"/>
  <c r="K74" i="27"/>
  <c r="J74" i="27"/>
  <c r="K73" i="27"/>
  <c r="J73" i="27"/>
  <c r="K72" i="27"/>
  <c r="J72" i="27"/>
  <c r="K71" i="27"/>
  <c r="J71" i="27"/>
  <c r="K195" i="27"/>
  <c r="K189" i="27"/>
  <c r="K176" i="27"/>
  <c r="K175" i="27"/>
  <c r="K173" i="27"/>
  <c r="K172" i="27"/>
  <c r="K156" i="27"/>
  <c r="K155" i="27"/>
  <c r="K153" i="27"/>
  <c r="K152" i="27"/>
  <c r="K116" i="27"/>
  <c r="K164" i="27"/>
  <c r="K161" i="27"/>
  <c r="E35" i="27"/>
  <c r="K194" i="27"/>
  <c r="K168" i="27"/>
  <c r="K121" i="27"/>
  <c r="K193" i="27"/>
  <c r="K190" i="27"/>
  <c r="K184" i="27"/>
  <c r="K183" i="27"/>
  <c r="K180" i="27"/>
  <c r="J162" i="27"/>
  <c r="K151" i="27"/>
  <c r="J151" i="27"/>
  <c r="J119" i="27"/>
  <c r="K119" i="27"/>
  <c r="C35" i="27"/>
  <c r="I66" i="27" a="1"/>
  <c r="I66" i="27" s="1"/>
  <c r="H66" i="27" a="1"/>
  <c r="H66" i="27" s="1"/>
  <c r="G66" i="27" a="1"/>
  <c r="G66" i="27" s="1"/>
  <c r="F66" i="27" a="1"/>
  <c r="F66" i="27" s="1"/>
  <c r="D66" i="27" a="1"/>
  <c r="D66" i="27" s="1"/>
  <c r="E66" i="27" s="1"/>
  <c r="C66" i="27" a="1"/>
  <c r="C66" i="27" s="1"/>
  <c r="C5" i="27"/>
  <c r="J70" i="27"/>
  <c r="K134" i="19" a="1"/>
  <c r="K134" i="19" s="1"/>
  <c r="K83" i="19" a="1"/>
  <c r="K83" i="19" s="1"/>
  <c r="K18" i="19" a="1"/>
  <c r="K18" i="19" s="1"/>
  <c r="K17" i="19" a="1"/>
  <c r="K17" i="19" s="1"/>
  <c r="K41" i="19" a="1"/>
  <c r="K41" i="19" s="1"/>
  <c r="K69" i="19" a="1"/>
  <c r="K69" i="19" s="1"/>
  <c r="K97" i="19" a="1"/>
  <c r="K97" i="19" s="1"/>
  <c r="F7" i="56"/>
  <c r="C109" i="51"/>
  <c r="E131" i="19" a="1"/>
  <c r="E131" i="19" s="1"/>
  <c r="E126" i="19" a="1"/>
  <c r="E126" i="19" s="1"/>
  <c r="E119" i="19" a="1"/>
  <c r="E119" i="19" s="1"/>
  <c r="B109" i="51"/>
  <c r="D109" i="51" s="1"/>
  <c r="E134" i="19" a="1"/>
  <c r="E134" i="19" s="1"/>
  <c r="E129" i="19" a="1"/>
  <c r="E129" i="19" s="1"/>
  <c r="E125" i="19" a="1"/>
  <c r="E125" i="19" s="1"/>
  <c r="E116" i="19" a="1"/>
  <c r="E116" i="19" s="1"/>
  <c r="E132" i="19" a="1"/>
  <c r="E132" i="19" s="1"/>
  <c r="E128" i="19" a="1"/>
  <c r="E128" i="19" s="1"/>
  <c r="E122" i="19" a="1"/>
  <c r="E122" i="19" s="1"/>
  <c r="E113" i="19" a="1"/>
  <c r="E113" i="19" s="1"/>
  <c r="D19" i="38"/>
  <c r="D20" i="38"/>
  <c r="D18" i="38"/>
  <c r="E133" i="19" a="1"/>
  <c r="E133" i="19" s="1"/>
  <c r="E130" i="19" a="1"/>
  <c r="E130" i="19" s="1"/>
  <c r="E127" i="19" a="1"/>
  <c r="E127" i="19" s="1"/>
  <c r="E124" i="19" a="1"/>
  <c r="E124" i="19" s="1"/>
  <c r="G123" i="19" a="1"/>
  <c r="G123" i="19" s="1"/>
  <c r="E121" i="19" a="1"/>
  <c r="E121" i="19" s="1"/>
  <c r="G120" i="19" a="1"/>
  <c r="G120" i="19" s="1"/>
  <c r="E118" i="19" a="1"/>
  <c r="E118" i="19" s="1"/>
  <c r="G117" i="19" a="1"/>
  <c r="G117" i="19" s="1"/>
  <c r="E115" i="19" a="1"/>
  <c r="E115" i="19" s="1"/>
  <c r="G114" i="19" a="1"/>
  <c r="G114" i="19" s="1"/>
  <c r="G112" i="19" a="1"/>
  <c r="G112" i="19" s="1"/>
  <c r="E112" i="19" a="1"/>
  <c r="E112" i="19" s="1"/>
  <c r="G111" i="19" a="1"/>
  <c r="G111" i="19" s="1"/>
  <c r="E111" i="19" a="1"/>
  <c r="E111" i="19" s="1"/>
  <c r="G110" i="19" a="1"/>
  <c r="G110" i="19" s="1"/>
  <c r="E110" i="19" a="1"/>
  <c r="E110" i="19" s="1"/>
  <c r="G109" i="19" a="1"/>
  <c r="G109" i="19" s="1"/>
  <c r="E109" i="19" a="1"/>
  <c r="E109" i="19" s="1"/>
  <c r="G108" i="19" a="1"/>
  <c r="G108" i="19" s="1"/>
  <c r="E108" i="19" a="1"/>
  <c r="E108" i="19" s="1"/>
  <c r="G107" i="19" a="1"/>
  <c r="G107" i="19" s="1"/>
  <c r="E107" i="19" a="1"/>
  <c r="E107" i="19" s="1"/>
  <c r="G106" i="19" a="1"/>
  <c r="G106" i="19" s="1"/>
  <c r="E106" i="19" a="1"/>
  <c r="E106" i="19" s="1"/>
  <c r="G105" i="19" a="1"/>
  <c r="G105" i="19" s="1"/>
  <c r="E105" i="19" a="1"/>
  <c r="E105" i="19" s="1"/>
  <c r="G104" i="19" a="1"/>
  <c r="G104" i="19" s="1"/>
  <c r="E104" i="19" a="1"/>
  <c r="E104" i="19" s="1"/>
  <c r="G103" i="19" a="1"/>
  <c r="G103" i="19" s="1"/>
  <c r="E103" i="19" a="1"/>
  <c r="E103" i="19" s="1"/>
  <c r="G102" i="19" a="1"/>
  <c r="G102" i="19" s="1"/>
  <c r="E102" i="19" a="1"/>
  <c r="E102" i="19" s="1"/>
  <c r="G101" i="19" a="1"/>
  <c r="G101" i="19" s="1"/>
  <c r="E101" i="19" a="1"/>
  <c r="E101" i="19" s="1"/>
  <c r="G100" i="19" a="1"/>
  <c r="G100" i="19" s="1"/>
  <c r="E100" i="19" a="1"/>
  <c r="E100" i="19" s="1"/>
  <c r="G99" i="19" a="1"/>
  <c r="G99" i="19" s="1"/>
  <c r="E99" i="19" a="1"/>
  <c r="E99" i="19" s="1"/>
  <c r="G98" i="19" a="1"/>
  <c r="G98" i="19" s="1"/>
  <c r="E98" i="19" a="1"/>
  <c r="E98" i="19" s="1"/>
  <c r="G97" i="19" a="1"/>
  <c r="G97" i="19" s="1"/>
  <c r="E97" i="19" a="1"/>
  <c r="E97" i="19" s="1"/>
  <c r="G96" i="19" a="1"/>
  <c r="G96" i="19" s="1"/>
  <c r="E96" i="19" a="1"/>
  <c r="E96" i="19" s="1"/>
  <c r="G95" i="19" a="1"/>
  <c r="G95" i="19" s="1"/>
  <c r="E95" i="19" a="1"/>
  <c r="E95" i="19" s="1"/>
  <c r="G94" i="19" a="1"/>
  <c r="G94" i="19" s="1"/>
  <c r="E94" i="19" a="1"/>
  <c r="E94" i="19" s="1"/>
  <c r="G93" i="19" a="1"/>
  <c r="G93" i="19" s="1"/>
  <c r="E93" i="19" a="1"/>
  <c r="E93" i="19" s="1"/>
  <c r="G92" i="19" a="1"/>
  <c r="G92" i="19" s="1"/>
  <c r="E92" i="19" a="1"/>
  <c r="E92" i="19" s="1"/>
  <c r="G91" i="19" a="1"/>
  <c r="G91" i="19" s="1"/>
  <c r="E91" i="19" a="1"/>
  <c r="E91" i="19" s="1"/>
  <c r="G90" i="19" a="1"/>
  <c r="G90" i="19" s="1"/>
  <c r="E90" i="19" a="1"/>
  <c r="E90" i="19" s="1"/>
  <c r="G89" i="19" a="1"/>
  <c r="G89" i="19" s="1"/>
  <c r="E89" i="19" a="1"/>
  <c r="E89" i="19" s="1"/>
  <c r="G88" i="19" a="1"/>
  <c r="G88" i="19" s="1"/>
  <c r="E88" i="19" a="1"/>
  <c r="E88" i="19" s="1"/>
  <c r="G87" i="19" a="1"/>
  <c r="G87" i="19" s="1"/>
  <c r="E87" i="19" a="1"/>
  <c r="E87" i="19" s="1"/>
  <c r="G86" i="19" a="1"/>
  <c r="G86" i="19" s="1"/>
  <c r="E86" i="19" a="1"/>
  <c r="E86" i="19" s="1"/>
  <c r="G85" i="19" a="1"/>
  <c r="G85" i="19" s="1"/>
  <c r="E85" i="19" a="1"/>
  <c r="E85" i="19" s="1"/>
  <c r="G84" i="19" a="1"/>
  <c r="G84" i="19" s="1"/>
  <c r="E84" i="19" a="1"/>
  <c r="E84" i="19" s="1"/>
  <c r="G83" i="19" a="1"/>
  <c r="G83" i="19" s="1"/>
  <c r="E83" i="19" a="1"/>
  <c r="E83" i="19" s="1"/>
  <c r="G82" i="19" a="1"/>
  <c r="G82" i="19" s="1"/>
  <c r="E82" i="19" a="1"/>
  <c r="E82" i="19" s="1"/>
  <c r="G81" i="19" a="1"/>
  <c r="G81" i="19" s="1"/>
  <c r="E81" i="19" a="1"/>
  <c r="E81" i="19" s="1"/>
  <c r="G80" i="19" a="1"/>
  <c r="G80" i="19" s="1"/>
  <c r="E80" i="19" a="1"/>
  <c r="E80" i="19" s="1"/>
  <c r="G79" i="19" a="1"/>
  <c r="G79" i="19" s="1"/>
  <c r="E79" i="19" a="1"/>
  <c r="E79" i="19" s="1"/>
  <c r="G78" i="19" a="1"/>
  <c r="G78" i="19" s="1"/>
  <c r="E78" i="19" a="1"/>
  <c r="E78" i="19" s="1"/>
  <c r="G77" i="19" a="1"/>
  <c r="G77" i="19" s="1"/>
  <c r="E77" i="19" a="1"/>
  <c r="E77" i="19" s="1"/>
  <c r="G76" i="19" a="1"/>
  <c r="G76" i="19" s="1"/>
  <c r="E76" i="19" a="1"/>
  <c r="E76" i="19" s="1"/>
  <c r="G75" i="19" a="1"/>
  <c r="G75" i="19" s="1"/>
  <c r="E75" i="19" a="1"/>
  <c r="E75" i="19" s="1"/>
  <c r="G74" i="19" a="1"/>
  <c r="G74" i="19" s="1"/>
  <c r="E74" i="19" a="1"/>
  <c r="E74" i="19" s="1"/>
  <c r="G73" i="19" a="1"/>
  <c r="G73" i="19" s="1"/>
  <c r="E73" i="19" a="1"/>
  <c r="E73" i="19" s="1"/>
  <c r="G72" i="19" a="1"/>
  <c r="G72" i="19" s="1"/>
  <c r="E72" i="19" a="1"/>
  <c r="E72" i="19" s="1"/>
  <c r="G71" i="19" a="1"/>
  <c r="G71" i="19" s="1"/>
  <c r="E71" i="19" a="1"/>
  <c r="E71" i="19" s="1"/>
  <c r="G70" i="19" a="1"/>
  <c r="G70" i="19" s="1"/>
  <c r="E70" i="19" a="1"/>
  <c r="E70" i="19" s="1"/>
  <c r="G69" i="19" a="1"/>
  <c r="G69" i="19" s="1"/>
  <c r="E69" i="19" a="1"/>
  <c r="E69" i="19" s="1"/>
  <c r="G68" i="19" a="1"/>
  <c r="G68" i="19" s="1"/>
  <c r="E68" i="19" a="1"/>
  <c r="E68" i="19" s="1"/>
  <c r="G67" i="19" a="1"/>
  <c r="G67" i="19" s="1"/>
  <c r="E67" i="19" a="1"/>
  <c r="E67" i="19" s="1"/>
  <c r="G66" i="19" a="1"/>
  <c r="G66" i="19" s="1"/>
  <c r="E66" i="19" a="1"/>
  <c r="E66" i="19" s="1"/>
  <c r="G65" i="19" a="1"/>
  <c r="G65" i="19" s="1"/>
  <c r="E65" i="19" a="1"/>
  <c r="E65" i="19" s="1"/>
  <c r="G64" i="19" a="1"/>
  <c r="G64" i="19" s="1"/>
  <c r="E64" i="19" a="1"/>
  <c r="E64" i="19" s="1"/>
  <c r="G63" i="19" a="1"/>
  <c r="G63" i="19" s="1"/>
  <c r="E63" i="19" a="1"/>
  <c r="E63" i="19" s="1"/>
  <c r="G62" i="19" a="1"/>
  <c r="G62" i="19" s="1"/>
  <c r="E62" i="19" a="1"/>
  <c r="E62" i="19" s="1"/>
  <c r="G61" i="19" a="1"/>
  <c r="G61" i="19" s="1"/>
  <c r="E61" i="19" a="1"/>
  <c r="E61" i="19" s="1"/>
  <c r="G60" i="19" a="1"/>
  <c r="G60" i="19" s="1"/>
  <c r="E60" i="19" a="1"/>
  <c r="E60" i="19" s="1"/>
  <c r="G59" i="19" a="1"/>
  <c r="G59" i="19" s="1"/>
  <c r="E59" i="19" a="1"/>
  <c r="E59" i="19" s="1"/>
  <c r="G58" i="19" a="1"/>
  <c r="G58" i="19" s="1"/>
  <c r="E58" i="19" a="1"/>
  <c r="E58" i="19" s="1"/>
  <c r="G57" i="19" a="1"/>
  <c r="G57" i="19" s="1"/>
  <c r="E57" i="19" a="1"/>
  <c r="E57" i="19" s="1"/>
  <c r="G56" i="19" a="1"/>
  <c r="G56" i="19" s="1"/>
  <c r="E56" i="19" a="1"/>
  <c r="E56" i="19" s="1"/>
  <c r="G55" i="19" a="1"/>
  <c r="G55" i="19" s="1"/>
  <c r="E55" i="19" a="1"/>
  <c r="E55" i="19" s="1"/>
  <c r="G54" i="19" a="1"/>
  <c r="G54" i="19" s="1"/>
  <c r="E54" i="19" a="1"/>
  <c r="E54" i="19" s="1"/>
  <c r="G53" i="19" a="1"/>
  <c r="G53" i="19" s="1"/>
  <c r="E53" i="19" a="1"/>
  <c r="E53" i="19" s="1"/>
  <c r="G52" i="19" a="1"/>
  <c r="G52" i="19" s="1"/>
  <c r="E52" i="19" a="1"/>
  <c r="E52" i="19" s="1"/>
  <c r="G51" i="19" a="1"/>
  <c r="G51" i="19" s="1"/>
  <c r="E51" i="19" a="1"/>
  <c r="E51" i="19" s="1"/>
  <c r="G50" i="19" a="1"/>
  <c r="G50" i="19" s="1"/>
  <c r="E50" i="19" a="1"/>
  <c r="E50" i="19" s="1"/>
  <c r="G49" i="19" a="1"/>
  <c r="G49" i="19" s="1"/>
  <c r="E49" i="19" a="1"/>
  <c r="E49" i="19" s="1"/>
  <c r="G48" i="19" a="1"/>
  <c r="G48" i="19" s="1"/>
  <c r="E48" i="19" a="1"/>
  <c r="E48" i="19" s="1"/>
  <c r="G47" i="19" a="1"/>
  <c r="G47" i="19" s="1"/>
  <c r="E47" i="19" a="1"/>
  <c r="E47" i="19" s="1"/>
  <c r="G46" i="19" a="1"/>
  <c r="G46" i="19" s="1"/>
  <c r="E46" i="19" a="1"/>
  <c r="E46" i="19" s="1"/>
  <c r="G45" i="19" a="1"/>
  <c r="G45" i="19" s="1"/>
  <c r="E45" i="19" a="1"/>
  <c r="E45" i="19" s="1"/>
  <c r="G44" i="19" a="1"/>
  <c r="G44" i="19" s="1"/>
  <c r="E44" i="19" a="1"/>
  <c r="E44" i="19" s="1"/>
  <c r="G43" i="19" a="1"/>
  <c r="G43" i="19" s="1"/>
  <c r="E43" i="19" a="1"/>
  <c r="E43" i="19" s="1"/>
  <c r="G42" i="19" a="1"/>
  <c r="G42" i="19" s="1"/>
  <c r="E42" i="19" a="1"/>
  <c r="E42" i="19" s="1"/>
  <c r="G41" i="19" a="1"/>
  <c r="G41" i="19" s="1"/>
  <c r="E41" i="19" a="1"/>
  <c r="E41" i="19" s="1"/>
  <c r="G40" i="19" a="1"/>
  <c r="G40" i="19" s="1"/>
  <c r="E40" i="19" a="1"/>
  <c r="E40" i="19" s="1"/>
  <c r="G39" i="19" a="1"/>
  <c r="G39" i="19" s="1"/>
  <c r="E39" i="19" a="1"/>
  <c r="E39" i="19" s="1"/>
  <c r="G38" i="19" a="1"/>
  <c r="G38" i="19" s="1"/>
  <c r="E38" i="19" a="1"/>
  <c r="E38" i="19" s="1"/>
  <c r="G37" i="19" a="1"/>
  <c r="G37" i="19" s="1"/>
  <c r="E37" i="19" a="1"/>
  <c r="E37" i="19" s="1"/>
  <c r="G36" i="19" a="1"/>
  <c r="G36" i="19" s="1"/>
  <c r="E36" i="19" a="1"/>
  <c r="E36" i="19" s="1"/>
  <c r="G35" i="19" a="1"/>
  <c r="G35" i="19" s="1"/>
  <c r="E35" i="19" a="1"/>
  <c r="E35" i="19" s="1"/>
  <c r="G34" i="19" a="1"/>
  <c r="G34" i="19" s="1"/>
  <c r="E34" i="19" a="1"/>
  <c r="E34" i="19" s="1"/>
  <c r="G33" i="19" a="1"/>
  <c r="G33" i="19" s="1"/>
  <c r="E33" i="19" a="1"/>
  <c r="E33" i="19" s="1"/>
  <c r="G32" i="19" a="1"/>
  <c r="G32" i="19" s="1"/>
  <c r="E32" i="19" a="1"/>
  <c r="E32" i="19" s="1"/>
  <c r="G31" i="19" a="1"/>
  <c r="G31" i="19" s="1"/>
  <c r="E31" i="19" a="1"/>
  <c r="E31" i="19" s="1"/>
  <c r="G30" i="19" a="1"/>
  <c r="G30" i="19" s="1"/>
  <c r="E30" i="19" a="1"/>
  <c r="E30" i="19" s="1"/>
  <c r="G29" i="19" a="1"/>
  <c r="G29" i="19" s="1"/>
  <c r="E29" i="19" a="1"/>
  <c r="E29" i="19" s="1"/>
  <c r="G28" i="19" a="1"/>
  <c r="G28" i="19" s="1"/>
  <c r="E28" i="19" a="1"/>
  <c r="E28" i="19" s="1"/>
  <c r="G27" i="19" a="1"/>
  <c r="G27" i="19" s="1"/>
  <c r="E27" i="19" a="1"/>
  <c r="E27" i="19" s="1"/>
  <c r="G26" i="19" a="1"/>
  <c r="G26" i="19" s="1"/>
  <c r="E26" i="19" a="1"/>
  <c r="E26" i="19" s="1"/>
  <c r="G25" i="19" a="1"/>
  <c r="G25" i="19" s="1"/>
  <c r="E25" i="19" a="1"/>
  <c r="E25" i="19" s="1"/>
  <c r="G24" i="19" a="1"/>
  <c r="G24" i="19" s="1"/>
  <c r="E24" i="19" a="1"/>
  <c r="E24" i="19" s="1"/>
  <c r="G23" i="19" a="1"/>
  <c r="G23" i="19" s="1"/>
  <c r="E23" i="19" a="1"/>
  <c r="E23" i="19" s="1"/>
  <c r="G22" i="19" a="1"/>
  <c r="G22" i="19" s="1"/>
  <c r="E22" i="19" a="1"/>
  <c r="E22" i="19" s="1"/>
  <c r="G21" i="19" a="1"/>
  <c r="G21" i="19" s="1"/>
  <c r="E21" i="19" a="1"/>
  <c r="E21" i="19" s="1"/>
  <c r="G20" i="19" a="1"/>
  <c r="G20" i="19" s="1"/>
  <c r="E20" i="19" a="1"/>
  <c r="E20" i="19" s="1"/>
  <c r="G19" i="19" a="1"/>
  <c r="G19" i="19" s="1"/>
  <c r="E19" i="19" a="1"/>
  <c r="E19" i="19" s="1"/>
  <c r="G18" i="19" a="1"/>
  <c r="G18" i="19" s="1"/>
  <c r="E18" i="19" a="1"/>
  <c r="E18" i="19" s="1"/>
  <c r="H135" i="19"/>
  <c r="I135" i="19"/>
  <c r="J135" i="19"/>
  <c r="E17" i="19" a="1"/>
  <c r="E17" i="19" s="1"/>
  <c r="G17" i="19" a="1"/>
  <c r="G17" i="19" s="1"/>
  <c r="F6" i="56"/>
  <c r="D10" i="56"/>
  <c r="E38" i="2"/>
  <c r="G38" i="2"/>
  <c r="H45" i="2"/>
  <c r="D40" i="2" a="1"/>
  <c r="D40" i="2" s="1"/>
  <c r="E33" i="2"/>
  <c r="G33" i="2"/>
  <c r="E28" i="2"/>
  <c r="G28" i="2"/>
  <c r="H30" i="2"/>
  <c r="D62" i="2" a="1"/>
  <c r="D62" i="2" s="1"/>
  <c r="G87" i="37"/>
  <c r="G89" i="37" s="1"/>
  <c r="H88" i="37"/>
  <c r="H89" i="37" s="1"/>
  <c r="D14" i="2" a="1"/>
  <c r="D14" i="2" s="1"/>
  <c r="Y76" i="34" a="1"/>
  <c r="Y76" i="34" s="1"/>
  <c r="Y72" i="34" a="1"/>
  <c r="Y72" i="34" s="1"/>
  <c r="Y73" i="34" a="1"/>
  <c r="Y73" i="34" s="1"/>
  <c r="Y74" i="34" a="1"/>
  <c r="Y74" i="34" s="1"/>
  <c r="Y75" i="34" a="1"/>
  <c r="Y75" i="34" s="1"/>
  <c r="Y58" i="34" a="1"/>
  <c r="Y58" i="34" s="1"/>
  <c r="Y61" i="34" a="1"/>
  <c r="Y61" i="34" s="1"/>
  <c r="Y62" i="34" a="1"/>
  <c r="Y62" i="34" s="1"/>
  <c r="Y59" i="34" a="1"/>
  <c r="Y59" i="34" s="1"/>
  <c r="Y60" i="34" a="1"/>
  <c r="Y60" i="34" s="1"/>
  <c r="Y63" i="34" a="1"/>
  <c r="Y63" i="34" s="1"/>
  <c r="Y55" i="34" a="1"/>
  <c r="Y55" i="34" s="1"/>
  <c r="Y56" i="34" a="1"/>
  <c r="Y56" i="34" s="1"/>
  <c r="Y57" i="34" a="1"/>
  <c r="Y57" i="34" s="1"/>
  <c r="Y54" i="34" a="1"/>
  <c r="Y54" i="34" s="1"/>
  <c r="Y52" i="34" a="1"/>
  <c r="Y52" i="34" s="1"/>
  <c r="Y53" i="34" a="1"/>
  <c r="Y53" i="34" s="1"/>
  <c r="Y23" i="34" a="1"/>
  <c r="Y23" i="34" s="1"/>
  <c r="Y9" i="34" a="1"/>
  <c r="Y9" i="34" s="1"/>
  <c r="Y22" i="34" a="1"/>
  <c r="Y22" i="34" s="1"/>
  <c r="Q20" i="34" a="1"/>
  <c r="Q20" i="34" s="1"/>
  <c r="Q21" i="34" a="1"/>
  <c r="Q21" i="34" s="1"/>
  <c r="Q22" i="34" a="1"/>
  <c r="Q22" i="34" s="1"/>
  <c r="Q23" i="34" a="1"/>
  <c r="Q23" i="34" s="1"/>
  <c r="Q27" i="34" a="1"/>
  <c r="Q27" i="34" s="1"/>
  <c r="Q34" i="34" a="1"/>
  <c r="Q34" i="34" s="1"/>
  <c r="Q35" i="34" a="1"/>
  <c r="Q35" i="34" s="1"/>
  <c r="Q36" i="34" a="1"/>
  <c r="Q36" i="34" s="1"/>
  <c r="Q37" i="34" a="1"/>
  <c r="Q37" i="34" s="1"/>
  <c r="Q39" i="34" a="1"/>
  <c r="Q39" i="34" s="1"/>
  <c r="Q40" i="34" a="1"/>
  <c r="Q40" i="34" s="1"/>
  <c r="Q41" i="34" a="1"/>
  <c r="Q41" i="34" s="1"/>
  <c r="Q42" i="34" a="1"/>
  <c r="Q42" i="34" s="1"/>
  <c r="Y7" i="34" a="1"/>
  <c r="Y7" i="34" s="1"/>
  <c r="Y8" i="34" a="1"/>
  <c r="Y8" i="34" s="1"/>
  <c r="Y36" i="34" a="1"/>
  <c r="Y36" i="34" s="1"/>
  <c r="Y37" i="34" a="1"/>
  <c r="Y37" i="34" s="1"/>
  <c r="Y38" i="34" a="1"/>
  <c r="Y38" i="34" s="1"/>
  <c r="Y39" i="34" a="1"/>
  <c r="Y39" i="34" s="1"/>
  <c r="Y40" i="34" a="1"/>
  <c r="Y40" i="34" s="1"/>
  <c r="Y41" i="34" a="1"/>
  <c r="Y41" i="34" s="1"/>
  <c r="Y42" i="34" a="1"/>
  <c r="Y42" i="34" s="1"/>
  <c r="Y43" i="34" a="1"/>
  <c r="Y43" i="34" s="1"/>
  <c r="Y44" i="34" a="1"/>
  <c r="Y44" i="34" s="1"/>
  <c r="Y45" i="34" a="1"/>
  <c r="Y45" i="34" s="1"/>
  <c r="Y46" i="34" a="1"/>
  <c r="Y46" i="34" s="1"/>
  <c r="Y47" i="34" a="1"/>
  <c r="Y47" i="34" s="1"/>
  <c r="Y48" i="34" a="1"/>
  <c r="Y48" i="34" s="1"/>
  <c r="Y49" i="34" a="1"/>
  <c r="Y49" i="34" s="1"/>
  <c r="Y50" i="34" a="1"/>
  <c r="Y50" i="34" s="1"/>
  <c r="Y51" i="34" a="1"/>
  <c r="Y51" i="34" s="1"/>
  <c r="Y20" i="34" a="1"/>
  <c r="Y20" i="34" s="1"/>
  <c r="Y21" i="34" a="1"/>
  <c r="Y21" i="34" s="1"/>
  <c r="Y24" i="34" a="1"/>
  <c r="Y24" i="34" s="1"/>
  <c r="Y25" i="34" a="1"/>
  <c r="Y25" i="34" s="1"/>
  <c r="Y26" i="34" a="1"/>
  <c r="Y26" i="34" s="1"/>
  <c r="Y27" i="34" a="1"/>
  <c r="Y27" i="34" s="1"/>
  <c r="Y29" i="34" a="1"/>
  <c r="Y29" i="34" s="1"/>
  <c r="Y32" i="34" a="1"/>
  <c r="Y32" i="34" s="1"/>
  <c r="Y34" i="34" a="1"/>
  <c r="Y34" i="34" s="1"/>
  <c r="Y35" i="34" a="1"/>
  <c r="Y35" i="34" s="1"/>
  <c r="Y28" i="34" a="1"/>
  <c r="Y28" i="34" s="1"/>
  <c r="Y30" i="34" a="1"/>
  <c r="Y30" i="34" s="1"/>
  <c r="Y31" i="34" a="1"/>
  <c r="Y31" i="34" s="1"/>
  <c r="Y33" i="34" a="1"/>
  <c r="Y33" i="34" s="1"/>
  <c r="Q7" i="34" a="1"/>
  <c r="Q7" i="34" s="1"/>
  <c r="Q8" i="34" a="1"/>
  <c r="Q8" i="34" s="1"/>
  <c r="Q9" i="34" a="1"/>
  <c r="Q9" i="34" s="1"/>
  <c r="Q24" i="34" a="1"/>
  <c r="Q24" i="34" s="1"/>
  <c r="Q25" i="34" a="1"/>
  <c r="Q25" i="34" s="1"/>
  <c r="Q26" i="34" a="1"/>
  <c r="Q26" i="34" s="1"/>
  <c r="Q28" i="34" a="1"/>
  <c r="Q28" i="34" s="1"/>
  <c r="Q29" i="34" a="1"/>
  <c r="Q29" i="34" s="1"/>
  <c r="Q30" i="34" a="1"/>
  <c r="Q30" i="34" s="1"/>
  <c r="Q31" i="34" a="1"/>
  <c r="Q31" i="34" s="1"/>
  <c r="Q32" i="34" a="1"/>
  <c r="Q32" i="34" s="1"/>
  <c r="Q33" i="34" a="1"/>
  <c r="Q33" i="34" s="1"/>
  <c r="Q38" i="34" a="1"/>
  <c r="Q38" i="34" s="1"/>
  <c r="D23" i="38"/>
  <c r="K9" i="37"/>
  <c r="J9" i="37"/>
  <c r="G37" i="2"/>
  <c r="E37" i="2"/>
  <c r="G42" i="2"/>
  <c r="E42" i="2"/>
  <c r="G32" i="2"/>
  <c r="E32" i="2"/>
  <c r="G27" i="2"/>
  <c r="E27" i="2"/>
  <c r="G45" i="2"/>
  <c r="E45" i="2"/>
  <c r="G53" i="2"/>
  <c r="D50" i="2" a="1"/>
  <c r="D50" i="2" s="1"/>
  <c r="F85" i="4"/>
  <c r="E85" i="4"/>
  <c r="D85" i="4"/>
  <c r="F61" i="4"/>
  <c r="E61" i="4"/>
  <c r="D61" i="4"/>
  <c r="F23" i="4"/>
  <c r="E23" i="4"/>
  <c r="D23" i="4"/>
  <c r="D24" i="4" s="1"/>
  <c r="F24" i="4"/>
  <c r="E24" i="4"/>
  <c r="F17" i="4"/>
  <c r="E17" i="4"/>
  <c r="D17" i="4"/>
  <c r="E78" i="4"/>
  <c r="D78" i="4"/>
  <c r="F78" i="4"/>
  <c r="F32" i="3"/>
  <c r="F15" i="2" a="1"/>
  <c r="F15" i="2" s="1"/>
  <c r="F14" i="2" a="1"/>
  <c r="F14" i="2" s="1"/>
  <c r="F13" i="2" a="1"/>
  <c r="F13" i="2" s="1"/>
  <c r="F12" i="2" a="1"/>
  <c r="F12" i="2" s="1"/>
  <c r="F11" i="2" a="1"/>
  <c r="F11" i="2" s="1"/>
  <c r="F9" i="2" a="1"/>
  <c r="F9" i="2" s="1"/>
  <c r="F8" i="2" a="1"/>
  <c r="F8" i="2" s="1"/>
  <c r="F7" i="2" a="1"/>
  <c r="F7" i="2" s="1"/>
  <c r="F68" i="4"/>
  <c r="E68" i="4"/>
  <c r="D68" i="4"/>
  <c r="F36" i="3"/>
  <c r="F35" i="3"/>
  <c r="F34" i="3"/>
  <c r="F33" i="3"/>
  <c r="F20" i="3"/>
  <c r="F19" i="3"/>
  <c r="F18" i="3"/>
  <c r="F17" i="3"/>
  <c r="F16" i="3"/>
  <c r="F15" i="3"/>
  <c r="F14" i="3"/>
  <c r="F13" i="3"/>
  <c r="F12" i="3"/>
  <c r="F11" i="3"/>
  <c r="F10" i="3"/>
  <c r="H10" i="3" s="1"/>
  <c r="F9" i="3"/>
  <c r="B51" i="38" s="1"/>
  <c r="C54" i="2"/>
  <c r="E54" i="2" s="1"/>
  <c r="C53" i="2"/>
  <c r="E53" i="2" s="1"/>
  <c r="C50" i="2"/>
  <c r="C49" i="2"/>
  <c r="C48" i="2"/>
  <c r="C15" i="2"/>
  <c r="C19" i="2" s="1"/>
  <c r="C14" i="2"/>
  <c r="C13" i="2"/>
  <c r="C12" i="2"/>
  <c r="C11" i="2"/>
  <c r="C8" i="2"/>
  <c r="C7" i="2"/>
  <c r="F3" i="2"/>
  <c r="E15" i="51" l="1"/>
  <c r="E14" i="51"/>
  <c r="E16" i="51" s="1"/>
  <c r="C10" i="27"/>
  <c r="C9" i="27"/>
  <c r="C8" i="27"/>
  <c r="C7" i="27"/>
  <c r="C6" i="27"/>
  <c r="C120" i="51"/>
  <c r="C144" i="51" s="1"/>
  <c r="C119" i="51"/>
  <c r="C118" i="51"/>
  <c r="B120" i="51"/>
  <c r="B119" i="51"/>
  <c r="B118" i="51"/>
  <c r="D31" i="27"/>
  <c r="G31" i="27" s="1"/>
  <c r="D32" i="27"/>
  <c r="E14" i="19" a="1"/>
  <c r="E14" i="19" s="1"/>
  <c r="E13" i="19" a="1"/>
  <c r="E13" i="19" s="1"/>
  <c r="E12" i="19" a="1"/>
  <c r="E12" i="19" s="1"/>
  <c r="K66" i="27"/>
  <c r="E16" i="27"/>
  <c r="E17" i="27"/>
  <c r="J66" i="27"/>
  <c r="C23" i="27" s="1" a="1"/>
  <c r="C23" i="27" s="1"/>
  <c r="V28" i="4"/>
  <c r="V32" i="4" s="1"/>
  <c r="D40" i="27"/>
  <c r="D53" i="27"/>
  <c r="D36" i="27"/>
  <c r="D33" i="27"/>
  <c r="E56" i="27"/>
  <c r="C54" i="27"/>
  <c r="E54" i="27"/>
  <c r="F54" i="27"/>
  <c r="G54" i="27"/>
  <c r="C55" i="27"/>
  <c r="D55" i="27" s="1"/>
  <c r="E55" i="27"/>
  <c r="F55" i="27"/>
  <c r="G55" i="27"/>
  <c r="H55" i="27" s="1"/>
  <c r="C56" i="27"/>
  <c r="D56" i="27" s="1"/>
  <c r="F56" i="27"/>
  <c r="G56" i="27"/>
  <c r="H56" i="27" s="1"/>
  <c r="C57" i="27"/>
  <c r="D57" i="27" s="1"/>
  <c r="E57" i="27"/>
  <c r="F57" i="27"/>
  <c r="G57" i="27"/>
  <c r="C58" i="27"/>
  <c r="D58" i="27" s="1"/>
  <c r="E58" i="27"/>
  <c r="F58" i="27"/>
  <c r="G58" i="27"/>
  <c r="C59" i="27"/>
  <c r="D59" i="27" s="1"/>
  <c r="E59" i="27"/>
  <c r="F59" i="27"/>
  <c r="G59" i="27"/>
  <c r="H59" i="27" s="1"/>
  <c r="C60" i="27"/>
  <c r="D60" i="27" s="1"/>
  <c r="E60" i="27"/>
  <c r="F60" i="27"/>
  <c r="G60" i="27"/>
  <c r="F47" i="27"/>
  <c r="C48" i="27"/>
  <c r="D48" i="27" s="1"/>
  <c r="E48" i="27"/>
  <c r="H48" i="27" s="1"/>
  <c r="F48" i="27"/>
  <c r="G48" i="27"/>
  <c r="C49" i="27"/>
  <c r="E49" i="27"/>
  <c r="F49" i="27"/>
  <c r="G49" i="27"/>
  <c r="G42" i="27"/>
  <c r="C26" i="27"/>
  <c r="D26" i="27" s="1"/>
  <c r="C41" i="27"/>
  <c r="E41" i="27"/>
  <c r="F41" i="27"/>
  <c r="G41" i="27"/>
  <c r="C42" i="27"/>
  <c r="D42" i="27" s="1"/>
  <c r="E42" i="27"/>
  <c r="F42" i="27"/>
  <c r="G47" i="27"/>
  <c r="C43" i="27"/>
  <c r="D43" i="27" s="1"/>
  <c r="E43" i="27"/>
  <c r="F43" i="27"/>
  <c r="G43" i="27"/>
  <c r="C44" i="27"/>
  <c r="D44" i="27" s="1"/>
  <c r="E44" i="27"/>
  <c r="F44" i="27"/>
  <c r="G44" i="27"/>
  <c r="C45" i="27"/>
  <c r="D45" i="27" s="1"/>
  <c r="E45" i="27"/>
  <c r="F45" i="27"/>
  <c r="G45" i="27"/>
  <c r="C46" i="27"/>
  <c r="D46" i="27" s="1"/>
  <c r="E46" i="27"/>
  <c r="F46" i="27"/>
  <c r="G46" i="27"/>
  <c r="C47" i="27"/>
  <c r="D47" i="27" s="1"/>
  <c r="E47" i="27"/>
  <c r="C25" i="27" a="1"/>
  <c r="C25" i="27" s="1"/>
  <c r="D25" i="27" s="1"/>
  <c r="G25" i="27" a="1"/>
  <c r="G25" i="27" s="1"/>
  <c r="B10" i="38"/>
  <c r="D16" i="27"/>
  <c r="D17" i="27"/>
  <c r="G17" i="27" s="1"/>
  <c r="F10" i="56"/>
  <c r="C3" i="27"/>
  <c r="C3" i="19"/>
  <c r="H35" i="2"/>
  <c r="E35" i="2"/>
  <c r="G35" i="2"/>
  <c r="G40" i="2"/>
  <c r="H40" i="2"/>
  <c r="E40" i="2"/>
  <c r="G30" i="2"/>
  <c r="E30" i="2"/>
  <c r="U20" i="34" a="1"/>
  <c r="U20" i="34" s="1"/>
  <c r="V20" i="34"/>
  <c r="W20" i="34" s="1"/>
  <c r="T20" i="34" a="1"/>
  <c r="T20" i="34" s="1"/>
  <c r="S20" i="34" a="1"/>
  <c r="S20" i="34" s="1"/>
  <c r="R20" i="34" a="1"/>
  <c r="R20" i="34" s="1"/>
  <c r="V21" i="34"/>
  <c r="U21" i="34" a="1"/>
  <c r="U21" i="34" s="1"/>
  <c r="S21" i="34" a="1"/>
  <c r="S21" i="34" s="1"/>
  <c r="R21" i="34" a="1"/>
  <c r="R21" i="34" s="1"/>
  <c r="V22" i="34"/>
  <c r="W22" i="34" s="1"/>
  <c r="U22" i="34" a="1"/>
  <c r="U22" i="34" s="1"/>
  <c r="R22" i="34" a="1"/>
  <c r="R22" i="34" s="1"/>
  <c r="T22" i="34" a="1"/>
  <c r="T22" i="34" s="1"/>
  <c r="S22" i="34" a="1"/>
  <c r="S22" i="34" s="1"/>
  <c r="V23" i="34"/>
  <c r="U23" i="34" a="1"/>
  <c r="U23" i="34" s="1"/>
  <c r="S23" i="34" a="1"/>
  <c r="S23" i="34" s="1"/>
  <c r="R23" i="34" a="1"/>
  <c r="R23" i="34" s="1"/>
  <c r="V27" i="34"/>
  <c r="U27" i="34" a="1"/>
  <c r="U27" i="34" s="1"/>
  <c r="S27" i="34" a="1"/>
  <c r="S27" i="34" s="1"/>
  <c r="R27" i="34" a="1"/>
  <c r="R27" i="34" s="1"/>
  <c r="S34" i="34" a="1"/>
  <c r="S34" i="34" s="1"/>
  <c r="U34" i="34" a="1"/>
  <c r="U34" i="34" s="1"/>
  <c r="R34" i="34" a="1"/>
  <c r="R34" i="34" s="1"/>
  <c r="V34" i="34"/>
  <c r="R7" i="34" a="1"/>
  <c r="R7" i="34" s="1"/>
  <c r="S7" i="34" a="1"/>
  <c r="S7" i="34" s="1"/>
  <c r="U7" i="34" a="1"/>
  <c r="U7" i="34" s="1"/>
  <c r="V7" i="34"/>
  <c r="R8" i="34" a="1"/>
  <c r="R8" i="34" s="1"/>
  <c r="S8" i="34" a="1"/>
  <c r="S8" i="34" s="1"/>
  <c r="T8" i="34" a="1"/>
  <c r="T8" i="34" s="1"/>
  <c r="U8" i="34" a="1"/>
  <c r="U8" i="34" s="1"/>
  <c r="V8" i="34"/>
  <c r="W8" i="34" s="1"/>
  <c r="S9" i="34" a="1"/>
  <c r="S9" i="34" s="1"/>
  <c r="V9" i="34"/>
  <c r="R9" i="34" a="1"/>
  <c r="R9" i="34" s="1"/>
  <c r="U9" i="34" a="1"/>
  <c r="U9" i="34" s="1"/>
  <c r="R24" i="34" a="1"/>
  <c r="R24" i="34" s="1"/>
  <c r="S24" i="34" a="1"/>
  <c r="S24" i="34" s="1"/>
  <c r="U24" i="34" a="1"/>
  <c r="U24" i="34" s="1"/>
  <c r="V24" i="34"/>
  <c r="R25" i="34" a="1"/>
  <c r="R25" i="34" s="1"/>
  <c r="S25" i="34" a="1"/>
  <c r="S25" i="34" s="1"/>
  <c r="U25" i="34" a="1"/>
  <c r="U25" i="34" s="1"/>
  <c r="V25" i="34"/>
  <c r="R26" i="34" a="1"/>
  <c r="R26" i="34" s="1"/>
  <c r="S26" i="34" a="1"/>
  <c r="S26" i="34" s="1"/>
  <c r="U26" i="34" a="1"/>
  <c r="U26" i="34" s="1"/>
  <c r="V26" i="34"/>
  <c r="W26" i="34" s="1"/>
  <c r="R28" i="34" a="1"/>
  <c r="R28" i="34" s="1"/>
  <c r="S28" i="34" a="1"/>
  <c r="S28" i="34" s="1"/>
  <c r="U28" i="34" a="1"/>
  <c r="U28" i="34" s="1"/>
  <c r="V28" i="34"/>
  <c r="R29" i="34" a="1"/>
  <c r="R29" i="34" s="1"/>
  <c r="S29" i="34" a="1"/>
  <c r="S29" i="34" s="1"/>
  <c r="U29" i="34" a="1"/>
  <c r="U29" i="34" s="1"/>
  <c r="V29" i="34"/>
  <c r="V30" i="34"/>
  <c r="U30" i="34" a="1"/>
  <c r="U30" i="34" s="1"/>
  <c r="S30" i="34" a="1"/>
  <c r="S30" i="34" s="1"/>
  <c r="R30" i="34" a="1"/>
  <c r="R30" i="34" s="1"/>
  <c r="R31" i="34" a="1"/>
  <c r="R31" i="34" s="1"/>
  <c r="S31" i="34" a="1"/>
  <c r="S31" i="34" s="1"/>
  <c r="U31" i="34" a="1"/>
  <c r="U31" i="34" s="1"/>
  <c r="V31" i="34"/>
  <c r="R32" i="34" a="1"/>
  <c r="R32" i="34" s="1"/>
  <c r="S32" i="34" a="1"/>
  <c r="S32" i="34" s="1"/>
  <c r="U32" i="34" a="1"/>
  <c r="U32" i="34" s="1"/>
  <c r="V32" i="34"/>
  <c r="W32" i="34" s="1"/>
  <c r="R33" i="34" a="1"/>
  <c r="R33" i="34" s="1"/>
  <c r="S33" i="34" a="1"/>
  <c r="S33" i="34" s="1"/>
  <c r="U33" i="34" a="1"/>
  <c r="U33" i="34" s="1"/>
  <c r="V33" i="34"/>
  <c r="W33" i="34" s="1"/>
  <c r="R38" i="34" a="1"/>
  <c r="R38" i="34" s="1"/>
  <c r="U38" i="34" a="1"/>
  <c r="U38" i="34" s="1"/>
  <c r="S38" i="34" a="1"/>
  <c r="S38" i="34" s="1"/>
  <c r="V38" i="34"/>
  <c r="U35" i="34" a="1"/>
  <c r="U35" i="34" s="1"/>
  <c r="V35" i="34"/>
  <c r="S35" i="34" a="1"/>
  <c r="S35" i="34" s="1"/>
  <c r="R35" i="34" a="1"/>
  <c r="R35" i="34" s="1"/>
  <c r="V36" i="34"/>
  <c r="U36" i="34" a="1"/>
  <c r="U36" i="34" s="1"/>
  <c r="S36" i="34" a="1"/>
  <c r="S36" i="34" s="1"/>
  <c r="R36" i="34" a="1"/>
  <c r="R36" i="34" s="1"/>
  <c r="V37" i="34"/>
  <c r="U37" i="34" a="1"/>
  <c r="U37" i="34" s="1"/>
  <c r="S37" i="34" a="1"/>
  <c r="S37" i="34" s="1"/>
  <c r="R37" i="34" a="1"/>
  <c r="R37" i="34" s="1"/>
  <c r="R39" i="34" a="1"/>
  <c r="R39" i="34" s="1"/>
  <c r="V39" i="34"/>
  <c r="U39" i="34" a="1"/>
  <c r="U39" i="34" s="1"/>
  <c r="S39" i="34" a="1"/>
  <c r="S39" i="34" s="1"/>
  <c r="V40" i="34"/>
  <c r="U40" i="34" a="1"/>
  <c r="U40" i="34" s="1"/>
  <c r="S40" i="34" a="1"/>
  <c r="S40" i="34" s="1"/>
  <c r="R40" i="34" a="1"/>
  <c r="R40" i="34" s="1"/>
  <c r="U41" i="34" a="1"/>
  <c r="U41" i="34" s="1"/>
  <c r="R41" i="34" a="1"/>
  <c r="R41" i="34" s="1"/>
  <c r="V41" i="34"/>
  <c r="W41" i="34" s="1"/>
  <c r="T41" i="34" a="1"/>
  <c r="T41" i="34" s="1"/>
  <c r="S41" i="34" a="1"/>
  <c r="S41" i="34" s="1"/>
  <c r="V42" i="34"/>
  <c r="U42" i="34" a="1"/>
  <c r="U42" i="34" s="1"/>
  <c r="S42" i="34" a="1"/>
  <c r="S42" i="34" s="1"/>
  <c r="R42" i="34" a="1"/>
  <c r="R42" i="34" s="1"/>
  <c r="B27" i="3"/>
  <c r="B6" i="38"/>
  <c r="G32" i="3"/>
  <c r="B53" i="38"/>
  <c r="B55" i="38" s="1"/>
  <c r="C3" i="34"/>
  <c r="E3" i="37"/>
  <c r="C33" i="38"/>
  <c r="B62" i="38"/>
  <c r="B66" i="38" s="1"/>
  <c r="C31" i="38"/>
  <c r="C32" i="38"/>
  <c r="C29" i="38"/>
  <c r="C30" i="38"/>
  <c r="D19" i="2" a="1"/>
  <c r="D19" i="2" s="1"/>
  <c r="F70" i="4"/>
  <c r="F71" i="4"/>
  <c r="E70" i="4"/>
  <c r="E71" i="4"/>
  <c r="D70" i="4"/>
  <c r="D71" i="4"/>
  <c r="H17" i="3"/>
  <c r="G18" i="3"/>
  <c r="H9" i="3"/>
  <c r="G10" i="3"/>
  <c r="B24" i="3"/>
  <c r="C27" i="3"/>
  <c r="C26" i="3"/>
  <c r="G58" i="2"/>
  <c r="G57" i="2"/>
  <c r="G59" i="2"/>
  <c r="G61" i="2"/>
  <c r="G9" i="2"/>
  <c r="G56" i="2"/>
  <c r="H36" i="3"/>
  <c r="J36" i="3"/>
  <c r="G36" i="3"/>
  <c r="L36" i="3" s="1"/>
  <c r="J35" i="3"/>
  <c r="G35" i="3"/>
  <c r="L35" i="3" s="1"/>
  <c r="H35" i="3"/>
  <c r="G34" i="3"/>
  <c r="L34" i="3" s="1"/>
  <c r="H34" i="3"/>
  <c r="J34" i="3"/>
  <c r="G33" i="3"/>
  <c r="L33" i="3" s="1"/>
  <c r="H33" i="3"/>
  <c r="J33" i="3"/>
  <c r="H32" i="3"/>
  <c r="D53" i="38" s="1"/>
  <c r="J32" i="3"/>
  <c r="J31" i="3"/>
  <c r="H31" i="3"/>
  <c r="D52" i="38" s="1"/>
  <c r="G31" i="3"/>
  <c r="H20" i="3"/>
  <c r="H19" i="3"/>
  <c r="G20" i="3"/>
  <c r="B25" i="3" s="1"/>
  <c r="H18" i="3"/>
  <c r="G19" i="3"/>
  <c r="B26" i="3"/>
  <c r="H16" i="3"/>
  <c r="G17" i="3"/>
  <c r="H15" i="3"/>
  <c r="G16" i="3"/>
  <c r="G15" i="3"/>
  <c r="H14" i="3"/>
  <c r="G14" i="3"/>
  <c r="H13" i="3"/>
  <c r="G13" i="3"/>
  <c r="H12" i="3"/>
  <c r="G12" i="3"/>
  <c r="H11" i="3"/>
  <c r="G11" i="3"/>
  <c r="G52" i="2"/>
  <c r="E52" i="2"/>
  <c r="E50" i="2"/>
  <c r="G50" i="2"/>
  <c r="H50" i="2"/>
  <c r="H49" i="2"/>
  <c r="G49" i="2"/>
  <c r="E49" i="2"/>
  <c r="E48" i="2"/>
  <c r="G48" i="2"/>
  <c r="H48" i="2"/>
  <c r="E15" i="2"/>
  <c r="G15" i="2"/>
  <c r="H15" i="2"/>
  <c r="G14" i="2"/>
  <c r="E14" i="2"/>
  <c r="H14" i="2"/>
  <c r="E13" i="2"/>
  <c r="G13" i="2"/>
  <c r="H13" i="2"/>
  <c r="E12" i="2"/>
  <c r="G12" i="2"/>
  <c r="H12" i="2"/>
  <c r="H11" i="2"/>
  <c r="G11" i="2"/>
  <c r="E11" i="2"/>
  <c r="E8" i="2"/>
  <c r="G8" i="2"/>
  <c r="H8" i="2"/>
  <c r="H7" i="2"/>
  <c r="G7" i="2"/>
  <c r="E7" i="2"/>
  <c r="H57" i="27" l="1"/>
  <c r="H58" i="27"/>
  <c r="K216" i="27"/>
  <c r="K232" i="27"/>
  <c r="K215" i="27"/>
  <c r="K221" i="27"/>
  <c r="K223" i="27"/>
  <c r="K209" i="27"/>
  <c r="K210" i="27"/>
  <c r="K211" i="27"/>
  <c r="K212" i="27"/>
  <c r="K213" i="27"/>
  <c r="K227" i="27"/>
  <c r="K229" i="27"/>
  <c r="K218" i="27"/>
  <c r="H60" i="27"/>
  <c r="H47" i="27"/>
  <c r="G61" i="27"/>
  <c r="G62" i="27" s="1"/>
  <c r="G50" i="27"/>
  <c r="K147" i="27"/>
  <c r="K136" i="27"/>
  <c r="K133" i="27"/>
  <c r="K123" i="27"/>
  <c r="K94" i="27"/>
  <c r="K200" i="27"/>
  <c r="K174" i="27"/>
  <c r="K170" i="27"/>
  <c r="K158" i="27"/>
  <c r="K188" i="27"/>
  <c r="K197" i="27"/>
  <c r="K167" i="27"/>
  <c r="K191" i="27"/>
  <c r="K178" i="27"/>
  <c r="K162" i="27"/>
  <c r="K70" i="27"/>
  <c r="K169" i="27"/>
  <c r="K166" i="27"/>
  <c r="K144" i="27"/>
  <c r="K112" i="27"/>
  <c r="K109" i="27"/>
  <c r="K107" i="27"/>
  <c r="K99" i="27"/>
  <c r="K91" i="27"/>
  <c r="H43" i="27"/>
  <c r="H45" i="27"/>
  <c r="E50" i="27"/>
  <c r="F50" i="27"/>
  <c r="H44" i="27"/>
  <c r="H46" i="27"/>
  <c r="H42" i="27"/>
  <c r="D54" i="27"/>
  <c r="C61" i="27"/>
  <c r="C62" i="27" s="1"/>
  <c r="H54" i="27"/>
  <c r="G26" i="27"/>
  <c r="D49" i="27"/>
  <c r="H49" i="27"/>
  <c r="D41" i="27"/>
  <c r="C50" i="27"/>
  <c r="V29" i="4"/>
  <c r="D18" i="2" s="1" a="1"/>
  <c r="D18" i="2" s="1"/>
  <c r="E61" i="27"/>
  <c r="E62" i="27" s="1"/>
  <c r="V31" i="4"/>
  <c r="V33" i="4" s="1"/>
  <c r="C24" i="27"/>
  <c r="D24" i="27" s="1"/>
  <c r="C27" i="27"/>
  <c r="G27" i="27"/>
  <c r="B29" i="27"/>
  <c r="F61" i="27"/>
  <c r="F62" i="27" s="1"/>
  <c r="G16" i="27"/>
  <c r="G23" i="27"/>
  <c r="K78" i="27"/>
  <c r="K83" i="27"/>
  <c r="K86" i="27"/>
  <c r="K87" i="27"/>
  <c r="K92" i="27"/>
  <c r="K95" i="27"/>
  <c r="K103" i="27"/>
  <c r="K104" i="27"/>
  <c r="K105" i="27"/>
  <c r="K108" i="27"/>
  <c r="K122" i="27"/>
  <c r="K128" i="27"/>
  <c r="K134" i="27"/>
  <c r="K135" i="27"/>
  <c r="K140" i="27"/>
  <c r="K117" i="27"/>
  <c r="K120" i="27"/>
  <c r="K199" i="27"/>
  <c r="K198" i="27"/>
  <c r="K196" i="27"/>
  <c r="K187" i="27"/>
  <c r="K186" i="27"/>
  <c r="K185" i="27"/>
  <c r="K182" i="27"/>
  <c r="K181" i="27"/>
  <c r="K179" i="27"/>
  <c r="K177" i="27"/>
  <c r="K171" i="27"/>
  <c r="K165" i="27"/>
  <c r="K163" i="27"/>
  <c r="K159" i="27"/>
  <c r="K154" i="27"/>
  <c r="K125" i="27"/>
  <c r="K127" i="27"/>
  <c r="K126" i="27"/>
  <c r="C16" i="27"/>
  <c r="V35" i="4" s="1"/>
  <c r="F16" i="27"/>
  <c r="W37" i="34"/>
  <c r="F10" i="38"/>
  <c r="E10" i="38"/>
  <c r="B33" i="38" s="1"/>
  <c r="D33" i="38" s="1"/>
  <c r="F9" i="38"/>
  <c r="E9" i="38"/>
  <c r="B32" i="38" s="1"/>
  <c r="D32" i="38" s="1"/>
  <c r="B8" i="38"/>
  <c r="B9" i="38"/>
  <c r="B7" i="38"/>
  <c r="D120" i="51"/>
  <c r="B144" i="51"/>
  <c r="C121" i="51"/>
  <c r="C140" i="51" s="1"/>
  <c r="C141" i="51"/>
  <c r="D118" i="51"/>
  <c r="B121" i="51"/>
  <c r="B141" i="51"/>
  <c r="D119" i="51"/>
  <c r="W25" i="34"/>
  <c r="W31" i="34"/>
  <c r="W28" i="34"/>
  <c r="W27" i="34"/>
  <c r="W21" i="34"/>
  <c r="W34" i="34"/>
  <c r="W38" i="34"/>
  <c r="W35" i="34"/>
  <c r="W23" i="34"/>
  <c r="W42" i="34"/>
  <c r="W40" i="34"/>
  <c r="W29" i="34"/>
  <c r="W30" i="34"/>
  <c r="W7" i="34"/>
  <c r="W39" i="34"/>
  <c r="W36" i="34"/>
  <c r="W9" i="34"/>
  <c r="W24" i="34"/>
  <c r="B3" i="38"/>
  <c r="T37" i="34" a="1"/>
  <c r="T37" i="34" s="1"/>
  <c r="E7" i="38"/>
  <c r="B30" i="38" s="1"/>
  <c r="C10" i="38"/>
  <c r="B11" i="38"/>
  <c r="D21" i="2" a="1"/>
  <c r="D21" i="2" s="1"/>
  <c r="D17" i="2" a="1"/>
  <c r="D17" i="2" s="1"/>
  <c r="C53" i="38"/>
  <c r="L32" i="3"/>
  <c r="L31" i="3"/>
  <c r="C52" i="38"/>
  <c r="E19" i="2"/>
  <c r="G19" i="2"/>
  <c r="H19" i="2"/>
  <c r="D29" i="38"/>
  <c r="C35" i="38"/>
  <c r="F24" i="2" a="1"/>
  <c r="F24" i="2" s="1"/>
  <c r="T21" i="34" a="1"/>
  <c r="T21" i="34" s="1"/>
  <c r="T26" i="34" a="1"/>
  <c r="T26" i="34" s="1"/>
  <c r="T24" i="34" a="1"/>
  <c r="T24" i="34" s="1"/>
  <c r="G62" i="2"/>
  <c r="H53" i="2"/>
  <c r="H9" i="27" l="1"/>
  <c r="H8" i="27"/>
  <c r="H7" i="27"/>
  <c r="H6" i="27"/>
  <c r="H5" i="27"/>
  <c r="H41" i="27"/>
  <c r="D50" i="27"/>
  <c r="H62" i="27"/>
  <c r="C9" i="38"/>
  <c r="E12" i="38"/>
  <c r="D61" i="27"/>
  <c r="D62" i="27" s="1"/>
  <c r="H61" i="27"/>
  <c r="H18" i="2"/>
  <c r="G18" i="2"/>
  <c r="E18" i="2"/>
  <c r="C17" i="27"/>
  <c r="D23" i="27"/>
  <c r="C18" i="27"/>
  <c r="F18" i="27"/>
  <c r="G18" i="27" s="1"/>
  <c r="F17" i="27" a="1"/>
  <c r="F17" i="27" s="1"/>
  <c r="C8" i="38"/>
  <c r="B12" i="38"/>
  <c r="D20" i="2" a="1"/>
  <c r="D20" i="2" s="1"/>
  <c r="D22" i="2" a="1"/>
  <c r="D22" i="2" s="1"/>
  <c r="B13" i="38"/>
  <c r="C7" i="38"/>
  <c r="C124" i="51"/>
  <c r="B124" i="51"/>
  <c r="C123" i="51"/>
  <c r="B123" i="51"/>
  <c r="D121" i="51"/>
  <c r="B140" i="51"/>
  <c r="T38" i="34" a="1"/>
  <c r="T38" i="34" s="1"/>
  <c r="T34" i="34" a="1"/>
  <c r="T34" i="34" s="1"/>
  <c r="T27" i="34" a="1"/>
  <c r="T27" i="34" s="1"/>
  <c r="T32" i="34" a="1"/>
  <c r="T32" i="34" s="1"/>
  <c r="T35" i="34" a="1"/>
  <c r="T35" i="34" s="1"/>
  <c r="T31" i="34" a="1"/>
  <c r="T31" i="34" s="1"/>
  <c r="T40" i="34" a="1"/>
  <c r="T40" i="34" s="1"/>
  <c r="T9" i="34" a="1"/>
  <c r="T9" i="34" s="1"/>
  <c r="T42" i="34" a="1"/>
  <c r="T42" i="34" s="1"/>
  <c r="T28" i="34" a="1"/>
  <c r="T28" i="34" s="1"/>
  <c r="T25" i="34" a="1"/>
  <c r="T25" i="34" s="1"/>
  <c r="T7" i="34" a="1"/>
  <c r="T7" i="34" s="1"/>
  <c r="T23" i="34" a="1"/>
  <c r="T23" i="34" s="1"/>
  <c r="T39" i="34" a="1"/>
  <c r="T39" i="34" s="1"/>
  <c r="T30" i="34" a="1"/>
  <c r="T30" i="34" s="1"/>
  <c r="T29" i="34" a="1"/>
  <c r="T29" i="34" s="1"/>
  <c r="T36" i="34" a="1"/>
  <c r="T36" i="34" s="1"/>
  <c r="T33" i="34" a="1"/>
  <c r="T33" i="34" s="1"/>
  <c r="D24" i="2" a="1"/>
  <c r="D24" i="2" s="1"/>
  <c r="D30" i="38"/>
  <c r="D36" i="38" s="1"/>
  <c r="C69" i="38" s="1"/>
  <c r="B36" i="38"/>
  <c r="C68" i="38" s="1"/>
  <c r="C70" i="38" s="1"/>
  <c r="G21" i="2"/>
  <c r="E21" i="2"/>
  <c r="H21" i="2"/>
  <c r="F8" i="38"/>
  <c r="E8" i="38"/>
  <c r="G17" i="2"/>
  <c r="E17" i="2"/>
  <c r="H17" i="2"/>
  <c r="D35" i="38"/>
  <c r="F23" i="2" a="1"/>
  <c r="F23" i="2" s="1"/>
  <c r="H54" i="2"/>
  <c r="D27" i="27" l="1"/>
  <c r="F7" i="38"/>
  <c r="F11" i="38" s="1"/>
  <c r="V34" i="4"/>
  <c r="D23" i="2" s="1" a="1"/>
  <c r="D23" i="2" s="1"/>
  <c r="H22" i="2"/>
  <c r="E22" i="2"/>
  <c r="G22" i="2"/>
  <c r="H20" i="2"/>
  <c r="E20" i="2"/>
  <c r="G20" i="2"/>
  <c r="D141" i="51"/>
  <c r="A148" i="51"/>
  <c r="D144" i="51"/>
  <c r="D142" i="51"/>
  <c r="D143" i="51"/>
  <c r="D145" i="51"/>
  <c r="H24" i="2"/>
  <c r="E24" i="2"/>
  <c r="G24" i="2"/>
  <c r="C71" i="38"/>
  <c r="E11" i="38"/>
  <c r="B31" i="38"/>
  <c r="D70" i="38" s="1"/>
  <c r="B69" i="38"/>
  <c r="B71" i="38" s="1"/>
  <c r="E22" i="27" l="1"/>
  <c r="E26" i="27"/>
  <c r="E25" i="27"/>
  <c r="E23" i="27"/>
  <c r="E24" i="27"/>
  <c r="D31" i="38"/>
  <c r="D34" i="38" s="1"/>
  <c r="B34" i="38"/>
  <c r="B37" i="38" s="1"/>
  <c r="D68" i="38" s="1"/>
  <c r="G23" i="2"/>
  <c r="E23" i="2"/>
  <c r="H23" i="2"/>
  <c r="E27" i="27" l="1"/>
  <c r="D37" i="38"/>
  <c r="D69" i="38" s="1"/>
  <c r="D71" i="38" s="1"/>
  <c r="B41" i="38"/>
  <c r="B40" i="38"/>
  <c r="B39"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Sergio Chidichimo</author>
  </authors>
  <commentList>
    <comment ref="A14" authorId="0" shapeId="0" xr:uid="{93B4ED80-2128-41ED-808D-575CAF2FFB4F}">
      <text>
        <r>
          <rPr>
            <b/>
            <sz val="9"/>
            <color indexed="81"/>
            <rFont val="Tahoma"/>
            <family val="2"/>
          </rPr>
          <t>Sergio Chidichimo:</t>
        </r>
        <r>
          <rPr>
            <sz val="9"/>
            <color indexed="81"/>
            <rFont val="Tahoma"/>
            <family val="2"/>
          </rPr>
          <t xml:space="preserve">
Total payments received in a calendar month ÷ total net charges for that month (current charges only). Avg of Apr/May/Jun. Source: Entrata receipts by charge code.</t>
        </r>
      </text>
    </comment>
    <comment ref="A15" authorId="0" shapeId="0" xr:uid="{BAAE1393-4DFA-4447-A7BB-A9F2C3739287}">
      <text>
        <r>
          <rPr>
            <b/>
            <sz val="9"/>
            <color indexed="81"/>
            <rFont val="Tahoma"/>
            <family val="2"/>
          </rPr>
          <t>Of all cases reaching a courtroom hearing during Q2, % resulting in judgment for possession on first appearance. Dismissals from tenant payment or voluntary vacate prior to hearing don't count against. Shawna coordinates with Nationwide, RSI, and outside counsel.</t>
        </r>
      </text>
    </comment>
    <comment ref="G15" authorId="0" shapeId="0" xr:uid="{3DFA9088-E3F4-4629-B9C5-357C919893AE}">
      <text>
        <r>
          <rPr>
            <b/>
            <sz val="9"/>
            <color indexed="81"/>
            <rFont val="Tahoma"/>
            <family val="2"/>
          </rPr>
          <t>Sergio Chidichimo:</t>
        </r>
        <r>
          <rPr>
            <sz val="9"/>
            <color indexed="81"/>
            <rFont val="Tahoma"/>
            <family val="2"/>
          </rPr>
          <t xml:space="preserve">
Average of months with data entered</t>
        </r>
      </text>
    </comment>
    <comment ref="A20" authorId="0" shapeId="0" xr:uid="{EEDD8ACD-B0E0-4B48-A6F5-A4E061BCFCCC}">
      <text>
        <r>
          <rPr>
            <b/>
            <sz val="9"/>
            <color indexed="81"/>
            <rFont val="Tahoma"/>
            <family val="2"/>
          </rPr>
          <t>Sergio Chidichimo:</t>
        </r>
        <r>
          <rPr>
            <sz val="9"/>
            <color indexed="81"/>
            <rFont val="Tahoma"/>
            <family val="2"/>
          </rPr>
          <t xml:space="preserve">
Paired target: Physical Occ = occupied ÷ 880 units. Economic Occ = collected rental revenue ÷ gross potential rent. BOTH thresholds must be met. Enter Physical in Apr/May/Jun columns; Economic in H20 sub-line.</t>
        </r>
      </text>
    </comment>
    <comment ref="F20" authorId="0" shapeId="0" xr:uid="{F1C29997-6B1A-4E07-BAF3-5EAEDFA03455}">
      <text>
        <r>
          <rPr>
            <b/>
            <sz val="9"/>
            <color indexed="81"/>
            <rFont val="Tahoma"/>
            <family val="2"/>
          </rPr>
          <t>Sergio Chidichimo:</t>
        </r>
        <r>
          <rPr>
            <sz val="9"/>
            <color indexed="81"/>
            <rFont val="Tahoma"/>
            <family val="2"/>
          </rPr>
          <t xml:space="preserve">
Enter June 30 Physical Occupancy here</t>
        </r>
      </text>
    </comment>
    <comment ref="G20" authorId="0" shapeId="0" xr:uid="{66CFFED3-0748-4AE2-B8FB-BFECE3E4F058}">
      <text>
        <r>
          <rPr>
            <b/>
            <sz val="9"/>
            <color indexed="81"/>
            <rFont val="Tahoma"/>
            <family val="2"/>
          </rPr>
          <t>Sergio Chidichimo:</t>
        </r>
        <r>
          <rPr>
            <sz val="9"/>
            <color indexed="81"/>
            <rFont val="Tahoma"/>
            <family val="2"/>
          </rPr>
          <t xml:space="preserve">
Enter June 30 Economic Occupancy here</t>
        </r>
      </text>
    </comment>
    <comment ref="A21" authorId="0" shapeId="0" xr:uid="{80CD03CA-0470-44E0-9D00-D415589841AC}">
      <text>
        <r>
          <rPr>
            <b/>
            <sz val="9"/>
            <color indexed="81"/>
            <rFont val="Tahoma"/>
            <family val="2"/>
          </rPr>
          <t>Of all leases expiring in Q2 (Apr/May/Jun combined, ~170 leases), % that execute a renewal. Early move-outs excluded from denominator. MTM conversions to fixed-term count. Feb benchmark: 68%.</t>
        </r>
      </text>
    </comment>
    <comment ref="F21" authorId="0" shapeId="0" xr:uid="{FFC238AF-3134-4557-B7F3-8DB6BD1EEADB}">
      <text>
        <r>
          <rPr>
            <b/>
            <sz val="9"/>
            <color indexed="81"/>
            <rFont val="Tahoma"/>
            <family val="2"/>
          </rPr>
          <t>Enter June renewal conversion rate here</t>
        </r>
      </text>
    </comment>
    <comment ref="G21" authorId="0" shapeId="0" xr:uid="{208158EB-E8D8-4E24-85E9-CE593FCB9A7F}">
      <text>
        <r>
          <rPr>
            <b/>
            <sz val="9"/>
            <color indexed="81"/>
            <rFont val="Tahoma"/>
            <family val="2"/>
          </rPr>
          <t>Average of months with data entered</t>
        </r>
      </text>
    </comment>
    <comment ref="A27" authorId="0" shapeId="0" xr:uid="{5073F305-2EF3-4FA7-AAD6-26E6389C80A4}">
      <text>
        <r>
          <rPr>
            <b/>
            <sz val="9"/>
            <color indexed="81"/>
            <rFont val="Tahoma"/>
            <family val="2"/>
          </rPr>
          <t>Sergio Chidichimo:</t>
        </r>
        <r>
          <rPr>
            <sz val="9"/>
            <color indexed="81"/>
            <rFont val="Tahoma"/>
            <family val="2"/>
          </rPr>
          <t xml:space="preserve">
Actual NOI for June ÷ proforma NOI for June (~$258K at 90% physical occ). Full P&amp;L including all operating expenses. June-only measurement aligned with occupancy date.</t>
        </r>
      </text>
    </comment>
    <comment ref="D27" authorId="0" shapeId="0" xr:uid="{BBBB754E-9F72-4D03-922E-56E9B6E7E208}">
      <text>
        <r>
          <rPr>
            <b/>
            <sz val="9"/>
            <color indexed="81"/>
            <rFont val="Tahoma"/>
            <family val="2"/>
          </rPr>
          <t>Sergio Chidichimo:</t>
        </r>
        <r>
          <rPr>
            <sz val="9"/>
            <color indexed="81"/>
            <rFont val="Tahoma"/>
            <family val="2"/>
          </rPr>
          <t xml:space="preserve">
Enter June actual NOI here</t>
        </r>
      </text>
    </comment>
    <comment ref="E27" authorId="0" shapeId="0" xr:uid="{7EEB64EA-955B-4C23-83CB-64EA6DE87CAD}">
      <text>
        <r>
          <rPr>
            <b/>
            <sz val="9"/>
            <color indexed="81"/>
            <rFont val="Tahoma"/>
            <family val="2"/>
          </rPr>
          <t>Sergio Chidichimo:</t>
        </r>
        <r>
          <rPr>
            <sz val="9"/>
            <color indexed="81"/>
            <rFont val="Tahoma"/>
            <family val="2"/>
          </rPr>
          <t xml:space="preserve">
Enter June actual NOI here</t>
        </r>
      </text>
    </comment>
    <comment ref="F27" authorId="0" shapeId="0" xr:uid="{0EBE9181-3F7A-430D-AE84-D8E337118B3C}">
      <text>
        <r>
          <rPr>
            <b/>
            <sz val="9"/>
            <color indexed="81"/>
            <rFont val="Tahoma"/>
            <family val="2"/>
          </rPr>
          <t>Sergio Chidichimo:</t>
        </r>
        <r>
          <rPr>
            <sz val="9"/>
            <color indexed="81"/>
            <rFont val="Tahoma"/>
            <family val="2"/>
          </rPr>
          <t xml:space="preserve">
Enter June actual NOI here</t>
        </r>
      </text>
    </comment>
    <comment ref="G27" authorId="0" shapeId="0" xr:uid="{65B3E08A-FAC7-44B4-9DF9-6CA5D3A7237A}">
      <text>
        <r>
          <rPr>
            <b/>
            <sz val="9"/>
            <color indexed="81"/>
            <rFont val="Tahoma"/>
            <family val="2"/>
          </rPr>
          <t>Sergio Chidichimo:</t>
        </r>
        <r>
          <rPr>
            <sz val="9"/>
            <color indexed="81"/>
            <rFont val="Tahoma"/>
            <family val="2"/>
          </rPr>
          <t xml:space="preserve">
June proforma NOI = ~$258,000</t>
        </r>
      </text>
    </comment>
    <comment ref="A28" authorId="0" shapeId="0" xr:uid="{A3BBF5F3-5558-4D15-BCEA-7FF3FEE7CF19}">
      <text>
        <r>
          <rPr>
            <b/>
            <sz val="9"/>
            <color indexed="81"/>
            <rFont val="Tahoma"/>
            <family val="2"/>
          </rPr>
          <t>Sergio Chidichimo:</t>
        </r>
        <r>
          <rPr>
            <sz val="9"/>
            <color indexed="81"/>
            <rFont val="Tahoma"/>
            <family val="2"/>
          </rPr>
          <t xml:space="preserve">
Total delinquency balance (current, former, eviction, skip) as of June 30. Starting balance: $688K. Lower is better. Nylsa has authority to approve write-offs, prioritize collections, and direct eviction strategy.</t>
        </r>
      </text>
    </comment>
    <comment ref="D28" authorId="0" shapeId="0" xr:uid="{200229E4-2EBE-41A1-A09F-13F275D898B8}">
      <text>
        <r>
          <rPr>
            <b/>
            <sz val="9"/>
            <color indexed="81"/>
            <rFont val="Tahoma"/>
            <family val="2"/>
          </rPr>
          <t>Sergio Chidichimo:</t>
        </r>
        <r>
          <rPr>
            <sz val="9"/>
            <color indexed="81"/>
            <rFont val="Tahoma"/>
            <family val="2"/>
          </rPr>
          <t xml:space="preserve">
Enter June actual NOI here</t>
        </r>
      </text>
    </comment>
    <comment ref="E28" authorId="0" shapeId="0" xr:uid="{6B742ABD-54F7-4772-B3D5-3F4BC4A34622}">
      <text>
        <r>
          <rPr>
            <b/>
            <sz val="9"/>
            <color indexed="81"/>
            <rFont val="Tahoma"/>
            <family val="2"/>
          </rPr>
          <t>Sergio Chidichimo:</t>
        </r>
        <r>
          <rPr>
            <sz val="9"/>
            <color indexed="81"/>
            <rFont val="Tahoma"/>
            <family val="2"/>
          </rPr>
          <t xml:space="preserve">
Enter June actual NOI here</t>
        </r>
      </text>
    </comment>
    <comment ref="F28" authorId="0" shapeId="0" xr:uid="{79B25046-BF3F-4CEA-86C1-7B9AFA545B00}">
      <text>
        <r>
          <rPr>
            <b/>
            <sz val="9"/>
            <color indexed="81"/>
            <rFont val="Tahoma"/>
            <family val="2"/>
          </rPr>
          <t>Sergio Chidichimo:</t>
        </r>
        <r>
          <rPr>
            <sz val="9"/>
            <color indexed="81"/>
            <rFont val="Tahoma"/>
            <family val="2"/>
          </rPr>
          <t xml:space="preserve">
Enter June 30 total delinquency balance here</t>
        </r>
      </text>
    </comment>
    <comment ref="A34" authorId="0" shapeId="0" xr:uid="{C7EEE85F-4A0C-4CC6-90A2-CD349C2808E8}">
      <text>
        <r>
          <rPr>
            <b/>
            <sz val="9"/>
            <color indexed="81"/>
            <rFont val="Tahoma"/>
            <family val="2"/>
          </rPr>
          <t>Sergio Chidichimo:</t>
        </r>
        <r>
          <rPr>
            <sz val="9"/>
            <color indexed="81"/>
            <rFont val="Tahoma"/>
            <family val="2"/>
          </rPr>
          <t xml:space="preserve">
Of all evictions filed with Nationwide/RSI during Q2, % accepted by court on first submission without correction, re-filing, or dismissal due to paperwork errors, entity name issues, or improper service.</t>
        </r>
      </text>
    </comment>
    <comment ref="G34" authorId="0" shapeId="0" xr:uid="{F7B7FC6F-B17E-46B3-89A8-4CBC8288850A}">
      <text>
        <r>
          <rPr>
            <b/>
            <sz val="9"/>
            <color indexed="81"/>
            <rFont val="Tahoma"/>
            <family val="2"/>
          </rPr>
          <t>Sergio Chidichimo:</t>
        </r>
        <r>
          <rPr>
            <sz val="9"/>
            <color indexed="81"/>
            <rFont val="Tahoma"/>
            <family val="2"/>
          </rPr>
          <t xml:space="preserve">
Average of months with data entered</t>
        </r>
      </text>
    </comment>
    <comment ref="A35" authorId="0" shapeId="0" xr:uid="{FD81FB05-2B87-42C1-8512-C7A0640EC727}">
      <text>
        <r>
          <rPr>
            <b/>
            <sz val="9"/>
            <color indexed="81"/>
            <rFont val="Tahoma"/>
            <family val="2"/>
          </rPr>
          <t>Sergio Chidichimo:</t>
        </r>
        <r>
          <rPr>
            <sz val="9"/>
            <color indexed="81"/>
            <rFont val="Tahoma"/>
            <family val="2"/>
          </rPr>
          <t xml:space="preserve">
Two components: (1) 100% of qualifying losses must have claims filed within 30 days, (2) $ approved &amp; paid ÷ $ claimed must meet recovery threshold. Current exposure ~$269K. Industry approval 60-75% when filed correctly. Expected recoveries $40-65K.</t>
        </r>
      </text>
    </comment>
    <comment ref="G35" authorId="0" shapeId="0" xr:uid="{75ABC922-5880-4FEC-B245-034CA8A98CFB}">
      <text>
        <r>
          <rPr>
            <b/>
            <sz val="9"/>
            <color indexed="81"/>
            <rFont val="Tahoma"/>
            <family val="2"/>
          </rPr>
          <t>Sergio Chidichimo:</t>
        </r>
        <r>
          <rPr>
            <sz val="9"/>
            <color indexed="81"/>
            <rFont val="Tahoma"/>
            <family val="2"/>
          </rPr>
          <t xml:space="preserve">
Average recovery rate across months with data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Maelle-Anne Le Neel</author>
    <author>Sergio Chidichimo</author>
    <author>Maelle-Anne</author>
  </authors>
  <commentList>
    <comment ref="O40" authorId="0" shapeId="0" xr:uid="{0D413E48-4871-42BA-9C4F-974F5B974099}">
      <text>
        <r>
          <rPr>
            <sz val="11"/>
            <color theme="1"/>
            <rFont val="Calibri"/>
            <family val="2"/>
            <charset val="1"/>
          </rPr>
          <t>Updated: Excludes MTM leases from Expirations denominator. Renewal % = Renewals / (Expirations - MTM)</t>
        </r>
      </text>
    </comment>
    <comment ref="P40" authorId="0" shapeId="0" xr:uid="{727D29A2-AFA0-4C2D-A69A-5B116FD6C604}">
      <text>
        <r>
          <rPr>
            <sz val="11"/>
            <color theme="1"/>
            <rFont val="Calibri"/>
            <family val="2"/>
            <charset val="1"/>
          </rPr>
          <t>Updated: Excludes MTM leases from Expirations denominator. Renewal % = Renewals / (Expirations - MTM)</t>
        </r>
      </text>
    </comment>
    <comment ref="Q40" authorId="0" shapeId="0" xr:uid="{99F80F6B-DCFD-4A19-94F0-0930D13362B5}">
      <text>
        <r>
          <rPr>
            <sz val="11"/>
            <color theme="1"/>
            <rFont val="Calibri"/>
            <family val="2"/>
            <charset val="1"/>
          </rPr>
          <t>Updated: Excludes MTM leases from Expirations denominator. Renewal % = Renewals / (Expirations - MTM)</t>
        </r>
      </text>
    </comment>
    <comment ref="R40" authorId="0" shapeId="0" xr:uid="{FDE7D475-1A60-4AF7-B67E-7A03209D9AE1}">
      <text>
        <r>
          <rPr>
            <sz val="11"/>
            <color theme="1"/>
            <rFont val="Calibri"/>
            <family val="2"/>
            <charset val="1"/>
          </rPr>
          <t>Updated: Excludes MTM leases from Expirations denominator. Renewal % = Renewals / (Expirations - MTM)</t>
        </r>
      </text>
    </comment>
    <comment ref="S40" authorId="0" shapeId="0" xr:uid="{EA54ED9E-E4BF-498C-815E-748259151990}">
      <text>
        <r>
          <rPr>
            <sz val="11"/>
            <color theme="1"/>
            <rFont val="Calibri"/>
            <family val="2"/>
            <charset val="1"/>
          </rPr>
          <t>Updated: Excludes MTM leases from Expirations denominator. Renewal % = Renewals / (Expirations - MTM)</t>
        </r>
      </text>
    </comment>
    <comment ref="T40" authorId="0" shapeId="0" xr:uid="{4924AA41-389A-48B0-AC9C-516BC365E443}">
      <text>
        <r>
          <rPr>
            <sz val="11"/>
            <color theme="1"/>
            <rFont val="Calibri"/>
            <family val="2"/>
            <charset val="1"/>
          </rPr>
          <t>Updated: Excludes MTM leases from Expirations denominator. Renewal % = Renewals / (Expirations - MTM)</t>
        </r>
      </text>
    </comment>
    <comment ref="U40" authorId="0" shapeId="0" xr:uid="{48131F85-A79B-423A-B3C1-4FA74DB489F4}">
      <text>
        <r>
          <rPr>
            <sz val="11"/>
            <color theme="1"/>
            <rFont val="Calibri"/>
            <family val="2"/>
            <charset val="1"/>
          </rPr>
          <t>Updated: Excludes MTM leases from Expirations denominator. Renewal % = Renewals / (Expirations - MTM)</t>
        </r>
      </text>
    </comment>
    <comment ref="V40" authorId="0" shapeId="0" xr:uid="{09357631-AAA6-4977-BF6F-E401ABB3C2AF}">
      <text>
        <r>
          <rPr>
            <sz val="11"/>
            <color theme="1"/>
            <rFont val="Calibri"/>
            <family val="2"/>
            <charset val="1"/>
          </rPr>
          <t>Updated: Excludes MTM leases from Expirations denominator. Renewal % = Renewals / (Expirations - MTM)</t>
        </r>
      </text>
    </comment>
    <comment ref="O45" authorId="1" shapeId="0" xr:uid="{5D9A9C57-592B-46F7-9E71-4A829A324D79}">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P45" authorId="1" shapeId="0" xr:uid="{196AC1CB-320F-481C-AFFD-19F9F9FEFD3B}">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Q45" authorId="1" shapeId="0" xr:uid="{A5664894-77DC-454E-97AC-8B9479AE12C3}">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R45" authorId="1" shapeId="0" xr:uid="{D892AC1F-FAD6-4E36-8EA8-BDB013D1799F}">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S45" authorId="1" shapeId="0" xr:uid="{ACF9A39C-1F07-45C1-A488-7FAD5F11253D}">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T45" authorId="1" shapeId="0" xr:uid="{BAE56B31-FFC6-4075-9EAC-9235A122C37D}">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U45" authorId="1" shapeId="0" xr:uid="{0E5CF48C-5857-4A55-BC4C-62A418624FFD}">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V45" authorId="1" shapeId="0" xr:uid="{31D88E19-E812-4FF9-AFFB-9EFE15ECDB01}">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O50" authorId="1" shapeId="0" xr:uid="{FCF7BB3D-3EE3-421A-B2FD-37F04F80B124}">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P50" authorId="1" shapeId="0" xr:uid="{FC80671F-0912-4F9E-B514-A2384BA31D2F}">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Q50" authorId="1" shapeId="0" xr:uid="{2A14F587-6F33-4BC3-8EF4-D68B5239DDCA}">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R50" authorId="1" shapeId="0" xr:uid="{AB7EB510-315F-45BF-8101-D2EBEBE2FC33}">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S50" authorId="1" shapeId="0" xr:uid="{A1152FC8-FF01-4580-9369-CF03EA31AA38}">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T50" authorId="1" shapeId="0" xr:uid="{6ECC5A4E-2EDC-4E62-B0E1-91B04B802BF0}">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U50" authorId="1" shapeId="0" xr:uid="{A75919C8-1C6A-4EA5-A5DB-D7FD26354B0A}">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V50" authorId="1" shapeId="0" xr:uid="{37AA1880-D5C0-4A24-A5BE-AF9D2F00DF43}">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O55" authorId="1" shapeId="0" xr:uid="{9D40E22C-E3F7-4D28-BCBC-5741E83A28B6}">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P55" authorId="1" shapeId="0" xr:uid="{3ED9348F-242F-4E8B-AD08-4E1C9A06BAAF}">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Q55" authorId="1" shapeId="0" xr:uid="{F7D53CD8-EFC7-4D49-88B9-59E8570C0C7F}">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R55" authorId="1" shapeId="0" xr:uid="{1E066C09-5F97-46D8-99EF-8E726BAD22FB}">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S55" authorId="1" shapeId="0" xr:uid="{649106F7-1124-4E64-855C-E244782206D4}">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T55" authorId="1" shapeId="0" xr:uid="{EE6E7F58-80E0-40F7-A7D9-ED1506BF941C}">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U55" authorId="1" shapeId="0" xr:uid="{1F010F40-05AA-477E-8851-CB1017D2C884}">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V55" authorId="1" shapeId="0" xr:uid="{C5810431-85B1-4975-81DF-B9524319CB44}">
      <text>
        <r>
          <rPr>
            <b/>
            <sz val="9"/>
            <color indexed="81"/>
            <rFont val="Tahoma"/>
            <family val="2"/>
          </rPr>
          <t>Sergio Chidichimo:</t>
        </r>
        <r>
          <rPr>
            <sz val="9"/>
            <color indexed="81"/>
            <rFont val="Tahoma"/>
            <family val="2"/>
          </rPr>
          <t xml:space="preserve">
Updated: Excludes MTM leases from Expirations denominator. Renewal % = Renewals / (Expirations - MTM)</t>
        </r>
      </text>
    </comment>
    <comment ref="O57" authorId="1" shapeId="0" xr:uid="{FDAC6A83-7FF2-4ED5-878F-BDACDEDB194C}">
      <text>
        <r>
          <rPr>
            <b/>
            <sz val="9"/>
            <color indexed="81"/>
            <rFont val="Tahoma"/>
            <family val="2"/>
          </rPr>
          <t>Sergio Chidichimo:</t>
        </r>
        <r>
          <rPr>
            <sz val="9"/>
            <color indexed="81"/>
            <rFont val="Tahoma"/>
            <family val="2"/>
          </rPr>
          <t xml:space="preserve">
Source: Res_Retention sheet, column O (MTM). Sums MTM across all months.</t>
        </r>
      </text>
    </comment>
    <comment ref="P57" authorId="1" shapeId="0" xr:uid="{F8424E83-A246-4001-BE38-A0C0838EF745}">
      <text>
        <r>
          <rPr>
            <b/>
            <sz val="9"/>
            <color indexed="81"/>
            <rFont val="Tahoma"/>
            <family val="2"/>
          </rPr>
          <t>Sergio Chidichimo:</t>
        </r>
        <r>
          <rPr>
            <sz val="9"/>
            <color indexed="81"/>
            <rFont val="Tahoma"/>
            <family val="2"/>
          </rPr>
          <t xml:space="preserve">
Source: Res_Retention sheet, column O (MTM). Sums MTM across all months.</t>
        </r>
      </text>
    </comment>
    <comment ref="Q57" authorId="1" shapeId="0" xr:uid="{7C42179B-F3EE-49ED-9AB4-D8D61D4C5D67}">
      <text>
        <r>
          <rPr>
            <b/>
            <sz val="9"/>
            <color indexed="81"/>
            <rFont val="Tahoma"/>
            <family val="2"/>
          </rPr>
          <t>Sergio Chidichimo:</t>
        </r>
        <r>
          <rPr>
            <sz val="9"/>
            <color indexed="81"/>
            <rFont val="Tahoma"/>
            <family val="2"/>
          </rPr>
          <t xml:space="preserve">
Source: Res_Retention sheet, column O (MTM). Sums MTM across all months.</t>
        </r>
      </text>
    </comment>
    <comment ref="R57" authorId="1" shapeId="0" xr:uid="{D9DA8910-FB63-417C-B758-75972937776B}">
      <text>
        <r>
          <rPr>
            <b/>
            <sz val="9"/>
            <color indexed="81"/>
            <rFont val="Tahoma"/>
            <family val="2"/>
          </rPr>
          <t>Sergio Chidichimo:</t>
        </r>
        <r>
          <rPr>
            <sz val="9"/>
            <color indexed="81"/>
            <rFont val="Tahoma"/>
            <family val="2"/>
          </rPr>
          <t xml:space="preserve">
Source: Res_Retention sheet, column O (MTM). Sums MTM across all months.</t>
        </r>
      </text>
    </comment>
    <comment ref="S57" authorId="1" shapeId="0" xr:uid="{E0927697-DADF-41C3-915C-D31456D9F650}">
      <text>
        <r>
          <rPr>
            <b/>
            <sz val="9"/>
            <color indexed="81"/>
            <rFont val="Tahoma"/>
            <family val="2"/>
          </rPr>
          <t>Sergio Chidichimo:</t>
        </r>
        <r>
          <rPr>
            <sz val="9"/>
            <color indexed="81"/>
            <rFont val="Tahoma"/>
            <family val="2"/>
          </rPr>
          <t xml:space="preserve">
Source: Res_Retention sheet, column O (MTM). Sums MTM across all months.</t>
        </r>
      </text>
    </comment>
    <comment ref="T57" authorId="1" shapeId="0" xr:uid="{A77461F3-58EE-465C-9859-987F2490A1B4}">
      <text>
        <r>
          <rPr>
            <b/>
            <sz val="9"/>
            <color indexed="81"/>
            <rFont val="Tahoma"/>
            <family val="2"/>
          </rPr>
          <t>Sergio Chidichimo:</t>
        </r>
        <r>
          <rPr>
            <sz val="9"/>
            <color indexed="81"/>
            <rFont val="Tahoma"/>
            <family val="2"/>
          </rPr>
          <t xml:space="preserve">
Source: Res_Retention sheet, column O (MTM). Sums MTM across all months.</t>
        </r>
      </text>
    </comment>
    <comment ref="U57" authorId="1" shapeId="0" xr:uid="{E58FFE8D-962F-4992-AF73-B655FBA0D31E}">
      <text>
        <r>
          <rPr>
            <b/>
            <sz val="9"/>
            <color indexed="81"/>
            <rFont val="Tahoma"/>
            <family val="2"/>
          </rPr>
          <t>Sergio Chidichimo:</t>
        </r>
        <r>
          <rPr>
            <sz val="9"/>
            <color indexed="81"/>
            <rFont val="Tahoma"/>
            <family val="2"/>
          </rPr>
          <t xml:space="preserve">
Source: Res_Retention sheet, column O (MTM). Sums MTM across all months.</t>
        </r>
      </text>
    </comment>
    <comment ref="V57" authorId="1" shapeId="0" xr:uid="{F049ACE2-B386-48C5-A076-EBCD8C775DFC}">
      <text>
        <r>
          <rPr>
            <b/>
            <sz val="9"/>
            <color indexed="81"/>
            <rFont val="Tahoma"/>
            <family val="2"/>
          </rPr>
          <t>Sergio Chidichimo:</t>
        </r>
        <r>
          <rPr>
            <sz val="9"/>
            <color indexed="81"/>
            <rFont val="Tahoma"/>
            <family val="2"/>
          </rPr>
          <t xml:space="preserve">
Source: Res_Retention sheet, column O (MTM). Sums MTM across all months.</t>
        </r>
      </text>
    </comment>
    <comment ref="F65" authorId="2" shapeId="0" xr:uid="{9CE0D5E9-B273-43FC-AB1F-8C91F142B6F0}">
      <text>
        <r>
          <rPr>
            <b/>
            <sz val="9"/>
            <color indexed="81"/>
            <rFont val="Tahoma"/>
            <family val="2"/>
          </rPr>
          <t>Maelle-Anne:</t>
        </r>
        <r>
          <rPr>
            <sz val="9"/>
            <color indexed="81"/>
            <rFont val="Tahoma"/>
            <family val="2"/>
          </rPr>
          <t xml:space="preserve">
did not include water bills yet-posted on 1/7/26 total $75,662.55</t>
        </r>
      </text>
    </comment>
    <comment ref="N73" authorId="0" shapeId="0" xr:uid="{A964E251-0909-4400-B562-95305781992F}">
      <text>
        <r>
          <rPr>
            <sz val="11"/>
            <color theme="1"/>
            <rFont val="Calibri"/>
            <family val="2"/>
            <charset val="1"/>
          </rPr>
          <t>Maelle-Anne Le Neel:
Rent due by the 3rd- reflects March rent</t>
        </r>
      </text>
    </comment>
    <comment ref="J82" authorId="0" shapeId="0" xr:uid="{C61C5A84-8B3A-41B1-9F6A-881B86B547B1}">
      <text>
        <r>
          <rPr>
            <sz val="11"/>
            <color theme="1"/>
            <rFont val="Calibri"/>
            <family val="2"/>
            <charset val="1"/>
          </rPr>
          <t>Maelle-Anne Le Neel:
The report was originally formatted by calendar month. For the 2/16/26 update, reports should instead be pulled by “last week” to reflect week-over-week open and completed counts, not month-to-date totals.</t>
        </r>
      </text>
    </comment>
    <comment ref="M82" authorId="0" shapeId="0" xr:uid="{E84047D9-5739-4CC2-A3C3-BD967F414DC5}">
      <text>
        <r>
          <rPr>
            <sz val="11"/>
            <color theme="1"/>
            <rFont val="Calibri"/>
            <family val="2"/>
            <charset val="1"/>
          </rPr>
          <t xml:space="preserve">Maelle-Anne Le Neel:
updating report going forward to the Work Order Summary -Weekly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tc={606F71D6-CE33-4881-82AE-6CBD7E723D22}</author>
    <author>tc={5FD13FFD-3711-4856-9EFB-8089C7A9C816}</author>
    <author>tc={FBB46EAC-B627-4802-8EAB-DC906B5E5EA8}</author>
  </authors>
  <commentList>
    <comment ref="B5" authorId="0" shapeId="0" xr:uid="{606F71D6-CE33-4881-82AE-6CBD7E723D22}">
      <text>
        <t>[Threaded comment]
Your version of Excel allows you to read this threaded comment; however, any edits to it will get removed if the file is opened in a newer version of Excel. Learn more: https://go.microsoft.com/fwlink/?linkid=870924
Comment:
    Source: ResMan Aged Receivables CSV, 12/14/2025. Count of all accounts with any balance (Dec/Nov/Oct/Older &gt; 0). External data — update manually if baseline changes.</t>
      </text>
    </comment>
    <comment ref="B6" authorId="1" shapeId="0" xr:uid="{5FD13FFD-3711-4856-9EFB-8089C7A9C816}">
      <text>
        <t>[Threaded comment]
Your version of Excel allows you to read this threaded comment; however, any edits to it will get removed if the file is opened in a newer version of Excel. Learn more: https://go.microsoft.com/fwlink/?linkid=870924
Comment:
    Source: ResMan Aged Receivables CSV, 12/14/2025. Sum of Total Balance column for all 144 accounts. External data — update manually if baseline changes.</t>
      </text>
    </comment>
    <comment ref="B128" authorId="2" shapeId="0" xr:uid="{FBB46EAC-B627-4802-8EAB-DC906B5E5EA8}">
      <text>
        <t>[Threaded comment]
Your version of Excel allows you to read this threaded comment; however, any edits to it will get removed if the file is opened in a newer version of Excel. Learn more: https://go.microsoft.com/fwlink/?linkid=870924
Comment:
    Manually classified from Delinquency_Detail_3 RSI Notes &amp; CAF Notes columns. Update when case statuses change.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Sergio Chidichimo</author>
  </authors>
  <commentList>
    <comment ref="C32" authorId="0" shapeId="0" xr:uid="{4A45A263-9B99-4918-9C9E-519AAC8DECA1}">
      <text>
        <r>
          <rPr>
            <b/>
            <sz val="9"/>
            <color indexed="81"/>
            <rFont val="Tahoma"/>
            <family val="2"/>
          </rPr>
          <t>Sergio Chidichimo:</t>
        </r>
        <r>
          <rPr>
            <sz val="9"/>
            <color indexed="81"/>
            <rFont val="Tahoma"/>
            <family val="2"/>
          </rPr>
          <t xml:space="preserve">
A/R balance is not yet reconciled — write-offs for Feb are pending.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<sst xmlns="http://schemas.openxmlformats.org/spreadsheetml/2006/main" count="38528" uniqueCount="7551">
  <si>
    <t>Turn #</t>
  </si>
  <si>
    <t>Date</t>
  </si>
  <si>
    <t>User Request</t>
  </si>
  <si>
    <t>Action Taken</t>
  </si>
  <si>
    <t>Details</t>
  </si>
  <si>
    <t>Outcome</t>
  </si>
  <si>
    <t>User asked if any tabs reference data from the RR_Unit_Details tab.</t>
  </si>
  <si>
    <t>Searched all 40 sheets for formula references to RR_Unit_Details (and partial variants).</t>
  </si>
  <si>
    <t>Used matchFormulas search for 'RR_Unit_Details', 'RR_Unit', and 'Unit_Details' across all sheets. Zero matches found in all searches.</t>
  </si>
  <si>
    <t>RR_Unit_Details is a standalone data tab with no inbound formula references from other sheets.</t>
  </si>
  <si>
    <t>User asked if any tabs reference data from the Res_Retention tab.</t>
  </si>
  <si>
    <t>Searched all sheets for formula references to Res_Retention.</t>
  </si>
  <si>
    <t>Found 1 match: Data_2!R57 contains =SUMPRODUCT((Res_Retention!$O$2:$O$14)) with result 79.</t>
  </si>
  <si>
    <t>Only Data_2 pulls from Res_Retention via a single SUMPRODUCT formula.</t>
  </si>
  <si>
    <t>User uploaded CSV (Untitled-2026-03-31.csv, 113 rows of LeaseLock claims data) and asked to import it into the LeaseLock tab.</t>
  </si>
  <si>
    <t>Parsed CSV, mapped 26 CSV columns to 22 LeaseLock columns (A-V), wrote all 113 rows with values and formulas.</t>
  </si>
  <si>
    <t>Column mapping: A=Item#, B=pmc_name, C=tenant, D=unit, E=property, F=status, G=substatus, H=certificate_id (text), I/J=blank, K=carrier, L=total_claimed, M=total_paid, N=formula(L-M), O=formula(M/L as %), P=unused_coverage+paid, Q=denial_reason, R=dismissed, S=blank, T=days(reported-moveout), U=loss_date, V=TEXT(U,YYYY-MM). Formatted L/M/N/P as $#,##0.00, O as 0.0%, U as mm/dd/yyyy, H as text.</t>
  </si>
  <si>
    <t>113 rows populated in LeaseLock!A2:V114. All formulas verified working. Certificate IDs fixed from scientific notation to text.</t>
  </si>
  <si>
    <t>User corrected that column A should contain claim_number from CSV, not a row counter. Asked about filling other missing columns.</t>
  </si>
  <si>
    <t>Replaced A2:A114 with claim_number values from CSV (e.g. 25-103410). Identified which columns still lack data.</t>
  </si>
  <si>
    <t>Formatted A as text to preserve dash format. Columns I(LossType), J(LossCause), S(Adjuster) have no CSV equivalent. Remaining unmapped CSV fields: claim_reported_date, reported_reoccupied_date, claim_dispute_date, total_claimed_amount_within_limit_usd, is_claim_action_required, claim_is_missing_documentation, claim_missing_documentation_list, owner_name, pms_property_id, pms_tenant_id.</t>
  </si>
  <si>
    <t>Column A now shows claim numbers. Awaiting user direction on where to place remaining unmapped CSV fields.</t>
  </si>
  <si>
    <t>Excel peer (rollforward model) requested Jan-26, Feb-26, Mar-26 total move-outs with component breakdown (lease expiration / NTV / early / evictions) and source citation.</t>
  </si>
  <si>
    <t>Queried Move_Out_Reasons sheet, parsed 96 rows, categorized by Reason + Early Termination flag, aggregated by month.</t>
  </si>
  <si>
    <t>Source: Move_Out_Reasons!A1:M97 (row-level move-out log). Dates stored as Excel serials. Bucketing: Eviction = Skipped During Eviction + Skipped Without Notice + Failure To Pay; Lease Expiration = Non-Renewal (by Property); Early Move-Out = Early Termination flag Yes (non-eviction); NTV = resident-initiated non-renewal, Early Termination No. Jan-26: 5 (3 evict, 1 lease exp, 0 early, 1 NTV). Feb-26: 33 (11 evict, 1 lease exp, 6 early, 15 NTV). Mar-26: 28 (14 evict, 1 lease exp, 0 early, 13 NTV).</t>
  </si>
  <si>
    <t>Totals and breakdown shared with rollforward Excel peer via JSON file (move_outs_breakdown.json) and message. Note: no separate 'monthly totals' summary table exists in the workbook — figures derived by aggregating the row-level log.</t>
  </si>
  <si>
    <t>Rollforward peer asked for stricter eviction definition: formal eviction filings that resulted in a move-out in Jan/Feb/Mar 2026, plus residual skip/SWN/FTP count per month.</t>
  </si>
  <si>
    <t>Pulled Evictions_RSI!A1:I62 (60 filings, all Feb 2026 issue dates), matched to eviction-bucket move-outs in Move_Out_Reasons by last-name + unit number.</t>
  </si>
  <si>
    <t>Methodology: formal eviction move-out = (a) Reason = 'Skipped During Eviction' OR (b) matching RSI filing with status in {Granted, LC Handling Appeal, Dismissed (Tenant Vacated)}. Cancelled filings treated as NOT formal (filing dropped). Strict-formal counts: Jan-26=0, Feb-26=4, Mar-26=0. Residual skip/SWN/FTP: Jan-26=3, Feb-26=7, Mar-26=14. Broad view (any filing match incl. Cancelled): Feb-26=7, Mar-26=5.</t>
  </si>
  <si>
    <t>Results shared via eviction_split.json to rollforward peer. Key caveat: RSI sheet only contains Feb 2026 filings — Jan-26 zero formal likely reflects data scope, not reality; Mar-26 zero strict-formal because tenants skipped before court dates arrived.</t>
  </si>
  <si>
    <t>Rollforward peer asked for comprehensive cross-reference of eviction/skip data across ALL source sheets — enumerate sources, flag conflicts, recommend authoritative methodology.</t>
  </si>
  <si>
    <t>Enumerated 42 sheets, pulled raw data from Evictions_RSI (60 filings Feb-only), Eviction_Success_Rate (47 tenants w/balance since 12/15/25), resident aged receivable (136 rows sampled), Write_Off_Recon (42 accounts 60+ days), Data_2 (weekly metrics), Delinquency_Detail_3 (current delinquent residents). Built unit-level cross-reference joining Move_Out_Reasons to ResMan Lease Status.</t>
  </si>
  <si>
    <t>MAJOR FINDING: ResMan's structured Lease Status field is authoritative; 3-way comparison on 28 Jan-Mar eviction-bucket move-outs: Move_Out_Reasons=27 skip/1 eviction, RSI strict=4 formal, ResMan=26 Past-Skip/1 Past-Eviction (Candler)/1 not in sample. 5 explicit conflicts flagged, biggest: 3 'Dismissed (Tenant Vacated)' RSI filings are Past-Skip per ResMan — invalidates prior eviction_split.json's Feb=4 formal. Correct count is Feb=1 formal/10 skip.</t>
  </si>
  <si>
    <t>Wrote eviction_crossref.json to shared files; sent to rollforward peer with recommendation to rebuild on ResMan basis. Data gaps flagged: RSI missing Jan/Mar filings, my RAR sample missed ~12 units (voluntary move-outs not needed for eviction classification anyway).</t>
  </si>
  <si>
    <t>Rollforward peer asked for AVA workbook style guide (colors, fonts, number formats, section headers, borders, layout) to apply matching branding to another workbook.</t>
  </si>
  <si>
    <t>Inspected Dashboard_1 (canonical styled sheet), Data_2 (wide time-series), Res_Retention (unstyled). Pulled real cell styles, borders, column widths, row heights, freeze panes. Wrote comprehensive style guide to ava_style_guide.json and shared with peer.</t>
  </si>
  <si>
    <t>Primary palette: navy #1F3864 (title/headers), light blue #E8EEF4 (sub-section fills), divider #2E5090, good #C6EFCE/#006100, bad #FFC7CE/#9C0006, input #0000FF on #DEEAF6, gridline #D9D9D9. Calibri throughout. Title 18pt bold, section headers 9-10pt bold, body 9pt (Dashboard) or 11pt (Data_2). Number formats: 0.0% / 0.00% / #,##0 / 0.0 / m/d/yy / mmm-yy / mmmm d,yyyy. No currency or multiples in source workbook (flagged for peer).</t>
  </si>
  <si>
    <t>ava_style_guide.json written to shared files (~14k chars). Peer has canonical example ranges, hex codes, font specs, border patterns, and layout conventions for applying matching branding to Rollforward Model.</t>
  </si>
  <si>
    <t>Rollforward peer asked to narrow the style guide to ONLY the 'blue' formatted summary/dashboard tabs (not raw data dumps), with specific focus on colors, fonts, totals, input cells, and canonical example ranges.</t>
  </si>
  <si>
    <t>Surveyed all 42 tabs, classified 10 as blue-formatted (Dashboard_1, Delinquency_Detail_3, App_Pipeline_Intel_4, Action_Item_Tracker_5, Weekly_Question_Set_6, Screening_Impact_Analysis_7, Eviction_Success_Rate, CAF vs Pipeline Comparison, Incentive_Scorecard, Instructions) vs 29+ raw data tabs. Flagged variants: Data_2 (styled data table, 20pt title), LeaseLock (#102346 vendor palette, not AVA), Claude Log (#4472C4 Excel default). Pulled real styles from 3 canonical blue tabs (Dashboard_1, Delinquency_Detail_3, Action_Item_Tracker_5) + Eviction_Success_Rate for totals-row pattern.</t>
  </si>
  <si>
    <t>Brand palette: #1F3864 primary navy (title, header bars), #1B365D subsection label text, #E8EEF4 subsection/total fills, #2E5090 divider borders (thin/medium), #DEEAF6 emphasized/input fill with #0000FF bold input text. Status triad: good #C6EFCE/#006100, warning #FFF2CC/#BF8F00, bad #FFC7CE/#9C0006. Calibri throughout. Title 18pt bold navy; column-header bars 8-9pt white-on-navy bold; subsection labels 9-10pt bold navy on light blue; body 8-9pt. Number formats: $#,##0.00 (with cents), $#,##0 (whole), #,##0, 0.0%, 0.0, m/d/yyyy, mm/dd/yyyy, 'mmmm d, yyyy'. Totals: fill #E8EEF4 + bold black + thin #1F3864 top/bottom borders (canonical: Eviction_Success_Rate A16:E16).</t>
  </si>
  <si>
    <t>Wrote ava_style_guide.json (~13k chars) to shared files and sent to peer. Guide is narrowly scoped: explicit list of blue vs raw tabs, canonical example ranges for every element (title, header bar, subsection label, totals, input cell, status badges, currency, dates), and notes on 2 tabs that look similar but use different palettes (LeaseLock, Claude Log) so the peer doesn't copy them by mistake.</t>
  </si>
  <si>
    <t>Peer acknowledged eviction_split.json but reported both other tasks (cross-tab verification + style guide) still open — they hadn't received the files. Asked to complete both.</t>
  </si>
  <si>
    <t>Rewrote both files fresh in a single execute_office_js call and broadcast via conductor.writeFile.</t>
  </si>
  <si>
    <t>eviction_crossref.json (5729 chars): cross-tab verification identifying resident aged receivable's Lease Status as authoritative. Jan-Mar 2026 verified breakdown: 66 total move-outs, 28 eviction-bucket by Reason, but only 1 formal eviction per ResMan (Candler W18-2-2070), 26 Past-Skip, 1 not in sample (Nwosu S39-155). 5 explicit conflicts documented. ava_style_guide.json (8595 chars): narrow scope for 10 blue formatted tabs, Dashboard_1 canonical, explicit do-not-copy list (LeaseLock #102346, Claude Log #4472C4), palette (#1F3864 navy, #1B365D text, #E8EEF4 subsection fill, #2E5090 divider, #DEEAF6 emphasized/input, status triad), Calibri font sizes 18/11/9-10/9/8, number formats, canonical example ranges.</t>
  </si>
  <si>
    <t>Both files broadcast. Sending consolidated message to peer confirming availability and summarizing key findings. Peer had paused Rollforward Model writes until verification arrived.</t>
  </si>
  <si>
    <t>Peer reported still only has eviction_split.json and asked for the two outstanding tasks. Shared-file broadcasts aren't persisting for this session — listFiles returns empty after write, readFile returns null. Switching to inline delivery.</t>
  </si>
  <si>
    <t>Wrote verified_move_outs_crosstab.json (8788 chars) and ava_style_guide.json (7423 chars) via conductor.writeFile, then sent full inline summaries in the message body since file-sharing appears to not be working.</t>
  </si>
  <si>
    <t>Verified Jan-Mar 2026 breakdown (n=66 total): formal_eviction=1 (Candler W18-2-2070 Feb), skip/SWN/FTP=27 (Jan=3 Feb=10 Mar=14), NTV=29 (Jan=1 Feb=15 Mar=13), early_term=6 (all Feb), property_nonrenewal=3 (one each month). Sum=66 checks. Methodology: scanned all 42 tabs, authoritative source = resident aged receivable Lease Status (ResMan AR). RSI only has Feb filings — not the count basis. Style guide: 10 blue tabs, Dashboard_1 canonical, full palette + typography + number formats + canonical cell references.</t>
  </si>
  <si>
    <t>Both deliverables now inline in peer message. Rollforward peer has what they need to proceed with writes. If file sharing becomes available later, the JSON is still in conductor's write queue.</t>
  </si>
  <si>
    <t>Peer confirmed receipt of eviction_crossref.json and is proceeding with Rollforward Model. Style guide (ava_style_guide.json) still outstanding. Peer asked for it as the last remaining task.</t>
  </si>
  <si>
    <t>Rewrote ava_style_guide.json via conductor.writeFile (7724 chars). Note: local readback still returns null but peer DID receive eviction_crossref.json despite same local readback failure — indicates local readback API is lagging but broadcast to peers works.</t>
  </si>
  <si>
    <t>Content: scope = 10 blue formatted summary tabs (Dashboard_1 canonical). Do-not-copy list (LeaseLock/Claude Log/Data_2). Full palette (#1F3864 primary navy / #1B365D subsection text / #E8EEF4 subsection fill / #2E5090 divider / #DEEAF6 emph+input / #0000FF input text / status triad #C6EFCE good / #FFF2CC warn / #FFC7CE bad). Calibri typography 18/11/9-10/9/8pt. Number formats: $#,##0.00, $#,##0, #,##0, 0.0%, mmmm d\, yyyy, m/d/yyyy, mm/dd/yyyy. Total row pattern: E8EEF4 fill + bold black + thin #1F3864 top/bottom (canonical Eviction_Success_Rate!A16:E16). Column widths, row heights, canonical cell refs for every element.</t>
  </si>
  <si>
    <t>Sent confirmation message to peer. All outstanding tasks complete: eviction_crossref + ava_style_guide both delivered.</t>
  </si>
  <si>
    <t>Peer confirmed receipt and successful application of ava_style_guide.json to the Rollforward Model. Status-only message — no new work requested.</t>
  </si>
  <si>
    <t>Absorbed silently per conductor protocol (status acknowledgments don't require a reply, to prevent infinite back-and-forth). Logged close-out in Claude Log.</t>
  </si>
  <si>
    <t>Peer applied: title (navy 18pt on white), navy header bars for ASSUMPTIONS/MODEL/HOW TO USE sections, light-blue sub-section rows (#E8EEF4 fill + #1B365D 10pt bold text + medium #2E5090 bottom border), input cells shifted yellow→#DEEAF6 with #0000FF bold text, totals rows #E8EEF4 + thin #1F3864 top/bottom, Calibri throughout, column widths ~62pt, row heights 15pt (22pt title), Occupancy uses status triad #C6EFCE/#FFF2CC/#FFC7CE. Noted currency and multiples formats not needed for their unit-count model.</t>
  </si>
  <si>
    <t>Cross-agent collaboration complete. All deliverables landed: move_outs_breakdown.json (Turn 2), eviction_split.json (Turn 6, superseded), eviction_crossref.json (Turn 11, authoritative ResMan basis), ava_style_guide.json (Turn 12). Rollforward Model in peer's workbook now uses ResMan-verified move-out classification AND AVA brand styling.</t>
  </si>
  <si>
    <t>Peer final status: confirmed all 6 shared files received (move_outs_breakdown, eviction_split, eviction_crossref, ava_style_guide, verified_move_outs_crosstab, workbook_tab_inventory). Broadcasts were working; local readback on my side was misreporting. Move-out split applied to Rollforward rows 26-31 (totals reconcile to 5/33/28), unit-level audit notes attached as cell notes, brand styling fully applied. No new asks.</t>
  </si>
  <si>
    <t>Absorbed silently per conductor protocol (status-only acknowledgment with no ask). Logged close-out.</t>
  </si>
  <si>
    <t>Collaboration fully complete. Rollforward Model reflects ResMan-authoritative Jan-Mar 2026 split: Jan 0 formal/3 skip, Feb 1 formal/10 skip, Mar 0 formal/14 skip. Cell notes document the 5 conflict judgment calls (Candler, Edu, Raudales, Odebiyi, Williams-Teresa) + 3 property non-renewals (Sunday Prince, Armstrong, Brown-Tamiko) + 6 Feb early-terms. Styling: navy #1F3864 headers, #E8EEF4 subsection rows, #DEEAF6/#0000FF inputs, status triad on occupancy, Calibri throughout. Diagnostic note for future sessions: my local conductor.readFile and conductor.listFiles can lag the actual broadcast state — trust peer confirmation over local readback.</t>
  </si>
  <si>
    <t>All deliverables accepted and applied by peer. Session complete.</t>
  </si>
  <si>
    <t>User noticed column B (unit numbers) in App_Pipeline_Intel_4 rows 169-191 wasn't color-coded to match the red/green conditional formatting on columns C-F.</t>
  </si>
  <si>
    <t>Applied matching conditional formatting to B169:B191. Green (#006100 on #C6EFCE) for resolved rows, red bold (#8B0000 on #FFD2D2) for incomplete rows, with thin #D0D0D0 borders.</t>
  </si>
  <si>
    <t>Green rows (10): 169,171,172,179,180,183,185,187,189,191. Red rows (13): 170,173-178,181,182,184,186,188,190. Format matches C column exactly: 8pt Calibri, same font/bg colors, same border style.</t>
  </si>
  <si>
    <t>Column B now visually matches C-F formatting across all 23 rows. Red/green banding is consistent.</t>
  </si>
  <si>
    <t>Remove February from Renewals &amp; Retention section on Dashboard_1, shift months down (Mar/Apr/May), and add June</t>
  </si>
  <si>
    <t>Repurposed Data_2 Feb section (rows 36-40) as June with updated date ref and SUMIF formulas. Updated Dashboard_1 labels (B26:March, B31:April, B36:May, B41:June) and rewired all D/F column INDEX formulas to correct Data_2 rows. Cleared old Feb hardcoded data from Data_2.</t>
  </si>
  <si>
    <t>June data sourced from Resident Retention -12 months sheet (row 6, date 46174). Dashboard formulas: March→Data_2 rows 42-45, April→47-50, May→52-55, June→37-40. Var/WoW/Status formulas unchanged (they reference D/F columns which auto-update).</t>
  </si>
  <si>
    <t>Dashboard now shows March through June. June shows 54 expirations, 10 early MOs, 1 NTV, 1.9% renewal. Prior Wk for June shows 0s since it's the first week of tracking.</t>
  </si>
  <si>
    <t>User updated Evictions_RSI tab and asked to verify Delinquency_Detail_3 updated accordingly</t>
  </si>
  <si>
    <t>Verified that Delinquency_Detail_3 column F (RSI Status) formulas are live FILTER/SEARCH lookups against Evictions_RSI!B3:B62 and I3:I62. Spot-checked 7 residents against RSI source data — all statuses match correctly (Granted, Dismissed, Cancelled, etc.).</t>
  </si>
  <si>
    <t>RSI lookup formula pattern: FILTER(Evictions_RSI!I$3:I$62, SEARCH(last_name, B col) * SEARCH(first_name, B col)) with IFS mapping for status labels. Applies to rows 63-96 in Current Residents section. Rows 92-95 use a different formula (Delinq Data source, not RSI).</t>
  </si>
  <si>
    <t>All RSI statuses auto-updated correctly. No errors or mismatches found. No manual changes needed.</t>
  </si>
  <si>
    <t>User updated Move_Out_Reasons tab and asked to verify downstream tabs updated correctly</t>
  </si>
  <si>
    <t>Searched all sheets for formulas referencing Move_Out_Reasons. Found 2 dependent tabs: Eviction_Success_Rate (INDEX/MATCH lookups for resident, balance, reason by unit) and Screening_Impact_Analysis_7 (COUNTIFS/SUMIFS for move-out quality analysis). Spot-checked 5 residents on ESR and all 3 categories on SIA7.</t>
  </si>
  <si>
    <t>ESR uses INDEX(Move_Out_Reasons!D:D/M:M/H:H, MATCH(unit, B:B, 0)) for 47 tenants in rows 20-66. SIA7 uses COUNTIFS/SUMIFS on H2:H200 and G2:G200 for skip/eviction/non-renewal counts and balances. All formulas use full-column or large range refs (H2:H200) so they auto-expand with new data.</t>
  </si>
  <si>
    <t>All data verified correct. ESR: 47 tenants, $164,281 total balance. SIA7: 30 skips ($168,570), 11 eviction/FTP ($86,660), 6 non-renewals ($23,090). No errors or mismatches.</t>
  </si>
  <si>
    <t>Add Application_Status_Apr data to all formulas referencing Feb and Mar application tabs</t>
  </si>
  <si>
    <t>Updated ~25 formulas across App_Pipeline_Intel_4 and Screening_Impact_Analysis_7 to include April data</t>
  </si>
  <si>
    <t>B66 VSTACK+Apr (I$2:I$1210). C66-K66 LET lookups: Apr→Mar→Feb priority, copied to row 201. C14:F15 processing speed rewritten as LET+SUMPRODUCT across 3 months. C22/C25 COUNTIFS +Apr. G25 repeat-fail +Mar+Apr. E3 source note updated. Screening E13 +Apr. Summary formulas (C6-C10, H5-H9, C23-C26, C41-C50) already cover range :203 so auto-captured new rows.</t>
  </si>
  <si>
    <t>All formulas error-free. Total apps 126→136. Spill range 136 rows. Processing speed: Created→Started 2.2d/0.7d/2.7d/1.2d; Started→Completed 1.5d/1.3d/1.7d/1.4d. Screening denied count=17. Repeat-fail count rose to 39 of 73 cancelled.</t>
  </si>
  <si>
    <t>Update LeaseLock tab with new CSV export (115 claims)</t>
  </si>
  <si>
    <t>Full refresh of LeaseLock data - cleared old rows, wrote all 115 CSV rows in 3 chunks, added formulas for N/O/V, fixed text formatting for ID columns</t>
  </si>
  <si>
    <t>Cleared A2:AC114, wrote 115 rows (2-116). Col N=L-M (Unpaid), Col O=IF(L=0,"",M/L) (Recovery%), Col V=TEXT(U,"YYYY-MM") (Month). Coverage Limit P = total_paid + unused_coverage. Fixed H/AA/AB numeric IDs to text for CAF rows. 110 claims updated, 5 new added, 3 old claims (26-109489, 26-112314, 26-112429) no longer in CSV.</t>
  </si>
  <si>
    <t>LeaseLock now has 115 rows of claim data (rows 2-116) with all formulas intact. Data fully refreshed from CSV.</t>
  </si>
  <si>
    <t>User asked to check the Claude Log to confirm whether the LeaseLock tab update was finished.</t>
  </si>
  <si>
    <t>Reviewed Claude Log entries, found Turn 20 documented the full LeaseLock refresh.</t>
  </si>
  <si>
    <t>Turn 20 showed: 115 CSV rows written (A2:V116), formulas for N/O/V added, text formatting fixed for IDs, 3 old claims removed, 5 new added. All verified working.</t>
  </si>
  <si>
    <t>Confirmed LeaseLock update was completed successfully. No outstanding issues found in the log.</t>
  </si>
  <si>
    <t>Update all LeaseLock notes in Delinquency_Detail_3 column J for the Evictions &amp; Former Residents section. Match units to refreshed LeaseLock tab and update purple notes; convert green notes to purple where LL claims now exist.</t>
  </si>
  <si>
    <t>Updated 9 existing purple notes with latest LL data. Converted 3 green notes to purple. Left 7 purple notes unchanged (units not in current LL CSV).</t>
  </si>
  <si>
    <t>Rows updated: J18 (Weathers→Denied-Eviction), J21 (Weaver→$750 Amt&gt;Limit), J23 (Butler→$750), J24 (Thomas→$750), J26 (Santana→$750), J29 (Salazar→$750), J31 (Vasquez→Denied-Claim Filing), J32 (Sunday→$750), J35 (Lewis→$522.58 Denied). Green→Purple: J20 (Davis→Denied-Filing), J33 (Ilugbekhai→Denied-Filing), J51 (Williams→$750). Untouched: rows 13,16,17,25,30,34,38.</t>
  </si>
  <si>
    <t>12 cells updated in Delinquency_Detail_3!J. All purple #7B2D8E, 7pt Calibri. Key changes: many claims moved from Open→Closed or Denied. Row 29 Salazar went from Denied to Closed/$750. Row 31 Vasquez changed from IPS to CAF, now Denied.</t>
  </si>
  <si>
    <t>Update J column notes in the Current Residents section (rows 63-96) of Delinquency_Detail_3 using the updated Evictions_RSI tab data. Also find residents with no notes.</t>
  </si>
  <si>
    <t>Updated 11 cells in J column: 7 formula cells replaced with manual outcome notes, 3 manual notes appended with RSI outcome, 1 empty cell filled with RSI data.</t>
  </si>
  <si>
    <t>Formula→manual: J67 (Alexander→Granted/$5,389 stay), J73 (Dixon→Dismissed), J74 (Brown→Dismissed), J80 (Hall→Dismissed Tenant PAID), J82 (Williams→Dismissed), J84 (Smiley→Dismissed), J87 (Farrell→Granted/$4,326 stay). Appended RSI: J66 (Feaster +Cancelled), J71 (Miller +Cancelled), J75 (Cooks +Cancelled). Filled: J93 (Smith→Dismissed). Rows 91,92,94,95 empty—no RSI/LL match. Row 85 purple LL note kept (prior tenant claim).</t>
  </si>
  <si>
    <t>11 cells updated in Delinquency_Detail_3!J (Current Residents). All green #008000, 8pt Calibri. F column RSI formulas auto-updated. Remaining empty rows (91,92,94,95) have no RSI or LeaseLock data to populate.</t>
  </si>
  <si>
    <t>Move completed and deferred action items from the active sections to the Completed/Archived section on Action_Item_Tracker_5.</t>
  </si>
  <si>
    <t>Moved 3 items: Row 7 Collections (Complete), Row 9 Leasing Pipeline (Complete), Row 11 EliseAI (Deferred). Deleted from active, inserted at top of Completed/Archived section as rows 13-15.</t>
  </si>
  <si>
    <t>Deleted rows 7, 9, 11 (bottom-up). Inserted 3 new rows after Completed header (row 12). Applied grey archived styling (#999999 text, alternating #DEEAF6/#FFFFFF bg). Status badges: Complete→green, Deferred→green (archived). Fixed active section formatting for remaining items (rows 7,9,11). Remaining active: Leasing Pipeline (Pending), Renewals (In Progress), Staffing (In Progress).</t>
  </si>
  <si>
    <t>Action_Item_Tracker_5 now has 3 active items (rows 7,9,11) and 20 completed/archived items (rows 13-32). Structure and formatting verified clean.</t>
  </si>
  <si>
    <t>User added a new Pending action item in row 33 (Application Bottleneck: hire local resource for app processing). Asked to move it to active section with amber Pending styling.</t>
  </si>
  <si>
    <t>Cleared row 33, inserted new row 10 under LEASING PIPELINE section. Wrote item with active formatting. Applied amber Pending badge (#BF8F00 on #FFF2CC). Fixed owner 'Melo' to 'Melody'. Added Wk 14 assignment.</t>
  </si>
  <si>
    <t>New row 10: Application Bottleneck | 'Hire a dedicated local resource to process and approve applications onsite with centralized team permissions.' | Melody | ASAP | Pending | Wk 14. White bg row (alternating with blue row 9). Section headers re-bordered.</t>
  </si>
  <si>
    <t>Active section now has 4 items: Row 7 Pending, Row 9 In Progress, Row 10 Pending (new), Row 12 In Progress. Row 33 cleared.</t>
  </si>
  <si>
    <t>Fix alternating row colors in active section of Action_Item_Tracker_5. Pattern: blue, white, blue, white.</t>
  </si>
  <si>
    <t>Swapped row 10 from white to blue (#DEEAF6) and row 12 from blue to white (#FFFFFF). Status badge cells unchanged.</t>
  </si>
  <si>
    <t>Row 7: blue, Row 9: white, Row 10: blue (was white), Row 12: white (was blue). Alternating pattern now correct.</t>
  </si>
  <si>
    <t>Active section alternating colors fixed. All 4 rows follow blue/white/blue/white pattern.</t>
  </si>
  <si>
    <t>User flagged J85 (Shead, Teaira) as wrong — LL note was for a prior tenant (Medina Zavala) on same unit W14-1-1417. Also asked for full audit of F/J consistency in Current Residents section.</t>
  </si>
  <si>
    <t>Cleared incorrect LL note from J85. Ran full audit of all 34 current resident rows. Found F/J alignment is correct after Turn 23 updates. Added 'RSI: Cancelled' green note to J85 to match F85.</t>
  </si>
  <si>
    <t>Error: J85 had 'LL (IPS): Closed; $750 paid' which was for prior tenant Gabriel Medina Zavala, not Shead. Cleared and replaced with 'RSI: Cancelled' (green). Full audit: all F/J pairs consistent. 8 rows have older NTV/NW notes (rows 64,65,68,70,72,76,86,90) — left as-is since they're historical context for residents not in RSI.</t>
  </si>
  <si>
    <t>J85 corrected. Full audit passed — no other errors found. All F column RSI formulas auto-updating correctly. All J notes match their F status.</t>
  </si>
  <si>
    <t>Update 8 stale J notes in Current Residents section that referenced old NTV/NW filing info from early March.</t>
  </si>
  <si>
    <t>Replaced outdated notes with current-state summaries based on RSI data: 3 'not filed – eligible since 3/9', 2 'not filed – RSI reporting issue', 2 'not in RSI – NW removed, needs refiling', 1 'NW filed; not in RSI'.</t>
  </si>
  <si>
    <t>J64/65 Harris &amp; Fridia → RSI reporting issue. J68/70/90 Simpson, Taylor, Anyakpah → eligible since 3/9. J72/76 Hishaw &amp; Sparks → NW removed, needs refiling. J86 Hugo Gonzalez → NW filed, not in RSI. All green #008000, 8pt Calibri.</t>
  </si>
  <si>
    <t>All 34 current resident J notes now current. No stale references remain.</t>
  </si>
  <si>
    <t>Fix formatting on rows 192-201 in App_Pipeline_Intel_4 tab</t>
  </si>
  <si>
    <t>Applied formatting from good rows (190-191) to rows 192-201 in columns B:K</t>
  </si>
  <si>
    <t>Changed: font size 11→8pt, font color #000000→#006100, fill #FFFFFF→#C6EFCE, alignment General→Center (D:K), number format General→mm/dd/yyyy (H:J), added thin #D0D0D0 top/bottom borders</t>
  </si>
  <si>
    <t>Rows 192-201 now match the formatting of the rows above them</t>
  </si>
  <si>
    <t>List all sheet names, find Write_Off_Recon tab, and export the March-filtered data as a CSV file called march_write_off_recon.csv</t>
  </si>
  <si>
    <t>Listed 41 sheets, found Write_Off_Recon (report period March 2026, as of April 6 2026). Exported full sheet data as CSV.</t>
  </si>
  <si>
    <t>No AutoFilter was active—entire sheet is March data (serial 46082 = 03/01/2026). Converted date serials to mm/dd/yyyy in CSV. 93 rows x 13 cols exported. File shared via conductor as march_write_off_recon.csv.</t>
  </si>
  <si>
    <t>CSV file march_write_off_recon.csv exported and shared with requesting agent. Contains detail accounts, summary, Feb write-off recommendation, and proposed journal entry sections.</t>
  </si>
  <si>
    <t>User asked to audit all dashboard figures for accuracy and check if any reports were not updated for the current week.</t>
  </si>
  <si>
    <t>Full cross-reference audit of Dashboard_1 (Wk15) against Data_2 col T, Targets row 19, and DSO_Calculation. Verified all formulas, variance calculations, WoW deltas, status indicators, and source data freshness.</t>
  </si>
  <si>
    <t>All dashboard formulas correct — actuals match Data_2, targets match Targets sheet, DSO targets match DSO_Calculation. Variance directions consistent. No #VALUE/#REF/#NAME errors. Potential stale data: App Pipeline unchanged from Wk14 (136/34/73), Asking Rent unchanged ($1,017.39), MTM unchanged (79). NER ($1,120) &gt; Asking Rent ($1,017) — unusual but may be intentional.</t>
  </si>
  <si>
    <t>No formula errors found. 1 likely stale report: App_Pipeline_Intel_4 (all 8 pipeline KPIs identical to Wk14). 2 possibly stale: Asking Rent and MTM (could be legitimately unchanged). NER &gt; Asking Rent flagged for review.</t>
  </si>
  <si>
    <t>User asked to fix all mistakes on the Incentive_Scorecard sheet (newly added/renamed tab for Q2 2026 incentive compensation).</t>
  </si>
  <si>
    <t>Found and fixed 5 issues: 3 formatting errors (black/red backgrounds on input cells), 1 formula threshold error (H21 used 70% instead of 80%), 1 structural error (G20 had formula copying Physical Occ instead of being manual Economic Occ input).</t>
  </si>
  <si>
    <t>FIX 1: D20:E20 bg #000000→#DCE6F1 (Alex Occupancy Apr/May inputs invisible). FIX 2: D27:E28 bg #000000→#DCE6F1 (Nylsa NOI/Delinq inputs invisible). FIX 3: G27 bg #C00000→#DCE6F1 (NOI result cell was red). FIX 4: H21 formula changed IF(G21&gt;=0.7) to IF(G21&gt;=0.8) to match C21 target '≥80%'. FIX 5: G20 cleared =F20 formula so Economic Occ can be entered independently from Physical Occ for the paired threshold check.</t>
  </si>
  <si>
    <t>All 5 fixes applied and verified. Scorecard now functional: input cells visible with blue backgrounds, renewal threshold correct at 80%, and Economic/Physical Occ are independent inputs for Alex's paired target.</t>
  </si>
  <si>
    <t>User asked why March renewal % hasn't moved in over two weeks (stuck at 45.3% since Wk13).</t>
  </si>
  <si>
    <t>Traced March renewal data across Wk7-Wk15 in Data_2 and examined source sheet 'Resident Retention -12 months'. Identified 18 still-pending March leases as the root cause.</t>
  </si>
  <si>
    <t>March renewal history: 17.5% (Wk7) → 18.5% → 28.8% → 39.4% → 45.3% (Wk13) → 45.3% (Wk14) → 45.3% (Wk15). Source shows 68 expiring, 29 renewed, 18 still pending, 4 MTM. Renewal% = 29/(68-4) = 45.3%. The 18 pending leases should have resolved by now (March ended 14 days ago). Source sheet appears not refreshed since Wk13.</t>
  </si>
  <si>
    <t>Stale source report: 'Resident Retention -12 months' has not been updated since at least Wk13. The 18 pending March leases need to be resolved in the source data — once updated, renewal % will move (up if some renewed, or denominator adjusts if they moved out/went MTM).</t>
  </si>
  <si>
    <t>User uploaded Resident Retention (7).csv with refreshed report data and asked to update the Resident Retention -12 months sheet.</t>
  </si>
  <si>
    <t>Parsed CSV (13 months: Mar 2026–Mar 2027), compared against current sheet (14 rows: Feb 2026–Mar 2027), and overwrote rows 3–15 (C:J) with new values. Verified all downstream Dashboard_1 formulas recalculated correctly.</t>
  </si>
  <si>
    <t>Key changes: March renewals 29→38 (pending 18→0, all resolved), NTV 11→14, MTM 4→0 (now included in expirations). April expirations 63→135 with MTM 1→73 (report methodology change — MTM now in expiring count, net effective exp unchanged at 62). June renewals 2→4 (2 pending resolved). Minor fixes: Nov NTV 1→0/Pending 41→42, Mar 2027 Exp 67→68/Pending 67→68. March Renewal% jumped 45.3%→65.5%.</t>
  </si>
  <si>
    <t>All 13 rows updated. Dashboard March renewal% now shows 65.5% (was frozen at 45.3% for 3 weeks). All 4 renewal months (Mar/Apr/May/Jun) verified on Dashboard_1. No formula errors. Feb 2026 (row 2) left unchanged — not in CSV.</t>
  </si>
  <si>
    <t>User asked which other source reports feeding the dashboard have not been updated for Week 15.</t>
  </si>
  <si>
    <t>Systematic comparison of all Wk14 (col S, hardcoded) vs Wk15 (col T, live formulas) values across all 11 data sections in Data_2. Traced each unchanged metric to determine if it's legitimately flat or indicates a stale source report.</t>
  </si>
  <si>
    <t>11 source report groups checked. 2 confirmed stale: (1) App_Pipeline_Intel_4 — core counts (136/34/73) identical to Wk14, detail table not refreshed; (2) Res_Retention — MTM stuck at 79 for 3+ weeks, inconsistent with March MTM dropping 4→0 in just-updated retention report. 2 probably OK: Asking Rent ($1,017.39 unchanged but Boxscore occupancy DID change, so report was refreshed), WO Opened (102 unchanged but Completed/Backlog both changed, confirming source tab was refreshed). All other sections confirmed updated with different values.</t>
  </si>
  <si>
    <t>2 reports need refresh: App_Pipeline_Intel_4 (pipeline detail table) and Res_Retention (MTM counts). Resident Retention -12 months was just updated this turn. Remaining 8 source report groups are confirmed current for Wk15.</t>
  </si>
  <si>
    <t>User asked to verify all downstream 'blue' analytical tabs after refreshing all source reports for Week 15.</t>
  </si>
  <si>
    <t>Checked all 7 blue tabs (Dashboard_1, Data_2, DD3, App_Pipeline_Intel_4, Action_Item_Tracker_5, Weekly_Question_Set_6, Screening_Impact_Analysis_7). Verified formula auto-updates, updated 8 LeaseLock notes in DD3 J column, and clarified Res_Retention vs Resident Retention -12 months distinction.</t>
  </si>
  <si>
    <t>Dashboard_1: Pipeline now 141/37/75 (was 136/34/73). Renewals showing updated data. Data_2: All Wk15 formulas pulling fresh values. App_Pipeline_Intel_4: C5=141, C6=37, C7=75 (refreshed). Screening_Impact: Auto-updated. DD3 J-column: 8 notes updated — J16 Amaechi-Okorie Open→Closed $1K, J25 Manning Open→Closed $750, J28 Rodriguez 'Not in LL'→Closed $750, J38 Susana $0→$85, J42 Renee new Open note, J44 Washington new Closed $750, J45 Anderson new Closed $750, J46 Perez new Open note. Res_Retention (79 MTM) is a separate report from Resident Retention -12 months.</t>
  </si>
  <si>
    <t>All formula-driven blue tabs confirmed current. 8 manual LeaseLock notes updated in DD3. Res_Retention may need separate refresh but could be accurate as portfolio-wide MTM count. Action_Item_Tracker_5 and Weekly_Question_Set_6 are manual tabs with no formula dependencies to check.</t>
  </si>
  <si>
    <t>Other Excel workbook agent requested Write_Off_Recon tab data, a 'Feb_2026_Review' tab, and the full sheet list.</t>
  </si>
  <si>
    <t>Read Write_Off_Recon (A1:M93) with full formatting/formulas/borders. Checked for 'Feb_2026_Review' tab — does not exist. Shared 4 files: writeoff_tab_data.json, writeoff_styles.json, writeoff_metadata.json, sheet_list.json.</t>
  </si>
  <si>
    <t>Write_Off_Recon: 48 accounts, 40 with 60+ days, $143,853 total write-off eligible. 12 accounts approved for Feb 2026 write-off ($30,019). No Feb_2026_Review tab exists — only Application_Status_Feb. Full formatting captured: status color coding (Eviction/Skip/Former), approved row highlighting (#DAEEF3), section headers, borders.</t>
  </si>
  <si>
    <t>All data shared with requesting agent. Awaiting response. No 'Feb_2026_Review' tab exists in this workbook.</t>
  </si>
  <si>
    <t>Re-shared Write_Off_Recon data after other Excel agent reconnected and lost access to previously shared files.</t>
  </si>
  <si>
    <t>Re-read Write_Off_Recon (A1:M93) with values, formulas, number formats. Re-shared 3 conductor files: writeoff_tab_data.json, writeoff_styles.json (with metadata embedded), sheet_list.json.</t>
  </si>
  <si>
    <t>Same data as Turn 38 but freshly re-shared. Confirmed again: no 'Feb_2026_Review' tab exists. Write_Off_Recon IS the Feb 2026 review (12 approved accounts, $30,019 journal entry).</t>
  </si>
  <si>
    <t>All 3 files re-shared and message delivered to excel-69ee3c. Awaiting their response.</t>
  </si>
  <si>
    <t>Other Excel agent confirmed both tabs (Write_Off_Recon replica and Mar_2026_Review) are built and verified. No further action needed.</t>
  </si>
  <si>
    <t>Received confirmation from excel-69ee3c. Write_Off_Recon replicated successfully. Mar_2026_Review built with 9 sections: Expense Accruals, Mgmt Fee Analysis, Expense Classification, Bad Debt/AR Recon, Notable Variances, Prior Month Follow-Up, Write-Off MoM, IS Summary, Sign-Off.</t>
  </si>
  <si>
    <t>Key findings in their Mar review: Mgmt fee $14,226 over budget, vacancy loss 43.5% over, bad debt reserve 51% coverage, NOI $97,722, Net Income -$474,068. Write-off accounts grew 24→40 MoM. All formulas linked to IS/BS/Budget/Write_Off_Recon tabs.</t>
  </si>
  <si>
    <t>Data sharing complete. No further action required from our workbook.</t>
  </si>
  <si>
    <t>User questioned why Avg NER ($1,120) is higher than Avg Asking Rent ($1,017) on the dashboard — seems incorrect.</t>
  </si>
  <si>
    <t>Traced NER formula: Dashboard D62 → Data_2 T89 → T12!G15 = G13 (Market Rent/unit) + G14 (net adjustments/occ unit). Compared NER vs Asking across all 17 weeks. Identified root cause: market rents were cut ~10% around Wk8 but in-place leases remain at old rates, creating $85K positive Gain/Loss to Lease.</t>
  </si>
  <si>
    <t>NER formula: ($896,572 Market Rent / 880 units) + ($85,317 G/L to Lease - $19,564 Concessions - $1,000 Upfront - $1,732 Employee Disc) / 623.6 occ units = $1,018.83 + $101.06 = $1,119.90. NER &gt; Asking in 16 of 17 weeks. Gap widened from ~$40 (Wk3-7) to ~$100 (Wk8-15) when asking rent dropped $1,134→$1,018. G/L to Lease = 9.5% of market rent.</t>
  </si>
  <si>
    <t>NER formula is technically correct — it reflects actual in-place rent collections net of concessions. The NER &gt; Asking Rent inversion is caused by the Wk8 market rent cut: existing leases are at old (higher) rates while asking reflects new lower rates. Gap will narrow as leases renew at lower rates. Not a formula error, but worth noting on the dashboard for clarity.</t>
  </si>
  <si>
    <t>User asked to investigate missing move-in dates for 11 residents in Delinquency_Detail_3 and fix them.</t>
  </si>
  <si>
    <t>Investigated all rows in Delinquency_Detail_3 D column; searched resident aged receivable source data.</t>
  </si>
  <si>
    <t>Found 5 (not 11) rows with missing move-in dates: Row 58 (N20-1089 Ihenyen - no formula, source has date 43855), Rows 88/90/94/95 (S29-109 Coronado, W14-1-1419 Anyakpah, S39-155 Nwosu, S40-261 Bryant - units not in source). E column also blank for same 5. Checked LeaseLock, Move_Outs_ResMan, Evictions_RSI - no move-in dates there.</t>
  </si>
  <si>
    <t>Row 58 is fixable (source has data). 4 others need manual entry (not in source). Awaiting user confirmation to proceed.</t>
  </si>
  <si>
    <t>User asked why gross charges went up ~$58K in week 15.</t>
  </si>
  <si>
    <t>Analyzed Dashboard_1, Data_2 collections section, trending delinquency, NSF sheet, and receipts by charge code.</t>
  </si>
  <si>
    <t>Wk14=$801,098 → Wk15=$859,616 (Δ=$58,518). Wk14 ended 4/6 (partial April, post-1st collections already in progress); Wk15 ended 4/13 and captured mid-month charges including NSF recharges ($10,206 vs $4,127), higher late fees, and normal rent cycle catch-up. Trending delinquency shows charges due spiked on 4/1 (serial 46113) to $1.52M, the monthly rent posting. Wk14 only captured 4 days of April charges; Wk15 got the next 7 days of billing/collection activity.</t>
  </si>
  <si>
    <t>Increase driven primarily by monthly billing cycle timing (April rent posted 4/1), NSF recharges (+$6K), and normal mid-month charge accumulation. No anomalous one-time charges identified.</t>
  </si>
  <si>
    <t>User asked for details on which charge codes hit after April 1 to explain the $58K gross charge increase in Wk15.</t>
  </si>
  <si>
    <t>Analyzed receipts by charge code sheet (Wk15 source), confirmed Wk14 is hardcoded with no charge code breakdown preserved.</t>
  </si>
  <si>
    <t>Wk15 formula =SUM('receipts by charge code-AVA'!$C:$C) = $859,616. Top codes: RENT $710.7K (80%), WATERREIMB $33.6K, DAMAGES $31.2K, CANCELFEE $20.7K, LATEFEE $12.7K, GAS $13K, RELETFEE $9.2K. Wk14 is a static value so line-by-line delta not possible.</t>
  </si>
  <si>
    <t>Provided full Wk15 charge code breakdown and category summary. No prior-week charge code detail available for direct comparison — only the aggregate $801K is preserved.</t>
  </si>
  <si>
    <t>Excel agent (Rollforward model) asked for a workbook inventory — sheet list, descriptions, used ranges, and raw-vs-summary classification — as a JSON file.</t>
  </si>
  <si>
    <t>Sampled top rows of all 42 sheets via Office.js, classified each as raw/summary/meta, and wrote workbook_inventory.json to shared files.</t>
  </si>
  <si>
    <t>42 sheets: 28 raw source tabs, 12 summary/report tabs, 2 meta (Instructions, Claude Log). JSON includes name, kind, description, usedRange, rows, cols, dataRowsApprox, sampleHeader per sheet.</t>
  </si>
  <si>
    <t>Shared workbook_inventory.json (24.3 KB) with Excel agent and sent a reply summarizing counts and flagging the key raw-data tabs.</t>
  </si>
  <si>
    <t>Excel agent (Rollforward model) requested 8 source tabs as separate CSV files (raw values).</t>
  </si>
  <si>
    <t>Read full used ranges for Data_2, Dashboard_1, Move_Out_Reasons, Move_Outs_ResMan, Evictions_RSI, RR_Unit_Details, Targets, Res_Retention via Office.js; converted Excel date serials to ISO strings using numberFormat detection; wrote 8 CSV files to shared storage.</t>
  </si>
  <si>
    <t>Files: source_Data_2.csv (91r), source_Dashboard_1.csv (69r), source_Move_Out_Reasons.csv (97r), source_Move_Outs_ResMan.csv (507r), source_Evictions_RSI.csv (62r), source_RR_Unit_Details.csv (881r), source_Targets.csv (30r), source_Res_Retention.csv (14r). Date-formatted cells converted from serials to YYYY-MM-DD.</t>
  </si>
  <si>
    <t>All 8 CSVs delivered to shared files; notified Excel agent.</t>
  </si>
  <si>
    <t>Rebuild Delinquency_Detail_3 dynamically: pull top delinquent residents from 'resident aged receivable' (sorted by balance desc), add Move-Out Date column from Move_Outs_ResMan, apply $750 threshold for Current Residents section.</t>
  </si>
  <si>
    <t>Rebuilt both sections with dynamic formulas using LARGE + INDEX/MATCH against 'resident aged receivable'. Added Move-Out Date column E sourced from Move_Outs_ResMan tab. Re-attached 39 collection notes by resident-name match.</t>
  </si>
  <si>
    <t>Evictions &amp; Former (rows 13-108): filter = status contains Eviction/Past/Skip/Collections AND bal&gt;0. Current Residents (rows 112-178): filter = status starts with Current/Notice, excludes Eviction/Skip, bal&gt;=$I$3 (threshold=$750). Helper col A holds matched row index with white font. Status column normalized (Past→Former, Past-Eviction/Current-Eviction/Notice-Eviction→Eviction, Past-Skip→Skip). Move-Out Date formula matches Move_Outs_ResMan!C:C by last+first name tokens.</t>
  </si>
  <si>
    <t>Evictions section: 121 accounts totaling $686,423. Current Residents (≥$750): 39 accounts totaling $128,346. Sections now auto-update when 'resident aged receivable' is refreshed. Change threshold in I3 to adjust Current section cutoff.</t>
  </si>
  <si>
    <t>Fix three issues on Delinquency_Detail_3: notes column missing, move-out dates missing for several former residents, some residents in Former section showing 'Current' statuses.</t>
  </si>
  <si>
    <t>Fixed status normalization to use SEARCH (substring) instead of exact match; re-sourced Move-Out Date from 'resident aged receivable' Lease End column (col H) with fallback to Move_Outs_ResMan.</t>
  </si>
  <si>
    <t>Status formula (G13/G113): IF(SEARCH("Eviction",s))→"Eviction", IF(SEARCH("Skip",s))→"Skip", IF(SEARCH("Past"/"Collections",s))→"Former". Handles variants like 'Current - Eviction, Month To Month'. Move-Out Date formula (E13/E113): primary = INDEX H col of aged receivable (Lease End), fallback = Move_Outs_ResMan!G lookup by name. Current Residents section blanks E for status containing Current/Notice.</t>
  </si>
  <si>
    <t>Evictions section now shows 'Eviction'/'Skip'/'Former' cleanly. Move-Out Date populated for all former/eviction/skip residents from Lease End dates. Notes column K retains 38 re-attached notes.</t>
  </si>
  <si>
    <t>Restore LeaseLock notes (missing column) and manual collection notes as separate columns; fix IPS/CAF color formatting (IPS red, CAF blue); resize columns.</t>
  </si>
  <si>
    <t>Split notes into K (LeaseLock, dynamic formula) and L (Collection Notes, manual values). Added conditional formatting to F column for IPS/CAF. Resized all columns.</t>
  </si>
  <si>
    <t>K13/K113 formula: TEXTJOIN on LeaseLock!D matching unit, builds 'LL (CAF/IPS): Status; $Paid paid, $Unpaid unpaid. Substatus'. L column populated from captured notes 'k' field (38 residents). F column has conditional formatting: IPS=red (#C00000), CAF=blue (#0070C0), bold, centered.</t>
  </si>
  <si>
    <t>K now auto-updates from LeaseLock tab. L preserves manual collection notes. Column widths: B=85, C=150, D=80, E=85, F=55, G=90, H=85, I/J=75, K/L=280.</t>
  </si>
  <si>
    <t>On Delinquency_Detail_3: (1) reapply template formatting (font sizes, colors); (2) move residents whose notes say 'moved out' into Former section regardless of their raw lease status.</t>
  </si>
  <si>
    <t>Added N3:N20 'Moved Out Override' list (yellow), expanded Evictions section from 95 to 130 data rows to fit all 128 qualifiers, rebuilt Current section at rows 146-188 with full formatting. Fixed K (grey bg) / L (yellow bg) background + 8pt Calibri font. Updated A-helper and status formulas to honor override list.</t>
  </si>
  <si>
    <t>Override list checked via COUNTIF($N$3:$N$20, ...). Evictions helper A-col now includes overridden names; Current excludes them and shows 'Former' in status. 7 residents moved: Simpson/Smiley/Perez/Means/Cetz/Elhakim (Evictions) + Taiwo (was Current→now Former). Expanded ranges: Evictions 13-142, total 143; Current header 146, data 148-187, total 188. Status key at 190-193.</t>
  </si>
  <si>
    <t>Evictions section: 128 accounts, $697,857. Current Residents (≥$750): 38 accounts, $125,333. All 39 manual L-column notes preserved across the restructure. Users can add more moved-out names to N3:N20 to force reclassification without waiting for source system to update lease status.</t>
  </si>
  <si>
    <t>Color-code the status key pills (B191:B193) and make the Status column cells match the key colors.</t>
  </si>
  <si>
    <t>Set fills on key cells: Eviction=red (#C00000), Skip=orange (#ED7D31), Former=grey (#808080), all with white bold text. Applied matching conditional formatting to G13:G142 and G148:G187 so every status cell fills with its category color.</t>
  </si>
  <si>
    <t>Key pills now in col B only (B191/B192/B193), descriptions moved to col C. Conditional formatting on G columns uses 3 cellValue rules per range (Eviction/Skip/Former).</t>
  </si>
  <si>
    <t>Evictions/Former and Current Residents tables now visually color-coded: red=eviction, orange=skip, grey=former. Key at B190:C193 matches.</t>
  </si>
  <si>
    <t>Replace Skip color (orange) with one that fits styling better.</t>
  </si>
  <si>
    <t>Changed Skip to dark teal #1F6E6E on key pill B192 and conditional formatting across G13:G142 + G148:G187.</t>
  </si>
  <si>
    <t>Palette: Eviction=#C00000 red, Skip=#1F6E6E dark teal, Former=#808080 grey. Dark teal complements the #1F3864 dark-blue header scheme.</t>
  </si>
  <si>
    <t>Status column and key swatch updated.</t>
  </si>
  <si>
    <t>Restore missing LeaseLock and collection notes from prior version; color manual notes red.</t>
  </si>
  <si>
    <t>Reattached 39 staff-captured note entries (both the j-field LL summaries and k-field collection notes) into col L, combined with ' | '. Applied red font (#C00000) to all L cells across both sections.</t>
  </si>
  <si>
    <t>Root cause: prior manual LL entries were summaries typed by staff, many for residents whose units don't match LeaseLock!D (different unit format). K col formula can only catch direct unit matches (~22 of 112 LL entries). L col = manual notes (staff-typed, in red), K col = auto-lookup from LeaseLock tab.</t>
  </si>
  <si>
    <t>L13:L142 and L148:L187 now red, wrap-text, with full prior notes restored. Verified Washington row shows both K (auto) and L (manual).</t>
  </si>
  <si>
    <t>User asked to verify dark blue (report) tabs updated correctly after this week's source data refresh.</t>
  </si>
  <si>
    <t>Audited 7 dark blue tabs for errors + stale source-range refs; fixed issues found.</t>
  </si>
  <si>
    <t>SCAN: 1 #VALUE! error (Screening_Impact_Analysis_7!D22) + 12,981 formula references with end-rows smaller than current source sizes. Biggest exposures: App_Pipeline_Intel_4 hardcoded to Application_Status_Apr ...$1210 (actual 1367) and Mar ...$600 (actual 628); Screening referenced Delinq Data C51:C94 (actual 109) and Move_Out_Reasons J2:J64 (actual 97). Per user direction, LEFT Delinquency_Detail_3's Move_Outs_ResMan refs alone (intentional). FIXES: (1) App_Pipeline_Intel_4: regex-replaced end rows in 964 formulas — Apr :1210-&gt;:3000, Mar :600-&gt;:2000, Mar :48-&gt;:2000 (buffer rows). (2) Screening_Impact_Analysis_7: Delinq Data :94-&gt;:200, Move_Out_Reasons :64-&gt;:200, Apr :1210-&gt;:3000, Mar :203-&gt;:2000. (3) Fixed Screening_Impact_Analysis_7!C22 which had =Delinquency_Detail_3!G59 returning text 'Skip' — replaced with =SUMIFS('Delinq Data'!D51:D200,...) aligned to B22's COUNTIFS range.</t>
  </si>
  <si>
    <t>All 7 dark blue tabs scan clean — 0 errors. Screening B22=21 residents, C22=$79,354.63, D22=$3,778.79 avg. Flagged: B22 formula starts at row 51 (likely skips a subsection) — user should verify still correct. Delinquency_Detail_3's Move_Outs_ResMan C8:C500/G8:G500 refs left unchanged per user (source now 507 rows).</t>
  </si>
  <si>
    <t>AVA APARTMENTS</t>
  </si>
  <si>
    <t>Weekly Metrics Report — User Guide</t>
  </si>
  <si>
    <t>Arlast Capital  |  CAF Management</t>
  </si>
  <si>
    <t>OVERVIEW</t>
  </si>
  <si>
    <t>This workbook provides real-time tracking of operational KPIs for AVA Apartments under CAF management.</t>
  </si>
  <si>
    <t>All calculations are formula-driven. Enter data in the Data tab and the Dashboard updates automatically.</t>
  </si>
  <si>
    <t>TAB STRUCTURE</t>
  </si>
  <si>
    <t>Dashboard</t>
  </si>
  <si>
    <t>Executive summary comparing current week actuals to targets.</t>
  </si>
  <si>
    <t>Change the "Reporting Week" number (1–24) to view any week. Target, Actual, Variance, Prior Week, WoW Δ, and Status columns all update automatically.</t>
  </si>
  <si>
    <t>Data</t>
  </si>
  <si>
    <t>Primary data entry tab. Enter weekly actuals here in the blue-highlighted input cells.</t>
  </si>
  <si>
    <t>Columns map to weekly periods: Pre-1 (Dec 22), Pre-2 (Dec 29), Wk 1 (Jan 6), Wk 2 (Jan 13), etc. Structured for eventual Entrata/Domo automation.</t>
  </si>
  <si>
    <t>Targets</t>
  </si>
  <si>
    <t>Weekly KPI targets for Q1–Q2 2026 (Weeks 1–24). Derived from CAF Onboarding &amp; 90-Day Plan. Green rows = month-end targets.</t>
  </si>
  <si>
    <t>Historical</t>
  </si>
  <si>
    <t>IPS management period data (Aug 2024 – Dec 2025). Read-only archive for trend analysis and baseline comparison.</t>
  </si>
  <si>
    <t>Competitors</t>
  </si>
  <si>
    <t>HelloData competitive market intelligence by unit type. Update with current HelloData reports as needed.</t>
  </si>
  <si>
    <t>Delinquency_Detail</t>
  </si>
  <si>
    <t>Tracks all delinquent accounts in two sections: Evictions &amp; Former Residents, and Current Residents (≥ threshold).</t>
  </si>
  <si>
    <t>Auto-populates from "Delinq Data" and "resident aged receivable" tabs — do NOT edit formula columns.</t>
  </si>
  <si>
    <t>Move-In Date (Col D): looked up from resident aged receivable by unit number.</t>
  </si>
  <si>
    <t>IPS/CAF (Col E): auto-classifies by move-in date vs. 12/15/2025 cutoff — IPS (red) = prior mgmt, CAF (blue) = current mgmt.</t>
  </si>
  <si>
    <t>"Pending Eviction" (red highlight) flags residents formerly labeled Grace Period. Min Balance Filter (row 3) controls threshold.</t>
  </si>
  <si>
    <t>CAF TEAM: WEEKLY NOTES UPDATE — EVERY TUESDAY</t>
  </si>
  <si>
    <t>Every Tuesday, update the "Collection Status / Notes" column (Column J, yellow cells) on the Delinquency_Detail tab:</t>
  </si>
  <si>
    <t>1.  Review each delinquent account in both sections (Evictions/Former and Current Residents)</t>
  </si>
  <si>
    <t>2.  Enter or update the collection status (e.g., payment plan set, demand letter sent, attorney filed, skip trace in progress)</t>
  </si>
  <si>
    <t>3.  Column J is the ONLY column requiring manual input — all other columns are formula-driven</t>
  </si>
  <si>
    <t>4.  Notes should be concise with dates of last action (e.g., "Demand letter sent 1/28 — awaiting response")</t>
  </si>
  <si>
    <t>WEEKLY DATA ENTRY WORKFLOW</t>
  </si>
  <si>
    <t>Every Monday:</t>
  </si>
  <si>
    <t>1.  Pull reports from Entrata: Rent Roll, Delinquency, Leasing, Work Orders</t>
  </si>
  <si>
    <t>2.  Navigate to Data tab and find the column for the current week</t>
  </si>
  <si>
    <t>3.  Enter all KPI values in the blue input cells</t>
  </si>
  <si>
    <t>4.  Return to Dashboard to review performance vs. targets</t>
  </si>
  <si>
    <t>DSO CALCULATION</t>
  </si>
  <si>
    <t>DSO = (Month-End A/R Balance ÷ Total Rent Billed) × Days in Period</t>
  </si>
  <si>
    <t>Example:   Rent Billed: $1,000,000   |   A/R Balance: $80,000   |   DSO = ($80K ÷ $1M) × 30 = 2.4 days</t>
  </si>
  <si>
    <t>Benchmark:   &lt; 5 days = Excellent   |   5–7 days = Good   |   &gt; 10 days = Needs Attention</t>
  </si>
  <si>
    <t>For trailing 2-month average: average the current and prior month DSO values.</t>
  </si>
  <si>
    <t>KEY PERFORMANCE TARGETS (H1 2026)</t>
  </si>
  <si>
    <t>Metric                                          Start              Target            Timeline</t>
  </si>
  <si>
    <t>Occupancy %                                79%                90%               June 2026</t>
  </si>
  <si>
    <t>Collection %                                 86%                94%               Stabilized</t>
  </si>
  <si>
    <t>Delinquency Balance                 $300K             $80K              June 2026</t>
  </si>
  <si>
    <t>Renewal %                                     —                   70%               Monthly</t>
  </si>
  <si>
    <t>Net Leases/Month                       —                   16 avg            Monthly</t>
  </si>
  <si>
    <t>AUTOMATION NOTES</t>
  </si>
  <si>
    <t>This workbook is structured for eventual automation via Entrata/Domo:</t>
  </si>
  <si>
    <t>•  Data tab uses consistent row/column structure for programmatic mapping</t>
  </si>
  <si>
    <t>•  Date columns follow standard weekly sequence</t>
  </si>
  <si>
    <t>•  Domo connectors can pull directly from Entrata reports</t>
  </si>
  <si>
    <t>CONTACT</t>
  </si>
  <si>
    <t>Questions:  Arlast Capital  |  sergio@arlast.com</t>
  </si>
  <si>
    <t>AVA APARTMENTS — Q2 2026 INCENTIVE COMPENSATION SCORECARD (SIMPLIFIED)</t>
  </si>
  <si>
    <t>Performance Period: April 1 – June 30, 2026  |  Measurement Date: June 30, 2026  |  Payout: Within 30 days of measurement</t>
  </si>
  <si>
    <t>PAYOUT SUMMARY</t>
  </si>
  <si>
    <t>Participant</t>
  </si>
  <si>
    <t>Role</t>
  </si>
  <si>
    <t>Total Pool</t>
  </si>
  <si>
    <t>KPI 1 Payout</t>
  </si>
  <si>
    <t>KPI 2 Payout</t>
  </si>
  <si>
    <t>Total Payout</t>
  </si>
  <si>
    <t>Shawna</t>
  </si>
  <si>
    <t>Collections Manager</t>
  </si>
  <si>
    <t>Alex</t>
  </si>
  <si>
    <t>Community Manager</t>
  </si>
  <si>
    <t>Nylsa</t>
  </si>
  <si>
    <t>District Manager</t>
  </si>
  <si>
    <t>Avery</t>
  </si>
  <si>
    <t>Sr. Account Manager</t>
  </si>
  <si>
    <t>TOTAL</t>
  </si>
  <si>
    <t>SHAWNA — Collections Manager</t>
  </si>
  <si>
    <t>Pool: $7,000</t>
  </si>
  <si>
    <t>Metric</t>
  </si>
  <si>
    <t>Weight</t>
  </si>
  <si>
    <t>Base Target</t>
  </si>
  <si>
    <t>April</t>
  </si>
  <si>
    <t>May</t>
  </si>
  <si>
    <t>June</t>
  </si>
  <si>
    <t>Q2 Result</t>
  </si>
  <si>
    <t>Base Met?</t>
  </si>
  <si>
    <t>Payout</t>
  </si>
  <si>
    <t>Current-Month Collection Rate</t>
  </si>
  <si>
    <t>≥93% avg</t>
  </si>
  <si>
    <t>Eviction Court Success Rate</t>
  </si>
  <si>
    <t>≥85%</t>
  </si>
  <si>
    <t>Total Payout →</t>
  </si>
  <si>
    <t>ALEX — Community Manager</t>
  </si>
  <si>
    <t>Pool: $10,000</t>
  </si>
  <si>
    <t>Occupancy (June 30)</t>
  </si>
  <si>
    <t>P≥84% &amp; E≥77%</t>
  </si>
  <si>
    <t>Renewal Conversion Rate</t>
  </si>
  <si>
    <t>≥80%</t>
  </si>
  <si>
    <t>NYLSA — District Manager</t>
  </si>
  <si>
    <t>June NOI vs. Proforma</t>
  </si>
  <si>
    <t>≥95% of proforma</t>
  </si>
  <si>
    <t>Delinquency Compression</t>
  </si>
  <si>
    <t>≤$200K</t>
  </si>
  <si>
    <t>AVERY — Sr. Account Manager</t>
  </si>
  <si>
    <t>Pool: $5,000</t>
  </si>
  <si>
    <t>Eviction Filing Accuracy</t>
  </si>
  <si>
    <t>≥90%</t>
  </si>
  <si>
    <t>LeaseLock Claims Recovery</t>
  </si>
  <si>
    <t>100% filed + ≥60%</t>
  </si>
  <si>
    <t>PAYOUT MECHANICS &amp; GOVERNANCE</t>
  </si>
  <si>
    <t>Weighted Payout: Each metric earns its weighted share of the participant's total pool independently. No all-or-nothing gate — missing one metric does not forfeit the other.</t>
  </si>
  <si>
    <t>No Outperform Bonus: There is no outperform tier. Hit the base target → earn that metric's weighted share. Miss → $0 on that metric.</t>
  </si>
  <si>
    <t>Blue cells (Apr/May/Jun and Q2 Result columns) are input placeholders. Enter actuals from Entrata and base reports as the quarter progresses.</t>
  </si>
  <si>
    <t>Mid-Quarter Check-In: ~May 15, 2026 (coaching checkpoint only, no payments). Final measurement: June 30, 2026.</t>
  </si>
  <si>
    <t>Data Sources: Entrata (system of record), RSI, Nationwide, Arlast Capital weekly metrics workbook, CAF V2 budget. Entrata governs in case of discrepancy.</t>
  </si>
  <si>
    <t>Weekly Performance Dashboard</t>
  </si>
  <si>
    <t>Reporting Week:</t>
  </si>
  <si>
    <t>← Enter week # (1-24)</t>
  </si>
  <si>
    <t>KPI</t>
  </si>
  <si>
    <t>Target</t>
  </si>
  <si>
    <t>Actual</t>
  </si>
  <si>
    <t>Var</t>
  </si>
  <si>
    <t>Prior Wk</t>
  </si>
  <si>
    <t>WoW Δ</t>
  </si>
  <si>
    <t>Status</t>
  </si>
  <si>
    <t>OCCUPANCY</t>
  </si>
  <si>
    <t>Occupancy %</t>
  </si>
  <si>
    <t>Occupied Units</t>
  </si>
  <si>
    <t>Exposure %</t>
  </si>
  <si>
    <t>—</t>
  </si>
  <si>
    <t>LEASING FUNNEL</t>
  </si>
  <si>
    <t>New Prospects</t>
  </si>
  <si>
    <t>Tours</t>
  </si>
  <si>
    <t>Submitted Apps</t>
  </si>
  <si>
    <t>Net Apps</t>
  </si>
  <si>
    <t>Net Leases</t>
  </si>
  <si>
    <t>APP PIPELINE</t>
  </si>
  <si>
    <t>Total Apps in Pipeline</t>
  </si>
  <si>
    <t>Still Actively Open</t>
  </si>
  <si>
    <t>Converted to Lease</t>
  </si>
  <si>
    <t>Cancelled / Denied</t>
  </si>
  <si>
    <t>Conversion Rate</t>
  </si>
  <si>
    <t>Loss Rate</t>
  </si>
  <si>
    <t>Apps 15+ Days Old</t>
  </si>
  <si>
    <t>Avg Days to Decision</t>
  </si>
  <si>
    <t>RENEWALS &amp; RETENTION</t>
  </si>
  <si>
    <t>March</t>
  </si>
  <si>
    <t>Expirations</t>
  </si>
  <si>
    <t>Early Move Outs</t>
  </si>
  <si>
    <t>NTV</t>
  </si>
  <si>
    <t>Renewal %</t>
  </si>
  <si>
    <t>Total MTM Leases</t>
  </si>
  <si>
    <t>COLLECTIONS</t>
  </si>
  <si>
    <t>Gross Charges</t>
  </si>
  <si>
    <t>Payments Received</t>
  </si>
  <si>
    <t>Collection %</t>
  </si>
  <si>
    <t>DELINQUENCY</t>
  </si>
  <si>
    <t>Delinquency Balance</t>
  </si>
  <si>
    <t>Prior Month DSO</t>
  </si>
  <si>
    <t>Prior Month DSO Trailing</t>
  </si>
  <si>
    <t>WORK ORDERS</t>
  </si>
  <si>
    <t>WO Opened</t>
  </si>
  <si>
    <t>WO Completed</t>
  </si>
  <si>
    <t>WO Backlog</t>
  </si>
  <si>
    <t>WO Completion %</t>
  </si>
  <si>
    <t>PRICING</t>
  </si>
  <si>
    <t>Avg Asking Rent</t>
  </si>
  <si>
    <t>Avg NER</t>
  </si>
  <si>
    <t>STATUS KEY</t>
  </si>
  <si>
    <t>✓ On Track</t>
  </si>
  <si>
    <t>✗ Off Track</t>
  </si>
  <si>
    <t>Enter weekly data in Data tab → Dashboard auto-updates</t>
  </si>
  <si>
    <t>Weekly Performance Data</t>
  </si>
  <si>
    <t>Pre-1</t>
  </si>
  <si>
    <t>Pre-2</t>
  </si>
  <si>
    <t>Wk1</t>
  </si>
  <si>
    <t>Wk2</t>
  </si>
  <si>
    <t>Wk3</t>
  </si>
  <si>
    <t>Wk4</t>
  </si>
  <si>
    <t>Wk5</t>
  </si>
  <si>
    <t>Wk6</t>
  </si>
  <si>
    <t>Wk7</t>
  </si>
  <si>
    <t>Wk8</t>
  </si>
  <si>
    <t>Wk9</t>
  </si>
  <si>
    <t>Wk10</t>
  </si>
  <si>
    <t>Wk11</t>
  </si>
  <si>
    <t>Wk12</t>
  </si>
  <si>
    <t>Wk13</t>
  </si>
  <si>
    <t>Wk14</t>
  </si>
  <si>
    <t>Wk15</t>
  </si>
  <si>
    <t>Wk16</t>
  </si>
  <si>
    <t>Wk17</t>
  </si>
  <si>
    <t>Wk18</t>
  </si>
  <si>
    <t>Wk19</t>
  </si>
  <si>
    <t>Wk20</t>
  </si>
  <si>
    <t>Wk21</t>
  </si>
  <si>
    <t>Wk22</t>
  </si>
  <si>
    <t>Wk23</t>
  </si>
  <si>
    <t>Wk24</t>
  </si>
  <si>
    <t>Section</t>
  </si>
  <si>
    <t>Format</t>
  </si>
  <si>
    <t>#,##0</t>
  </si>
  <si>
    <t>Total Units</t>
  </si>
  <si>
    <t>E1</t>
  </si>
  <si>
    <t>Studio Occ %</t>
  </si>
  <si>
    <t>A1, A2, A3, A4, A5, A6, A8S, A9TH, A10, A11</t>
  </si>
  <si>
    <t>1BR Occ %</t>
  </si>
  <si>
    <t>B1, B2, B3, B4, B5, B6, B7TH, B8</t>
  </si>
  <si>
    <t>2BR Occ %</t>
  </si>
  <si>
    <t>C1</t>
  </si>
  <si>
    <t>3BR Occ %</t>
  </si>
  <si>
    <t>LEASING</t>
  </si>
  <si>
    <t> </t>
  </si>
  <si>
    <t>Tour Conversion %</t>
  </si>
  <si>
    <t>Approved Apps</t>
  </si>
  <si>
    <t>Pending Apps</t>
  </si>
  <si>
    <t>Cancelled Apps</t>
  </si>
  <si>
    <t>Denied Apps</t>
  </si>
  <si>
    <t>App Approval %</t>
  </si>
  <si>
    <t>New Leases</t>
  </si>
  <si>
    <t>RENEWALS - JUNE</t>
  </si>
  <si>
    <t>RENEWALS - MARCH</t>
  </si>
  <si>
    <t>RENEWALS - APRIL</t>
  </si>
  <si>
    <t>RENEWALS - MAY</t>
  </si>
  <si>
    <t>MTM LEASES</t>
  </si>
  <si>
    <t>Total MTM</t>
  </si>
  <si>
    <t>MOVE ACTIVITY</t>
  </si>
  <si>
    <t>Move Ins</t>
  </si>
  <si>
    <t>Move Outs</t>
  </si>
  <si>
    <t>Net Absorption</t>
  </si>
  <si>
    <t>Controllable MO</t>
  </si>
  <si>
    <t>Uncontrollable MO</t>
  </si>
  <si>
    <t>all charges</t>
  </si>
  <si>
    <t>$#,##0</t>
  </si>
  <si>
    <t>Credits</t>
  </si>
  <si>
    <t>NSFs</t>
  </si>
  <si>
    <t>Net Charges</t>
  </si>
  <si>
    <t>Collection % (MTD)</t>
  </si>
  <si>
    <t>any balance over $0.01</t>
  </si>
  <si>
    <t>Current/MTM/NTV</t>
  </si>
  <si>
    <t>Evicted</t>
  </si>
  <si>
    <t>Former Resident</t>
  </si>
  <si>
    <t>61+ Day Write-Offs</t>
  </si>
  <si>
    <t>Delinquency (days)=Total gross charges/Total delinquency balance​×30</t>
  </si>
  <si>
    <t>DQ Compression</t>
  </si>
  <si>
    <t>0.0x</t>
  </si>
  <si>
    <t>18.5x</t>
  </si>
  <si>
    <t>28.4x</t>
  </si>
  <si>
    <t>DSO (days) = (Delinquency Balance / T12 Rental Income) × Days in Month</t>
  </si>
  <si>
    <t>DSO (Days)</t>
  </si>
  <si>
    <t>DSO 2-Mo Trailing = (Delinquency Balance / Avg of prior &amp; current month T12 Rental Income) × Days in Month</t>
  </si>
  <si>
    <t>DSO 2-Mo Trailing</t>
  </si>
  <si>
    <t>Avg Days to Complete</t>
  </si>
  <si>
    <t>Avg Concession</t>
  </si>
  <si>
    <t>Leases (30-Day)</t>
  </si>
  <si>
    <t>MOVED OUT OVERRIDE</t>
  </si>
  <si>
    <t>Delinquency Detail</t>
  </si>
  <si>
    <t>(Add resident names here to force into Former section)</t>
  </si>
  <si>
    <t>As of:</t>
  </si>
  <si>
    <t>Min Bal Filter:</t>
  </si>
  <si>
    <t>← Adjust current threshold</t>
  </si>
  <si>
    <t>Simpson, William</t>
  </si>
  <si>
    <t>DELINQUENCY SUMMARY</t>
  </si>
  <si>
    <t>Smiley, Brianca</t>
  </si>
  <si>
    <t>Total Delinquency</t>
  </si>
  <si>
    <t>0-30 Days</t>
  </si>
  <si>
    <t>Perez, Jocelyn</t>
  </si>
  <si>
    <t>Delinquent Accounts</t>
  </si>
  <si>
    <t>31-60 Days</t>
  </si>
  <si>
    <t>Means, Alexxis</t>
  </si>
  <si>
    <t>Evictions</t>
  </si>
  <si>
    <t>Eviction Exposure</t>
  </si>
  <si>
    <t>Cetz, Manuel</t>
  </si>
  <si>
    <t>Skips</t>
  </si>
  <si>
    <t>Skip Exposure</t>
  </si>
  <si>
    <t>Elhakim, Ahmed</t>
  </si>
  <si>
    <t>Pending Eviction $</t>
  </si>
  <si>
    <t>Current Delinq $</t>
  </si>
  <si>
    <t>Taiwo, Yejide</t>
  </si>
  <si>
    <t>EVICTIONS &amp; FORMER RESIDENTS</t>
  </si>
  <si>
    <t>Unit</t>
  </si>
  <si>
    <t>Resident</t>
  </si>
  <si>
    <t>Move-In Date</t>
  </si>
  <si>
    <t>Move-Out Date</t>
  </si>
  <si>
    <t>IPS/CAF</t>
  </si>
  <si>
    <t>Total Bal.</t>
  </si>
  <si>
    <t>0-30</t>
  </si>
  <si>
    <t>31-60</t>
  </si>
  <si>
    <t>LeaseLock</t>
  </si>
  <si>
    <t>Collection Notes</t>
  </si>
  <si>
    <t>CAF Notes</t>
  </si>
  <si>
    <t>Eviction</t>
  </si>
  <si>
    <t>in eviction process</t>
  </si>
  <si>
    <t>Skip</t>
  </si>
  <si>
    <t>left without notice</t>
  </si>
  <si>
    <t>Former</t>
  </si>
  <si>
    <t>moved out / past tenant</t>
  </si>
  <si>
    <t>Application Pipeline Intelligence</t>
  </si>
  <si>
    <t>Sources: Application_Status_Feb + Application_Status_Mar + Application_Status_Apr</t>
  </si>
  <si>
    <t>PIPELINE SUMMARY</t>
  </si>
  <si>
    <t>AGING SUMMARY</t>
  </si>
  <si>
    <t>Total Apps (All Units)</t>
  </si>
  <si>
    <t>0-7 days (Fresh)</t>
  </si>
  <si>
    <t>8-14 days (Normal)</t>
  </si>
  <si>
    <t>15-21 days (Approaching Stale)</t>
  </si>
  <si>
    <t>22-30 days (Stale)</t>
  </si>
  <si>
    <t>Approved / Pending Lease</t>
  </si>
  <si>
    <t>30+ days (OVERDUE)</t>
  </si>
  <si>
    <t>No Record Found</t>
  </si>
  <si>
    <t>PROCESSING SPEED ANALYSIS</t>
  </si>
  <si>
    <t>Processing Metric</t>
  </si>
  <si>
    <t>Active Apps</t>
  </si>
  <si>
    <t>Cancelled</t>
  </si>
  <si>
    <t>Converted</t>
  </si>
  <si>
    <t>Overall</t>
  </si>
  <si>
    <t>Signal</t>
  </si>
  <si>
    <t>Avg days: Created → Started</t>
  </si>
  <si>
    <t>Avg days: Started → Completed</t>
  </si>
  <si>
    <t>Avg days: Completed → Decision</t>
  </si>
  <si>
    <t>Avg total days: Created → Today</t>
  </si>
  <si>
    <t>Apps still waiting 15+ days</t>
  </si>
  <si>
    <t>LOSS ANALYSIS — PROBABLE CAUSE CLASSIFICATION</t>
  </si>
  <si>
    <t>Probable Cause</t>
  </si>
  <si>
    <t>4-Wk Est.</t>
  </si>
  <si>
    <t>% of Losses</t>
  </si>
  <si>
    <t>Severity</t>
  </si>
  <si>
    <t>Evidence / Signal</t>
  </si>
  <si>
    <t>Screening Fail / Unqualified</t>
  </si>
  <si>
    <t>HIGH</t>
  </si>
  <si>
    <t>Processing Timeout (15+ days)</t>
  </si>
  <si>
    <t>CRITICAL</t>
  </si>
  <si>
    <t>Applicant Withdrew / Found Alt</t>
  </si>
  <si>
    <t>MODERATE</t>
  </si>
  <si>
    <t>Lewis approved w/ -22% concession then cancelled. Duplicates flagged. Slow processing drives applicants to competitors.</t>
  </si>
  <si>
    <t>Repeat-Fail Unit Pattern</t>
  </si>
  <si>
    <t>WATCH</t>
  </si>
  <si>
    <t>No Agent / Stalled Pipeline</t>
  </si>
  <si>
    <t>TOTAL LOSSES (4-wk)</t>
  </si>
  <si>
    <t>Applicant</t>
  </si>
  <si>
    <t>Days Open</t>
  </si>
  <si>
    <t>Lead Source</t>
  </si>
  <si>
    <t>Rationale</t>
  </si>
  <si>
    <t>S32-431</t>
  </si>
  <si>
    <t>Processing Timeout</t>
  </si>
  <si>
    <t>N19-1080</t>
  </si>
  <si>
    <t>Approved → Withdrew</t>
  </si>
  <si>
    <t>APPROVED in Feb w/ -22% concession ($1,255→$979), then CANCELLED 3/2. Total revenue loss after concession granted. High-cost failure.</t>
  </si>
  <si>
    <t>W07-1-0708</t>
  </si>
  <si>
    <t>E1 studio. Completed in Feb, sat 25 days with no decision, cancelled 3/2. Processing timeout — faster decisioning could have saved this.</t>
  </si>
  <si>
    <t>S26-415</t>
  </si>
  <si>
    <t>Completed in Feb, sat 17 days with no decision, cancelled in Mar. Same timeout pattern — another saveable app lost to backlog.</t>
  </si>
  <si>
    <t>S26-403</t>
  </si>
  <si>
    <t>Repeat-Fail Unit</t>
  </si>
  <si>
    <t>2nd cancel on unit (Maddox also cancelled). HOUSE agent — no follow-up owner. Assign a named agent to break the cycle.</t>
  </si>
  <si>
    <t>W28-2-1017</t>
  </si>
  <si>
    <t>2nd cancel on unit (Opara also cancelled). B1 at 59% occ. Quick cancel — likely screening fail. Unit needs targeted sourcing.</t>
  </si>
  <si>
    <t>AGENT DISTRIBUTION</t>
  </si>
  <si>
    <t>Leasing Agent</t>
  </si>
  <si>
    <t># Apps</t>
  </si>
  <si>
    <t>Still Open</t>
  </si>
  <si>
    <t>Risk Flag</t>
  </si>
  <si>
    <t>Martinez, Briana</t>
  </si>
  <si>
    <t>Martinez, Emily</t>
  </si>
  <si>
    <t>Rodriguez, Jennifer</t>
  </si>
  <si>
    <t>Reyes, Martha / Josie</t>
  </si>
  <si>
    <t>Elise, Meet</t>
  </si>
  <si>
    <t>Vazquez, Norma</t>
  </si>
  <si>
    <t>Gabehart, Jamey</t>
  </si>
  <si>
    <t>Portillo, Nussly</t>
  </si>
  <si>
    <t>HOUSE / Not Assigned</t>
  </si>
  <si>
    <t>LEAD SOURCE QUALITY</t>
  </si>
  <si>
    <t>Website</t>
  </si>
  <si>
    <t>Drive By</t>
  </si>
  <si>
    <t>Resident Referral</t>
  </si>
  <si>
    <t>UMOVEFREE</t>
  </si>
  <si>
    <t>Google</t>
  </si>
  <si>
    <t>Apartments.com</t>
  </si>
  <si>
    <t>RentVision Website</t>
  </si>
  <si>
    <t>Other (Zillow, Apt List, Prev Res, Apple, Migrated, RV SEO)</t>
  </si>
  <si>
    <t>Priority:</t>
  </si>
  <si>
    <t>■ CRITICAL (22+ days)</t>
  </si>
  <si>
    <t>■ HIGH (15-21d / no agent 8+d)</t>
  </si>
  <si>
    <t>■ WATCH (8-14 days)</t>
  </si>
  <si>
    <t>OPEN APPLICATION DETAIL</t>
  </si>
  <si>
    <t>Current Status</t>
  </si>
  <si>
    <t>Stage</t>
  </si>
  <si>
    <t>Agent</t>
  </si>
  <si>
    <t>App Created</t>
  </si>
  <si>
    <t>App Completed</t>
  </si>
  <si>
    <t>Cancelled/Denied</t>
  </si>
  <si>
    <t>Site Visit Action Item Tracker</t>
  </si>
  <si>
    <t>← Enter week #</t>
  </si>
  <si>
    <t>Category</t>
  </si>
  <si>
    <t>Action Item</t>
  </si>
  <si>
    <t>Owner</t>
  </si>
  <si>
    <t>Deadline</t>
  </si>
  <si>
    <t>Operator Comments</t>
  </si>
  <si>
    <t>Week Assigned</t>
  </si>
  <si>
    <t>IMMEDIATE PRIORITIES</t>
  </si>
  <si>
    <t>Leasing Pipeline</t>
  </si>
  <si>
    <t>Clear all applications 15+ days old from the pipeline by 04/01/2026. Cancel or convert each — no app should remain in limbo past two weeks without a documented status update.</t>
  </si>
  <si>
    <t>Melody</t>
  </si>
  <si>
    <t>Pending</t>
  </si>
  <si>
    <t>The team is currently working on this startng with newer applications started, and will work on the old started applications to clear the applications.</t>
  </si>
  <si>
    <t>Wk 13</t>
  </si>
  <si>
    <t>LEASING PIPELINE</t>
  </si>
  <si>
    <t>Renewals</t>
  </si>
  <si>
    <t>Develop targeted outreach plan to convert 93 MTM leases to fixed-term. Prioritize by balance risk and unit type. Each MTM is a retention risk and revenue uncertainty.</t>
  </si>
  <si>
    <t>Ongoing</t>
  </si>
  <si>
    <t>In Progress</t>
  </si>
  <si>
    <t>Wk14: 79 MTM leases (down from 98 WoW). We are currently working day by day on them.</t>
  </si>
  <si>
    <t>Wk 10</t>
  </si>
  <si>
    <t>Application Bottleneck</t>
  </si>
  <si>
    <t>Hire a dedicated local resource to process and approve applications onsite with centralized team permissions.</t>
  </si>
  <si>
    <t>ASAP</t>
  </si>
  <si>
    <t>Wk 14</t>
  </si>
  <si>
    <t>STAFFING AND OPERATIONS</t>
  </si>
  <si>
    <t>Staffing Structure</t>
  </si>
  <si>
    <t>Identify performance gaps and finalize the staffing plan prior to the 90-day mark so expectations are clear and stable. Promote Saul and hire assistant or hire MS.</t>
  </si>
  <si>
    <t>Before 90-Day</t>
  </si>
  <si>
    <t>Wk 8</t>
  </si>
  <si>
    <t>COMPLETED / ARCHIVED</t>
  </si>
  <si>
    <t>Collections</t>
  </si>
  <si>
    <t>Reconcile March collection charges and confirm final collection % for March EOM. Identify any charge code discrepancies inflating the gap between gross charges and cash collected.</t>
  </si>
  <si>
    <t>Sergio</t>
  </si>
  <si>
    <t>This Week</t>
  </si>
  <si>
    <t>Complete</t>
  </si>
  <si>
    <t>We have reviewed the data, and the total collection percentage for March is 83.5%. This figure reflects all charges billed during the month, including rent, NSF fees, late fees, and other applicable charges.</t>
  </si>
  <si>
    <t>Secure a minimum of 5 net leases by Thursday 04/02/2026. Focus on approved-but-unsigned applicants and any pipeline deals that can be accelerated to execution.</t>
  </si>
  <si>
    <t>We are currnely working towards our target will have a set amount on 4/2</t>
  </si>
  <si>
    <t>Develop an EliseAI text template listing required documents to send at first contact.</t>
  </si>
  <si>
    <t>Deferred</t>
  </si>
  <si>
    <t>We will not be moving forward with Elise AI, as it requires us to adopt their full application package. Instead, Josie is currently working on setting up an automated email through Entrata that will be triggered once an application is submitted.</t>
  </si>
  <si>
    <t>Eviction Notices</t>
  </si>
  <si>
    <t>Validate addendums on the latest batch of evictions to determine whether 30-day or 3-day notices are required. Confirm with attorneys whether addendum language can be modified going forward to streamline future filings.</t>
  </si>
  <si>
    <t>Christi / Melody</t>
  </si>
  <si>
    <t>Urgent</t>
  </si>
  <si>
    <t>Wk 11</t>
  </si>
  <si>
    <t>Delinquency</t>
  </si>
  <si>
    <t>Sergio to download ResMan ledgers for all DQ former residents to support collections reconciliation and LeaseLock claim documentation.</t>
  </si>
  <si>
    <t>Wk 12</t>
  </si>
  <si>
    <t>Deploy automated messaging through EliseAI or Entrata to clearly outline the renewal process and reduce resident confusion.</t>
  </si>
  <si>
    <t>Josie has a call with Elise this week; adding to agenda. Leases set to resend to unsigned residents every 5 days.</t>
  </si>
  <si>
    <t>Have marketing prepare a simple digital guide showing how to download paystubs and upload documentation from common payroll platforms.</t>
  </si>
  <si>
    <t>Melody / Marketing</t>
  </si>
  <si>
    <t>Chris Garcia is OOO followed up with Rentvision on 3/25 pending a response</t>
  </si>
  <si>
    <t>Unsigned Leases</t>
  </si>
  <si>
    <t>Convert 33 completed applications to fully executed leases as quickly as possible. Provide a defined deadline for clearing this backlog so we can track progress weekly.</t>
  </si>
  <si>
    <t>Wk10: Pipeline grew 90→103 (+13 WoW). 53 still open, 25 apps 15+ days old (up from 21). 10 converted, 38 cancelled. Avg days to decision 11.9 (up from 11). Backlog worsening, not improving.</t>
  </si>
  <si>
    <t>Provide staff with a consistent phone script covering required documentation.</t>
  </si>
  <si>
    <t>Wk10: Same pipeline data as #8. Loss rate jumped 28.9%→36.9% WoW — 38 of 103 apps cancelled/denied. Screening or follow-up process not filtering effectively. $99 fee proposal status unknown.</t>
  </si>
  <si>
    <t>Add required documentation guidance to the property website.</t>
  </si>
  <si>
    <t>Will coordinate with Garcia for website updates. Working with Josie and Alex on Tuesday.</t>
  </si>
  <si>
    <t>Compensation</t>
  </si>
  <si>
    <t>Prepare and circulate a bonus structure proposal for Shawna, Alex, and Nylsa to Melody, Christi, and Brooke for review and approval.</t>
  </si>
  <si>
    <t>RSI Platform</t>
  </si>
  <si>
    <t>Treat as urgent — delinquent residents are not consistently appearing in RSI, and current reporting does not confirm who has been filed on. We need full visibility into filings and status immediately to actively manage eviction pipeline outcomes.</t>
  </si>
  <si>
    <t>Immediate</t>
  </si>
  <si>
    <t>Wk10: RSI tab fully updated (60 records). Delinquency_Detail auto-matches residents to RSI status. 4 Filed, 3 Hearing Scheduled, 17 Cancelled, 11 Not in RSI. Full visibility achieved — now tracking weekly.</t>
  </si>
  <si>
    <t>Eviction Coordination</t>
  </si>
  <si>
    <t>Schedule coordination calls early next week with Amos and Nationwide to align on documentation standards, court presence, timelines, and execution strategy ahead of the next wave of evictions.</t>
  </si>
  <si>
    <t>Early Next Wk</t>
  </si>
  <si>
    <t>Josie copied Melody on email with Amos — Amos has not been responsive. Asked Josie to set up a call with them.</t>
  </si>
  <si>
    <t>Delinquency Write-Offs</t>
  </si>
  <si>
    <t>Coordinate with Michael's team to process month-end write-offs (~$224K in legacy balances) with an offsetting entry tied to expected LeaseLock recoveries. Implement a control ensuring balances do not remain outstanding more than 60 days post move-out.</t>
  </si>
  <si>
    <t>Melody / Michael</t>
  </si>
  <si>
    <t>Month-End</t>
  </si>
  <si>
    <t>SC: Write off recon sent to Michael on 3/11. Waiting on confirmation from CAF Accounting</t>
  </si>
  <si>
    <t>Close out February immediately; target full closure of March renewals by Thursday.</t>
  </si>
  <si>
    <t>Thursday</t>
  </si>
  <si>
    <t>Wk10: Feb 66.7% (target 70%) — still not closed out, 2+ wks past deadline. Mar 18.5% vs 70% target. Apr 9.7%, May 5.5%. Feb improved from 61.9% WoW but closure deadline missed since Wk8.</t>
  </si>
  <si>
    <t>Implement consistent renewal events with clear sign-on incentives.</t>
  </si>
  <si>
    <t>Will have first renewal party on Wednesday 3/11 for March &amp; April renewals</t>
  </si>
  <si>
    <t>Roles and Accountability</t>
  </si>
  <si>
    <t>Ensure each team member understands their responsibilities, KPIs, and performance expectations.</t>
  </si>
  <si>
    <t>New team will have defined responsibilities and clear direction.</t>
  </si>
  <si>
    <t>Entrata HFC Certification</t>
  </si>
  <si>
    <t>Secure formal training on the Entrata HFC compliance platform as soon as possible to streamline execution and prevent further lease and move-in bottlenecks.</t>
  </si>
  <si>
    <t>Inquired about formal training call — no response yet; will follow up. Ginger at property rest of week for HFC/document training. Alex and Nylsa have training on the 17th.</t>
  </si>
  <si>
    <t>Investigate 72% RSI cancellation rate (43 of 60 files). Determine root cause — documentation gaps, lease issues, or RSI platform errors — and develop corrective action plan to prevent repeat cancellations on next filing wave.</t>
  </si>
  <si>
    <t>Wk10: 43/60 RSI files cancelled. Only 4 Filed, 3 Hearing Scheduled. Pattern suggests systemic issue, not case-by-case.</t>
  </si>
  <si>
    <t>Define and implement a formal application processing SLA (e.g., 72-hr first review, 7-day decision). Current avg is 11.9 days with 25 apps over 15 days old. Assign accountability for clearing stale apps weekly.</t>
  </si>
  <si>
    <t>Wk10: No SLA exists. Avg days 11.9 (target 7). 25 apps 15+ days old. Pipeline targets now set in Dashboard — need operational process to match.</t>
  </si>
  <si>
    <t>Weekly Prep Meeting — Question Set</t>
  </si>
  <si>
    <t>Report Date: 3/30/2026  |  Prep: Prior to Thursday Site Meeting</t>
  </si>
  <si>
    <t>Discussion Topic</t>
  </si>
  <si>
    <t>Supporting Data</t>
  </si>
  <si>
    <t>Team Response / Action Item</t>
  </si>
  <si>
    <t>OPERATIONS &amp; FINANCIAL</t>
  </si>
  <si>
    <t>CARRYOVER — PENDING ACTION ITEMS</t>
  </si>
  <si>
    <t>Open</t>
  </si>
  <si>
    <t>Applicant Screening Effectiveness &amp; Bad Debt Avoidance Analysis</t>
  </si>
  <si>
    <t>Analysis Period: 1/1/2026 — Present</t>
  </si>
  <si>
    <t>Sources: App_Pipeline_Intel_4, Delinquency_Detail_3, Write_Off_Recon, Delinq Data, trending delinquency, Move_Out_Reasons, DSO_Calculation</t>
  </si>
  <si>
    <t>SECTION 1: SCREENING ACTIVITY SUMMARY</t>
  </si>
  <si>
    <t>Pipeline Metric</t>
  </si>
  <si>
    <t>Count</t>
  </si>
  <si>
    <t>% of Total</t>
  </si>
  <si>
    <t>Loss Cause Classification</t>
  </si>
  <si>
    <t>Total Applications Submitted</t>
  </si>
  <si>
    <t>Denial Rate (Screening Fails ÷ Total Apps)</t>
  </si>
  <si>
    <t>Total Losses (Cancelled + Denied)</t>
  </si>
  <si>
    <t>Overall Loss Rate (Losses ÷ Total Apps)</t>
  </si>
  <si>
    <t>Screening-Specific Block Rate (Screening Fails ÷ Completed Apps)</t>
  </si>
  <si>
    <t>Denied (Screening Criteria)</t>
  </si>
  <si>
    <t>← Direct count from raw Application_Status tabs since 1/1/2026</t>
  </si>
  <si>
    <t>SECTION 2: BAD DEBT BENCHMARKS — ACTUAL COST PER BAD RESIDENT (FROM CURRENT PORTFOLIO)</t>
  </si>
  <si>
    <t>Bad Debt Category</t>
  </si>
  <si>
    <t># Accounts</t>
  </si>
  <si>
    <t>Total Exposure</t>
  </si>
  <si>
    <t>Avg Balance/Acct</t>
  </si>
  <si>
    <t>Source / Methodology</t>
  </si>
  <si>
    <t>Evictions (Past Residents)</t>
  </si>
  <si>
    <t>Delinquency_Detail_3 → Eviction Exposure</t>
  </si>
  <si>
    <t>Skips (Past Residents)</t>
  </si>
  <si>
    <t>Delinquency_Detail_3 → Skip Exposure</t>
  </si>
  <si>
    <t>Formers (60+ Days Aged)</t>
  </si>
  <si>
    <t>Write_Off_Recon → Former balance (60+ Days Only)</t>
  </si>
  <si>
    <t>Write-Off Eligible (60+ Days)</t>
  </si>
  <si>
    <t>Write_Off_Recon → Accounts 60+ days since move out</t>
  </si>
  <si>
    <t>Pending Write-Off (&lt; 60 Days)</t>
  </si>
  <si>
    <t>Write_Off_Recon → &lt;60 Days (pending)</t>
  </si>
  <si>
    <t>Total Delinquency (All Accounts)</t>
  </si>
  <si>
    <t>Delinquency_Detail_3 → Total Delinquency (all statuses)</t>
  </si>
  <si>
    <t>Current Residents ≥ $1,500 (at-risk)</t>
  </si>
  <si>
    <t>Delinq Data → Current residents with balances ≥ $1,500</t>
  </si>
  <si>
    <t>BLENDED AVG BAD DEBT PER BAD RESIDENT</t>
  </si>
  <si>
    <t>Weighted avg: (Evictions + Skips + Write-Off Eligible) ÷ Total accounts</t>
  </si>
  <si>
    <t>NOTE: All eviction/skip/former accounts above are IPS-era residents (screened under old criteria). The new CAF process aims to prevent these outcomes.</t>
  </si>
  <si>
    <t>Eviction Filing Exposure (RSI)</t>
  </si>
  <si>
    <t>Evictions_RSI → Active filings; Delinquency_Detail_3 → Pending Eviction $</t>
  </si>
  <si>
    <t>SECTION 3: ESTIMATED BAD DEBT AVOIDED — SCREENING IMPACT QUANTIFICATION</t>
  </si>
  <si>
    <t>Methodology: Each denied/cancelled applicant who would have otherwise moved in carries the average bad debt cost of current evictions, skips, and write-offs.</t>
  </si>
  <si>
    <t>APPLICANTS BLOCKED (Since 1/1/2026)</t>
  </si>
  <si>
    <t>Bad Debt/Acct</t>
  </si>
  <si>
    <t>Est. Bad Debt Avoided</t>
  </si>
  <si>
    <t>Assumption / Basis</t>
  </si>
  <si>
    <t>Screening Denials (Highest Risk)</t>
  </si>
  <si>
    <t>Blended avg bad debt × denied apps (these are the highest-risk applicants caught by screening criteria)</t>
  </si>
  <si>
    <t>Processing Timeout Cancels (Probable Risk)</t>
  </si>
  <si>
    <t>25% probability factor — some would have failed screening had they stayed in pipeline</t>
  </si>
  <si>
    <t>15% probability — competitive loss, lower risk profile assumed</t>
  </si>
  <si>
    <t>50% probability — unit-linked pattern suggests higher risk</t>
  </si>
  <si>
    <t>10% probability — process failure, not applicant quality</t>
  </si>
  <si>
    <t>TOTAL ESTIMATED BAD DEBT AVOIDED</t>
  </si>
  <si>
    <t>CONSERVATIVE SCENARIO (Denials Only)</t>
  </si>
  <si>
    <t>Only counts screening denials at full blended avg</t>
  </si>
  <si>
    <t>MODERATE SCENARIO (Denials + Timeouts)</t>
  </si>
  <si>
    <t>Denials at 100% + timeouts at 25% probability</t>
  </si>
  <si>
    <t>FULL SCENARIO (All Blocked Applicants)</t>
  </si>
  <si>
    <t>All categories at risk-weighted probabilities</t>
  </si>
  <si>
    <t>BAD DEBT SAVINGS vs. CURRENT EXPOSURE</t>
  </si>
  <si>
    <t>Ratio</t>
  </si>
  <si>
    <t>Interpretation</t>
  </si>
  <si>
    <t>Savings as % of Total Delinquency</t>
  </si>
  <si>
    <t>% of current total delinquency avoided by screening</t>
  </si>
  <si>
    <t>Savings as % of Write-Off Eligible</t>
  </si>
  <si>
    <t>Blocked bad debt relative to existing write-off pool</t>
  </si>
  <si>
    <t>Savings as % of Eviction+Skip Exposure</t>
  </si>
  <si>
    <t>Blocked bad debt relative to eviction + skip exposure</t>
  </si>
  <si>
    <t>Denied Apps Per Current Eviction</t>
  </si>
  <si>
    <t>For every existing eviction, screening blocked X future ones</t>
  </si>
  <si>
    <t>SECTION 4: DELINQUENCY TREND &amp; TENANT QUALITY ANALYSIS</t>
  </si>
  <si>
    <t>DELINQUENCY TREND (from Trending Delinquency tab)</t>
  </si>
  <si>
    <t>Delinquency $</t>
  </si>
  <si>
    <t>% Delinquent</t>
  </si>
  <si>
    <t># Residents</t>
  </si>
  <si>
    <t>Feb 1, 2026 (Start of Month)</t>
  </si>
  <si>
    <t>Feb 28, 2026 (End of Month)</t>
  </si>
  <si>
    <t>Mar 1, 2026 (Start of Month)</t>
  </si>
  <si>
    <t>Latest (Current)</t>
  </si>
  <si>
    <t>Feb → Mar Change</t>
  </si>
  <si>
    <t>← Negative = improving; Positive = worsening</t>
  </si>
  <si>
    <t>DSO TREND (Days Sales Outstanding)</t>
  </si>
  <si>
    <t>Trailing 2-Mo</t>
  </si>
  <si>
    <t>12-Month Average DSO (2025)</t>
  </si>
  <si>
    <t>Jan 2026 DSO</t>
  </si>
  <si>
    <t>Feb 2026 DSO</t>
  </si>
  <si>
    <t>DSO Target</t>
  </si>
  <si>
    <t>Industry benchmark for well-run multifamily</t>
  </si>
  <si>
    <t>DSO Variance (Feb 2026 vs Target)</t>
  </si>
  <si>
    <t>days over target</t>
  </si>
  <si>
    <t>MOVE-OUT QUALITY ANALYSIS (Since 1/1/2026)</t>
  </si>
  <si>
    <t>Total Balance</t>
  </si>
  <si>
    <t>Avg Balance</t>
  </si>
  <si>
    <t>Source</t>
  </si>
  <si>
    <t>Skipped Without Notice</t>
  </si>
  <si>
    <t>Move_Out_Reasons → Skip move-outs since 1/1/2026</t>
  </si>
  <si>
    <t>Eviction / Failure To Pay</t>
  </si>
  <si>
    <t>Move_Out_Reasons → Eviction/FTP move-outs since 1/1/2026</t>
  </si>
  <si>
    <t>Non-Renewal (by Property)</t>
  </si>
  <si>
    <t>Move_Out_Reasons → Property-initiated non-renewals since 1/1/2026</t>
  </si>
  <si>
    <t>SECTION 5: SCREENING ROI &amp; EXECUTIVE SUMMARY</t>
  </si>
  <si>
    <t>FULL COST OF A BAD RESIDENT</t>
  </si>
  <si>
    <t>Amount</t>
  </si>
  <si>
    <t>Basis</t>
  </si>
  <si>
    <t>Avg Unpaid Rent / Charges (Blended)</t>
  </si>
  <si>
    <t>Blended avg from evictions, skips, write-offs (Section 2)</t>
  </si>
  <si>
    <t>Estimated Legal / Eviction Filing Costs</t>
  </si>
  <si>
    <t>Industry avg per-unit eviction legal cost (attorney + court + service)</t>
  </si>
  <si>
    <t>Estimated Unit Turn / Damage Cost</t>
  </si>
  <si>
    <t>Industry avg unit turn cost for damaged/evicted units</t>
  </si>
  <si>
    <t>Vacancy Loss (Avg 45 days @ avg market rent)</t>
  </si>
  <si>
    <t>45-day avg vacancy × avg market rent from Move_Out_Reasons</t>
  </si>
  <si>
    <t>TOTAL COST PER BAD RESIDENT</t>
  </si>
  <si>
    <t>SCREENING ROI CALCULATION</t>
  </si>
  <si>
    <t>Conservative</t>
  </si>
  <si>
    <t>Moderate</t>
  </si>
  <si>
    <t>Full</t>
  </si>
  <si>
    <t>Notes</t>
  </si>
  <si>
    <t># Applicants Blocked</t>
  </si>
  <si>
    <t>Est. Bad Debt Avoided (Rent/Charges Only)</t>
  </si>
  <si>
    <t>Est. Legal / Turn / Vacancy Avoided</t>
  </si>
  <si>
    <t>Same probability weighting applied to ancillary costs</t>
  </si>
  <si>
    <t>TOTAL FINANCIAL IMPACT AVOIDED</t>
  </si>
  <si>
    <t>Eviction Success Rate Analysis</t>
  </si>
  <si>
    <t>Analysis Period:</t>
  </si>
  <si>
    <t>12/15/2025 - Present</t>
  </si>
  <si>
    <t>Baseline:</t>
  </si>
  <si>
    <t>ResMan AR 12/14/25</t>
  </si>
  <si>
    <t>INHERITED DELINQUENCY BASELINE</t>
  </si>
  <si>
    <t>Accounts with Balance (Dec/Nov/Oct/Older)</t>
  </si>
  <si>
    <t>Total Balance Owed on 12/14/25</t>
  </si>
  <si>
    <t>MOVE-OUT SUMMARY (Since 12/15/25)</t>
  </si>
  <si>
    <t>Total Move-Outs with Balance</t>
  </si>
  <si>
    <t>Total Bad Debt</t>
  </si>
  <si>
    <t>BAD DEBT BY SOURCE</t>
  </si>
  <si>
    <t>Bad Debt at Move-Out</t>
  </si>
  <si>
    <t>Balance on 12/14/25</t>
  </si>
  <si>
    <t>Inherited (On ResMan AR 12/14/25)</t>
  </si>
  <si>
    <t>Inherited New (Not on ResMan AR 12/14/25)</t>
  </si>
  <si>
    <t>N/A</t>
  </si>
  <si>
    <t>TENANTS REMOVED WITH BALANCE (Since 12/15/25)</t>
  </si>
  <si>
    <t>Balance at Move-Out</t>
  </si>
  <si>
    <t>Reason</t>
  </si>
  <si>
    <t>Inherited</t>
  </si>
  <si>
    <t>W04-1-0401</t>
  </si>
  <si>
    <t>Yes</t>
  </si>
  <si>
    <t>W18-2-2070</t>
  </si>
  <si>
    <t>W16-2-1081</t>
  </si>
  <si>
    <t>N14-3061</t>
  </si>
  <si>
    <t>N06-1028</t>
  </si>
  <si>
    <t>No</t>
  </si>
  <si>
    <t>S35-245</t>
  </si>
  <si>
    <t>S27-424</t>
  </si>
  <si>
    <t>W11-1-1108</t>
  </si>
  <si>
    <t>W12-1-1206</t>
  </si>
  <si>
    <t>N14-1060</t>
  </si>
  <si>
    <t>S28-104</t>
  </si>
  <si>
    <t>W11-1-1107</t>
  </si>
  <si>
    <t>W15-2-3089</t>
  </si>
  <si>
    <t>W13-1-1311</t>
  </si>
  <si>
    <t>W07-1-0719</t>
  </si>
  <si>
    <t>N13-1055</t>
  </si>
  <si>
    <t>W10-1-1013</t>
  </si>
  <si>
    <t>W09-1-0916</t>
  </si>
  <si>
    <t>W07-1-0717</t>
  </si>
  <si>
    <t>W21-2-2058</t>
  </si>
  <si>
    <t>W07-1-0724</t>
  </si>
  <si>
    <t>W13-1-1305</t>
  </si>
  <si>
    <t>W17-2-1075</t>
  </si>
  <si>
    <t>S27-421</t>
  </si>
  <si>
    <t>W02-1-0212</t>
  </si>
  <si>
    <t>W05-1-0519</t>
  </si>
  <si>
    <t>N12-1049</t>
  </si>
  <si>
    <t>S31-119</t>
  </si>
  <si>
    <t>W15-2-2089</t>
  </si>
  <si>
    <t>W11-1-1112</t>
  </si>
  <si>
    <t>W06-1-0609</t>
  </si>
  <si>
    <t>W14-1-1403</t>
  </si>
  <si>
    <t>W28-2-2018</t>
  </si>
  <si>
    <t>W01-1-0111</t>
  </si>
  <si>
    <t>W23-2-2047</t>
  </si>
  <si>
    <t>N14-1063</t>
  </si>
  <si>
    <t>N25-1103</t>
  </si>
  <si>
    <t>W18-2-1073</t>
  </si>
  <si>
    <t>W10-1-1001</t>
  </si>
  <si>
    <t>W04-1-0410</t>
  </si>
  <si>
    <t>S39-155</t>
  </si>
  <si>
    <t>W05-1-0510</t>
  </si>
  <si>
    <t>N20-1089</t>
  </si>
  <si>
    <t>S34-141</t>
  </si>
  <si>
    <t>W01-1-0101</t>
  </si>
  <si>
    <t>N06-1031</t>
  </si>
  <si>
    <t>BAD TENANT CLEARANCE RATE</t>
  </si>
  <si>
    <t>Progress removing bad tenants since 12/15/2025</t>
  </si>
  <si>
    <t>Balance ($)</t>
  </si>
  <si>
    <t>% of Baseline</t>
  </si>
  <si>
    <t>Baseline: Delinquent on 12/14/25</t>
  </si>
  <si>
    <t>Removed (Moved Out with Balance)</t>
  </si>
  <si>
    <t>Remaining Delinquent (Current)</t>
  </si>
  <si>
    <t>EVICTION PIPELINE SCORECARD</t>
  </si>
  <si>
    <t>Eviction outcomes from Delinquency_Detail_3 tab — auto-updates when source data changes</t>
  </si>
  <si>
    <t>FORMER RESIDENTS &amp; EVICTIONS — STATUS BREAKDOWN (Delinquency Tab)</t>
  </si>
  <si>
    <t>% of Section</t>
  </si>
  <si>
    <t>Detail</t>
  </si>
  <si>
    <t>Eviction (Filed &amp; Removed)</t>
  </si>
  <si>
    <t>Eviction filed → tenant removed (clear success)</t>
  </si>
  <si>
    <t>Skip (Left During/Before Eviction)</t>
  </si>
  <si>
    <t>Tenant skipped — likely due to eviction process pressure</t>
  </si>
  <si>
    <t>Former (Moved Out with Balance)</t>
  </si>
  <si>
    <t>Regular move-out — owes balance but not eviction-related</t>
  </si>
  <si>
    <t>SECTION TOTAL</t>
  </si>
  <si>
    <t>EVICTION SUCCESS RATE</t>
  </si>
  <si>
    <t>TOTAL REMOVAL RATE</t>
  </si>
  <si>
    <t>CURRENT RESIDENTS — EVICTION PIPELINE (Delinquency Tab)</t>
  </si>
  <si>
    <t>Outcome Stage</t>
  </si>
  <si>
    <t>Key Accounts</t>
  </si>
  <si>
    <t>Won — Writ/Judgment</t>
  </si>
  <si>
    <t>Sanders (ruling granted), Feaster (writ), Alexander (writ)</t>
  </si>
  <si>
    <t>Active — Hearing Scheduled</t>
  </si>
  <si>
    <t>Dixon 3/26, Brown 3/26, Williams, Smiley, Farrell 3/25, Hishaw (appeal 5/12)</t>
  </si>
  <si>
    <t>Active — Filed/Court Pending</t>
  </si>
  <si>
    <t>Flores, Santini, Oliva Cordero, Cortez, Ortega +4 (filed w/ NW)</t>
  </si>
  <si>
    <t>Active — NTV/Pre-Filing</t>
  </si>
  <si>
    <t>Harris ($25K), Fridia ($12K), Simpson, Taylor, Sparks</t>
  </si>
  <si>
    <t>Tenant Paid (Dismissed)</t>
  </si>
  <si>
    <t>Hall (paid full), Coronado, Anyakpah</t>
  </si>
  <si>
    <t>Stalled — Dismissed/Refiling</t>
  </si>
  <si>
    <t>Miller, Cooks (franchise tax issues)</t>
  </si>
  <si>
    <t>Pending Classification</t>
  </si>
  <si>
    <t>Allen (appeal 5/06), Mbiru, Smith (Notice-Eviction)</t>
  </si>
  <si>
    <t>SUCCESS RATE (Won + Hearing + Paid)</t>
  </si>
  <si>
    <t>COMBINED EVICTION SUCCESS SUMMARY</t>
  </si>
  <si>
    <t>Total Eviction/Collection Cases</t>
  </si>
  <si>
    <t>Resolved (Evicted / Paid / Moved Out)</t>
  </si>
  <si>
    <t>Active (Hearing / Filed / NTV)</t>
  </si>
  <si>
    <t>Stalled (Dismissed / Refiling)</t>
  </si>
  <si>
    <t>Former Residents (Balance Owed)</t>
  </si>
  <si>
    <t>OVERALL EVICTION SUCCESS RATE</t>
  </si>
  <si>
    <t>Leasing Agent → Leasing Manager to review → COT to Review → PM Verify Ceritication → COT send lease</t>
  </si>
  <si>
    <t>Times COT will Review:</t>
  </si>
  <si>
    <t>future status</t>
  </si>
  <si>
    <t>AVA Application</t>
  </si>
  <si>
    <t>Failed</t>
  </si>
  <si>
    <t>COT to review 12:00</t>
  </si>
  <si>
    <t>Approved Application</t>
  </si>
  <si>
    <t>AVA</t>
  </si>
  <si>
    <t>Pass with Conditions</t>
  </si>
  <si>
    <t>COT to Review 2:00</t>
  </si>
  <si>
    <t>Pending Approval</t>
  </si>
  <si>
    <t>As of 03/02/2026</t>
  </si>
  <si>
    <t>Pass</t>
  </si>
  <si>
    <t>COT to Review 4:00</t>
  </si>
  <si>
    <t xml:space="preserve">Ready to be Certify </t>
  </si>
  <si>
    <t>lease sent/ pending signatures</t>
  </si>
  <si>
    <t>Bldg-Unit</t>
  </si>
  <si>
    <t>Lead</t>
  </si>
  <si>
    <t>Date applied</t>
  </si>
  <si>
    <t>Screening Decision</t>
  </si>
  <si>
    <t>ID Uploaded</t>
  </si>
  <si>
    <t>Celeri ID Approval Uploaded</t>
  </si>
  <si>
    <t>Paystubs Uploaded (miniunm 4)</t>
  </si>
  <si>
    <t>POI Celeri Uploaded</t>
  </si>
  <si>
    <t>Application/ Supplemental App</t>
  </si>
  <si>
    <t>Employment Verification (if applicable)</t>
  </si>
  <si>
    <t>Rental Verification</t>
  </si>
  <si>
    <t>PetScreening Completed</t>
  </si>
  <si>
    <t>HFC Packets Uploaded</t>
  </si>
  <si>
    <t>Welcome Home Letter Uploaded</t>
  </si>
  <si>
    <t>Application Checklist Uploaded</t>
  </si>
  <si>
    <t>File Ready to be Ceritified (if applicable)</t>
  </si>
  <si>
    <t>Monthly Income</t>
  </si>
  <si>
    <t>Move-in Date</t>
  </si>
  <si>
    <t>Availability: Property</t>
  </si>
  <si>
    <t>Availability: Total Units</t>
  </si>
  <si>
    <t>N16-2070</t>
  </si>
  <si>
    <t>Carrizales, Ariam</t>
  </si>
  <si>
    <t>HOUSE, HOUSE</t>
  </si>
  <si>
    <t>Transfer complete?</t>
  </si>
  <si>
    <t>S34-244</t>
  </si>
  <si>
    <t xml:space="preserve">Sabara, Romiko </t>
  </si>
  <si>
    <t>3/28/2026</t>
  </si>
  <si>
    <t>Submitted for approval</t>
  </si>
  <si>
    <t>Lennan, Trevion</t>
  </si>
  <si>
    <t>4/3/26</t>
  </si>
  <si>
    <t>Transfer?</t>
  </si>
  <si>
    <t>N25-2103</t>
  </si>
  <si>
    <t>Vaughn, Gideon</t>
  </si>
  <si>
    <t>3/14/26</t>
  </si>
  <si>
    <t xml:space="preserve">Approved with conditions. Ready for Alex to certify. </t>
  </si>
  <si>
    <t>Munoz, Mackenzee</t>
  </si>
  <si>
    <t>N17-1074</t>
  </si>
  <si>
    <t>Smith, Danajah</t>
  </si>
  <si>
    <t>4/8/2026</t>
  </si>
  <si>
    <t>Reyes, Josie</t>
  </si>
  <si>
    <t>Pending HFC docs signature</t>
  </si>
  <si>
    <t>W02-1-0207</t>
  </si>
  <si>
    <t>Rodriguez, Jocelyn</t>
  </si>
  <si>
    <t>4/25/2026</t>
  </si>
  <si>
    <t>Pending concession confimation before sending the lease</t>
  </si>
  <si>
    <t>W05-1-0514</t>
  </si>
  <si>
    <t>Ramones, Yeferson</t>
  </si>
  <si>
    <t>current resident in #1-0524,is this a transfer?- sent RV 03/10</t>
  </si>
  <si>
    <t>S30-221</t>
  </si>
  <si>
    <t>Sandoval, Bryan</t>
  </si>
  <si>
    <t>approved with conditions/ needs to pay the conditional fee</t>
  </si>
  <si>
    <t>W13-1-1318</t>
  </si>
  <si>
    <t>ogunsanya, mopelola</t>
  </si>
  <si>
    <t>approved// ready for certification</t>
  </si>
  <si>
    <t>W09-1-0913</t>
  </si>
  <si>
    <t>Potts, Robin</t>
  </si>
  <si>
    <t>Ready for certify</t>
  </si>
  <si>
    <t>Henderson, Mercedes</t>
  </si>
  <si>
    <t>S39-256</t>
  </si>
  <si>
    <t>Newman, James</t>
  </si>
  <si>
    <t>Fail</t>
  </si>
  <si>
    <t>N10-1041</t>
  </si>
  <si>
    <t>Yugusuk, Dogale Z</t>
  </si>
  <si>
    <t>W28-2-1018</t>
  </si>
  <si>
    <t>Johnson, Scott</t>
  </si>
  <si>
    <t>Submitted for Approval 03/21</t>
  </si>
  <si>
    <t>N05-1027</t>
  </si>
  <si>
    <t>Fears, Brandon</t>
  </si>
  <si>
    <t>N15-1069</t>
  </si>
  <si>
    <t>Phuong Nhor, Sreylenh</t>
  </si>
  <si>
    <t>Mejia, Christina</t>
  </si>
  <si>
    <t>She is graduating as a flight attendant in a few days and is expecting to receive her official offer letter early April.</t>
  </si>
  <si>
    <t>N01-1001</t>
  </si>
  <si>
    <t>Quintanilla, Jonathan</t>
  </si>
  <si>
    <t>Parkman, Jakenya</t>
  </si>
  <si>
    <t>N03-1020</t>
  </si>
  <si>
    <t>Brown, Derick</t>
  </si>
  <si>
    <t>Pending screening</t>
  </si>
  <si>
    <t>Ameh, Agnes</t>
  </si>
  <si>
    <t>Pending Screening</t>
  </si>
  <si>
    <t>W28-2-2017</t>
  </si>
  <si>
    <t>Mosley, Kathy</t>
  </si>
  <si>
    <t>CAF Tracker vs. App Pipeline Intel — Reconciliation Analysis</t>
  </si>
  <si>
    <t>Sources: CAF_App_Tracker (manual) + App_Pipeline_Intel (system)</t>
  </si>
  <si>
    <t>RECONCILIATION SUMMARY — ALL STATUSES</t>
  </si>
  <si>
    <t>TRACKING GAP (ALL STATUSES)</t>
  </si>
  <si>
    <t>Total on CAF Tracker</t>
  </si>
  <si>
    <t>Open Apps Missing from CAF</t>
  </si>
  <si>
    <t>Total in Pipeline (System)</t>
  </si>
  <si>
    <t>Cancelled Still on CAF</t>
  </si>
  <si>
    <t>CAF_Unit</t>
  </si>
  <si>
    <t>CAF_Name</t>
  </si>
  <si>
    <t>CAF_Status</t>
  </si>
  <si>
    <t>CAF_Notes</t>
  </si>
  <si>
    <t>Match_Key</t>
  </si>
  <si>
    <t>Pipe_MatchRow</t>
  </si>
  <si>
    <t>Pipe_Status</t>
  </si>
  <si>
    <t>Pipe_Stage</t>
  </si>
  <si>
    <t>Pipe_Days</t>
  </si>
  <si>
    <t>Pipe_Agent</t>
  </si>
  <si>
    <t>On_Both</t>
  </si>
  <si>
    <t>Conflict</t>
  </si>
  <si>
    <t>Pipe_Unit</t>
  </si>
  <si>
    <t>In_CAF</t>
  </si>
  <si>
    <t>Apps on Both (Matched)</t>
  </si>
  <si>
    <t>Status Mismatches (Conflicts)</t>
  </si>
  <si>
    <t>Different Person / Same Unit</t>
  </si>
  <si>
    <t>Different Applicant / Same Unit</t>
  </si>
  <si>
    <t>Apps Only in Pipeline</t>
  </si>
  <si>
    <t>CAF Apps Not in System</t>
  </si>
  <si>
    <t>⚠ Note: CAF only tracks completed/screened applications. The 116 pipeline total includes started, incomplete, cancelled, and converted apps. See Completed Apps comparison below for apples-to-apples view.</t>
  </si>
  <si>
    <t>COMPLETED APPS COMPARISON (Apples-to-Apples)</t>
  </si>
  <si>
    <t>SCOPE-ADJUSTED GAP</t>
  </si>
  <si>
    <t>CAF Tracker (Completed/Screened)</t>
  </si>
  <si>
    <t>Completed Apps Missing from CAF</t>
  </si>
  <si>
    <t>Pipeline — Completed Only (In Review)</t>
  </si>
  <si>
    <t>Pre-Completion (Outside CAF Scope)</t>
  </si>
  <si>
    <t>Pipeline — Converted to Lease</t>
  </si>
  <si>
    <t>Pipeline — Cancelled/Denied</t>
  </si>
  <si>
    <t>Pipeline — Started/Incomplete (Pre-Screening)</t>
  </si>
  <si>
    <t>Comparable Match Rate</t>
  </si>
  <si>
    <t>10 of 18 (56%)</t>
  </si>
  <si>
    <t>⟶ CAF captures 33% of completed pipeline apps. True gap is 11 completed apps (In Review not on CAF), not 98.</t>
  </si>
  <si>
    <t>⟶ CAF captures 56% of completed pipeline apps. True gap is 7 completed apps (In Review not on CAF), not 93.</t>
  </si>
  <si>
    <t>STATUS MISMATCHES — 0 Conflicting Status Between Trackers</t>
  </si>
  <si>
    <t>■ Failed/Denied vs Open</t>
  </si>
  <si>
    <t>■ Approved not converted</t>
  </si>
  <si>
    <t>■ Cancelled still on CAF</t>
  </si>
  <si>
    <t>CAF Status</t>
  </si>
  <si>
    <t>Pipeline Status</t>
  </si>
  <si>
    <t>Pipeline Stage</t>
  </si>
  <si>
    <t>Issue</t>
  </si>
  <si>
    <t>Action Required</t>
  </si>
  <si>
    <t>Failed on CAF but still open in system</t>
  </si>
  <si>
    <t>Update system to match CAF denial OR re-screen</t>
  </si>
  <si>
    <t>OPEN APPS MISSING FROM CAF TRACKER — 38 Applications Not Being Tracked</t>
  </si>
  <si>
    <t>W19-2-2066</t>
  </si>
  <si>
    <t>Creeks, Matreka</t>
  </si>
  <si>
    <t>Application: Started</t>
  </si>
  <si>
    <t>Incomplete</t>
  </si>
  <si>
    <t>W22-2-2049</t>
  </si>
  <si>
    <t>Garcia, Janette</t>
  </si>
  <si>
    <t>Application: Partially Completed</t>
  </si>
  <si>
    <t>In Review</t>
  </si>
  <si>
    <t>N09-2034</t>
  </si>
  <si>
    <t>Mixon, Glinda</t>
  </si>
  <si>
    <t>W25-2-2025</t>
  </si>
  <si>
    <t>Sterling, Allen</t>
  </si>
  <si>
    <t>Application: Completed</t>
  </si>
  <si>
    <t>W19-2-3066</t>
  </si>
  <si>
    <t>Webster, Taniya</t>
  </si>
  <si>
    <t>W04-1-0403</t>
  </si>
  <si>
    <t>Buckner, Cristy</t>
  </si>
  <si>
    <t>Not Assigned</t>
  </si>
  <si>
    <t>W25-2-1030</t>
  </si>
  <si>
    <t>Howze, Azirea</t>
  </si>
  <si>
    <t>W27-2-1006</t>
  </si>
  <si>
    <t>Easter, Jamarius</t>
  </si>
  <si>
    <t>N10-1038</t>
  </si>
  <si>
    <t>Villarreal, Miriam</t>
  </si>
  <si>
    <t>S34-242</t>
  </si>
  <si>
    <t>Stogner, Lydia</t>
  </si>
  <si>
    <t>W23-2-1040</t>
  </si>
  <si>
    <t>Granda, Jose</t>
  </si>
  <si>
    <t>N19-1083</t>
  </si>
  <si>
    <t>Argbah, Augustine</t>
  </si>
  <si>
    <t>N10-3038</t>
  </si>
  <si>
    <t>Worthy, Andrue</t>
  </si>
  <si>
    <t>N18-1085</t>
  </si>
  <si>
    <t>Myles, Amanda</t>
  </si>
  <si>
    <t>W21-2-2059</t>
  </si>
  <si>
    <t>Ajoku, Paul Nbusuisi</t>
  </si>
  <si>
    <t>N26-2105</t>
  </si>
  <si>
    <t>Epinayu epinayu, Maira</t>
  </si>
  <si>
    <t>S28-107</t>
  </si>
  <si>
    <t>Branch, Keanna</t>
  </si>
  <si>
    <t>W20-2-2064</t>
  </si>
  <si>
    <t>Lopez, Antonio</t>
  </si>
  <si>
    <t>N07-2050</t>
  </si>
  <si>
    <t>Mccuin, Jezreel</t>
  </si>
  <si>
    <t>N24-1101</t>
  </si>
  <si>
    <t>Runnels, Ebony</t>
  </si>
  <si>
    <t>Locator Service</t>
  </si>
  <si>
    <t>W13-1-1303</t>
  </si>
  <si>
    <t>Palacio, Juan</t>
  </si>
  <si>
    <t>W22-2-2048</t>
  </si>
  <si>
    <t>Burns, Santericka</t>
  </si>
  <si>
    <t>S26-408</t>
  </si>
  <si>
    <t>Hayes, Lejai</t>
  </si>
  <si>
    <t>N10-3041</t>
  </si>
  <si>
    <t>Pacheco, Leslie</t>
  </si>
  <si>
    <t>KASHINDI, SADIKI</t>
  </si>
  <si>
    <t>W21-2-2053</t>
  </si>
  <si>
    <t>Martino, Jarvis</t>
  </si>
  <si>
    <t>N01-3004</t>
  </si>
  <si>
    <t>Hetrick, Jerry</t>
  </si>
  <si>
    <t>N12-2047</t>
  </si>
  <si>
    <t>Hallcy, Nicholas</t>
  </si>
  <si>
    <t>S26-404</t>
  </si>
  <si>
    <t>malone, Tiara</t>
  </si>
  <si>
    <t>W24-2-2035</t>
  </si>
  <si>
    <t>Garrett, Jada</t>
  </si>
  <si>
    <t>Derrett, DaTavia</t>
  </si>
  <si>
    <t>W17-2-1074</t>
  </si>
  <si>
    <t>Nealon, Alexis</t>
  </si>
  <si>
    <t>W03-1-0310</t>
  </si>
  <si>
    <t>Gloria, Desiree</t>
  </si>
  <si>
    <t>W17-2-2075</t>
  </si>
  <si>
    <t>Goode, Brashay</t>
  </si>
  <si>
    <t>W17-2-2079</t>
  </si>
  <si>
    <t>Mosley, Takeesha</t>
  </si>
  <si>
    <t>W26-2-1016</t>
  </si>
  <si>
    <t>Hester, Kendall</t>
  </si>
  <si>
    <t>APPS ON CAF TRACKER WITH DIFFERENT PERSON IN PIPELINE — 9 Entries Requiring Investigation</t>
  </si>
  <si>
    <t>■ Different person on unit</t>
  </si>
  <si>
    <t>■ Not in system at all</t>
  </si>
  <si>
    <t>CAF Applicant</t>
  </si>
  <si>
    <t>Unit in Pipeline?</t>
  </si>
  <si>
    <t>Pipeline Applicant</t>
  </si>
  <si>
    <t>Recommended Action</t>
  </si>
  <si>
    <t>Yes — different person</t>
  </si>
  <si>
    <t>Hinkel, August (Incomplete)</t>
  </si>
  <si>
    <t>CAF tracking Carrizales but system has different person on same unit</t>
  </si>
  <si>
    <t>Clarify which applicant is active for this unit.</t>
  </si>
  <si>
    <t>Hinkel, August (Cancelled)</t>
  </si>
  <si>
    <t>CAF tracking Vaughn but system shows Hinkel cancelled on same unit</t>
  </si>
  <si>
    <t>Vaughn may be new app after Hinkel cancelled.</t>
  </si>
  <si>
    <t>Caston, Chava (Cancelled)</t>
  </si>
  <si>
    <t>CAF tracking Smith but system shows Caston cancelled on same unit</t>
  </si>
  <si>
    <t>Smith may be new app after Caston cancelled.</t>
  </si>
  <si>
    <t>pacheco, leslie (Incomplete)</t>
  </si>
  <si>
    <t>CAF tracking Henderson but system has Pacheco on same unit</t>
  </si>
  <si>
    <t>Taylor, Latavia (In Review)</t>
  </si>
  <si>
    <t>CAF tracking Yugusuk but system has Taylor on same unit</t>
  </si>
  <si>
    <t>Quintero, Maryelin (Cancelled)</t>
  </si>
  <si>
    <t>CAF tracking Quintanilla but system shows Quintero cancelled on same unit</t>
  </si>
  <si>
    <t>Quintanilla may be new app after Quintero cancelled.</t>
  </si>
  <si>
    <t>Gandara, Alexandra (Incomplete)</t>
  </si>
  <si>
    <t>CAF tracking Brown but system has Gandara on same unit</t>
  </si>
  <si>
    <t>Haley, Makell (Cancelled)</t>
  </si>
  <si>
    <t>CAF tracking Ameh but system shows Haley cancelled on same unit</t>
  </si>
  <si>
    <t>Ameh may be new app after Haley cancelled.</t>
  </si>
  <si>
    <t>Sedberry, Samaria (Incomplete)</t>
  </si>
  <si>
    <t>CAF tracking Mosley but system has Sedberry on same unit</t>
  </si>
  <si>
    <t>MATCHED APPS — Full Status Comparison (14 apps on both trackers)</t>
  </si>
  <si>
    <t>■ MISMATCH</t>
  </si>
  <si>
    <t>■ Aligned</t>
  </si>
  <si>
    <t>Status Match?</t>
  </si>
  <si>
    <t>✓ Aligned</t>
  </si>
  <si>
    <t>⚠ MISMATCH</t>
  </si>
  <si>
    <t>Application: Approved</t>
  </si>
  <si>
    <t>Other</t>
  </si>
  <si>
    <t>Sabara, Romiko</t>
  </si>
  <si>
    <t>Lease: Started</t>
  </si>
  <si>
    <t>KEY FINDINGS &amp; ACTION ITEMS FOR MANAGEMENT MEETING</t>
  </si>
  <si>
    <t>■ CRITICAL</t>
  </si>
  <si>
    <t>■ HIGH</t>
  </si>
  <si>
    <t>■ MODERATE</t>
  </si>
  <si>
    <t>■ PROCESS</t>
  </si>
  <si>
    <t>#</t>
  </si>
  <si>
    <t>Finding</t>
  </si>
  <si>
    <t>5 completed apps missing from CAF; 31 pre-completion apps outside CAF scope</t>
  </si>
  <si>
    <t>Of 36 pipeline apps not on CAF, only 5 are completed (screenable) — the true tracking gap. The remaining 31 are started/incomplete apps that CAF does not track by design. CAF captures 81% (17 of 21) of completed pipeline apps. Prior analysis overstated gap by comparing CAF's completed-only scope against the full 113-app pipeline.</t>
  </si>
  <si>
    <t>Add the 5 completed apps to CAF tracker. For the 31 pre-completion apps, consider whether CAF should expand scope to track earlier-stage apps, or maintain current practice and monitor via pipeline reports.</t>
  </si>
  <si>
    <t>31 pre-completion apps aging without screening visibility</t>
  </si>
  <si>
    <t>31 apps are started/incomplete and have not yet reached CAF's tracking threshold. 10 of these are 22+ days old (CRITICAL aging). While outside CAF's current scope, these represent potential future approvals or lost applicants with no screening oversight.</t>
  </si>
  <si>
    <t>Monitor aging pre-completion apps via pipeline reports. Prioritize outreach for 10 CRITICAL-aged incomplete apps to either complete or cancel. Consider adding a pre-screening watch list to CAF.</t>
  </si>
  <si>
    <t>2 status mismatches on tracked apps</t>
  </si>
  <si>
    <t>2 apps show Failed on CAF but remain open in system (Brown and Beachum). No approved-but-unconverted apps identified.</t>
  </si>
  <si>
    <t>Update system to match CAF denial for Brown &amp; Beachum OR re-screen if decisions changed.</t>
  </si>
  <si>
    <t>8 units with different applicants on each tracker</t>
  </si>
  <si>
    <t>8 units have different applicants tracked on CAF vs system. Could mean untracked approvals or lost applications.</t>
  </si>
  <si>
    <t>Verify correct applicant for each of the 8 units. Ensure the approved applicant is entered in both systems.</t>
  </si>
  <si>
    <t>0 cancelled apps still on CAF tracker</t>
  </si>
  <si>
    <t>No cancelled apps found still on CAF. Tracking hygiene is clean on this front.</t>
  </si>
  <si>
    <t>No action needed — continue current practice of removing cancelled apps.</t>
  </si>
  <si>
    <t>1 CAF app not in system at all</t>
  </si>
  <si>
    <t>1 CAF-tracked applicant (N16-1069, Hintsa) has no corresponding record in the pipeline system at all.</t>
  </si>
  <si>
    <t>Verify if application was submitted. Enter in system to maintain complete records.</t>
  </si>
  <si>
    <t>Agent assignment gaps on missing apps</t>
  </si>
  <si>
    <t>8 of 36 missing apps have no agent assigned. 5 additional apps routed to HOUSE account with no personal follow-up.</t>
  </si>
  <si>
    <t>Assign agents to all 8 unassigned applications. Redistribute 5 HOUSE-routed apps to leasing staff.</t>
  </si>
  <si>
    <t>No reconciliation process exists</t>
  </si>
  <si>
    <t>PROCESS</t>
  </si>
  <si>
    <t>Root cause: CAF only tracks completed/screened apps, while the pipeline tracks all statuses. No reconciliation exists to catch completed apps that should be on CAF, or to flag aging incomplete apps needing attention.</t>
  </si>
  <si>
    <t>Implement weekly reconciliation between CAF and pipeline for completed apps. Add a separate pipeline aging watch process for pre-completion apps. Consider automated matching.</t>
  </si>
  <si>
    <t>Days Sales Outstanding (DSO) Analysis</t>
  </si>
  <si>
    <t>Per PBC Request - January 2026</t>
  </si>
  <si>
    <t>FORMULA:</t>
  </si>
  <si>
    <t>DSO = (Month-End A/R Balance ÷ Total Charges) × Days in Month</t>
  </si>
  <si>
    <t>BENCHMARK:</t>
  </si>
  <si>
    <t>Well-run multifamily properties should maintain DSO under 5-7 days. Above 10 days signals collection process issues.</t>
  </si>
  <si>
    <t>Month</t>
  </si>
  <si>
    <t>Month-End Date</t>
  </si>
  <si>
    <t>A/R Balance</t>
  </si>
  <si>
    <t>Total Charges</t>
  </si>
  <si>
    <t>Days</t>
  </si>
  <si>
    <t>Trailing 2-Mo Avg</t>
  </si>
  <si>
    <t>Jan 2025</t>
  </si>
  <si>
    <t>Feb 2025</t>
  </si>
  <si>
    <t>Mar 2025</t>
  </si>
  <si>
    <t>Apr 2025</t>
  </si>
  <si>
    <t>May 2025</t>
  </si>
  <si>
    <t>Jun 2025</t>
  </si>
  <si>
    <t>Jul 2025</t>
  </si>
  <si>
    <t>Aug 2025</t>
  </si>
  <si>
    <t>Sep 2025</t>
  </si>
  <si>
    <t>Oct 2025</t>
  </si>
  <si>
    <t>Nov 2025</t>
  </si>
  <si>
    <t>Dec 2025</t>
  </si>
  <si>
    <t>SUMMARY</t>
  </si>
  <si>
    <t>12-Month Average DSO:</t>
  </si>
  <si>
    <t>Current Trailing 2-Mo Avg:</t>
  </si>
  <si>
    <t>Best Month:</t>
  </si>
  <si>
    <t>Worst Month:</t>
  </si>
  <si>
    <t>2026 TRACKING (Enter data as months complete)</t>
  </si>
  <si>
    <t>DSO Var</t>
  </si>
  <si>
    <t>Trail Target</t>
  </si>
  <si>
    <t>Trail Var</t>
  </si>
  <si>
    <t>Jan 2026</t>
  </si>
  <si>
    <t>Feb 2026</t>
  </si>
  <si>
    <t>Mar 2026</t>
  </si>
  <si>
    <t>Apr 2026</t>
  </si>
  <si>
    <t>May 2026</t>
  </si>
  <si>
    <t>Jun 2026</t>
  </si>
  <si>
    <t>TARGET</t>
  </si>
  <si>
    <t>Recommended DSO Target:</t>
  </si>
  <si>
    <t>days or less</t>
  </si>
  <si>
    <t>Rationale:</t>
  </si>
  <si>
    <t>Industry benchmark for well-run properties. Current trailing avg of 11.5 days indicates significant room for improvement.</t>
  </si>
  <si>
    <t>DATA SOURCES</t>
  </si>
  <si>
    <t>A/R Balance:</t>
  </si>
  <si>
    <t>Aged Receivables Summary (ResMan) - Total Balance at month-end</t>
  </si>
  <si>
    <t>Total Charges:</t>
  </si>
  <si>
    <t>Trailing P&amp;L Detail (ResMan) - Total Adjusted Rent</t>
  </si>
  <si>
    <t>NOTE:</t>
  </si>
  <si>
    <t>Monthly DSO values (Jan-Sep 2025) are also shown in the Historical tab for continuity with other metrics.</t>
  </si>
  <si>
    <t>Oct-Dec 2025 DSO values are available only in this tab due to Historical tab column structure.</t>
  </si>
  <si>
    <t>Write-Off Reconciliation — Evictions &amp; Former Residents (60+ Days Aged)</t>
  </si>
  <si>
    <t>Report Period:</t>
  </si>
  <si>
    <t>Prepared for: PMC Accounting</t>
  </si>
  <si>
    <t>WRITE-OFF SUMMARY</t>
  </si>
  <si>
    <t>By Status (60+ Days Only):</t>
  </si>
  <si>
    <t>Accounts 60+ Days Since Move Out</t>
  </si>
  <si>
    <t>of</t>
  </si>
  <si>
    <t>Total Write-Off Amount (60+ Days)</t>
  </si>
  <si>
    <t>61-90 Days Aging Subtotal</t>
  </si>
  <si>
    <t>90+ Days Aging Subtotal</t>
  </si>
  <si>
    <t>Total</t>
  </si>
  <si>
    <t>&lt; 60 Days (Not Yet Eligible)</t>
  </si>
  <si>
    <t>accts</t>
  </si>
  <si>
    <t>(pending)</t>
  </si>
  <si>
    <t>DETAIL — WRITE-OFF ELIGIBLE ACCOUNTS</t>
  </si>
  <si>
    <t>Lease Status</t>
  </si>
  <si>
    <t>Move Out Date</t>
  </si>
  <si>
    <t>Days Since
Move Out</t>
  </si>
  <si>
    <t>61-90 Days</t>
  </si>
  <si>
    <t>90+ Days</t>
  </si>
  <si>
    <t>Write-Off Amt
(60+ Days)</t>
  </si>
  <si>
    <t>Write-Off
Approved</t>
  </si>
  <si>
    <t>Renee, Breana</t>
  </si>
  <si>
    <t>Past - Skip</t>
  </si>
  <si>
    <t>Harris, Dynisha</t>
  </si>
  <si>
    <t>Past - Eviction</t>
  </si>
  <si>
    <t>Filing LL; funds expected EOM Mar</t>
  </si>
  <si>
    <t>S29-215</t>
  </si>
  <si>
    <t>Kangkang, Theophile</t>
  </si>
  <si>
    <t>W02-1-0215</t>
  </si>
  <si>
    <t>Diaz, Ingrid</t>
  </si>
  <si>
    <t>Candler, Brittany</t>
  </si>
  <si>
    <t>W20-2-1065</t>
  </si>
  <si>
    <t>Washington, Taydrian</t>
  </si>
  <si>
    <t>N03-2018</t>
  </si>
  <si>
    <t>Amaechi-Okorie, Chigozie</t>
  </si>
  <si>
    <t>W14-1-1424</t>
  </si>
  <si>
    <t>Jonshua, Andrew</t>
  </si>
  <si>
    <t>Past</t>
  </si>
  <si>
    <t>W25-2-2028</t>
  </si>
  <si>
    <t>Weathers, Desaray</t>
  </si>
  <si>
    <t>W14-1-1416</t>
  </si>
  <si>
    <t>Allen, Quentin</t>
  </si>
  <si>
    <t>Current - Eviction</t>
  </si>
  <si>
    <t xml:space="preserve">CURRENT RESDEINT: Filed with Nationwide. pending Appeal case. </t>
  </si>
  <si>
    <t>Rogers, Symone</t>
  </si>
  <si>
    <t>Davis, Stephanie</t>
  </si>
  <si>
    <t>W23-2-1046</t>
  </si>
  <si>
    <t>Weaver, Laquinda</t>
  </si>
  <si>
    <t>N03-2020</t>
  </si>
  <si>
    <t>Murphy, Shaquesa</t>
  </si>
  <si>
    <t>W08-1-0802</t>
  </si>
  <si>
    <t>Butler, Leila</t>
  </si>
  <si>
    <t>S28-201</t>
  </si>
  <si>
    <t>Thomas, Latrina</t>
  </si>
  <si>
    <t>Anderson, Lakimbe</t>
  </si>
  <si>
    <t>W24-2-1032</t>
  </si>
  <si>
    <t>Manning, Vita</t>
  </si>
  <si>
    <t>W05-1-0516</t>
  </si>
  <si>
    <t>Sparks, Dija</t>
  </si>
  <si>
    <t>W14-1-1423</t>
  </si>
  <si>
    <t>Santana, Alvaro</t>
  </si>
  <si>
    <t>W09-1-0910</t>
  </si>
  <si>
    <t>Kouevi, Clarence</t>
  </si>
  <si>
    <t>Pending LL → pmt → collections</t>
  </si>
  <si>
    <t>Rodriguez, Julian</t>
  </si>
  <si>
    <t>W04-1-0406</t>
  </si>
  <si>
    <t>Salazar, Miguel</t>
  </si>
  <si>
    <t>Wiggins, Amariah</t>
  </si>
  <si>
    <t>Enrique, Danny</t>
  </si>
  <si>
    <t>Filed: 02/25/2026 | Ct: Awaiting Confirmation</t>
  </si>
  <si>
    <t>Jose, Yender</t>
  </si>
  <si>
    <t>Filed: 02/17/2026 | Ct: Awaiting Confirmation</t>
  </si>
  <si>
    <t>Williams, Teresa</t>
  </si>
  <si>
    <t>Filed: 02/17/2026 | Ct: Pending</t>
  </si>
  <si>
    <t>S37-150</t>
  </si>
  <si>
    <t>Isidro, Oscar</t>
  </si>
  <si>
    <t>Odebiyi, Christiana</t>
  </si>
  <si>
    <t>W18-2-1070</t>
  </si>
  <si>
    <t>Vasquez, Bethis</t>
  </si>
  <si>
    <t>Sunday, Prince</t>
  </si>
  <si>
    <t>N19-2076</t>
  </si>
  <si>
    <t>Williams, Stephanie</t>
  </si>
  <si>
    <t xml:space="preserve">CURRENT RESDEINT: </t>
  </si>
  <si>
    <t>S27-422</t>
  </si>
  <si>
    <t>Ilugbekhai, Roseline</t>
  </si>
  <si>
    <t>S26-416</t>
  </si>
  <si>
    <t>Thomas, Archesicia</t>
  </si>
  <si>
    <t>N09-1035</t>
  </si>
  <si>
    <t>Lewis, Christopher</t>
  </si>
  <si>
    <t>LL pmt rcvd; sent to collections</t>
  </si>
  <si>
    <t>Edu, Almudena</t>
  </si>
  <si>
    <t>Armstrong, Randy</t>
  </si>
  <si>
    <t>W06-1-0613</t>
  </si>
  <si>
    <t>Roman, Jose</t>
  </si>
  <si>
    <t>N13-1056</t>
  </si>
  <si>
    <t>Susana, Nely</t>
  </si>
  <si>
    <t>N01-3003</t>
  </si>
  <si>
    <t>Emeribe, Ikechukwu</t>
  </si>
  <si>
    <t>Ramos, Jose</t>
  </si>
  <si>
    <t>Catalan, Yacqueline</t>
  </si>
  <si>
    <t>Rox, Artie</t>
  </si>
  <si>
    <t>W27-2-2001</t>
  </si>
  <si>
    <t>Jones, Jamaica</t>
  </si>
  <si>
    <t>Dominguez, Amanda</t>
  </si>
  <si>
    <t>Mendieta, Isaac</t>
  </si>
  <si>
    <t>FEBRUARY 2026 WRITE-OFF RECOMMENDATION</t>
  </si>
  <si>
    <t>The following accounts have been vacated for 60+ days with outstanding aged balances (61-90 and 90+ day buckets).</t>
  </si>
  <si>
    <t>Recommended for write-off per AVA bad debt policy. Please process the following journal entry for February 2026.</t>
  </si>
  <si>
    <t>Days Out</t>
  </si>
  <si>
    <t>Write-Off Amount</t>
  </si>
  <si>
    <t>PROPOSED JOURNAL ENTRY — FEBRUARY 2026</t>
  </si>
  <si>
    <t>Date:</t>
  </si>
  <si>
    <t>Property:</t>
  </si>
  <si>
    <t>AVA Apartments</t>
  </si>
  <si>
    <t># of Accounts:</t>
  </si>
  <si>
    <t>Account</t>
  </si>
  <si>
    <t>Description</t>
  </si>
  <si>
    <t>Debit</t>
  </si>
  <si>
    <t>Credit</t>
  </si>
  <si>
    <t>Bad Debt Expense</t>
  </si>
  <si>
    <t>Write-off of 60+ day aged balances — Evictions &amp; Former Residents (Feb 2026)</t>
  </si>
  <si>
    <t>-</t>
  </si>
  <si>
    <t>Tenant Receivables</t>
  </si>
  <si>
    <t>Prepared by:</t>
  </si>
  <si>
    <t>Approved by:</t>
  </si>
  <si>
    <t>Weekly KPI Targets | Q1-Q2 2026 | Refi Scenario</t>
  </si>
  <si>
    <t>Week</t>
  </si>
  <si>
    <t>Occ Units</t>
  </si>
  <si>
    <t>Prospects</t>
  </si>
  <si>
    <t>Sub Apps</t>
  </si>
  <si>
    <t>Charges ($)</t>
  </si>
  <si>
    <t>Payments ($)</t>
  </si>
  <si>
    <t>Coll %</t>
  </si>
  <si>
    <t>Delinq ($)</t>
  </si>
  <si>
    <t>Pipeline Total</t>
  </si>
  <si>
    <t>Conv Rate</t>
  </si>
  <si>
    <t>Apps 15+ Days</t>
  </si>
  <si>
    <t>Avg Days Dec</t>
  </si>
  <si>
    <t>Notes:</t>
  </si>
  <si>
    <t>Historical Performance | IPS Management (Aug 2024 - Dec 2025)</t>
  </si>
  <si>
    <t>Studio Occ</t>
  </si>
  <si>
    <t>1BR Occ</t>
  </si>
  <si>
    <t>2BR Occ</t>
  </si>
  <si>
    <t>3BR Occ</t>
  </si>
  <si>
    <t>Approved</t>
  </si>
  <si>
    <t>Denied</t>
  </si>
  <si>
    <t>Net App %</t>
  </si>
  <si>
    <t>Lease Production</t>
  </si>
  <si>
    <t>RENEWALS</t>
  </si>
  <si>
    <t>MTM</t>
  </si>
  <si>
    <t>MTM %</t>
  </si>
  <si>
    <t>Uncontrollable</t>
  </si>
  <si>
    <t>Controllable</t>
  </si>
  <si>
    <t>Net MIMO</t>
  </si>
  <si>
    <t>Charges</t>
  </si>
  <si>
    <t>Net Payments</t>
  </si>
  <si>
    <t>DQ Balance</t>
  </si>
  <si>
    <t>61+ Write-Offs</t>
  </si>
  <si>
    <t>DSO METRICS</t>
  </si>
  <si>
    <t>Backlog</t>
  </si>
  <si>
    <t>Opened</t>
  </si>
  <si>
    <t>Completed</t>
  </si>
  <si>
    <t>Completion %</t>
  </si>
  <si>
    <t>Avg Rent</t>
  </si>
  <si>
    <t>Competitive Market Analysis | HelloData</t>
  </si>
  <si>
    <t>Unit Type</t>
  </si>
  <si>
    <t>STUDIO</t>
  </si>
  <si>
    <t>Market Inventory</t>
  </si>
  <si>
    <t>Market Avg $/SF</t>
  </si>
  <si>
    <t>AVA $/SF</t>
  </si>
  <si>
    <t>AVA NER $/SF</t>
  </si>
  <si>
    <t>AVA Occ %</t>
  </si>
  <si>
    <t>Market Share</t>
  </si>
  <si>
    <t>1 BEDROOM</t>
  </si>
  <si>
    <t>2 BEDROOM</t>
  </si>
  <si>
    <t>3 BEDROOM</t>
  </si>
  <si>
    <t>Avg. SQFT</t>
  </si>
  <si>
    <t>Unit Mix</t>
  </si>
  <si>
    <t>Avg. Market Rent</t>
  </si>
  <si>
    <t>Avg. Scheduled Rent</t>
  </si>
  <si>
    <t>Model or Down Unit</t>
  </si>
  <si>
    <t>Vacant Unrented</t>
  </si>
  <si>
    <t>Vacant Rented</t>
  </si>
  <si>
    <t>Total Vacant</t>
  </si>
  <si>
    <t>Notice Rented</t>
  </si>
  <si>
    <t>Notice Unrented</t>
  </si>
  <si>
    <t>Occupied No Notice</t>
  </si>
  <si>
    <t>Total Occupied</t>
  </si>
  <si>
    <t>Occupied %</t>
  </si>
  <si>
    <t>Leased %</t>
  </si>
  <si>
    <t>Exposure / ATR</t>
  </si>
  <si>
    <t>Trend</t>
  </si>
  <si>
    <t>A1</t>
  </si>
  <si>
    <t>A2</t>
  </si>
  <si>
    <t>A3</t>
  </si>
  <si>
    <t>A4</t>
  </si>
  <si>
    <t>A5</t>
  </si>
  <si>
    <t>A6</t>
  </si>
  <si>
    <t>A7</t>
  </si>
  <si>
    <t>A8S</t>
  </si>
  <si>
    <t>A9TH</t>
  </si>
  <si>
    <t>A10</t>
  </si>
  <si>
    <t>A11</t>
  </si>
  <si>
    <t>B1</t>
  </si>
  <si>
    <t>B2</t>
  </si>
  <si>
    <t>B3</t>
  </si>
  <si>
    <t>B4</t>
  </si>
  <si>
    <t>B5</t>
  </si>
  <si>
    <t>B6</t>
  </si>
  <si>
    <t>B7TH</t>
  </si>
  <si>
    <t>B8</t>
  </si>
  <si>
    <t>New Leads</t>
  </si>
  <si>
    <t>Original Contact Method - Email</t>
  </si>
  <si>
    <t>Original Contact Method - Call</t>
  </si>
  <si>
    <t>Original Contact Method - Online</t>
  </si>
  <si>
    <t>Original Contact Method - Referred Contact</t>
  </si>
  <si>
    <t>Original Contact Method - Chat</t>
  </si>
  <si>
    <t>Original Contact Method - Text</t>
  </si>
  <si>
    <t>Original Contact Method - Other</t>
  </si>
  <si>
    <t>Activity - Emails</t>
  </si>
  <si>
    <t>Activity - Calls</t>
  </si>
  <si>
    <t>Activity - Chats</t>
  </si>
  <si>
    <t>Activity - Texts</t>
  </si>
  <si>
    <t>Tours - First Visits/Tours</t>
  </si>
  <si>
    <t>Return Visit</t>
  </si>
  <si>
    <t>Unknown</t>
  </si>
  <si>
    <t>Application - Completed</t>
  </si>
  <si>
    <t>Application - Completed (Cancelled)</t>
  </si>
  <si>
    <t>Application - Partially Completed</t>
  </si>
  <si>
    <t>Application - Denied</t>
  </si>
  <si>
    <t>Application - Approved</t>
  </si>
  <si>
    <t>Application - Approved (Cancelled)</t>
  </si>
  <si>
    <t>Lease - Completed</t>
  </si>
  <si>
    <t>Lease - Completed (Cancelled)</t>
  </si>
  <si>
    <t>Lease - Approved</t>
  </si>
  <si>
    <t>Property</t>
  </si>
  <si>
    <t>Expiring Leases</t>
  </si>
  <si>
    <t>Early Move-out</t>
  </si>
  <si>
    <t>Renewal Transfers</t>
  </si>
  <si>
    <t>Transfers</t>
  </si>
  <si>
    <t>Move-Ins</t>
  </si>
  <si>
    <t>Renewal Offers Completed</t>
  </si>
  <si>
    <t>Notices</t>
  </si>
  <si>
    <t>Move-Outs</t>
  </si>
  <si>
    <t>Leases Expiring</t>
  </si>
  <si>
    <t>Charge Code</t>
  </si>
  <si>
    <t>GL Account</t>
  </si>
  <si>
    <t>Prior Collections</t>
  </si>
  <si>
    <t>Current Collections</t>
  </si>
  <si>
    <t>Total Cash Collections</t>
  </si>
  <si>
    <t>Credits / Concessions</t>
  </si>
  <si>
    <t>Total Collections</t>
  </si>
  <si>
    <t>ADMINFEE</t>
  </si>
  <si>
    <t>5899: Other Income - Non-Refundable Admin Fee</t>
  </si>
  <si>
    <t>APPFEE</t>
  </si>
  <si>
    <t>5896: Other Income - Application Fee</t>
  </si>
  <si>
    <t>BADDEBT</t>
  </si>
  <si>
    <t>5102: Delinquent Rent/Bad Debt</t>
  </si>
  <si>
    <t>Beginning Balance</t>
  </si>
  <si>
    <t>CANCELFEE</t>
  </si>
  <si>
    <t>5898: Other Income - Cancellation Fee</t>
  </si>
  <si>
    <t>CONC/SPECL</t>
  </si>
  <si>
    <t>5103: Rental Concessions</t>
  </si>
  <si>
    <t>Conditions Fee</t>
  </si>
  <si>
    <t>5205: Other Income - Conditional Fees</t>
  </si>
  <si>
    <t>CREDITBUILD</t>
  </si>
  <si>
    <t>5225: Other Income - Credit Builder</t>
  </si>
  <si>
    <t>DAMAGES</t>
  </si>
  <si>
    <t>5893: Other Income - Damages</t>
  </si>
  <si>
    <t>DEPOSIT</t>
  </si>
  <si>
    <t>2501: Tenant Deposits Liability</t>
  </si>
  <si>
    <t>ELECTRICREIMB</t>
  </si>
  <si>
    <t>7309: Utilities - Vacants</t>
  </si>
  <si>
    <t>EMPLYRENTDISC</t>
  </si>
  <si>
    <t>5107: Employee Rent Discount</t>
  </si>
  <si>
    <t>GAS</t>
  </si>
  <si>
    <t>5213: Other Income - Gas Reimbursements</t>
  </si>
  <si>
    <t>LATEFEE</t>
  </si>
  <si>
    <t>5805: Other Income - Late Charges</t>
  </si>
  <si>
    <t>LEASELOCK</t>
  </si>
  <si>
    <t>5861: Other Income - Deposit Alternative</t>
  </si>
  <si>
    <t>LEGALFEES</t>
  </si>
  <si>
    <t>7744: Office Operations - Legal Expenses</t>
  </si>
  <si>
    <t>MISCINCOME</t>
  </si>
  <si>
    <t>5890: Other Income - Miscellaneous Income</t>
  </si>
  <si>
    <t>NSFFEE</t>
  </si>
  <si>
    <t>5891: Other Income - NSF Charges</t>
  </si>
  <si>
    <t>PARCELPEN</t>
  </si>
  <si>
    <t>5860: Other Income - Parcel Services Income</t>
  </si>
  <si>
    <t>Parking 5008</t>
  </si>
  <si>
    <t>5008: Other Income - Covered Parking</t>
  </si>
  <si>
    <t>PESTCONTROL</t>
  </si>
  <si>
    <t>5220: Other Income - Pest Control Reimbursement</t>
  </si>
  <si>
    <t>PETDEP</t>
  </si>
  <si>
    <t>PETFEE</t>
  </si>
  <si>
    <t>5892: Other Income - Non-Refundable Pet Fee</t>
  </si>
  <si>
    <t>PETRENT</t>
  </si>
  <si>
    <t>5007: Other Income - Monthly Pet Rent</t>
  </si>
  <si>
    <t>Refund Payable</t>
  </si>
  <si>
    <t>2008: Refunds In Transit</t>
  </si>
  <si>
    <t>RELETFEE</t>
  </si>
  <si>
    <t>RENT</t>
  </si>
  <si>
    <t>5001: Market Rent</t>
  </si>
  <si>
    <t>Renter's Liability Insurance</t>
  </si>
  <si>
    <t>5204: Other Income - Loss Damage Waiver</t>
  </si>
  <si>
    <t>Resident Referral Concession</t>
  </si>
  <si>
    <t>5105: Up Front Concessions</t>
  </si>
  <si>
    <t>SDW</t>
  </si>
  <si>
    <t>Short Term Premium</t>
  </si>
  <si>
    <t>Trash Reimbursement</t>
  </si>
  <si>
    <t>5212: Other Income - Trash Reimbursements</t>
  </si>
  <si>
    <t>UNIT AMENITY RENT</t>
  </si>
  <si>
    <t>VALETRASH</t>
  </si>
  <si>
    <t>WASH/DRY AMENITY</t>
  </si>
  <si>
    <t>5006: Washer/Dryer</t>
  </si>
  <si>
    <t>Washer/Dryer Amenity Other Income</t>
  </si>
  <si>
    <t>5013: Other Income - Washer/Dryer Rental</t>
  </si>
  <si>
    <t>WATERREIMB</t>
  </si>
  <si>
    <t>5211: Other Income - Water/Sewer Reimbursements</t>
  </si>
  <si>
    <t>Trending Delinquency</t>
  </si>
  <si>
    <t>*all charge codes for Rent and Other Income + Payments charge code</t>
  </si>
  <si>
    <t>All leases statuses including past/current/future etc.</t>
  </si>
  <si>
    <t>Charges Due</t>
  </si>
  <si>
    <t>Delinquent Residents</t>
  </si>
  <si>
    <t>=</t>
  </si>
  <si>
    <t>Move-In</t>
  </si>
  <si>
    <t>Lease Start</t>
  </si>
  <si>
    <t>Lease End</t>
  </si>
  <si>
    <t>Unallocated Charges / Credits</t>
  </si>
  <si>
    <t>N01-1003</t>
  </si>
  <si>
    <t>Andemariam, Nehom</t>
  </si>
  <si>
    <t>Past - In Collections</t>
  </si>
  <si>
    <t>N01-2002</t>
  </si>
  <si>
    <t>Bell, Keevin</t>
  </si>
  <si>
    <t>Current</t>
  </si>
  <si>
    <t>N01-3002</t>
  </si>
  <si>
    <t>Heath, Mekeja</t>
  </si>
  <si>
    <t>N02-1006</t>
  </si>
  <si>
    <t>Cruz, Miguel</t>
  </si>
  <si>
    <t>N03-1016</t>
  </si>
  <si>
    <t>Jackson, Leo</t>
  </si>
  <si>
    <t>Notice - Eviction</t>
  </si>
  <si>
    <t>N03-2021</t>
  </si>
  <si>
    <t>Brown, Nicole</t>
  </si>
  <si>
    <t>N03-3017</t>
  </si>
  <si>
    <t>Mcneil, Dandrea</t>
  </si>
  <si>
    <t>Current - Month To Month</t>
  </si>
  <si>
    <t>N03-3019</t>
  </si>
  <si>
    <t>Taylor, Jada</t>
  </si>
  <si>
    <t>N03-3020</t>
  </si>
  <si>
    <t>Anwari, Liaqat</t>
  </si>
  <si>
    <t>Carrasco, Anay</t>
  </si>
  <si>
    <t>Fairley, Azreal</t>
  </si>
  <si>
    <t>Fonwo, Nicholas</t>
  </si>
  <si>
    <t>N07-2052</t>
  </si>
  <si>
    <t>Alejandro, Victor</t>
  </si>
  <si>
    <t>Betancourt, Eleazar</t>
  </si>
  <si>
    <t>N09-1037</t>
  </si>
  <si>
    <t>Flores, Estanislao</t>
  </si>
  <si>
    <t>N09-2036</t>
  </si>
  <si>
    <t>Christian, Anand</t>
  </si>
  <si>
    <t>N10-2038</t>
  </si>
  <si>
    <t>Dixon, Dewayne</t>
  </si>
  <si>
    <t>Notice</t>
  </si>
  <si>
    <t>N10-3040</t>
  </si>
  <si>
    <t>Antony, Tyler</t>
  </si>
  <si>
    <t>N11-2043</t>
  </si>
  <si>
    <t>Gutierrez, Cliffton (Cliff)</t>
  </si>
  <si>
    <t>Straw, Zantevia</t>
  </si>
  <si>
    <t>N12-3046</t>
  </si>
  <si>
    <t>Burton, Allisa</t>
  </si>
  <si>
    <t>Raudales, Joser</t>
  </si>
  <si>
    <t>N14-1058</t>
  </si>
  <si>
    <t>Abuzu, Augustine</t>
  </si>
  <si>
    <t>N14-1064</t>
  </si>
  <si>
    <t>Alberto, Carlos</t>
  </si>
  <si>
    <t>N14-3063</t>
  </si>
  <si>
    <t>Birdine, Corey</t>
  </si>
  <si>
    <t>Current - Renewed</t>
  </si>
  <si>
    <t>N15-3069</t>
  </si>
  <si>
    <t>Brown, Ronald</t>
  </si>
  <si>
    <t>N18-1086</t>
  </si>
  <si>
    <t>Yesid, Neider</t>
  </si>
  <si>
    <t>N18-2086</t>
  </si>
  <si>
    <t>Farrell, Krystal</t>
  </si>
  <si>
    <t>N19-1077</t>
  </si>
  <si>
    <t>Camacho, Jorge</t>
  </si>
  <si>
    <t>N19-2078</t>
  </si>
  <si>
    <t>Rocha, Osvaldo</t>
  </si>
  <si>
    <t>N19-2083</t>
  </si>
  <si>
    <t>Divini, Oscar</t>
  </si>
  <si>
    <t>Ihenyen, Jude</t>
  </si>
  <si>
    <t>N20-1091</t>
  </si>
  <si>
    <t>Williams, Kierra</t>
  </si>
  <si>
    <t>N20-1094</t>
  </si>
  <si>
    <t>Fonseca, Maria</t>
  </si>
  <si>
    <t>N20-2088</t>
  </si>
  <si>
    <t>Abiodun, Solomon</t>
  </si>
  <si>
    <t>N20-2089</t>
  </si>
  <si>
    <t>Hernandez, Andres</t>
  </si>
  <si>
    <t>N20-2093</t>
  </si>
  <si>
    <t>Marshall, Alton</t>
  </si>
  <si>
    <t>Torres, Maria</t>
  </si>
  <si>
    <t>Ugiomoh, Jude</t>
  </si>
  <si>
    <t>N25-2102</t>
  </si>
  <si>
    <t>Lubo Pushaina, Rance</t>
  </si>
  <si>
    <t>S26-401</t>
  </si>
  <si>
    <t>Villanueva, Jose</t>
  </si>
  <si>
    <t>Drissi-Messaly, Adam</t>
  </si>
  <si>
    <t>White, Omari</t>
  </si>
  <si>
    <t>S26-410</t>
  </si>
  <si>
    <t>Ramos, Victoria</t>
  </si>
  <si>
    <t>S26-414</t>
  </si>
  <si>
    <t>Cooks, Tatiana</t>
  </si>
  <si>
    <t>S27-423</t>
  </si>
  <si>
    <t>Niazi, Mahbob</t>
  </si>
  <si>
    <t>Ogundipe, Aramide</t>
  </si>
  <si>
    <t>S28-101</t>
  </si>
  <si>
    <t>Rodriguez, Maurico</t>
  </si>
  <si>
    <t>S28-103</t>
  </si>
  <si>
    <t>HALL, MICHAEL</t>
  </si>
  <si>
    <t>S30-224</t>
  </si>
  <si>
    <t>Asuncion, Eustacio</t>
  </si>
  <si>
    <t>S31-118</t>
  </si>
  <si>
    <t>Contreras, Rocio</t>
  </si>
  <si>
    <t>Nunez, Raul</t>
  </si>
  <si>
    <t>pacheco, leslie</t>
  </si>
  <si>
    <t>S33-135</t>
  </si>
  <si>
    <t>Kaba, Fanta</t>
  </si>
  <si>
    <t>S33-235</t>
  </si>
  <si>
    <t>Williams, Latesha</t>
  </si>
  <si>
    <t>Aguilera, Angelica</t>
  </si>
  <si>
    <t>S38-153</t>
  </si>
  <si>
    <t>Randall, Sherry</t>
  </si>
  <si>
    <t>S38-351</t>
  </si>
  <si>
    <t>Lee, Nikiya</t>
  </si>
  <si>
    <t>S38-352</t>
  </si>
  <si>
    <t>Smith, Katera</t>
  </si>
  <si>
    <t>S42-169</t>
  </si>
  <si>
    <t>S42-270</t>
  </si>
  <si>
    <t>Gentry, Marshana</t>
  </si>
  <si>
    <t>W01-1-0105</t>
  </si>
  <si>
    <t>Howard, Ronnie</t>
  </si>
  <si>
    <t>W01-1-0110</t>
  </si>
  <si>
    <t>Ortega, Maricela</t>
  </si>
  <si>
    <t>W01-1-0113</t>
  </si>
  <si>
    <t>Walker, Latonya</t>
  </si>
  <si>
    <t>W02-1-0205</t>
  </si>
  <si>
    <t>Kayse, Edioye</t>
  </si>
  <si>
    <t>Notice - Month To Month</t>
  </si>
  <si>
    <t>W02-1-0213</t>
  </si>
  <si>
    <t>Nwokedi, Ethine</t>
  </si>
  <si>
    <t>W03-1-0301</t>
  </si>
  <si>
    <t>Leonel, Irvin</t>
  </si>
  <si>
    <t>W03-1-0306</t>
  </si>
  <si>
    <t>Akinsitan, Akinwale</t>
  </si>
  <si>
    <t>Beltran, Rosio</t>
  </si>
  <si>
    <t>W04-1-0411</t>
  </si>
  <si>
    <t>Jones, Jamal</t>
  </si>
  <si>
    <t>W04-1-0412</t>
  </si>
  <si>
    <t>Rojas, Mari</t>
  </si>
  <si>
    <t>W04-1-0415</t>
  </si>
  <si>
    <t>Diaz Becerra, Victor</t>
  </si>
  <si>
    <t>W05-1-0503</t>
  </si>
  <si>
    <t>Tinoco, Jonathan</t>
  </si>
  <si>
    <t>W05-1-0504</t>
  </si>
  <si>
    <t>Martinez, Omar</t>
  </si>
  <si>
    <t>Adeoye, Emmanuel</t>
  </si>
  <si>
    <t>Yeon, Hyo</t>
  </si>
  <si>
    <t>W05-1-0521</t>
  </si>
  <si>
    <t>Hugo Gonzalez, Jose</t>
  </si>
  <si>
    <t>W05-1-0524</t>
  </si>
  <si>
    <t>W06-1-0605</t>
  </si>
  <si>
    <t>Sanders, Dwayne</t>
  </si>
  <si>
    <t>Current - Eviction, Month To Month</t>
  </si>
  <si>
    <t>Mavungo, Ramon</t>
  </si>
  <si>
    <t>W07-1-0701</t>
  </si>
  <si>
    <t>Mendoza, Karina</t>
  </si>
  <si>
    <t>W07-1-0707</t>
  </si>
  <si>
    <t>Meraz, Elvira</t>
  </si>
  <si>
    <t>W07-1-0715</t>
  </si>
  <si>
    <t>Miller, Faye</t>
  </si>
  <si>
    <t>Davila, Lisa</t>
  </si>
  <si>
    <t>Rangel, Juan</t>
  </si>
  <si>
    <t>W07-1-0720</t>
  </si>
  <si>
    <t>Babatope, Fakuade</t>
  </si>
  <si>
    <t>W08-1-0805</t>
  </si>
  <si>
    <t>Kowo, Oghenero</t>
  </si>
  <si>
    <t>W08-1-0808</t>
  </si>
  <si>
    <t>Santini, Eric</t>
  </si>
  <si>
    <t>W08-1-0810</t>
  </si>
  <si>
    <t>Oliva Cordero, Carlos Jose</t>
  </si>
  <si>
    <t>W08-1-0812</t>
  </si>
  <si>
    <t>Broomfield, Deandra</t>
  </si>
  <si>
    <t>Yazmin, Karen</t>
  </si>
  <si>
    <t>W10-1-1003</t>
  </si>
  <si>
    <t>Raychelle, Jessica</t>
  </si>
  <si>
    <t>W11-1-1105</t>
  </si>
  <si>
    <t>Hishaw, Ilona</t>
  </si>
  <si>
    <t>W11-1-1106</t>
  </si>
  <si>
    <t>Brown, Tamiko</t>
  </si>
  <si>
    <t>Cruz, Josue</t>
  </si>
  <si>
    <t>Querevalu, Oscar</t>
  </si>
  <si>
    <t>W11-1-1111</t>
  </si>
  <si>
    <t>Berko, Henry</t>
  </si>
  <si>
    <t>W12-1-1202</t>
  </si>
  <si>
    <t>Harris, Mahogany</t>
  </si>
  <si>
    <t>W12-1-1209</t>
  </si>
  <si>
    <t>Moya, Cherilyn</t>
  </si>
  <si>
    <t>W12-1-1221</t>
  </si>
  <si>
    <t>W12-1-1224</t>
  </si>
  <si>
    <t>Collins, Emmanuel</t>
  </si>
  <si>
    <t>W13-1-1306</t>
  </si>
  <si>
    <t>Lawal, Temitope</t>
  </si>
  <si>
    <t>Enriquez, Victor</t>
  </si>
  <si>
    <t>W13-1-1319</t>
  </si>
  <si>
    <t>Rodriguez, Daniel</t>
  </si>
  <si>
    <t>W13-1-1322</t>
  </si>
  <si>
    <t>Mayberry, Norma</t>
  </si>
  <si>
    <t>W13-1-1324</t>
  </si>
  <si>
    <t>Ogunmola, Tobi</t>
  </si>
  <si>
    <t>W14-1-1402</t>
  </si>
  <si>
    <t>Oladejo, Olufemi</t>
  </si>
  <si>
    <t>Dennis, Christy</t>
  </si>
  <si>
    <t>W14-1-1411</t>
  </si>
  <si>
    <t>Pinto, Arlin</t>
  </si>
  <si>
    <t>W14-1-1417</t>
  </si>
  <si>
    <t>Shead, Teaira</t>
  </si>
  <si>
    <t>W15-2-2085</t>
  </si>
  <si>
    <t>Jenkins, Jared</t>
  </si>
  <si>
    <t>W15-2-2086</t>
  </si>
  <si>
    <t>Foster, Sean</t>
  </si>
  <si>
    <t>W15-2-2087</t>
  </si>
  <si>
    <t>Anchondo, Damian</t>
  </si>
  <si>
    <t>Palomino, Keiry</t>
  </si>
  <si>
    <t>W15-2-3088</t>
  </si>
  <si>
    <t>Clark, Briana</t>
  </si>
  <si>
    <t>W15-2-3092</t>
  </si>
  <si>
    <t>Jean, Julio</t>
  </si>
  <si>
    <t>Clark, Deborah</t>
  </si>
  <si>
    <t>W16-2-1083</t>
  </si>
  <si>
    <t>Newman, Alexandria</t>
  </si>
  <si>
    <t>Magarin, Sergio</t>
  </si>
  <si>
    <t>W17-2-1078</t>
  </si>
  <si>
    <t>Rodriguez, Joseph</t>
  </si>
  <si>
    <t>W17-2-1080</t>
  </si>
  <si>
    <t>Feaster, Jordan</t>
  </si>
  <si>
    <t>Hernandez, Amanda</t>
  </si>
  <si>
    <t>W18-2-1071</t>
  </si>
  <si>
    <t>Rodriguez, Nereyda</t>
  </si>
  <si>
    <t>Diaz, Noemi</t>
  </si>
  <si>
    <t>W19-2-2067</t>
  </si>
  <si>
    <t>Taylor, Talika</t>
  </si>
  <si>
    <t>Ortiz, Nancy</t>
  </si>
  <si>
    <t>W20-2-2065</t>
  </si>
  <si>
    <t>W21-2-1055</t>
  </si>
  <si>
    <t>Akoh, Omachile</t>
  </si>
  <si>
    <t>W21-2-1056</t>
  </si>
  <si>
    <t>Hardin, Wynisha</t>
  </si>
  <si>
    <t>W21-2-1059</t>
  </si>
  <si>
    <t>Daniels, Thalia</t>
  </si>
  <si>
    <t>W21-2-2057</t>
  </si>
  <si>
    <t>Roof, Earl</t>
  </si>
  <si>
    <t>W22-2-1050</t>
  </si>
  <si>
    <t>Shamar, Malik</t>
  </si>
  <si>
    <t>W23-2-1044</t>
  </si>
  <si>
    <t>Rodas, Sergio</t>
  </si>
  <si>
    <t>W23-2-2041</t>
  </si>
  <si>
    <t>Cortez, Elieser</t>
  </si>
  <si>
    <t>W23-2-2045</t>
  </si>
  <si>
    <t>Kidd, Sherice</t>
  </si>
  <si>
    <t>Barr, Ebony</t>
  </si>
  <si>
    <t>W24-2-1038</t>
  </si>
  <si>
    <t>Rodriguez, Mariela</t>
  </si>
  <si>
    <t>W24-2-2039</t>
  </si>
  <si>
    <t>Fridia, Rodrinesha</t>
  </si>
  <si>
    <t>W25-2-1029</t>
  </si>
  <si>
    <t>W27-2-2011</t>
  </si>
  <si>
    <t>Ajayi, Pious</t>
  </si>
  <si>
    <t>W28-2-1020</t>
  </si>
  <si>
    <t>Alexander, Leaujodon</t>
  </si>
  <si>
    <t>Giles, Avelaura</t>
  </si>
  <si>
    <t>Closed - Cancelled</t>
  </si>
  <si>
    <t>Closed - Completed</t>
  </si>
  <si>
    <t>Owner Name</t>
  </si>
  <si>
    <t>Avg Days Open</t>
  </si>
  <si>
    <t>Avg Hours Open</t>
  </si>
  <si>
    <t>Ava Apartments Leasehold, LLC</t>
  </si>
  <si>
    <t>Awaiting Parts</t>
  </si>
  <si>
    <t>Income Statement Trailing 12</t>
  </si>
  <si>
    <t>Accrual Basis</t>
  </si>
  <si>
    <t>880 Units</t>
  </si>
  <si>
    <t>Take-Over 12/15/2025</t>
  </si>
  <si>
    <t xml:space="preserve"> </t>
  </si>
  <si>
    <t xml:space="preserve"># of Occupied Units </t>
  </si>
  <si>
    <t xml:space="preserve">Market Rent </t>
  </si>
  <si>
    <t xml:space="preserve">Lease Loss/Concessions/Occupied Unit </t>
  </si>
  <si>
    <t xml:space="preserve">Net Effective Rent </t>
  </si>
  <si>
    <t xml:space="preserve">% Discount </t>
  </si>
  <si>
    <t xml:space="preserve">Bad Debt % </t>
  </si>
  <si>
    <t xml:space="preserve">Economic Occupancy </t>
  </si>
  <si>
    <t>Account Name</t>
  </si>
  <si>
    <t>Income</t>
  </si>
  <si>
    <t>Rental Income</t>
  </si>
  <si>
    <t>Market Rent</t>
  </si>
  <si>
    <t>Gain/Loss To Lease</t>
  </si>
  <si>
    <t>Vacancy, Losses &amp; Concessions</t>
  </si>
  <si>
    <t>Delinquent Rent/Bad Debt</t>
  </si>
  <si>
    <t>Vacancy Loss</t>
  </si>
  <si>
    <t>Model Vacancy Loss</t>
  </si>
  <si>
    <t>Vacancy Loss - Down Units</t>
  </si>
  <si>
    <t>Rental Concessions</t>
  </si>
  <si>
    <t>Up Front Concessions</t>
  </si>
  <si>
    <t>Employee Rent Discount</t>
  </si>
  <si>
    <t>Net Rental Income</t>
  </si>
  <si>
    <t>Other Income</t>
  </si>
  <si>
    <t>Other Income - Water/Sewer Reimbursements</t>
  </si>
  <si>
    <t>Other Income - Electric Reimbursements</t>
  </si>
  <si>
    <t>Other Income - Trash Reimbursements</t>
  </si>
  <si>
    <t>Other Income - Gas Reimbursements</t>
  </si>
  <si>
    <t>Other Income - Cable TV Income</t>
  </si>
  <si>
    <t>Other Income - Pest Control Reimbursement</t>
  </si>
  <si>
    <t>Other Income - Credit Builder</t>
  </si>
  <si>
    <t>Other Income - Laundry Income</t>
  </si>
  <si>
    <t>Other Income - Monthly Pet Rent</t>
  </si>
  <si>
    <t>Other Income - Covered Parking</t>
  </si>
  <si>
    <t>Other Income - Garage Parking</t>
  </si>
  <si>
    <t>Other Income - Washer/Dryer Rental</t>
  </si>
  <si>
    <t>Other Income - Conditional Fees</t>
  </si>
  <si>
    <t>Other Income - Application Fee</t>
  </si>
  <si>
    <t>Other Income - Non-Refundable Admin Fee</t>
  </si>
  <si>
    <t>Other Income - Loss Damage Waiver</t>
  </si>
  <si>
    <t>Other Income - Deposit Alternative</t>
  </si>
  <si>
    <t>Other Income - Parcel Services Income</t>
  </si>
  <si>
    <t>Other Income - Miscellaneous Income</t>
  </si>
  <si>
    <t>Other Income - Non-Refundable Pet Fee</t>
  </si>
  <si>
    <t>Other Income - Late Charges</t>
  </si>
  <si>
    <t>Other Income - Damages</t>
  </si>
  <si>
    <t>Other Income - Cancellation Fee</t>
  </si>
  <si>
    <t>Other Income - NSF Charges</t>
  </si>
  <si>
    <t>Other Income - Legal Reimbursements</t>
  </si>
  <si>
    <t>Other Income - Interest Income</t>
  </si>
  <si>
    <t>Operating Expenses</t>
  </si>
  <si>
    <t>Payroll &amp; Related</t>
  </si>
  <si>
    <t>Payroll</t>
  </si>
  <si>
    <t>Payroll - Manager</t>
  </si>
  <si>
    <t>Payroll - Assistant Manager</t>
  </si>
  <si>
    <t>Payroll - Leasing Agent</t>
  </si>
  <si>
    <t>Payroll - Maintenance Foreman</t>
  </si>
  <si>
    <t>Payroll - Maintenance Labor</t>
  </si>
  <si>
    <t>Payroll - Painter</t>
  </si>
  <si>
    <t>Payroll - Porter</t>
  </si>
  <si>
    <t>Payroll - Maid</t>
  </si>
  <si>
    <t>Payroll Related</t>
  </si>
  <si>
    <t>Payroll Related - Payroll Taxes</t>
  </si>
  <si>
    <t>Payroll Related - Health Insurance</t>
  </si>
  <si>
    <t>Payroll Related - Other Benefits</t>
  </si>
  <si>
    <t>Payroll Related - Workers Compensation</t>
  </si>
  <si>
    <t>Payroll Related - Training &amp; Education</t>
  </si>
  <si>
    <t>Contractual Services</t>
  </si>
  <si>
    <t>Contractual Services - Key Trak System</t>
  </si>
  <si>
    <t>Contractual Services - Grounds Contract</t>
  </si>
  <si>
    <t>Contractual Services - Patrol Service</t>
  </si>
  <si>
    <t>Contractual Services - Fire Alarm Monitoring</t>
  </si>
  <si>
    <t>Contractual Services - Pool Contract</t>
  </si>
  <si>
    <t>Contractual Services - Contract Labor</t>
  </si>
  <si>
    <t>Utilities</t>
  </si>
  <si>
    <t>Utilities - Common Area</t>
  </si>
  <si>
    <t>Utilities - Vacants</t>
  </si>
  <si>
    <t>Utilities - Gas</t>
  </si>
  <si>
    <t>Utilities - Water</t>
  </si>
  <si>
    <t>Utilities - Trash Removal</t>
  </si>
  <si>
    <t>Utilities - Utility Billing Service</t>
  </si>
  <si>
    <t>Redecorating</t>
  </si>
  <si>
    <t>Redecorating - Carpet Cleaning</t>
  </si>
  <si>
    <t>Redecorating - General Cleaning</t>
  </si>
  <si>
    <t>Redecorating - Painting</t>
  </si>
  <si>
    <t>Redecorating - Resurfacing</t>
  </si>
  <si>
    <t>Redecorating - Carpet Cleaning Occupied</t>
  </si>
  <si>
    <t>Redecorating - Carpet Cleaning Vacant</t>
  </si>
  <si>
    <t>Redecorating - General Cleaning Common</t>
  </si>
  <si>
    <t>Redecorating - General Cleaning Vacant</t>
  </si>
  <si>
    <t>Redecorating - Sheetrock</t>
  </si>
  <si>
    <t>Maintenance</t>
  </si>
  <si>
    <t>Maintenance - Entry Gate Maintenance</t>
  </si>
  <si>
    <t>Maintenance - Plumbing Maintenance</t>
  </si>
  <si>
    <t>Maintenance - Alarm Maintenance</t>
  </si>
  <si>
    <t>Maintenance - Electric Maintenance</t>
  </si>
  <si>
    <t>Maintenance - Heating &amp; AC Maintenance</t>
  </si>
  <si>
    <t>Maintenance - Window Treatments</t>
  </si>
  <si>
    <t>Maintenance - Appliance Maintenance</t>
  </si>
  <si>
    <t>Maintenance - Maintenance &amp; Repairs</t>
  </si>
  <si>
    <t>Maintenance - Pest Control</t>
  </si>
  <si>
    <t>Maintenance - Landscape Supplies</t>
  </si>
  <si>
    <t>Maintenance - Pool Maintenance</t>
  </si>
  <si>
    <t>Maintenance - Permits/Inspections</t>
  </si>
  <si>
    <t>Maintenance - Fire Protection/Alarm</t>
  </si>
  <si>
    <t>Marketing Expenses</t>
  </si>
  <si>
    <t>Marketing - Internet/Website Advertising</t>
  </si>
  <si>
    <t>Marketing - Online Employment Ads</t>
  </si>
  <si>
    <t>Marketing - Dues/Subscriptions/Memberships</t>
  </si>
  <si>
    <t>Marketing - Temporary Signage</t>
  </si>
  <si>
    <t>Marketing - Office/Model Expense</t>
  </si>
  <si>
    <t>Marketing - Promotions/PR</t>
  </si>
  <si>
    <t>Marketing - Locator Fees/Functions</t>
  </si>
  <si>
    <t>Marketing - Market Study/Shopping Reports</t>
  </si>
  <si>
    <t>Marketing - Resident Retention</t>
  </si>
  <si>
    <t>Office Operations</t>
  </si>
  <si>
    <t>Office Operations - Telephone/Cable/Internet</t>
  </si>
  <si>
    <t>Office Operations - Office Supplies</t>
  </si>
  <si>
    <t>Office Operations - Employee Screening</t>
  </si>
  <si>
    <t>Office Operations - Postage</t>
  </si>
  <si>
    <t>Office Operations - Copies/Printing</t>
  </si>
  <si>
    <t>Office Operations - Computer Supplies &amp; Software</t>
  </si>
  <si>
    <t>Office Operations - Legal Expenses</t>
  </si>
  <si>
    <t>Office Operations - Credit Bureau</t>
  </si>
  <si>
    <t>Office Operations - Deposit Alternative</t>
  </si>
  <si>
    <t>Office Operations - Concierge Services</t>
  </si>
  <si>
    <t>Office Operations - Loss Damage Waiver</t>
  </si>
  <si>
    <t>Office Operations - Centralization</t>
  </si>
  <si>
    <t>Office Operations - Taxes, Licenses &amp; Fees</t>
  </si>
  <si>
    <t>Office Operations - Uniforms</t>
  </si>
  <si>
    <t>Office Operations - Travel Expenses</t>
  </si>
  <si>
    <t>Office Operations - Bank Charges</t>
  </si>
  <si>
    <t>Other Professional Fees</t>
  </si>
  <si>
    <t>Management Fees</t>
  </si>
  <si>
    <t>Management Fee</t>
  </si>
  <si>
    <t>Taxes &amp; Insurance</t>
  </si>
  <si>
    <t>Insurance - Property</t>
  </si>
  <si>
    <t>Taxes &amp; Dues - Property Taxes</t>
  </si>
  <si>
    <t>Housing - Admin fees</t>
  </si>
  <si>
    <t>Net Operating Income</t>
  </si>
  <si>
    <t>Non-Operating Expenses</t>
  </si>
  <si>
    <t>Capital Expenditures</t>
  </si>
  <si>
    <t>Capital Repairs</t>
  </si>
  <si>
    <t>Capital Repairs - Start Up Expenses</t>
  </si>
  <si>
    <t>Capital Repairs - Gates</t>
  </si>
  <si>
    <t>Capital Repairs - Signage</t>
  </si>
  <si>
    <t>Capital Repairs - A/C &amp; Heating</t>
  </si>
  <si>
    <t>Capital Repairs - Carpeting</t>
  </si>
  <si>
    <t>Capital Repairs - Painting</t>
  </si>
  <si>
    <t>Capital Repairs - Window Coverings</t>
  </si>
  <si>
    <t>Capital Repairs - Appliances</t>
  </si>
  <si>
    <t>Capital Repairs - Exterior Repairs</t>
  </si>
  <si>
    <t>Capital Repairs - Interior Repairs</t>
  </si>
  <si>
    <t>Capital Repairs - Equipment</t>
  </si>
  <si>
    <t>Capital Repairs - Electrical Repairs</t>
  </si>
  <si>
    <t>Capital Repairs - Plumbing</t>
  </si>
  <si>
    <t>Capital Repairs - Vinyl</t>
  </si>
  <si>
    <t>Capital Repairs - Countertops/Cabinets</t>
  </si>
  <si>
    <t>Capital Repairs Reimbursements</t>
  </si>
  <si>
    <t>Capital Repairs - Miscellaneous Non-Routine</t>
  </si>
  <si>
    <t>Rehab Costs</t>
  </si>
  <si>
    <t>Rehab - Start Up Expenses</t>
  </si>
  <si>
    <t>Rehab - Unit Upgrade - Full</t>
  </si>
  <si>
    <t>Rehab - Replacement Reimbursement</t>
  </si>
  <si>
    <t>Debt Service</t>
  </si>
  <si>
    <t>Debt Service - 1st Lien Interest</t>
  </si>
  <si>
    <t>Debt Service - Int Rate Cap</t>
  </si>
  <si>
    <t>Other Non-Operating Expenses</t>
  </si>
  <si>
    <t>Partnership Expenses - Interest Income</t>
  </si>
  <si>
    <t>Partnership Expenses - Professional Fees</t>
  </si>
  <si>
    <t>Partnership Expenses - Legal &amp; Consulting</t>
  </si>
  <si>
    <t>Partnership Expenses - Audit &amp; Accounting</t>
  </si>
  <si>
    <t>Partnership Expenses - Asset Management Fee</t>
  </si>
  <si>
    <t>Partnership Expenses - Franchise Tax</t>
  </si>
  <si>
    <t>Partnership Expenses - Amortization Other</t>
  </si>
  <si>
    <t>Net Income</t>
  </si>
  <si>
    <t>Skip MTM?</t>
  </si>
  <si>
    <t>SQFT</t>
  </si>
  <si>
    <t>Days Vacant</t>
  </si>
  <si>
    <t>Considered Rented On</t>
  </si>
  <si>
    <t>Prior Resident</t>
  </si>
  <si>
    <t>Current Resident</t>
  </si>
  <si>
    <t>Current Lease Type</t>
  </si>
  <si>
    <t>Prior Lease Term</t>
  </si>
  <si>
    <t>Current Lease Term</t>
  </si>
  <si>
    <t>Current Lease Term (Months)</t>
  </si>
  <si>
    <t>Prior Lease Rent</t>
  </si>
  <si>
    <t>Prior Lease Rent/SQFT</t>
  </si>
  <si>
    <t>Prior Effective Rent</t>
  </si>
  <si>
    <t>Prior Effective Rent/SQFT</t>
  </si>
  <si>
    <t>Current Lease Rent</t>
  </si>
  <si>
    <t>Current Lease Rent/SQFT</t>
  </si>
  <si>
    <t>Current Recurring Concessions</t>
  </si>
  <si>
    <t>Current One-Time Concessions</t>
  </si>
  <si>
    <t>Current Effective Rent</t>
  </si>
  <si>
    <t>Current Effective Rent/SQFT</t>
  </si>
  <si>
    <t>Current Net Effective Rent</t>
  </si>
  <si>
    <t>Lease Rent Change ($)</t>
  </si>
  <si>
    <t>Lease Rent Change (%)</t>
  </si>
  <si>
    <t>Effective Rent Change ($)</t>
  </si>
  <si>
    <t>Effective Rent Change (%)</t>
  </si>
  <si>
    <t>Month To Month</t>
  </si>
  <si>
    <t>Application</t>
  </si>
  <si>
    <t>Dent, Jeffery</t>
  </si>
  <si>
    <t>Thomas, Cori</t>
  </si>
  <si>
    <t>Mckeever, Larkyn</t>
  </si>
  <si>
    <t>MORGAN, PEMETRIA</t>
  </si>
  <si>
    <t>Jones, Asia</t>
  </si>
  <si>
    <t>Richard, Englene</t>
  </si>
  <si>
    <t>Enriquez, Jaqueline</t>
  </si>
  <si>
    <t>Johnson, Datriona</t>
  </si>
  <si>
    <t>Payment ID</t>
  </si>
  <si>
    <t>Payment Type</t>
  </si>
  <si>
    <t>Return Date</t>
  </si>
  <si>
    <t>Return Fee</t>
  </si>
  <si>
    <t>N26-2104</t>
  </si>
  <si>
    <t>NJENDU, MARTIN</t>
  </si>
  <si>
    <t>eCheck</t>
  </si>
  <si>
    <t>S39-258</t>
  </si>
  <si>
    <t>Cruz, Reyna</t>
  </si>
  <si>
    <t>W01-1-0108</t>
  </si>
  <si>
    <t>Omoregie, Patience</t>
  </si>
  <si>
    <t>Unpaid Rent</t>
  </si>
  <si>
    <t>Unpaid Other</t>
  </si>
  <si>
    <t>Unpaid Deposit</t>
  </si>
  <si>
    <t>Past Due</t>
  </si>
  <si>
    <t>Current Due</t>
  </si>
  <si>
    <t>Last Delinquency Note</t>
  </si>
  <si>
    <t>04/21/2026 01:28 AM meet_elise_api@cafmanagement:AI Summary:
(4/20/2026) Agent contacted tenant to inquire about payment timing and provided a link for payment submission.
Last Updated: 2026-04-21</t>
  </si>
  <si>
    <t>Notice (Eviction)</t>
  </si>
  <si>
    <t>03/24/2026 09:14 AM ava.cm@cafmanagement.com:3/23 Court at 1:30pm 
Possession granted 
writ can be filed on 3/31</t>
  </si>
  <si>
    <t>Past (Eviction)</t>
  </si>
  <si>
    <t>01/24/2026 10:06 AM meet_elise_api@cafmanagement:AI Summary:
(1/23/2026) Reminder sent to tenant about outstanding balance with a request to pay off the balance today.
Last Updated: 2026-01-24</t>
  </si>
  <si>
    <t>01/07/2026 04:50 PM meet_elise_api@cafmanagement:AI Summary:
(1/3/2026 - 1/4/2026) Introduced as the new rent payment manager. Notified tenant of new charges and total balance due. Reminded tenant of potential late fees starting on the 4th if not paid in full. Provided link for payment submission.
Last Updated: 2026-01-07</t>
  </si>
  <si>
    <t>01/24/2026 10:03 AM meet_elise_api@cafmanagement:AI Summary:
(1/23/2026) Agent contacted tenant regarding overdue payment, provided a link for payment submission, and offered assistance for any questions.
Last Updated: 2026-01-24</t>
  </si>
  <si>
    <t>Past (Skip)</t>
  </si>
  <si>
    <t>04/22/2026 01:12 AM meet_elise_api@cafmanagement:AI Summary:
(4/21/2026) Sent a message to the tenant regarding unpaid balance, requesting payment today and offering assistance for any questions.
Last Updated: 2026-04-22</t>
  </si>
  <si>
    <t>Current (Month To Month)</t>
  </si>
  <si>
    <t>04/21/2026 01:27 AM meet_elise_api@cafmanagement:AI Summary:
(4/20/2026) Agent contacted resident regarding overdue balance, provided payment link, and offered assistance for any questions.
Last Updated: 2026-04-21</t>
  </si>
  <si>
    <t>04/13/2026 01:07 AM meet_elise_api@cafmanagement:AI Summary:
(4/12/2026) Agent reached out to the tenant regarding an unpaid balance, inquiring about the expected payment date and providing a link for payment submission.
Last Updated: 2026-04-13</t>
  </si>
  <si>
    <t>04/18/2026 01:13 AM meet_elise_api@cafmanagement:AI Summary:
(4/17/2026) Informed tenant of outstanding balance and provided a link for payment.
Last Updated: 2026-04-18</t>
  </si>
  <si>
    <t>04/21/2026 01:27 AM meet_elise_api@cafmanagement:AI Summary:
(4/20/2026) Agent inquired about payment date and provided a link for payment submission.
Last Updated: 2026-04-21</t>
  </si>
  <si>
    <t>04/22/2026 01:13 AM meet_elise_api@cafmanagement:Agent Notes:
2026-03-19 11:11 - Promise to Pay - 03/31/2026
AI Summary:
(3/19/2026 - 4/21/2026) Reminder sent about outstanding balance with a link provided for payment submission. No response from the tenant. Promise to pay noted for 3/31/2026.
Last Updated: 2026-04-22</t>
  </si>
  <si>
    <t>04/21/2026 01:23 AM meet_elise_api@cafmanagement:AI Summary:
(4/20/2026) Agent informed tenant of open charges and requested payment of the total balance due. Provided a link for payment.
Last Updated: 2026-04-21</t>
  </si>
  <si>
    <t>03/22/2026 01:02 AM meet_elise_api@cafmanagement:AI Summary:
(3/21/2026) Informed tenant of outstanding charges and provided a link for payment.
Last Updated: 2026-03-22</t>
  </si>
  <si>
    <t>04/01/2026 01:03 AM meet_elise_api@cafmanagement:AI Summary:
(3/31/2026) Sent a message to tenant regarding overdue balance, provided a link for payment submission.
Last Updated: 2026-04-01</t>
  </si>
  <si>
    <t>04/06/2026 01:03 AM meet_elise_api@cafmanagement:AI Summary:
(4/5/2026) Sent a message to the tenant regarding overdue payment, provided a link for payment submission, and offered assistance for any questions.
Last Updated: 2026-04-06</t>
  </si>
  <si>
    <t>Notice (Eviction, Month To Month)</t>
  </si>
  <si>
    <t>03/21/2026 01:09 AM meet_elise_api@cafmanagement:AI Summary:
(3/20/2026) Sent a message to the tenant inquiring about the payment date and provided a link for payment.
Last Updated: 2026-03-21</t>
  </si>
  <si>
    <t>04/21/2026 01:24 AM meet_elise_api@cafmanagement:AI Summary:
(4/20/2026) Reminder sent to tenant about outstanding balance with a link provided for payment submission.
Last Updated: 2026-04-21</t>
  </si>
  <si>
    <t>03/24/2026 11:33 AM ava.cm@cafmanagement.com:court date for 3/26 @9:30am 3/24 came in the office said the notice says he only owes $1500 explained to him that amount is just for base rent and that in order to pay and stay he will need to pay the full balance due on his account and if the charges for April are already added he will have to pay that as well said he will talk to the Judge tomorrow</t>
  </si>
  <si>
    <t>04/21/2026 01:24 AM meet_elise_api@cafmanagement:AI Summary:
(4/20/2026) Sent a message to tenant regarding unpaid balance, requesting payment today and offering assistance for any questions.
Last Updated: 2026-04-21</t>
  </si>
  <si>
    <t>03/04/2026 05:29 PM ava.cm@cafmanagement.com:3/4 network difficulties unable to complete call   knocked on door no answer</t>
  </si>
  <si>
    <t>Current (Eviction)</t>
  </si>
  <si>
    <t>03/21/2026 01:12 AM meet_elise_api@cafmanagement:AI Summary:
(3/20/2026) Agent reached out to remind tenant about balance and inquired about payment timing, providing a link for payment submission.
Last Updated: 2026-03-21</t>
  </si>
  <si>
    <t>02/10/2026 01:45 AM meet_elise_api@cafmanagement:AI Summary:
(2/8/2026) Agent informed resident of open charges and provided a link for payment submission.
Last Updated: 2026-02-10</t>
  </si>
  <si>
    <t>04/19/2026 01:10 AM meet_elise_api@cafmanagement:AI Summary:
(4/18/2026) Agent reached out to inquire about a payment date for the outstanding balance and provided a link for payment.
Last Updated: 2026-04-19</t>
  </si>
  <si>
    <t>04/21/2026 01:26 AM meet_elise_api@cafmanagement:AI Summary:
(4/20/2026) Agent inquired about the payment status and requested the tenant to pay off the balance today using the provided payment link.
Last Updated: 2026-04-21</t>
  </si>
  <si>
    <t>01/24/2026 10:05 AM meet_elise_api@cafmanagement:AI Summary:
(1/23/2026) Reminder sent to tenant about outstanding balance with a request to pay off the balance today.
Last Updated: 2026-01-24</t>
  </si>
  <si>
    <t>02/25/2026 03:38 AM meet_elise_api@cafmanagement:AI Summary:
(2/18/2026 - 2/24/2026) Sent two messages reminding tenant of unpaid balance and requesting payment. No response received.
Last Updated: 2026-02-25</t>
  </si>
  <si>
    <t>04/19/2026 01:10 AM meet_elise_api@cafmanagement:AI Summary:
(4/18/2026) Sent a message inquiring about the pending balance and requested payment through the provided payment link. Awaiting tenant's response.
Last Updated: 2026-04-19</t>
  </si>
  <si>
    <t>04/17/2026 01:25 AM meet_elise_api@cafmanagement:AI Summary:
(4/16/2026) Contacted tenant regarding outstanding balance, requested payment through provided payment link, and offered assistance for any questions.
Last Updated: 2026-04-17</t>
  </si>
  <si>
    <t>04/18/2026 01:11 AM meet_elise_api@cafmanagement:AI Summary:
(4/17/2026) Sent a message to tenant regarding overdue payment, provided a link for payment submission, and offered assistance for any questions.
Last Updated: 2026-04-18</t>
  </si>
  <si>
    <t>03/16/2026 01:04 AM meet_elise_api@cafmanagement:AI Summary:
(3/15/2026) Informed tenant of balance due and provided a link for payment submission.
Last Updated: 2026-03-16</t>
  </si>
  <si>
    <t>01/20/2026 09:46 PM meet_elise_api@cafmanagement:AI Summary:
(1/20/2026) Agent reminded tenant of overdue balance and provided a link for payment submission.
Last Updated: 2026-01-20</t>
  </si>
  <si>
    <t>04/20/2026 01:11 AM meet_elise_api@cafmanagement:AI Summary:
(4/19/2026) Agent inquired about payment date for outstanding balance and provided a link for payment.
Last Updated: 2026-04-20</t>
  </si>
  <si>
    <t>04/18/2026 01:12 AM meet_elise_api@cafmanagement:AI Summary:
(4/17/2026) Sent a message to the tenant regarding overdue payment, providing a link for viewing and submitting payment.
Last Updated: 2026-04-18</t>
  </si>
  <si>
    <t>04/18/2026 01:11 AM meet_elise_api@cafmanagement:AI Summary:
(4/17/2026) Sent a reminder about the outstanding balance and provided a link for payment submission.
Last Updated: 2026-04-18</t>
  </si>
  <si>
    <t>04/21/2026 01:28 AM meet_elise_api@cafmanagement:AI Summary:
(4/20/2026) Sent a message to the tenant regarding overdue balance, provided a link for payment submission, and offered assistance for any questions.
Last Updated: 2026-04-21</t>
  </si>
  <si>
    <t>04/21/2026 01:27 AM meet_elise_api@cafmanagement:AI Summary:
(4/20/2026) Agent informed tenant of open charges and requested payment of the total balance, providing a link for payment.
Last Updated: 2026-04-21</t>
  </si>
  <si>
    <t>01/17/2026 06:48 PM meet_elise_api@cafmanagement:AI Summary:
(1/13/2026) Message sent to tenant regarding overdue balance with a request to pay off the balance using the provided payment link.
Last Updated: 2026-01-17</t>
  </si>
  <si>
    <t>04/21/2026 01:26 AM meet_elise_api@cafmanagement:AI Summary:
(4/20/2026) Sent a message to the tenant inquiring about the expected payment date and provided a link for payment submission.
Last Updated: 2026-04-21</t>
  </si>
  <si>
    <t>01/07/2026 04:54 PM meet_elise_api@cafmanagement:AI Summary:
(1/3/2026 - 1/4/2026) Property manager introduced themselves and informed the tenant of new charges and the total balance due. Mentioned potential late fees starting on the 4th if not paid in full. Provided a link for payment submission. Sent a follow-up message the next day reiterating the balance and payment link.
Last Updated: 2026-01-07</t>
  </si>
  <si>
    <t>W03-1-0324</t>
  </si>
  <si>
    <t>Castro, Susana</t>
  </si>
  <si>
    <t>04/21/2026 01:25 AM meet_elise_api@cafmanagement:AI Summary:
(4/20/2026) Sent a message to tenant regarding overdue payment, provided a link for payment submission.
Last Updated: 2026-04-21</t>
  </si>
  <si>
    <t>03/16/2026 01:06 AM meet_elise_api@cafmanagement:AI Summary:
(3/15/2026) Informed tenant of outstanding balance and provided a link for payment submission.
Last Updated: 2026-03-16</t>
  </si>
  <si>
    <t>02/25/2026 03:46 AM meet_elise_api@cafmanagement:AI Summary:
(2/18/2026 - 2/24/2026) Sent two messages reminding tenant of overdue payment and provided a link for payment. No response from tenant.
Last Updated: 2026-02-25</t>
  </si>
  <si>
    <t>02/11/2026 12:31 AM meet_elise_api@cafmanagement:AI Summary:
(2/10/2026) Agent informed tenant of overdue payment and requested settlement of the balance. Provided a link for payment.
Last Updated: 2026-02-10</t>
  </si>
  <si>
    <t>04/20/2026 01:10 AM meet_elise_api@cafmanagement:AI Summary:
(4/19/2026) Sent a message to tenant regarding overdue balance, provided a link for payment submission.
Last Updated: 2026-04-20</t>
  </si>
  <si>
    <t>04/21/2026 01:28 AM meet_elise_api@cafmanagement:AI Summary:
(4/20/2026) Reminder sent to tenant about outstanding balance with a request to pay off the balance today.
Last Updated: 2026-04-21</t>
  </si>
  <si>
    <t>02/15/2026 02:36 AM meet_elise_api@cafmanagement:AI Summary:
(2/14/2026) Agent informed tenant of a balance due and provided a link for payment. No response from tenant.
Last Updated: 2026-02-15</t>
  </si>
  <si>
    <t>04/18/2026 01:12 AM meet_elise_api@cafmanagement:AI Summary:
(4/17/2026) Message sent to tenant regarding overdue balance, with a link provided for payment submission.
Last Updated: 2026-04-18</t>
  </si>
  <si>
    <t>Current (Eviction, Month To Month)</t>
  </si>
  <si>
    <t>03/24/2026 09:16 AM ava.cm@cafmanagement.com:3/23 Court at 1:30pm Possession granted can file writ on 3/31</t>
  </si>
  <si>
    <t>03/21/2026 01:06 AM meet_elise_api@cafmanagement:AI Summary:
(3/20/2026) Inquired about payment date for outstanding balance and provided a link for payment.
Last Updated: 2026-03-21</t>
  </si>
  <si>
    <t>04/20/2026 01:11 AM meet_elise_api@cafmanagement:AI Summary:
(4/19/2026) Message sent to tenant regarding open charges and balance due, with a link provided for payment submission.
Last Updated: 2026-04-20</t>
  </si>
  <si>
    <t>03/27/2026 01:05 AM meet_elise_api@cafmanagement:AI Summary:
(3/26/2026) Inquired about payment date and provided a link for payment.
Last Updated: 2026-03-27</t>
  </si>
  <si>
    <t>04/20/2026 01:10 AM meet_elise_api@cafmanagement:AI Summary:
(4/19/2026) Sent a message to tenant regarding overdue payment, requesting settlement of the balance. Provided a link for payment.
Last Updated: 2026-04-20</t>
  </si>
  <si>
    <t>04/17/2026 01:22 AM meet_elise_api@cafmanagement:AI Summary:
(4/16/2026) Agent inquired about the payment status and provided a link for payment submission.
Last Updated: 2026-04-17</t>
  </si>
  <si>
    <t>04/11/2026 01:14 AM meet_elise_api@cafmanagement:AI Summary:
(4/10/2026) Resident sent a message expressing frustration and demanding a response.
Last Updated: 2026-04-11</t>
  </si>
  <si>
    <t>01/24/2026 10:06 AM meet_elise_api@cafmanagement:AI Summary:
(1/23/2026) Agent informed tenant of open charges and provided a link for payment submission.
Last Updated: 2026-01-24</t>
  </si>
  <si>
    <t>04/21/2026 01:24 AM meet_elise_api@cafmanagement:AI Summary:
(4/20/2026) Agent inquired about payment timing and provided a link for payment submission.
Last Updated: 2026-04-21</t>
  </si>
  <si>
    <t>04/18/2026 01:13 AM meet_elise_api@cafmanagement:AI Summary:
(4/17/2026) Sent a message to the tenant about the outstanding balance and provided a link for payment submission.
Last Updated: 2026-04-18</t>
  </si>
  <si>
    <t>02/25/2026 03:44 AM meet_elise_api@cafmanagement:AI Summary:
(2/18/2026 - 2/24/2026) Sent two messages reminding tenant about outstanding balance and inquiring about payment date, included link for payment. No response received.
Last Updated: 2026-02-25</t>
  </si>
  <si>
    <t>04/04/2026 01:32 AM meet_elise_api@cafmanagement:AI Summary:
(4/3/2026) Agent contacted tenant regarding overdue payment, provided link for payment submission.
Last Updated: 2026-04-04</t>
  </si>
  <si>
    <t>04/21/2026 01:27 AM meet_elise_api@cafmanagement:AI Summary:
(4/20/2026) Agent inquired about payment date and provided a link for payment.
Last Updated: 2026-04-21</t>
  </si>
  <si>
    <t>04/08/2026 01:13 AM meet_elise_api@cafmanagement:AI Summary:
(4/7/2026) Agent contacted resident regarding overdue payment, provided a link for payment submission, and offered assistance for any questions.
Last Updated: 2026-04-08</t>
  </si>
  <si>
    <t>03/19/2026 01:06 AM meet_elise_api@cafmanagement:AI Summary:
(3/18/2026) Agent reached out to tenant regarding unpaid balance, inquiring about expected payment date and provided a link for payment submission.
Last Updated: 2026-03-19</t>
  </si>
  <si>
    <t>04/22/2026 01:12 AM meet_elise_api@cafmanagement:AI Summary:
(4/21/2026) Agent contacted resident to inquire about payment timing and requested payment through a provided link. No response from resident.
Last Updated: 2026-04-22</t>
  </si>
  <si>
    <t>04/22/2026 01:13 AM meet_elise_api@cafmanagement:AI Summary:
(4/21/2026) Sent a message to the tenant inquiring about the unpaid balance and requesting payment through the provided payment link.
Last Updated: 2026-04-22</t>
  </si>
  <si>
    <t>04/20/2026 01:11 AM meet_elise_api@cafmanagement:AI Summary:
(4/19/2026) Agent informed resident of a balance due and provided a link for payment submission.
Last Updated: 2026-04-20</t>
  </si>
  <si>
    <t>03/21/2026 01:08 AM meet_elise_api@cafmanagement:AI Summary:
(3/20/2026) Informed resident of new charges and provided a link for payment submission.
Last Updated: 2026-03-21</t>
  </si>
  <si>
    <t>03/29/2026 01:07 AM meet_elise_api@cafmanagement:AI Summary:
(3/28/2026) Reminder sent to tenant about outstanding balance with a link provided for payment submission.
Last Updated: 2026-03-29</t>
  </si>
  <si>
    <t>04/18/2026 01:12 AM meet_elise_api@cafmanagement:AI Summary:
(4/17/2026) Sent a reminder about the balance due and provided a link for payment submission.
Last Updated: 2026-04-18</t>
  </si>
  <si>
    <t>04/21/2026 01:24 AM meet_elise_api@cafmanagement:AI Summary:
(4/20/2026) Agent inquired about the payment status and requested the tenant to pay off the balance today using the provided payment link.
Last Updated: 2026-04-21</t>
  </si>
  <si>
    <t>04/03/2026 11:40 PM meet_elise_api@cafmanagement:AI Summary:
(4/2/2026) Sent a message to the tenant regarding overdue payment, provided a link for viewing and submitting payment.
Last Updated: 2026-04-03</t>
  </si>
  <si>
    <t>04/18/2026 01:12 AM meet_elise_api@cafmanagement:AI Summary:
(4/17/2026) Sent a message to the tenant regarding overdue balance, provided a link for payment submission.
Last Updated: 2026-04-18</t>
  </si>
  <si>
    <t>04/21/2026 01:27 AM meet_elise_api@cafmanagement:AI Summary:
(4/20/2026) Sent a reminder about the outstanding balance and provided a link for payment.
Last Updated: 2026-04-21</t>
  </si>
  <si>
    <t>04/20/2026 01:11 AM meet_elise_api@cafmanagement:AI Summary:
(4/19/2026) Agent reminded tenant of open charges and provided a link for payment submission.
Last Updated: 2026-04-20</t>
  </si>
  <si>
    <t>02/22/2026 09:24 PM nortiz@cafmanagement.com:filed an appeal.</t>
  </si>
  <si>
    <t>04/21/2026 01:29 AM meet_elise_api@cafmanagement:AI Summary:
(4/20/2026) Sent a message to tenant regarding overdue balance, provided a link for payment submission.
Last Updated: 2026-04-21</t>
  </si>
  <si>
    <t>02/25/2026 03:46 AM meet_elise_api@cafmanagement:AI Summary:
(2/18/2026 - 2/24/2026) Sent two messages reminding tenant of overdue balance and provided a link for payment. No response from tenant.
Last Updated: 2026-02-25</t>
  </si>
  <si>
    <t>02/21/2026 03:46 AM meet_elise_api@cafmanagement:AI Summary:
(2/20/2026) Agent contacted tenant regarding overdue balance, requesting prompt payment and provided a link for payment.
Last Updated: 2026-02-21</t>
  </si>
  <si>
    <t>04/21/2026 01:25 AM meet_elise_api@cafmanagement:AI Summary:
(4/20/2026) Agent contacted resident to inquire about payment timing and requested payment through a provided link.
Last Updated: 2026-04-21</t>
  </si>
  <si>
    <t>03/06/2026 12:59 AM meet_elise_api@cafmanagement:AI Summary:
(3/5/2026) Agent informed tenant of open charges and provided a link for payment submission.
Last Updated: 2026-03-05</t>
  </si>
  <si>
    <t>04/17/2026 01:25 AM meet_elise_api@cafmanagement:AI Summary:
(4/16/2026) Sent a message to the tenant regarding overdue balance, provided a link for payment submission.
Last Updated: 2026-04-17</t>
  </si>
  <si>
    <t>04/21/2026 01:27 AM meet_elise_api@cafmanagement:AI Summary:
(4/20/2026) Agent contacted tenant regarding outstanding balance and requested payment through a provided link. Awaiting tenant's response.
Last Updated: 2026-04-21</t>
  </si>
  <si>
    <t>04/01/2026 01:03 AM meet_elise_api@cafmanagement:AI Summary:
(3/31/2026) Agent informed tenant of overdue payment and provided a link for payment submission.
Last Updated: 2026-04-01</t>
  </si>
  <si>
    <t>04/12/2026 01:23 AM meet_elise_api@cafmanagement:AI Summary:
(4/11/2026) Sent a message to tenant regarding overdue payment, provided a link for payment, and requested to settle the account.
Last Updated: 2026-04-12</t>
  </si>
  <si>
    <t>01/24/2026 10:04 AM meet_elise_api@cafmanagement:AI Summary:
(1/23/2026) Agent informed tenant of open charges and provided a link for payment submission.
Last Updated: 2026-01-24</t>
  </si>
  <si>
    <t>04/03/2026 11:40 PM meet_elise_api@cafmanagement:AI Summary:
(4/2/2026) Informed tenant of balance due and provided a link for payment submission.
Last Updated: 2026-04-03</t>
  </si>
  <si>
    <t>03/19/2026 01:04 AM meet_elise_api@cafmanagement:AI Summary:
(3/18/2026) Sent a message to the tenant regarding overdue payment, including a link for payment.
Last Updated: 2026-03-19</t>
  </si>
  <si>
    <t>03/20/2026 01:07 AM meet_elise_api@cafmanagement:AI Summary:
(3/19/2026) Sent a message to the tenant regarding overdue payment, including a link for payment and the total balance due.
Last Updated: 2026-03-20</t>
  </si>
  <si>
    <t>02/03/2026 04:42 PM meet_elise_api@cafmanagement:AI Summary:
(2/1/2026) Reached out to tenant regarding unpaid balance, provided link for payment submission, awaiting response.
Last Updated: 2026-02-03</t>
  </si>
  <si>
    <t>02/14/2026 06:42 AM meet_elise_api@cafmanagement:AI Summary:
(2/13/2026) Sent a reminder about the outstanding balance and provided a link for payment.
Last Updated: 2026-02-14</t>
  </si>
  <si>
    <t>03/21/2026 01:11 AM meet_elise_api@cafmanagement:AI Summary:
(3/20/2026) Contacted tenant regarding balance and inquired about payment plans. Provided a link for payment submission.
Last Updated: 2026-03-21</t>
  </si>
  <si>
    <t>03/18/2026 01:03 AM meet_elise_api@cafmanagement:AI Summary:
(3/17/2026) Agent informed tenant of open charges and requested payment of the total balance due, providing a link for payment.
Last Updated: 2026-03-18</t>
  </si>
  <si>
    <t>04/16/2026 01:09 AM meet_elise_api@cafmanagement:AI Summary:
(4/15/2026) Informed tenant to submit a work order for mailbox key and register car through H4 towing.
Last Updated: 2026-04-16</t>
  </si>
  <si>
    <t>04/21/2026 01:24 AM meet_elise_api@cafmanagement:AI Summary:
(4/20/2026) Sent a message to tenant about overdue balance, provided a link for payment submission.
Last Updated: 2026-04-21</t>
  </si>
  <si>
    <t>03/30/2026 01:02 AM meet_elise_api@cafmanagement:AI Summary:
(3/29/2026) Informed tenant of balance due and provided a link for payment submission.
Last Updated: 2026-03-30</t>
  </si>
  <si>
    <t>04/21/2026 01:24 AM meet_elise_api@cafmanagement:AI Summary:
(4/20/2026) Sent a message to the tenant regarding overdue payment, requesting settlement of the balance today.
Last Updated: 2026-04-21</t>
  </si>
  <si>
    <t>04/21/2026 01:29 AM meet_elise_api@cafmanagement:AI Summary:
(4/20/2026) Agent reminded resident about unpaid balance and requested payment. Resident promised to pay by the end of the month. Colleague informed resident that eviction has been filed and full balance, including court costs and fees, must be paid.
Last Updated: 2026-04-21</t>
  </si>
  <si>
    <t>02/25/2026 03:41 AM meet_elise_api@cafmanagement:AI Summary:
(2/18/2026 - 2/24/2026) Sent two messages reminding tenant of outstanding balance and provided a link for payment. No response received.
Last Updated: 2026-02-25</t>
  </si>
  <si>
    <t>04/21/2026 01:26 AM meet_elise_api@cafmanagement:AI Summary:
(10/5/2023) No notable activity.
Last Updated: 2026-04-21</t>
  </si>
  <si>
    <t>03/05/2026 11:50 AM ava.cm@cafmanagement.com:3/5 no answer</t>
  </si>
  <si>
    <t>02/25/2026 03:42 AM meet_elise_api@cafmanagement:AI Summary:
(2/18/2026 - 2/24/2026) Sent two messages inquiring about payment date and provided a link for payment submission. No response received.
Last Updated: 2026-02-25</t>
  </si>
  <si>
    <t>03/21/2026 01:09 AM meet_elise_api@cafmanagement:AI Summary:
(3/20/2026) Message sent to tenant regarding open charges and a request to settle the balance. Payment link provided for convenience.
Last Updated: 2026-03-21</t>
  </si>
  <si>
    <t>01/24/2026 10:09 AM meet_elise_api@cafmanagement:AI Summary:
(1/23/2026) Agent reminded tenant of open charges and requested payment through a provided link.
Last Updated: 2026-01-24</t>
  </si>
  <si>
    <t>03/21/2026 01:11 AM meet_elise_api@cafmanagement:AI Summary:
(3/20/2026) Sent a message to the tenant inquiring about the unpaid balance and requesting payment through the provided payment link. Awaiting tenant's response.
Last Updated: 2026-03-21</t>
  </si>
  <si>
    <t>03/21/2026 01:12 AM meet_elise_api@cafmanagement:AI Summary:
(3/20/2026) Sent a message to the tenant regarding overdue payment, including a link for payment.
Last Updated: 2026-03-21</t>
  </si>
  <si>
    <t>Property Name</t>
  </si>
  <si>
    <t>Application Id</t>
  </si>
  <si>
    <t>Original Contact</t>
  </si>
  <si>
    <t>Created On</t>
  </si>
  <si>
    <t>Application - Started</t>
  </si>
  <si>
    <t>Lease - Started</t>
  </si>
  <si>
    <t>Lease - Partially Completed</t>
  </si>
  <si>
    <t>Cancelled On</t>
  </si>
  <si>
    <t>Denied On</t>
  </si>
  <si>
    <t>Reopened On</t>
  </si>
  <si>
    <t>&amp;#128149;., Miiyadabraat</t>
  </si>
  <si>
    <t>Guest Card: Completed</t>
  </si>
  <si>
    <t>Email</t>
  </si>
  <si>
    <t>Abreus, Isabel Patrica</t>
  </si>
  <si>
    <t>Visit/Tour</t>
  </si>
  <si>
    <t>Adams, Amanda</t>
  </si>
  <si>
    <t>Online</t>
  </si>
  <si>
    <t>Aguirre, Jennifer</t>
  </si>
  <si>
    <t>Application: Cancelled</t>
  </si>
  <si>
    <t>Aguirre, Jose</t>
  </si>
  <si>
    <t>Akulu, Amanuel</t>
  </si>
  <si>
    <t>Alade, Olanrewaju</t>
  </si>
  <si>
    <t>Reyes, Martha</t>
  </si>
  <si>
    <t>Alams, Anne</t>
  </si>
  <si>
    <t>Guest Card: Cancelled</t>
  </si>
  <si>
    <t>Call</t>
  </si>
  <si>
    <t>Allen, Breau</t>
  </si>
  <si>
    <t>Allen, Valerie</t>
  </si>
  <si>
    <t>Alparada, Wilmaira</t>
  </si>
  <si>
    <t>Alpirez, Evaleen</t>
  </si>
  <si>
    <t>Alva, Jason</t>
  </si>
  <si>
    <t>Amador, Daniel</t>
  </si>
  <si>
    <t>N03-1018</t>
  </si>
  <si>
    <t>Aminu, Murtala Mohammad</t>
  </si>
  <si>
    <t>Analaba, Ihauama</t>
  </si>
  <si>
    <t>Anderson, Dream</t>
  </si>
  <si>
    <t>Andrade Borjas, Darwin</t>
  </si>
  <si>
    <t>Andrews, Jashawn</t>
  </si>
  <si>
    <t>W12-1-1220</t>
  </si>
  <si>
    <t>W03-1-0303</t>
  </si>
  <si>
    <t>Anselmi Rojas, Johan</t>
  </si>
  <si>
    <t>Aransiola, Deborah</t>
  </si>
  <si>
    <t>W28-2-2019</t>
  </si>
  <si>
    <t>armstrong, peyton</t>
  </si>
  <si>
    <t>Atkins, Tamika</t>
  </si>
  <si>
    <t>Ausmore-Reid, Kiamesha</t>
  </si>
  <si>
    <t>Austin, Warren</t>
  </si>
  <si>
    <t>Avila, Maricarmen</t>
  </si>
  <si>
    <t>Bailey, Janae</t>
  </si>
  <si>
    <t>Bailon, Nayeli</t>
  </si>
  <si>
    <t>Bamboa, Jose de Jesus</t>
  </si>
  <si>
    <t>N01-1002</t>
  </si>
  <si>
    <t>Barrios quiroz, Eduardo</t>
  </si>
  <si>
    <t>Previous Resident Referral</t>
  </si>
  <si>
    <t>N22-1096</t>
  </si>
  <si>
    <t>Barry, Amadou</t>
  </si>
  <si>
    <t>Text</t>
  </si>
  <si>
    <t>Bashiru, Odunayo</t>
  </si>
  <si>
    <t>Bates, Cedric</t>
  </si>
  <si>
    <t>Bayless, Kristen</t>
  </si>
  <si>
    <t>Beachem, Kayla</t>
  </si>
  <si>
    <t>Beachum, Asia</t>
  </si>
  <si>
    <t>Beard, Angel</t>
  </si>
  <si>
    <t>Bell, Nehemiah</t>
  </si>
  <si>
    <t>N03-2014</t>
  </si>
  <si>
    <t>Belvin, Brent</t>
  </si>
  <si>
    <t>Bennett, Monique</t>
  </si>
  <si>
    <t>Bentacur, Nolvis</t>
  </si>
  <si>
    <t>Lease: Completed</t>
  </si>
  <si>
    <t>Boone, Paul</t>
  </si>
  <si>
    <t>Boston, Porscha</t>
  </si>
  <si>
    <t>Brent, Avion</t>
  </si>
  <si>
    <t>Brereton, Jamel</t>
  </si>
  <si>
    <t>Bridge Donald, Harper</t>
  </si>
  <si>
    <t>Briggs, Angel</t>
  </si>
  <si>
    <t>Brooks, Niya</t>
  </si>
  <si>
    <t>BROSSETT-EARLY, Corvette</t>
  </si>
  <si>
    <t>Browder, Briana</t>
  </si>
  <si>
    <t>Brown, Alfredia</t>
  </si>
  <si>
    <t>Brown, Larry</t>
  </si>
  <si>
    <t>Brown, Nakeisha</t>
  </si>
  <si>
    <t>N18-2084</t>
  </si>
  <si>
    <t>Brown, Shontasia</t>
  </si>
  <si>
    <t>Bryant, Veronica</t>
  </si>
  <si>
    <t>Burgess, Christopher</t>
  </si>
  <si>
    <t>Burrell, Lueretia</t>
  </si>
  <si>
    <t>Cabrera, Alissa</t>
  </si>
  <si>
    <t>Cabrera, Barbaro</t>
  </si>
  <si>
    <t>Camacho, Jose</t>
  </si>
  <si>
    <t>Campbell, Natalie</t>
  </si>
  <si>
    <t>Lease: Approved</t>
  </si>
  <si>
    <t>N04-1022</t>
  </si>
  <si>
    <t>Carrie, Lashanea</t>
  </si>
  <si>
    <t>Castillo, Diana</t>
  </si>
  <si>
    <t>Castillo, Eric</t>
  </si>
  <si>
    <t>Castillo, Faigh</t>
  </si>
  <si>
    <t>Caston, Chava</t>
  </si>
  <si>
    <t>Chaljub-Zambrano, Marcos</t>
  </si>
  <si>
    <t>Chavez, Raven</t>
  </si>
  <si>
    <t>Cheema, Bushra</t>
  </si>
  <si>
    <t>Chinchilla, Claudia</t>
  </si>
  <si>
    <t>N12-2048</t>
  </si>
  <si>
    <t>Colaire, Mckim</t>
  </si>
  <si>
    <t>N14-2059</t>
  </si>
  <si>
    <t>Cook Richardson, Lakendrea</t>
  </si>
  <si>
    <t>Cooper, Tyeshaun</t>
  </si>
  <si>
    <t>Cornelius, Dalecia</t>
  </si>
  <si>
    <t>Coulthurst, Kayla</t>
  </si>
  <si>
    <t>Crawford, Rayvion</t>
  </si>
  <si>
    <t>W04-1-0416</t>
  </si>
  <si>
    <t>Curtis, Queen</t>
  </si>
  <si>
    <t>Not Provided</t>
  </si>
  <si>
    <t>Derrick, Paul</t>
  </si>
  <si>
    <t>Desanto, Dylan</t>
  </si>
  <si>
    <t>Desiderio, Yoselin</t>
  </si>
  <si>
    <t>Dews, Chester</t>
  </si>
  <si>
    <t>W15-2-2092</t>
  </si>
  <si>
    <t>Diaz, Ashley</t>
  </si>
  <si>
    <t>Diaz, Ismael</t>
  </si>
  <si>
    <t>Doing, Stuart</t>
  </si>
  <si>
    <t>Dotson, Morgan</t>
  </si>
  <si>
    <t>Dunn, Tisheena</t>
  </si>
  <si>
    <t>Duran, William</t>
  </si>
  <si>
    <t>Duri, Monique</t>
  </si>
  <si>
    <t>Dyer, Zeniaya Kal'I</t>
  </si>
  <si>
    <t>DYKES, QUALONDA</t>
  </si>
  <si>
    <t>Easter, Jayla</t>
  </si>
  <si>
    <t>Apartment List</t>
  </si>
  <si>
    <t>Edwards, Sariya</t>
  </si>
  <si>
    <t>Elizor, Melissa</t>
  </si>
  <si>
    <t>Elliott, Kiana</t>
  </si>
  <si>
    <t>Ellis, Kayla</t>
  </si>
  <si>
    <t>Ellis, Marquavon</t>
  </si>
  <si>
    <t>Emerick, Madeline</t>
  </si>
  <si>
    <t>Epinayu, Maira</t>
  </si>
  <si>
    <t>Esquivel Arredondo, Allan</t>
  </si>
  <si>
    <t>Estes, Kyla</t>
  </si>
  <si>
    <t>Evans, Huni</t>
  </si>
  <si>
    <t>Faulk, Hailey</t>
  </si>
  <si>
    <t>S30-223</t>
  </si>
  <si>
    <t>Fernanderz, Nina</t>
  </si>
  <si>
    <t>FIGUERO, Fernando</t>
  </si>
  <si>
    <t>Fitzgerald, Cyan</t>
  </si>
  <si>
    <t>Flanigan, Brianna Garcia</t>
  </si>
  <si>
    <t>Flores, Andrew</t>
  </si>
  <si>
    <t>Flores, Eli</t>
  </si>
  <si>
    <t>Flores, Escamila</t>
  </si>
  <si>
    <t>Folusho, Seaun</t>
  </si>
  <si>
    <t>Foster, Chantevia</t>
  </si>
  <si>
    <t>Franco, Joan</t>
  </si>
  <si>
    <t>Franklin, Anton</t>
  </si>
  <si>
    <t>Frontado, Mayira</t>
  </si>
  <si>
    <t>Gaga, Vinnie</t>
  </si>
  <si>
    <t>Gaines, Steven</t>
  </si>
  <si>
    <t>RentVision Local SEO (GBP)</t>
  </si>
  <si>
    <t>Garcia, Alejandro</t>
  </si>
  <si>
    <t>Garcia, Claudia</t>
  </si>
  <si>
    <t>Garcia, Francisco</t>
  </si>
  <si>
    <t>Garcia, Janet</t>
  </si>
  <si>
    <t>Gatson, Octavia</t>
  </si>
  <si>
    <t>Geason, Jacob</t>
  </si>
  <si>
    <t>Gertsen Jr, Gary</t>
  </si>
  <si>
    <t>G, Megs</t>
  </si>
  <si>
    <t>Gomez Sanchez, Oscar</t>
  </si>
  <si>
    <t>Gonzalez, Idelciro</t>
  </si>
  <si>
    <t>Gonzalez, Natalia</t>
  </si>
  <si>
    <t>Gordon, Kathleen</t>
  </si>
  <si>
    <t>Graffis, Revka</t>
  </si>
  <si>
    <t>Graterol Jimenez, Luis</t>
  </si>
  <si>
    <t>Graves, Jennifer</t>
  </si>
  <si>
    <t>Green, Destiny</t>
  </si>
  <si>
    <t>Green, Sheridan</t>
  </si>
  <si>
    <t>Guerrero, Frank</t>
  </si>
  <si>
    <t>Gutierrez, Bladis</t>
  </si>
  <si>
    <t>Guttman, Tami</t>
  </si>
  <si>
    <t>W05-1-0518</t>
  </si>
  <si>
    <t>Guzman, Leslie</t>
  </si>
  <si>
    <t>Hall, Oliver</t>
  </si>
  <si>
    <t>Affordable Housing</t>
  </si>
  <si>
    <t>Hambrick, Nyla</t>
  </si>
  <si>
    <t>Hamilton, Jacobi</t>
  </si>
  <si>
    <t>Ham, Jacobiii</t>
  </si>
  <si>
    <t>Hampton, Shirlynn</t>
  </si>
  <si>
    <t>Hart, Brittany</t>
  </si>
  <si>
    <t>Harvey, Chancey</t>
  </si>
  <si>
    <t>Haynes, Betty</t>
  </si>
  <si>
    <t>W14-1-1401</t>
  </si>
  <si>
    <t>Haynes, bettyhaynes</t>
  </si>
  <si>
    <t>Heliso, Adonaye</t>
  </si>
  <si>
    <t>Hernandez, Jesus</t>
  </si>
  <si>
    <t>Hernandez, Phillip</t>
  </si>
  <si>
    <t>N08-2033</t>
  </si>
  <si>
    <t>Hinkel, August</t>
  </si>
  <si>
    <t>Hinkle, August</t>
  </si>
  <si>
    <t>Facebook</t>
  </si>
  <si>
    <t>Hintsa, Danaet</t>
  </si>
  <si>
    <t>Hiranhphom, Luca</t>
  </si>
  <si>
    <t>Hodge, Brock</t>
  </si>
  <si>
    <t>Holden, Brittany</t>
  </si>
  <si>
    <t>Holmes, Ronnie</t>
  </si>
  <si>
    <t>Holt, David</t>
  </si>
  <si>
    <t>Howard, Latasha</t>
  </si>
  <si>
    <t>Howe, Jolie</t>
  </si>
  <si>
    <t>Hudson, Anthony</t>
  </si>
  <si>
    <t>Hudson, ShNai</t>
  </si>
  <si>
    <t>HWeKJA, Unknown</t>
  </si>
  <si>
    <t>Inajosa, Michelle</t>
  </si>
  <si>
    <t>Isabell, Bettia</t>
  </si>
  <si>
    <t>Israel, Isaiah</t>
  </si>
  <si>
    <t>Jackson, Brianesha</t>
  </si>
  <si>
    <t>Jackson, Tamia</t>
  </si>
  <si>
    <t>W22-2-2050</t>
  </si>
  <si>
    <t>Jackson, Zoe</t>
  </si>
  <si>
    <t>Jamaluddin, Khuwaylah</t>
  </si>
  <si>
    <t>James, Alvin (AJ)</t>
  </si>
  <si>
    <t>jDfHv5, Unknown</t>
  </si>
  <si>
    <t>Jenkins, Katlynn</t>
  </si>
  <si>
    <t>Johnson, Benjamin</t>
  </si>
  <si>
    <t>Johnson, Malia</t>
  </si>
  <si>
    <t>Zillow</t>
  </si>
  <si>
    <t>W21-2-1054</t>
  </si>
  <si>
    <t>Johnson, Mary</t>
  </si>
  <si>
    <t>Johnson, Michelle</t>
  </si>
  <si>
    <t>Johnson, Rhonda</t>
  </si>
  <si>
    <t>Johnson, Shauntay</t>
  </si>
  <si>
    <t>Jones, Aviance</t>
  </si>
  <si>
    <t>Jones, Brionna</t>
  </si>
  <si>
    <t>Jones, Cabria</t>
  </si>
  <si>
    <t>Jones, Emmanuel</t>
  </si>
  <si>
    <t>W24-2-1036</t>
  </si>
  <si>
    <t>Jones, Jada</t>
  </si>
  <si>
    <t>S31-219</t>
  </si>
  <si>
    <t>Jones, Jaylan</t>
  </si>
  <si>
    <t>Jones, Laverne</t>
  </si>
  <si>
    <t>Jones, Miyara</t>
  </si>
  <si>
    <t>Bing</t>
  </si>
  <si>
    <t>Jones, Savannah</t>
  </si>
  <si>
    <t>Jordan, Emma</t>
  </si>
  <si>
    <t>J, Yves</t>
  </si>
  <si>
    <t>Kelley, Christyana</t>
  </si>
  <si>
    <t>Kirsch, John</t>
  </si>
  <si>
    <t>Knight, Jaida</t>
  </si>
  <si>
    <t>Lainez, Dania</t>
  </si>
  <si>
    <t>Lama, Jenny</t>
  </si>
  <si>
    <t>Langford, Hayden</t>
  </si>
  <si>
    <t>W18-2-2072</t>
  </si>
  <si>
    <t>Larroy, Miachael</t>
  </si>
  <si>
    <t>Latimer, Kanya</t>
  </si>
  <si>
    <t>Lee, Ricky</t>
  </si>
  <si>
    <t>Lee, Sha</t>
  </si>
  <si>
    <t>Lee, Zariah</t>
  </si>
  <si>
    <t>Letelier, Liz</t>
  </si>
  <si>
    <t>Lewis, AuJeanae</t>
  </si>
  <si>
    <t>W17-2-1079</t>
  </si>
  <si>
    <t>Lewis, Deanaali</t>
  </si>
  <si>
    <t>Lewis, Jasean</t>
  </si>
  <si>
    <t>Leza, Aisha</t>
  </si>
  <si>
    <t>Lidell, Marquis</t>
  </si>
  <si>
    <t>Link, Larry</t>
  </si>
  <si>
    <t>Lin, Shamiya</t>
  </si>
  <si>
    <t>Lopez, Devora</t>
  </si>
  <si>
    <t>Lopez Gonzalez, Gustavo</t>
  </si>
  <si>
    <t>lopez, gustavo</t>
  </si>
  <si>
    <t>Lopez, Nestor</t>
  </si>
  <si>
    <t>Lopez, Nicolle</t>
  </si>
  <si>
    <t>Lopez, Rose</t>
  </si>
  <si>
    <t>Mack-McNair, Jordan</t>
  </si>
  <si>
    <t>Maddox, Travonta</t>
  </si>
  <si>
    <t>Malone, Kayla</t>
  </si>
  <si>
    <t>Malveaux, Alaiyah</t>
  </si>
  <si>
    <t>Manano, Keith</t>
  </si>
  <si>
    <t>Mancias, Marissa</t>
  </si>
  <si>
    <t>Marie, Ava</t>
  </si>
  <si>
    <t>Marshall, Christine</t>
  </si>
  <si>
    <t>N26-1104</t>
  </si>
  <si>
    <t>Martin, Addison</t>
  </si>
  <si>
    <t>Martinez, Belen</t>
  </si>
  <si>
    <t>S35-247</t>
  </si>
  <si>
    <t>Martinez, Belen Sinai</t>
  </si>
  <si>
    <t>Martinez, Maresa</t>
  </si>
  <si>
    <t>Mathis, Takeyvia</t>
  </si>
  <si>
    <t>May, Saliah</t>
  </si>
  <si>
    <t>McCoy, Christina</t>
  </si>
  <si>
    <t>Mccoy, Kajai</t>
  </si>
  <si>
    <t>Mcdonald, Jatori</t>
  </si>
  <si>
    <t>Mcleod, Kaseem</t>
  </si>
  <si>
    <t>Mcneal, Ziera</t>
  </si>
  <si>
    <t>Mendoza, Imelda</t>
  </si>
  <si>
    <t>Meyer, Kelsey</t>
  </si>
  <si>
    <t>Mihyar, Yousif</t>
  </si>
  <si>
    <t>Miranda, Chantal</t>
  </si>
  <si>
    <t>Mitchell, John</t>
  </si>
  <si>
    <t>Mitchell, Melody</t>
  </si>
  <si>
    <t>Mizan, Semira</t>
  </si>
  <si>
    <t>Mohammad, Murtala</t>
  </si>
  <si>
    <t>Moore, Eugene</t>
  </si>
  <si>
    <t>Morales Amesty, Jose</t>
  </si>
  <si>
    <t>Moran, Fernando</t>
  </si>
  <si>
    <t>Mosier, Winnie</t>
  </si>
  <si>
    <t>Mosley, Tyriana</t>
  </si>
  <si>
    <t>Muggio, Emily</t>
  </si>
  <si>
    <t>Munoz, Kenzee</t>
  </si>
  <si>
    <t>Murray, Terrell</t>
  </si>
  <si>
    <t>Neely, Montreia</t>
  </si>
  <si>
    <t>Nelson, Nikkiyah</t>
  </si>
  <si>
    <t>Instagram</t>
  </si>
  <si>
    <t>New, Augu</t>
  </si>
  <si>
    <t>Northern, Tundra</t>
  </si>
  <si>
    <t>Not_Provided, Keisha</t>
  </si>
  <si>
    <t>Nussly, Fuck</t>
  </si>
  <si>
    <t>Odigie, Emmanuel</t>
  </si>
  <si>
    <t>W18-2-2071</t>
  </si>
  <si>
    <t>Ofili, Bukunmi</t>
  </si>
  <si>
    <t>Ogundyile, Olusaoga</t>
  </si>
  <si>
    <t>Oke, Brettney</t>
  </si>
  <si>
    <t>Olanrenaiu, Ahade</t>
  </si>
  <si>
    <t>W11-1-1103</t>
  </si>
  <si>
    <t>Oliver, Jasmin</t>
  </si>
  <si>
    <t>Oliver, Josue</t>
  </si>
  <si>
    <t>Omar, Mohammad</t>
  </si>
  <si>
    <t>Omochere, Matthew</t>
  </si>
  <si>
    <t>Opara, Clarissa</t>
  </si>
  <si>
    <t>Orbe, Vanessa</t>
  </si>
  <si>
    <t>Orozco, Erik</t>
  </si>
  <si>
    <t>Orozco, Margie</t>
  </si>
  <si>
    <t>Ortiz, Joshua</t>
  </si>
  <si>
    <t>Ostagne, Line</t>
  </si>
  <si>
    <t>Padilla, Felix</t>
  </si>
  <si>
    <t>Park, Hyo</t>
  </si>
  <si>
    <t>PARK, HYO YEON</t>
  </si>
  <si>
    <t>Sister Property</t>
  </si>
  <si>
    <t>Parks, Matthew</t>
  </si>
  <si>
    <t>Patrick, Janice</t>
  </si>
  <si>
    <t>Patton, Ronnie</t>
  </si>
  <si>
    <t>Peavy, Janet</t>
  </si>
  <si>
    <t>Perbomo, Danilo</t>
  </si>
  <si>
    <t>Pettigrew, Lashonda</t>
  </si>
  <si>
    <t>Pleasant, Indie</t>
  </si>
  <si>
    <t>Pollard, Shantela</t>
  </si>
  <si>
    <t>Porter, Darrius</t>
  </si>
  <si>
    <t>Porterfield, LaQuante</t>
  </si>
  <si>
    <t>N16-2071</t>
  </si>
  <si>
    <t>Portillo, William</t>
  </si>
  <si>
    <t>Posocco, Jordan</t>
  </si>
  <si>
    <t>W07-1-0703</t>
  </si>
  <si>
    <t>Price, Dylan</t>
  </si>
  <si>
    <t>Pupek, Mira</t>
  </si>
  <si>
    <t>W28-2-2020</t>
  </si>
  <si>
    <t>Quezada, Guadalupe</t>
  </si>
  <si>
    <t>Quintero, Maryelin</t>
  </si>
  <si>
    <t>Ralls, Katelyn</t>
  </si>
  <si>
    <t>Ramirez, Perla</t>
  </si>
  <si>
    <t>Ramos, Ruth</t>
  </si>
  <si>
    <t>Reckford, Aaliyah</t>
  </si>
  <si>
    <t>Reed, Tamoria</t>
  </si>
  <si>
    <t>Reras Quinones, Guadalupe</t>
  </si>
  <si>
    <t>Reyes, Juan</t>
  </si>
  <si>
    <t>reyes, Rafael</t>
  </si>
  <si>
    <t>REYNOLDS, STEPHEN</t>
  </si>
  <si>
    <t>W13-1-1302</t>
  </si>
  <si>
    <t>Rhodes, Amir</t>
  </si>
  <si>
    <t>Richardson, Stacey</t>
  </si>
  <si>
    <t>Rimmer, Somya</t>
  </si>
  <si>
    <t>RIVERA, DANIEL</t>
  </si>
  <si>
    <t>Rivera, Nelly</t>
  </si>
  <si>
    <t>Robinson, Amber</t>
  </si>
  <si>
    <t>Robinson, Sierra</t>
  </si>
  <si>
    <t>Rodriguez, Daniela</t>
  </si>
  <si>
    <t>Rodriguez, Frank</t>
  </si>
  <si>
    <t>Rodriguez, Irvin</t>
  </si>
  <si>
    <t>Rodriguez, Roxana</t>
  </si>
  <si>
    <t>Rogers, Donell</t>
  </si>
  <si>
    <t>Rosas, Wendy</t>
  </si>
  <si>
    <t>Rosemond, Olivia</t>
  </si>
  <si>
    <t>Rossum, Amiya</t>
  </si>
  <si>
    <t>Ruiz, Daniela</t>
  </si>
  <si>
    <t>Russell, Schuyler</t>
  </si>
  <si>
    <t>sabara, Romiko</t>
  </si>
  <si>
    <t>Saito, Kazuki</t>
  </si>
  <si>
    <t>Salina, Karen</t>
  </si>
  <si>
    <t>Sanchez, Bianca</t>
  </si>
  <si>
    <t>Sarfo, Lucy</t>
  </si>
  <si>
    <t>Shabanaj, Berat</t>
  </si>
  <si>
    <t>Shannon, Dewey</t>
  </si>
  <si>
    <t>Shepherd, Tre'Viana</t>
  </si>
  <si>
    <t>Shetta, Meferet</t>
  </si>
  <si>
    <t>Simmons, Romell</t>
  </si>
  <si>
    <t>Simpson, Brianna</t>
  </si>
  <si>
    <t>Sinclair, Christy</t>
  </si>
  <si>
    <t>Small, Alan</t>
  </si>
  <si>
    <t>Smith, Donte</t>
  </si>
  <si>
    <t>Smith, Leeyah</t>
  </si>
  <si>
    <t>Smith, Shauna</t>
  </si>
  <si>
    <t>Snyder, Rayven</t>
  </si>
  <si>
    <t>Spencer, Sheena</t>
  </si>
  <si>
    <t>Stanbery, Lucia</t>
  </si>
  <si>
    <t>Stanley, Tyler</t>
  </si>
  <si>
    <t>Steel, Deirdra</t>
  </si>
  <si>
    <t>Steele, Alexis</t>
  </si>
  <si>
    <t>Steele, Tony</t>
  </si>
  <si>
    <t>Steele, Vivian</t>
  </si>
  <si>
    <t>Steven, Sandra</t>
  </si>
  <si>
    <t>Stewart, Jessica</t>
  </si>
  <si>
    <t>St, Naja</t>
  </si>
  <si>
    <t>Stognere, Lydia</t>
  </si>
  <si>
    <t>Stone, Dansiah</t>
  </si>
  <si>
    <t>Sulbaran, Mercedes</t>
  </si>
  <si>
    <t>Sweat, Amani</t>
  </si>
  <si>
    <t>Tamez-buccino, Paolo</t>
  </si>
  <si>
    <t>Taylor, Dewayne</t>
  </si>
  <si>
    <t>Taylor, Donvea</t>
  </si>
  <si>
    <t>Taylor, Kylah</t>
  </si>
  <si>
    <t>Taylor, Latavia</t>
  </si>
  <si>
    <t>Tennyson, Daneshia</t>
  </si>
  <si>
    <t>test, a</t>
  </si>
  <si>
    <t>Test, Elise</t>
  </si>
  <si>
    <t>Thomas, Corey</t>
  </si>
  <si>
    <t>Thomas, Stefan</t>
  </si>
  <si>
    <t>Thompson, Darion</t>
  </si>
  <si>
    <t>Thompson, Rumonda</t>
  </si>
  <si>
    <t>Torres, Abigail</t>
  </si>
  <si>
    <t>Torres, Elimar</t>
  </si>
  <si>
    <t>Trevino, Maria</t>
  </si>
  <si>
    <t>Tucker, Trinity</t>
  </si>
  <si>
    <t>Turpin, Izaiah</t>
  </si>
  <si>
    <t>Turriago, Marien</t>
  </si>
  <si>
    <t>Unknown, Aggie</t>
  </si>
  <si>
    <t>Unknown, Alexis</t>
  </si>
  <si>
    <t>Unknown, Andrew</t>
  </si>
  <si>
    <t>Unknown, Angela</t>
  </si>
  <si>
    <t>Unknown, Angelica</t>
  </si>
  <si>
    <t>Unknown, Anit</t>
  </si>
  <si>
    <t>Unknown, Anon</t>
  </si>
  <si>
    <t>Unknown, April</t>
  </si>
  <si>
    <t>Unknown, Ashley</t>
  </si>
  <si>
    <t>Unknown, Asia</t>
  </si>
  <si>
    <t>Unknown, AuJeanae</t>
  </si>
  <si>
    <t>Unknown, Aylara</t>
  </si>
  <si>
    <t>Unknown, Azara</t>
  </si>
  <si>
    <t>Unknown, Azaria</t>
  </si>
  <si>
    <t>Unknown, Brendon</t>
  </si>
  <si>
    <t>Unknown, Brian</t>
  </si>
  <si>
    <t>Unknown, Brittany</t>
  </si>
  <si>
    <t>Unknown, Christian</t>
  </si>
  <si>
    <t>Unknown, Christopher</t>
  </si>
  <si>
    <t>Unknown, Claudia</t>
  </si>
  <si>
    <t>Unknown, Daisy</t>
  </si>
  <si>
    <t>Unknown, Dianela</t>
  </si>
  <si>
    <t>Unknown, Dolores</t>
  </si>
  <si>
    <t>Unknown, Dunnell</t>
  </si>
  <si>
    <t>Unknown, Elizare</t>
  </si>
  <si>
    <t>Unknown, Enrico</t>
  </si>
  <si>
    <t>Unknown, Gary</t>
  </si>
  <si>
    <t>Unknown, Illia</t>
  </si>
  <si>
    <t>Unknown, Jack</t>
  </si>
  <si>
    <t>Unknown, Jarodines</t>
  </si>
  <si>
    <t>Unknown, Jaylon</t>
  </si>
  <si>
    <t>Unknown, Jaywin</t>
  </si>
  <si>
    <t>Unknown, Jessica</t>
  </si>
  <si>
    <t>Unknown, John</t>
  </si>
  <si>
    <t>Unknown, Jordan</t>
  </si>
  <si>
    <t>Unknown, Jorge</t>
  </si>
  <si>
    <t>Unknown, Jose</t>
  </si>
  <si>
    <t>Unknown, Joshua</t>
  </si>
  <si>
    <t>Unknown, Journey</t>
  </si>
  <si>
    <t>Unknown, Laquante</t>
  </si>
  <si>
    <t>Unknown, Leslie</t>
  </si>
  <si>
    <t>Unknown, Linda</t>
  </si>
  <si>
    <t>Unknown, Matreka</t>
  </si>
  <si>
    <t>Unknown, Mia</t>
  </si>
  <si>
    <t>Unknown, Midanul</t>
  </si>
  <si>
    <t>Unknown, Mike</t>
  </si>
  <si>
    <t>Unknown, Mohammad</t>
  </si>
  <si>
    <t>Unknown, Nakeisha</t>
  </si>
  <si>
    <t>Unknown, Nina</t>
  </si>
  <si>
    <t>Unknown, Niyamaya</t>
  </si>
  <si>
    <t>Unknown, Norris</t>
  </si>
  <si>
    <t>Unknown, Olivia</t>
  </si>
  <si>
    <t>Unknown, Pedro</t>
  </si>
  <si>
    <t>Unknown, Queashana</t>
  </si>
  <si>
    <t>Unknown, Quinton</t>
  </si>
  <si>
    <t>Unknown, Ravna</t>
  </si>
  <si>
    <t>Unknown, Representative</t>
  </si>
  <si>
    <t>Unknown, Robyn</t>
  </si>
  <si>
    <t>Unknown, Ronnie</t>
  </si>
  <si>
    <t>Unknown, Samantha</t>
  </si>
  <si>
    <t>Unknown, Sandra</t>
  </si>
  <si>
    <t>Unknown, Serenity</t>
  </si>
  <si>
    <t>Unknown, Shanty</t>
  </si>
  <si>
    <t>Unknown, Sheila</t>
  </si>
  <si>
    <t>Unknown, Shikre</t>
  </si>
  <si>
    <t>Unknown, Shonnie</t>
  </si>
  <si>
    <t>Unknown, Sorianne</t>
  </si>
  <si>
    <t>Unknown, Steven</t>
  </si>
  <si>
    <t>Nunez, Grecia</t>
  </si>
  <si>
    <t>Unknown, Susan</t>
  </si>
  <si>
    <t>Unknown, Tay</t>
  </si>
  <si>
    <t>Unknown, Texas</t>
  </si>
  <si>
    <t>Unknown, Tierra</t>
  </si>
  <si>
    <t>Unknown, Tisha</t>
  </si>
  <si>
    <t>Unknown, Trinity</t>
  </si>
  <si>
    <t>Unknown, Unknown</t>
  </si>
  <si>
    <t>Unknown, Viola</t>
  </si>
  <si>
    <t>Unknown, Yara</t>
  </si>
  <si>
    <t>Unknown, Yvonna</t>
  </si>
  <si>
    <t>Urevbu, Emmanuel</t>
  </si>
  <si>
    <t>Vann, Danny</t>
  </si>
  <si>
    <t>Vargas, Cynthia</t>
  </si>
  <si>
    <t>Varis, Ryder</t>
  </si>
  <si>
    <t>Varis, Ryder John</t>
  </si>
  <si>
    <t>Vasquez, Vanity</t>
  </si>
  <si>
    <t>Velasquez, Jasmine</t>
  </si>
  <si>
    <t>Velazquez, Alejandro</t>
  </si>
  <si>
    <t>Vicente, Irma</t>
  </si>
  <si>
    <t>Villarreal, Zenaida</t>
  </si>
  <si>
    <t>Walker, Clarissa</t>
  </si>
  <si>
    <t>walker, kaalyiah</t>
  </si>
  <si>
    <t>Wallece, Ashley</t>
  </si>
  <si>
    <t>Weathersby, Erica</t>
  </si>
  <si>
    <t>Welch, Daisha</t>
  </si>
  <si>
    <t>Wellington, Tevin</t>
  </si>
  <si>
    <t>Wells, Aron</t>
  </si>
  <si>
    <t>Whitson, Roderick</t>
  </si>
  <si>
    <t>Whytus, Chardonelle</t>
  </si>
  <si>
    <t>Wilcox, Josh</t>
  </si>
  <si>
    <t>Wiley jr, Marvica</t>
  </si>
  <si>
    <t>Williams, Coreaonna</t>
  </si>
  <si>
    <t>Williams, Delilah</t>
  </si>
  <si>
    <t>Williams, Makaila</t>
  </si>
  <si>
    <t>Williams, Ricquel</t>
  </si>
  <si>
    <t>Wilmsmeyer Valdes, Dibrian</t>
  </si>
  <si>
    <t>Corporate Lease</t>
  </si>
  <si>
    <t>S34-144</t>
  </si>
  <si>
    <t>Wilson, Arianna</t>
  </si>
  <si>
    <t>Wilson, Detavia</t>
  </si>
  <si>
    <t>S32-426</t>
  </si>
  <si>
    <t>Wilson, Sharon</t>
  </si>
  <si>
    <t>N17-2073</t>
  </si>
  <si>
    <t>Wilson, Zaihvon</t>
  </si>
  <si>
    <t>Wolveck, Elizabeth</t>
  </si>
  <si>
    <t>Woods, Jane</t>
  </si>
  <si>
    <t>Wright, Braeden</t>
  </si>
  <si>
    <t>Wynn, Nekeisha</t>
  </si>
  <si>
    <t>Yeager, Tyler</t>
  </si>
  <si>
    <t>Yut, Hina</t>
  </si>
  <si>
    <t>Zambran, Roxana</t>
  </si>
  <si>
    <t>Zapata, Patricia</t>
  </si>
  <si>
    <t>Abiona, Jen</t>
  </si>
  <si>
    <t>Adhanom, Tiebe Woledegrima</t>
  </si>
  <si>
    <t>W27-2-1002</t>
  </si>
  <si>
    <t>Adzati, Sylvester</t>
  </si>
  <si>
    <t>Afternoon, Luis</t>
  </si>
  <si>
    <t>Akanji, Adetayo</t>
  </si>
  <si>
    <t>Alba, Victor</t>
  </si>
  <si>
    <t>Alcantara, Flor</t>
  </si>
  <si>
    <t>Allen, Ashlyn</t>
  </si>
  <si>
    <t>Anderson, Aniya</t>
  </si>
  <si>
    <t>Anderson, Dayshia</t>
  </si>
  <si>
    <t>Anderson, Shantae</t>
  </si>
  <si>
    <t>Andrews, Brian Andrews</t>
  </si>
  <si>
    <t>Armwood, Lavontae</t>
  </si>
  <si>
    <t>Arroyo, Jerrian</t>
  </si>
  <si>
    <t>Awa, Oma</t>
  </si>
  <si>
    <t>Bah, Aiysha</t>
  </si>
  <si>
    <t>Baldivia, Elijah</t>
  </si>
  <si>
    <t>Banks, JaTayia</t>
  </si>
  <si>
    <t>Banuelos, Miguel</t>
  </si>
  <si>
    <t>Barbar, Cody</t>
  </si>
  <si>
    <t>Barenett, Tatyana</t>
  </si>
  <si>
    <t>Barnett, Zykira</t>
  </si>
  <si>
    <t>Baskerville, April</t>
  </si>
  <si>
    <t>Baxter, Lynda</t>
  </si>
  <si>
    <t>Baylor, Elizabeth</t>
  </si>
  <si>
    <t>Baylor, Qiarah</t>
  </si>
  <si>
    <t>Bell, Alliah</t>
  </si>
  <si>
    <t>Bell, Assayrin</t>
  </si>
  <si>
    <t>Bello, Jade</t>
  </si>
  <si>
    <t>Benjamin, Diana</t>
  </si>
  <si>
    <t>Bergeman, Brian</t>
  </si>
  <si>
    <t>Bernal, Karen</t>
  </si>
  <si>
    <t>Blamo, Antoinette</t>
  </si>
  <si>
    <t>Bounds, Shiral</t>
  </si>
  <si>
    <t>Boykin, Brinesha</t>
  </si>
  <si>
    <t>Bradley, Layla</t>
  </si>
  <si>
    <t>N20-2091</t>
  </si>
  <si>
    <t>Brewster, Starshaye</t>
  </si>
  <si>
    <t>Broadus, Christian</t>
  </si>
  <si>
    <t>Brooks, Parker</t>
  </si>
  <si>
    <t>Brown, Chanel</t>
  </si>
  <si>
    <t>Brown, Dajon</t>
  </si>
  <si>
    <t>N07-2051</t>
  </si>
  <si>
    <t>Brown, Kaylei</t>
  </si>
  <si>
    <t>Brown, Kobie</t>
  </si>
  <si>
    <t>Brown, Micah</t>
  </si>
  <si>
    <t>Brown, Rachel</t>
  </si>
  <si>
    <t>Brown, Shannell</t>
  </si>
  <si>
    <t>Buelvas, Yesica</t>
  </si>
  <si>
    <t>Bullock, Jakera</t>
  </si>
  <si>
    <t>Burks, Demarius</t>
  </si>
  <si>
    <t>Burley, Shabresse</t>
  </si>
  <si>
    <t>Burns, Hayden</t>
  </si>
  <si>
    <t>Bursey, Darius</t>
  </si>
  <si>
    <t>Burton, Justin</t>
  </si>
  <si>
    <t>Bush, Amber</t>
  </si>
  <si>
    <t>capuchino, jose</t>
  </si>
  <si>
    <t>Cardona, Alex</t>
  </si>
  <si>
    <t>Carranza, Stacy</t>
  </si>
  <si>
    <t>Castaneda, Jennifer</t>
  </si>
  <si>
    <t>Castillanos, Carlos</t>
  </si>
  <si>
    <t>Castille, Ja Tavyia</t>
  </si>
  <si>
    <t>Castillo, Cesar</t>
  </si>
  <si>
    <t>Castro, Canthoni</t>
  </si>
  <si>
    <t>Celina, Maria</t>
  </si>
  <si>
    <t>cervantes, miriam</t>
  </si>
  <si>
    <t>W27-2-1005</t>
  </si>
  <si>
    <t>Chambers, Nia</t>
  </si>
  <si>
    <t>Chance, Cindy</t>
  </si>
  <si>
    <t>chirino, gimner</t>
  </si>
  <si>
    <t>Chism, Demitrus</t>
  </si>
  <si>
    <t>Chukwuka, Chukwudi</t>
  </si>
  <si>
    <t>Cisneros, Cristal</t>
  </si>
  <si>
    <t>Cisneros, Rebecca</t>
  </si>
  <si>
    <t>Clark, Jakoria</t>
  </si>
  <si>
    <t>Cobos, Karen</t>
  </si>
  <si>
    <t>Coleman, Contayiah</t>
  </si>
  <si>
    <t>Coleman, Dewanda</t>
  </si>
  <si>
    <t>Collins, Arletha</t>
  </si>
  <si>
    <t>N22-2097</t>
  </si>
  <si>
    <t>Cox, Eric</t>
  </si>
  <si>
    <t>Crawford, Mikki</t>
  </si>
  <si>
    <t>Crelia, Bailey</t>
  </si>
  <si>
    <t>Crockett, Terina</t>
  </si>
  <si>
    <t>Cross, Miguel</t>
  </si>
  <si>
    <t>Cross, Rincia</t>
  </si>
  <si>
    <t>Cue, Aiyana</t>
  </si>
  <si>
    <t>Cuello, Leonardo</t>
  </si>
  <si>
    <t>Daki, Layla</t>
  </si>
  <si>
    <t>Dallas, Lilg</t>
  </si>
  <si>
    <t>Daniel, Madison</t>
  </si>
  <si>
    <t>Darden, Shatina</t>
  </si>
  <si>
    <t>Das, Pritam</t>
  </si>
  <si>
    <t>Davis, Dwight</t>
  </si>
  <si>
    <t>Davis, Kristinee</t>
  </si>
  <si>
    <t>Dawkins, Jermarl</t>
  </si>
  <si>
    <t>Denbow, Jayna</t>
  </si>
  <si>
    <t>Dexter, Deshaundra</t>
  </si>
  <si>
    <t>Diego, gENESIS</t>
  </si>
  <si>
    <t>Dillon, Jamichael</t>
  </si>
  <si>
    <t>Dixon, Alicia</t>
  </si>
  <si>
    <t>Dixon, Canaan</t>
  </si>
  <si>
    <t>Dixon-Pegram, Travis</t>
  </si>
  <si>
    <t>Dorsey, Jamari</t>
  </si>
  <si>
    <t>Drissi, Adam</t>
  </si>
  <si>
    <t>Duke, Roberta</t>
  </si>
  <si>
    <t>Dukes, Roberta</t>
  </si>
  <si>
    <t>Edwards, Jacqueline</t>
  </si>
  <si>
    <t>Edwards, Joshua</t>
  </si>
  <si>
    <t>Ellis, Maikel Phillips</t>
  </si>
  <si>
    <t>Epinayu epinayu, Laura</t>
  </si>
  <si>
    <t>Epinayu, rosa</t>
  </si>
  <si>
    <t>Espanol, El</t>
  </si>
  <si>
    <t>Esquivel, Perla</t>
  </si>
  <si>
    <t>Estrada Villegas, Michael</t>
  </si>
  <si>
    <t>Evans, Dahlia</t>
  </si>
  <si>
    <t>Fears Compton, Rhonda</t>
  </si>
  <si>
    <t>Figueroa, Josselin</t>
  </si>
  <si>
    <t>Fish, Chloe</t>
  </si>
  <si>
    <t>Flanagan, Raven</t>
  </si>
  <si>
    <t>Forte, JaJuan</t>
  </si>
  <si>
    <t>Freeman, April</t>
  </si>
  <si>
    <t>Fuentes, Johannes</t>
  </si>
  <si>
    <t>Galeano, Alessa</t>
  </si>
  <si>
    <t>Gandara, Alexandra</t>
  </si>
  <si>
    <t>Garrett, Candace</t>
  </si>
  <si>
    <t>Gebreamlak, Btsuan</t>
  </si>
  <si>
    <t>Gerges, Veronia</t>
  </si>
  <si>
    <t>Gets Funny, She</t>
  </si>
  <si>
    <t>Gilcreast, Brianna</t>
  </si>
  <si>
    <t>W05-1-0522</t>
  </si>
  <si>
    <t>Gillis, Denise</t>
  </si>
  <si>
    <t>gilmore, shannon</t>
  </si>
  <si>
    <t>Goitom, Samsom</t>
  </si>
  <si>
    <t>Gomez, Daniel</t>
  </si>
  <si>
    <t>Gomez, Guadalupe</t>
  </si>
  <si>
    <t>Gonzales, Isaiah</t>
  </si>
  <si>
    <t>gonzalez, yeilin</t>
  </si>
  <si>
    <t>Grayman, Vanessa</t>
  </si>
  <si>
    <t>Green, Erin</t>
  </si>
  <si>
    <t>Gregory, Lily</t>
  </si>
  <si>
    <t>Guy, Patrice</t>
  </si>
  <si>
    <t>Hague, Alatheia</t>
  </si>
  <si>
    <t>Haley, Makell</t>
  </si>
  <si>
    <t>N10-2040</t>
  </si>
  <si>
    <t>Hall, Dante</t>
  </si>
  <si>
    <t>Hamilton, Sharon</t>
  </si>
  <si>
    <t>Hanson, Sharon</t>
  </si>
  <si>
    <t>Hardy, Tairra</t>
  </si>
  <si>
    <t>Hardy, TAirra</t>
  </si>
  <si>
    <t>Harper, Ava</t>
  </si>
  <si>
    <t>Hartgraves, Danielle</t>
  </si>
  <si>
    <t>Haywood, Janet</t>
  </si>
  <si>
    <t>S32-430</t>
  </si>
  <si>
    <t>Henderson-Thomas, Shayla</t>
  </si>
  <si>
    <t>Henry, Wyatt</t>
  </si>
  <si>
    <t>Hernandez, Andrew</t>
  </si>
  <si>
    <t>Hernandez, Xavier</t>
  </si>
  <si>
    <t>Herrera, Angel</t>
  </si>
  <si>
    <t>Hill, Amanda</t>
  </si>
  <si>
    <t>Hill, Danielle</t>
  </si>
  <si>
    <t>Hill, Yashara</t>
  </si>
  <si>
    <t>Hintsa, Erena</t>
  </si>
  <si>
    <t>W28-2-2022</t>
  </si>
  <si>
    <t>Hopper, Kanyjah</t>
  </si>
  <si>
    <t>Hubbard, Macy</t>
  </si>
  <si>
    <t>Hudson, Chaniqua</t>
  </si>
  <si>
    <t>Hughes, Doneesa</t>
  </si>
  <si>
    <t>Humphrey, Ariel</t>
  </si>
  <si>
    <t>Hunter, Kanecia</t>
  </si>
  <si>
    <t>Hutchinson, Kyana</t>
  </si>
  <si>
    <t>Hu, Van Ceu</t>
  </si>
  <si>
    <t>Ibane, Luz</t>
  </si>
  <si>
    <t>Idriss, Hassen</t>
  </si>
  <si>
    <t>Irias, Dorian</t>
  </si>
  <si>
    <t>W10-1-1005</t>
  </si>
  <si>
    <t>Jackson, Ajanee</t>
  </si>
  <si>
    <t>Jackson, Dolanto</t>
  </si>
  <si>
    <t>Jamelia, White</t>
  </si>
  <si>
    <t>Jefferson, Trevor</t>
  </si>
  <si>
    <t>Johns, Moresa</t>
  </si>
  <si>
    <t>Johnson, Ariel</t>
  </si>
  <si>
    <t>Johnson, James</t>
  </si>
  <si>
    <t>Johnson, Keyarria</t>
  </si>
  <si>
    <t>Johnson, Miah</t>
  </si>
  <si>
    <t>Lease: Partially Completed</t>
  </si>
  <si>
    <t>Johnson, Timothy</t>
  </si>
  <si>
    <t>JOLIBORE, Taka</t>
  </si>
  <si>
    <t>Jones, Brandi</t>
  </si>
  <si>
    <t>Jones, Cory</t>
  </si>
  <si>
    <t>Jones, Davion</t>
  </si>
  <si>
    <t>Jordan, Stephen</t>
  </si>
  <si>
    <t>Josephina Perez, Josefina</t>
  </si>
  <si>
    <t>Joshua, Alfred</t>
  </si>
  <si>
    <t>Juarez, Carolina</t>
  </si>
  <si>
    <t>Jusino, Clint</t>
  </si>
  <si>
    <t>J, Zylah</t>
  </si>
  <si>
    <t>Keasler, Sandy</t>
  </si>
  <si>
    <t>Kellison, Cheyenne</t>
  </si>
  <si>
    <t>King, Destiny</t>
  </si>
  <si>
    <t>King, Kynlee</t>
  </si>
  <si>
    <t>N20-3089</t>
  </si>
  <si>
    <t>King, Louis</t>
  </si>
  <si>
    <t>Kinney, Blake</t>
  </si>
  <si>
    <t>Kirby, Janae</t>
  </si>
  <si>
    <t>Kohnson, John</t>
  </si>
  <si>
    <t>Kokoa, Matinaba</t>
  </si>
  <si>
    <t>Kokoa, Matonaba</t>
  </si>
  <si>
    <t>Ladon Bray-Coffey, Kilie</t>
  </si>
  <si>
    <t>Lake, Markeanna</t>
  </si>
  <si>
    <t>Lake, Markiana</t>
  </si>
  <si>
    <t>Lambert, Tashauna</t>
  </si>
  <si>
    <t>Lawson, Shana</t>
  </si>
  <si>
    <t>Layfield, Harlotte</t>
  </si>
  <si>
    <t>Lead, Text</t>
  </si>
  <si>
    <t>Lea, Sherry</t>
  </si>
  <si>
    <t>Lee, Joanne</t>
  </si>
  <si>
    <t>Leonard, Marquez</t>
  </si>
  <si>
    <t>Leon, Del Valle</t>
  </si>
  <si>
    <t>Lewis, Christine</t>
  </si>
  <si>
    <t>Lewis, Latoya</t>
  </si>
  <si>
    <t>Liu, Hedy</t>
  </si>
  <si>
    <t>Lofton, Samaya</t>
  </si>
  <si>
    <t>Lomax, Aniyah</t>
  </si>
  <si>
    <t>Lopez, Nery</t>
  </si>
  <si>
    <t>Loredo, jose</t>
  </si>
  <si>
    <t>Luciano, Esmeralda</t>
  </si>
  <si>
    <t>Lugo, Dilaila</t>
  </si>
  <si>
    <t>Lydia, Briyauna</t>
  </si>
  <si>
    <t>Malone, Tiara</t>
  </si>
  <si>
    <t>Mansurova, Alfiia</t>
  </si>
  <si>
    <t>Marquez, Christian</t>
  </si>
  <si>
    <t>Marquez, Yaritza</t>
  </si>
  <si>
    <t>Martinez, Nate</t>
  </si>
  <si>
    <t>Masanga, Luhiagila</t>
  </si>
  <si>
    <t>May, Courtney</t>
  </si>
  <si>
    <t>Mayfield, Sharlotte</t>
  </si>
  <si>
    <t>Mcclain, Shakilyon</t>
  </si>
  <si>
    <t>Mccoy, Sharon</t>
  </si>
  <si>
    <t>McFadden, Aihsatan</t>
  </si>
  <si>
    <t>McKeever, Larkyn</t>
  </si>
  <si>
    <t>McNabb, Candace</t>
  </si>
  <si>
    <t>Mesfin, Beza</t>
  </si>
  <si>
    <t>Mikles, Leon</t>
  </si>
  <si>
    <t>Milian, Yaimet</t>
  </si>
  <si>
    <t>Miller, Alexander</t>
  </si>
  <si>
    <t>Miller, Ashley</t>
  </si>
  <si>
    <t>Miller, Breann</t>
  </si>
  <si>
    <t>Miller, Marquitta</t>
  </si>
  <si>
    <t>Miller, Tim</t>
  </si>
  <si>
    <t>Mitchell, Ashley</t>
  </si>
  <si>
    <t>M Mitchell, Lisa</t>
  </si>
  <si>
    <t>Moffett, Kiara</t>
  </si>
  <si>
    <t>Mohamed, Abubakar</t>
  </si>
  <si>
    <t>Molina, Mabel</t>
  </si>
  <si>
    <t>Montgomery, Shawn</t>
  </si>
  <si>
    <t>Montgomery, Tyrone</t>
  </si>
  <si>
    <t>Moore, Harley</t>
  </si>
  <si>
    <t>Moore, Shania</t>
  </si>
  <si>
    <t>Morales, Samantha</t>
  </si>
  <si>
    <t>Morgan, Havean</t>
  </si>
  <si>
    <t>Morris, Brianna</t>
  </si>
  <si>
    <t>Morris-Bridges, Jehlani</t>
  </si>
  <si>
    <t>Morris, Madjalee</t>
  </si>
  <si>
    <t>N03-3014</t>
  </si>
  <si>
    <t>Muhammad, Tahira</t>
  </si>
  <si>
    <t>Mweyola, Arnold</t>
  </si>
  <si>
    <t>Myre, KynTasha</t>
  </si>
  <si>
    <t>Nails, Angela</t>
  </si>
  <si>
    <t>Naquin, Rhenada</t>
  </si>
  <si>
    <t>Nashed, Antonious</t>
  </si>
  <si>
    <t>Nataren Quintanilla, Johnathan</t>
  </si>
  <si>
    <t>Neal, Ragan</t>
  </si>
  <si>
    <t>Negra, Saint</t>
  </si>
  <si>
    <t>Nekeatibeb, Sephanit</t>
  </si>
  <si>
    <t>Newble, Robert</t>
  </si>
  <si>
    <t>Nguyen, Kenneth</t>
  </si>
  <si>
    <t>Nixon, Jasmine</t>
  </si>
  <si>
    <t>Nnochirionye, Chikezie</t>
  </si>
  <si>
    <t>Noor, Habibo</t>
  </si>
  <si>
    <t>Nur, Sara</t>
  </si>
  <si>
    <t>Nwabunor, Stanley</t>
  </si>
  <si>
    <t>Ogunade, Anthony</t>
  </si>
  <si>
    <t>Ohara, Torin</t>
  </si>
  <si>
    <t>Ojo, Jerry Aaron</t>
  </si>
  <si>
    <t>Omotunde, Israel</t>
  </si>
  <si>
    <t>Owens, Majlinda</t>
  </si>
  <si>
    <t>Oyuela, Reina</t>
  </si>
  <si>
    <t>Palacios, Gabriela</t>
  </si>
  <si>
    <t>parkman, Gakenya</t>
  </si>
  <si>
    <t>Patino, Alisson</t>
  </si>
  <si>
    <t>Patterson, Khyndal</t>
  </si>
  <si>
    <t>Perez, Edgardo</t>
  </si>
  <si>
    <t>Perez, Lisbet</t>
  </si>
  <si>
    <t>N12-3049</t>
  </si>
  <si>
    <t>Pirela, Eugenio</t>
  </si>
  <si>
    <t>Pitcher, Travis</t>
  </si>
  <si>
    <t>Pitre, Shannon</t>
  </si>
  <si>
    <t>Ponglone, Thong</t>
  </si>
  <si>
    <t>S37-249</t>
  </si>
  <si>
    <t>Pritchett, Vanessa</t>
  </si>
  <si>
    <t>Quadri, Syed</t>
  </si>
  <si>
    <t>Quarles, Alexandria</t>
  </si>
  <si>
    <t>Quincu, Rhianna</t>
  </si>
  <si>
    <t>QUINCY, RHIANNA</t>
  </si>
  <si>
    <t>Ramirez, Irene</t>
  </si>
  <si>
    <t>Ramirez, Samantha</t>
  </si>
  <si>
    <t>Migrated Resident</t>
  </si>
  <si>
    <t>Randle, Sara</t>
  </si>
  <si>
    <t>Rasooli, Sayed</t>
  </si>
  <si>
    <t>Ratliff, Nekia</t>
  </si>
  <si>
    <t>Rayo, Natalia</t>
  </si>
  <si>
    <t>Ray, Trevor</t>
  </si>
  <si>
    <t>Reed, Debra</t>
  </si>
  <si>
    <t>Reeves, Michael</t>
  </si>
  <si>
    <t>Remcharen, Shelleanne</t>
  </si>
  <si>
    <t>Rhymes, Ayanna</t>
  </si>
  <si>
    <t>W01-1-0116</t>
  </si>
  <si>
    <t>Rice, Mccord</t>
  </si>
  <si>
    <t>Richard, Londynn</t>
  </si>
  <si>
    <t>Richardson, Kimberly</t>
  </si>
  <si>
    <t>Rodriguez, Daisy</t>
  </si>
  <si>
    <t>Rodriguez, Yonlanda</t>
  </si>
  <si>
    <t>Rojas, Diana</t>
  </si>
  <si>
    <t>Rolling, Danielle</t>
  </si>
  <si>
    <t>Ronalds, Jasmine</t>
  </si>
  <si>
    <t>Ross, Diamond</t>
  </si>
  <si>
    <t>Rostetter, Flavia</t>
  </si>
  <si>
    <t>Said, Djallel</t>
  </si>
  <si>
    <t>S36-436</t>
  </si>
  <si>
    <t>Sams, JarRiel</t>
  </si>
  <si>
    <t>Sanders, Jeannelle</t>
  </si>
  <si>
    <t>Scafie, Bernard</t>
  </si>
  <si>
    <t>Schneider, Michelle</t>
  </si>
  <si>
    <t>Scott, Shanita</t>
  </si>
  <si>
    <t>Seay, John</t>
  </si>
  <si>
    <t>W21-2-2052</t>
  </si>
  <si>
    <t>Sedberry, Samaria</t>
  </si>
  <si>
    <t>Segura, Nicole</t>
  </si>
  <si>
    <t>Self, Tyler</t>
  </si>
  <si>
    <t>Serrano, Luz</t>
  </si>
  <si>
    <t>Shaikh, Sarah</t>
  </si>
  <si>
    <t>Sharp, Daviona</t>
  </si>
  <si>
    <t>Sharper, Lataveya</t>
  </si>
  <si>
    <t>Sharp, Kimmala</t>
  </si>
  <si>
    <t>Sharrieff, Alexis</t>
  </si>
  <si>
    <t>Shawishian, Ohanik</t>
  </si>
  <si>
    <t>Sheppard, Chyanne</t>
  </si>
  <si>
    <t>Sheppard, Maggie</t>
  </si>
  <si>
    <t>Shipp, Dymon</t>
  </si>
  <si>
    <t>Shirzed, Mohfawd</t>
  </si>
  <si>
    <t>Sias, Maria</t>
  </si>
  <si>
    <t>SILMON, BIANCA</t>
  </si>
  <si>
    <t>Simmons, Kaleb</t>
  </si>
  <si>
    <t>Simmons, Trinity</t>
  </si>
  <si>
    <t>Sims, Shariah</t>
  </si>
  <si>
    <t>Apple</t>
  </si>
  <si>
    <t>Smith, Earl</t>
  </si>
  <si>
    <t>Smith jr, Curtis</t>
  </si>
  <si>
    <t>Smith, Lauren</t>
  </si>
  <si>
    <t>Smith, Philip</t>
  </si>
  <si>
    <t>Smith, Raven</t>
  </si>
  <si>
    <t>Stasquez, Ms.</t>
  </si>
  <si>
    <t>Steele, Sanyiah</t>
  </si>
  <si>
    <t>Stevens, Kierra</t>
  </si>
  <si>
    <t>Stiggers, Jasmine</t>
  </si>
  <si>
    <t>Stokes, Nyjhia</t>
  </si>
  <si>
    <t>Stokes, Nyjhia (Gia)</t>
  </si>
  <si>
    <t>strong, Asianah</t>
  </si>
  <si>
    <t>Sullivan, Mike</t>
  </si>
  <si>
    <t>Suniga, Maria</t>
  </si>
  <si>
    <t>Taborda, Eduardo</t>
  </si>
  <si>
    <t>Taka Joliebore, Densie</t>
  </si>
  <si>
    <t>Tamame, Aliette</t>
  </si>
  <si>
    <t>Taylor, Kiandra</t>
  </si>
  <si>
    <t>Taylor, Lori</t>
  </si>
  <si>
    <t>Teniente, Liliana</t>
  </si>
  <si>
    <t>Terefe, Kibrom</t>
  </si>
  <si>
    <t>Test, Entrata</t>
  </si>
  <si>
    <t>Off Site</t>
  </si>
  <si>
    <t>Testing, Ace</t>
  </si>
  <si>
    <t>Test, Katherine</t>
  </si>
  <si>
    <t>Test, Nylsa</t>
  </si>
  <si>
    <t>Thibault, Erin</t>
  </si>
  <si>
    <t>Thomas, Azaria</t>
  </si>
  <si>
    <t>Thomas, David</t>
  </si>
  <si>
    <t>Thomas, Joshua</t>
  </si>
  <si>
    <t>Tobias, Mileidis</t>
  </si>
  <si>
    <t>Tobias, Sanieya</t>
  </si>
  <si>
    <t>Toliver, Dehaulen</t>
  </si>
  <si>
    <t>Torres, Syrena</t>
  </si>
  <si>
    <t>Townsend, Davon</t>
  </si>
  <si>
    <t>Treat, Brandie</t>
  </si>
  <si>
    <t>Turner, John</t>
  </si>
  <si>
    <t>Turner, Kennedy</t>
  </si>
  <si>
    <t>Unknown, Adrian</t>
  </si>
  <si>
    <t>Unknown, Agent</t>
  </si>
  <si>
    <t>Unknown, Alicia</t>
  </si>
  <si>
    <t>Unknown, Amber</t>
  </si>
  <si>
    <t>Unknown, Benny</t>
  </si>
  <si>
    <t>Unknown, Ebony</t>
  </si>
  <si>
    <t>Unknown, Gabriel</t>
  </si>
  <si>
    <t>Unknown, Haley</t>
  </si>
  <si>
    <t>Unknown, Hannah</t>
  </si>
  <si>
    <t>Unknown, Heidi</t>
  </si>
  <si>
    <t>Unknown, Hubbard</t>
  </si>
  <si>
    <t>Unknown, Ibravo</t>
  </si>
  <si>
    <t>Unknown, Joyce</t>
  </si>
  <si>
    <t>Unknown, Kaleb</t>
  </si>
  <si>
    <t>Unknown, Kelsey</t>
  </si>
  <si>
    <t>Unknown, Kendall</t>
  </si>
  <si>
    <t>Unknown, Kumani</t>
  </si>
  <si>
    <t>Unknown, Lana</t>
  </si>
  <si>
    <t>Unknown, Larry</t>
  </si>
  <si>
    <t>Unknown, Leah</t>
  </si>
  <si>
    <t>Unknown, Luhiagila</t>
  </si>
  <si>
    <t>Unknown, Mara</t>
  </si>
  <si>
    <t>Unknown, Marie</t>
  </si>
  <si>
    <t>Unknown, Mawana</t>
  </si>
  <si>
    <t>Unknown, Melissa</t>
  </si>
  <si>
    <t>Unknown, Pablo</t>
  </si>
  <si>
    <t>Unknown, Pemetria</t>
  </si>
  <si>
    <t>Unknown, Piori</t>
  </si>
  <si>
    <t>Unknown, Sanders</t>
  </si>
  <si>
    <t>Unknown, Saraya</t>
  </si>
  <si>
    <t>Unknown, Veronica</t>
  </si>
  <si>
    <t>Valentine, Keysean</t>
  </si>
  <si>
    <t>Viard, Michael</t>
  </si>
  <si>
    <t>Vila Mendoza, Edsel</t>
  </si>
  <si>
    <t>W06-1-0604</t>
  </si>
  <si>
    <t>Wagner, Allie</t>
  </si>
  <si>
    <t>Walker, Anthony</t>
  </si>
  <si>
    <t>Walker, Myshyra</t>
  </si>
  <si>
    <t>Wanton, Tamiko</t>
  </si>
  <si>
    <t>Warren, Lgerik</t>
  </si>
  <si>
    <t>Washington, Camron</t>
  </si>
  <si>
    <t>Washington, Kaylon</t>
  </si>
  <si>
    <t>Watts, Jazzenea</t>
  </si>
  <si>
    <t>Weatherman, Jamine</t>
  </si>
  <si>
    <t>White, Jamelia</t>
  </si>
  <si>
    <t>Wilcoxson, Esther</t>
  </si>
  <si>
    <t>Wilkins, Maia</t>
  </si>
  <si>
    <t>Williams, Ashayla</t>
  </si>
  <si>
    <t>Williams, Jameshia</t>
  </si>
  <si>
    <t>Williams, Jaylan</t>
  </si>
  <si>
    <t>Williams, Jeremiah</t>
  </si>
  <si>
    <t>Williams, LaAsia</t>
  </si>
  <si>
    <t>Williams, Lashonda</t>
  </si>
  <si>
    <t>Williams, Niki</t>
  </si>
  <si>
    <t>Williams, Nikki</t>
  </si>
  <si>
    <t>Willingham, Kierra</t>
  </si>
  <si>
    <t>Wilson, Ariana</t>
  </si>
  <si>
    <t>W17-2-2076</t>
  </si>
  <si>
    <t>Wilson, Tekiah</t>
  </si>
  <si>
    <t>Wright, Weldon</t>
  </si>
  <si>
    <t>Young, Imani</t>
  </si>
  <si>
    <t>W08-1-0807</t>
  </si>
  <si>
    <t>Youngman, Kaylan</t>
  </si>
  <si>
    <t>Y, Quelyn</t>
  </si>
  <si>
    <t>Zotelo, Maidelin</t>
  </si>
  <si>
    <t>Abas, Dominique</t>
  </si>
  <si>
    <t>Abdi, Ali</t>
  </si>
  <si>
    <t>Abram, Zariel</t>
  </si>
  <si>
    <t>Acloque, Michaelle</t>
  </si>
  <si>
    <t>Adetola, Tejumade</t>
  </si>
  <si>
    <t>Adway, Mikayla</t>
  </si>
  <si>
    <t>Ahmadu, Yakubu</t>
  </si>
  <si>
    <t>Ahmed, Uzair</t>
  </si>
  <si>
    <t>Akinyemi, Olabisi</t>
  </si>
  <si>
    <t>Akubo, Elvia</t>
  </si>
  <si>
    <t>Aldana, Sophia</t>
  </si>
  <si>
    <t>Allen, Deavia</t>
  </si>
  <si>
    <t>Alston, Janee</t>
  </si>
  <si>
    <t>Alvarado, Sarah</t>
  </si>
  <si>
    <t>Alvarez, Daniel</t>
  </si>
  <si>
    <t>Ampueda, Zadiel</t>
  </si>
  <si>
    <t>Anderson, Tanginique</t>
  </si>
  <si>
    <t>A Prior Story, Jesus</t>
  </si>
  <si>
    <t>Araujo, Grexie</t>
  </si>
  <si>
    <t>Argueta, David</t>
  </si>
  <si>
    <t>Arogundade, Oluwaseun</t>
  </si>
  <si>
    <t>Arreola, Michelle</t>
  </si>
  <si>
    <t>Aslam, Sonia</t>
  </si>
  <si>
    <t>Auces, Kiara</t>
  </si>
  <si>
    <t>Averitt, Michael</t>
  </si>
  <si>
    <t>Avila, Jaime</t>
  </si>
  <si>
    <t>Awolope, Stephan</t>
  </si>
  <si>
    <t>Awolope, Stephen</t>
  </si>
  <si>
    <t>Baigoum, Segolene</t>
  </si>
  <si>
    <t>Bailey, Sean</t>
  </si>
  <si>
    <t>Baker, Matthew</t>
  </si>
  <si>
    <t>Bandi, Abhishek</t>
  </si>
  <si>
    <t>Barnett, Arnold</t>
  </si>
  <si>
    <t>Barnett, Shakobie</t>
  </si>
  <si>
    <t>Bautista, Hanah</t>
  </si>
  <si>
    <t>Beck, Destiny</t>
  </si>
  <si>
    <t>Belcher, Annalee</t>
  </si>
  <si>
    <t>Bell, Nikara</t>
  </si>
  <si>
    <t>Benyambura, Kailis</t>
  </si>
  <si>
    <t>Bernal, Alejandro</t>
  </si>
  <si>
    <t>Berry, Rubi</t>
  </si>
  <si>
    <t>Bisbing, Richard</t>
  </si>
  <si>
    <t>Black, Beunka</t>
  </si>
  <si>
    <t>Blaylock, Tameisha</t>
  </si>
  <si>
    <t>Bowie, Darion</t>
  </si>
  <si>
    <t>Brazile, Crystal</t>
  </si>
  <si>
    <t>Breedlove, Breanna</t>
  </si>
  <si>
    <t>Bridges, Samantha</t>
  </si>
  <si>
    <t>Briiant, Tia</t>
  </si>
  <si>
    <t>Briske, Jason</t>
  </si>
  <si>
    <t>britten, alexis</t>
  </si>
  <si>
    <t>Broady, Diamond</t>
  </si>
  <si>
    <t>Brooks, Kehlani</t>
  </si>
  <si>
    <t>Brown, Blake</t>
  </si>
  <si>
    <t>Brown, Bruce</t>
  </si>
  <si>
    <t>Brown, Darlene</t>
  </si>
  <si>
    <t>Brown, Rebecca</t>
  </si>
  <si>
    <t>S35-147</t>
  </si>
  <si>
    <t>Brown, Robert</t>
  </si>
  <si>
    <t>Brozer, Tarl</t>
  </si>
  <si>
    <t>Burgess, Ivonna</t>
  </si>
  <si>
    <t>Burns, Kendra</t>
  </si>
  <si>
    <t>Burton, Nyla</t>
  </si>
  <si>
    <t>Caesar, Zaria</t>
  </si>
  <si>
    <t>Cain, Allison</t>
  </si>
  <si>
    <t>Carlos, Juan</t>
  </si>
  <si>
    <t>Carlson, Sierra</t>
  </si>
  <si>
    <t>Carmon, Alva</t>
  </si>
  <si>
    <t>carroll-newton, jakare</t>
  </si>
  <si>
    <t>Castillo, Kevin</t>
  </si>
  <si>
    <t>Castro, Juan</t>
  </si>
  <si>
    <t>Cavazos, Cristina</t>
  </si>
  <si>
    <t>Cesar, Julio</t>
  </si>
  <si>
    <t>Champlain, John</t>
  </si>
  <si>
    <t>Chapman, LaJayda</t>
  </si>
  <si>
    <t>Che Xol, Claudia</t>
  </si>
  <si>
    <t>Chism, James</t>
  </si>
  <si>
    <t>Cisse, Mamignan</t>
  </si>
  <si>
    <t>Clark, Kimberly</t>
  </si>
  <si>
    <t>Clark, Shauntel</t>
  </si>
  <si>
    <t>Clarksom, Edjuanisha</t>
  </si>
  <si>
    <t>Cobs, Shaina</t>
  </si>
  <si>
    <t>Collins, Crystal</t>
  </si>
  <si>
    <t>Collins, Donesha</t>
  </si>
  <si>
    <t>Colorado, Diana</t>
  </si>
  <si>
    <t>Contreras, Eduardo</t>
  </si>
  <si>
    <t>Cook, Latoya</t>
  </si>
  <si>
    <t>Corey, Syria</t>
  </si>
  <si>
    <t>N15-3068</t>
  </si>
  <si>
    <t>Cor, Gerdena</t>
  </si>
  <si>
    <t>Cortez, Mayra</t>
  </si>
  <si>
    <t>Cothren, Marcos</t>
  </si>
  <si>
    <t>Cotill, Anthony</t>
  </si>
  <si>
    <t>Crosby, Mariana</t>
  </si>
  <si>
    <t>Cross, Hope</t>
  </si>
  <si>
    <t>S26-407</t>
  </si>
  <si>
    <t>Cumon, Kestatu</t>
  </si>
  <si>
    <t>Daley, Wendy</t>
  </si>
  <si>
    <t>Dallas, Dgz</t>
  </si>
  <si>
    <t>Daneshfar, Zoey</t>
  </si>
  <si>
    <t>David, Jamhala</t>
  </si>
  <si>
    <t>Davis, Cheryl</t>
  </si>
  <si>
    <t>Davis, Danell</t>
  </si>
  <si>
    <t>Davis, Kenya</t>
  </si>
  <si>
    <t>Davis, Kiandra</t>
  </si>
  <si>
    <t>Davis, Tareva</t>
  </si>
  <si>
    <t>Davis, Tremayne</t>
  </si>
  <si>
    <t>Decker, Rylee</t>
  </si>
  <si>
    <t>Dee, Jordan</t>
  </si>
  <si>
    <t>W07-1-0723</t>
  </si>
  <si>
    <t>Delgado, Jesus</t>
  </si>
  <si>
    <t>Devons, Kaye</t>
  </si>
  <si>
    <t>Dhal, Akhilesh</t>
  </si>
  <si>
    <t>Diaz, Carlos</t>
  </si>
  <si>
    <t>Dieudonne, Aouche</t>
  </si>
  <si>
    <t>DiTommaso, Cipriani</t>
  </si>
  <si>
    <t>Divins, Kaye</t>
  </si>
  <si>
    <t>Dots, Yonna</t>
  </si>
  <si>
    <t>Drake, Chancellor</t>
  </si>
  <si>
    <t>Drake, Daikahne</t>
  </si>
  <si>
    <t>Drummer, Dorissa</t>
  </si>
  <si>
    <t>Duarte, Abby</t>
  </si>
  <si>
    <t>DuFresne, Faith</t>
  </si>
  <si>
    <t>duncan, jennifer</t>
  </si>
  <si>
    <t>Dunning, Jurnee</t>
  </si>
  <si>
    <t>Duran, Itzel</t>
  </si>
  <si>
    <t>Edmond, Janel</t>
  </si>
  <si>
    <t>Edwards, Keith</t>
  </si>
  <si>
    <t>Edwards, Lyssa</t>
  </si>
  <si>
    <t>Esquivel, Briana</t>
  </si>
  <si>
    <t>Estrada, Sabino</t>
  </si>
  <si>
    <t>Evans, Farrah</t>
  </si>
  <si>
    <t>Everett, Travis</t>
  </si>
  <si>
    <t>Falcon, Destiny</t>
  </si>
  <si>
    <t>Farley, Charlotte</t>
  </si>
  <si>
    <t>Fields, Justus</t>
  </si>
  <si>
    <t>Figueroa, Paul</t>
  </si>
  <si>
    <t>Fleming, Joshua</t>
  </si>
  <si>
    <t>Fleming, Marsha</t>
  </si>
  <si>
    <t>Fleurimond, Natachelle</t>
  </si>
  <si>
    <t>Flint, Jada</t>
  </si>
  <si>
    <t>Flores, Jorge</t>
  </si>
  <si>
    <t>ford, camara</t>
  </si>
  <si>
    <t>Fox, Troy</t>
  </si>
  <si>
    <t>Franco, Dana</t>
  </si>
  <si>
    <t>W12-1-1213</t>
  </si>
  <si>
    <t>FRAZIER, JAMAR</t>
  </si>
  <si>
    <t>Frieson, Ahjunae</t>
  </si>
  <si>
    <t>Fross, Hope</t>
  </si>
  <si>
    <t>Fuentes Hernandez, Leonardo</t>
  </si>
  <si>
    <t>Fuller, Solomon</t>
  </si>
  <si>
    <t>Gamez II, Gabriel</t>
  </si>
  <si>
    <t>Gamez, Kimberly</t>
  </si>
  <si>
    <t>Gamma, Fadin</t>
  </si>
  <si>
    <t>Garcia, Angel</t>
  </si>
  <si>
    <t>Garcia, Aubrie</t>
  </si>
  <si>
    <t>GARCIA DIAZ, MILLANYELA</t>
  </si>
  <si>
    <t>W14-1-1413</t>
  </si>
  <si>
    <t>Garcia, Ruby</t>
  </si>
  <si>
    <t>Garner Jr, Montez</t>
  </si>
  <si>
    <t>Garner, Ranquaneisha</t>
  </si>
  <si>
    <t>Gaytan, Tania</t>
  </si>
  <si>
    <t>Gebreamlak, Btsuan Eyakem</t>
  </si>
  <si>
    <t>Gergens, Stephanie</t>
  </si>
  <si>
    <t>Gilly, Jesus</t>
  </si>
  <si>
    <t>Glosson, Precious</t>
  </si>
  <si>
    <t>gonzales, brianna</t>
  </si>
  <si>
    <t>N14-2058</t>
  </si>
  <si>
    <t>Gonzalez, Adriana</t>
  </si>
  <si>
    <t>Gonzalez, Angel</t>
  </si>
  <si>
    <t>GONZALEZ CALIXTO, LLUVIA DE ABRIL</t>
  </si>
  <si>
    <t>Gonzalez, Gabriel</t>
  </si>
  <si>
    <t>Gonzalez, Helio</t>
  </si>
  <si>
    <t>Gonzalez, Rosa</t>
  </si>
  <si>
    <t>Gonzalez, Yasmine</t>
  </si>
  <si>
    <t>Gorczyca, James</t>
  </si>
  <si>
    <t>Grant, Bryce</t>
  </si>
  <si>
    <t>Gray, Jsohua</t>
  </si>
  <si>
    <t>Gray, Noah</t>
  </si>
  <si>
    <t>Grays, The</t>
  </si>
  <si>
    <t>Griffin, Joydan</t>
  </si>
  <si>
    <t>Griffith, Emma</t>
  </si>
  <si>
    <t>Grigoryan, Armen</t>
  </si>
  <si>
    <t>Guadarrama, Israel</t>
  </si>
  <si>
    <t>Guerrero, Anny</t>
  </si>
  <si>
    <t>GuestCard, ApartmentList</t>
  </si>
  <si>
    <t>Hairston, Janessa</t>
  </si>
  <si>
    <t>Hammonds, Tiffany</t>
  </si>
  <si>
    <t>Hams, Byron</t>
  </si>
  <si>
    <t>Hannah, Devante</t>
  </si>
  <si>
    <t>Harbert, Anquesia</t>
  </si>
  <si>
    <t>Hardeman, Sylvester</t>
  </si>
  <si>
    <t>Harrell, Jaron</t>
  </si>
  <si>
    <t>Harrison, Cara</t>
  </si>
  <si>
    <t>Harrison, Jennifer</t>
  </si>
  <si>
    <t>Harris, Sam</t>
  </si>
  <si>
    <t>Hayes, Ishmail</t>
  </si>
  <si>
    <t>Hearne, Deondria</t>
  </si>
  <si>
    <t>Heath, McKenzi</t>
  </si>
  <si>
    <t>Hernandez, Monica</t>
  </si>
  <si>
    <t>Hesse, Alexander</t>
  </si>
  <si>
    <t>Hiday, Luke</t>
  </si>
  <si>
    <t>Hill, Lori</t>
  </si>
  <si>
    <t>hills, jaedyn</t>
  </si>
  <si>
    <t>Hones, Keair</t>
  </si>
  <si>
    <t>Howie, Brooke</t>
  </si>
  <si>
    <t>Hudson, Brittany</t>
  </si>
  <si>
    <t>Hudson, Xzeal</t>
  </si>
  <si>
    <t>Huerta, Ruby</t>
  </si>
  <si>
    <t>Humes, Kayla</t>
  </si>
  <si>
    <t>ignont, jeremy</t>
  </si>
  <si>
    <t>Ikpa, Christiantus</t>
  </si>
  <si>
    <t>Jackson, Carolyn</t>
  </si>
  <si>
    <t>Jackson, Ruddy</t>
  </si>
  <si>
    <t>Jackson, Taylor</t>
  </si>
  <si>
    <t>Jackson, Tramya</t>
  </si>
  <si>
    <t>Jalil, Laila</t>
  </si>
  <si>
    <t>James, Tyler</t>
  </si>
  <si>
    <t>Janae, Toriyonna</t>
  </si>
  <si>
    <t>Jando, Martin</t>
  </si>
  <si>
    <t>Jaquan, Dildy</t>
  </si>
  <si>
    <t>Jeffery, Shan-Terria</t>
  </si>
  <si>
    <t>Jennings, Zylah</t>
  </si>
  <si>
    <t>Jericho, Andrew Jericho</t>
  </si>
  <si>
    <t>Johnson, Armonie</t>
  </si>
  <si>
    <t>Johnson, Dominic</t>
  </si>
  <si>
    <t>JOHNSON, PAYTON CAMILLE</t>
  </si>
  <si>
    <t>Johnson, Rosemary</t>
  </si>
  <si>
    <t>Jones, Ashton</t>
  </si>
  <si>
    <t>Jones, Cherish</t>
  </si>
  <si>
    <t>Jones, Courtney</t>
  </si>
  <si>
    <t>Jones, Emily</t>
  </si>
  <si>
    <t>jones, rishye</t>
  </si>
  <si>
    <t>Jones, Tawan</t>
  </si>
  <si>
    <t>Jones, Varon</t>
  </si>
  <si>
    <t>Keys, Jamyia</t>
  </si>
  <si>
    <t>Keys, Jemiah</t>
  </si>
  <si>
    <t>Khan, Shafiullah</t>
  </si>
  <si>
    <t>LaComp, Nina</t>
  </si>
  <si>
    <t>Ladell, Zaaria</t>
  </si>
  <si>
    <t>Land, Hannah</t>
  </si>
  <si>
    <t>Lanel, Tyree</t>
  </si>
  <si>
    <t>Larroy, Michael</t>
  </si>
  <si>
    <t>LaValais, Keshonia</t>
  </si>
  <si>
    <t>Leasure, Timbre</t>
  </si>
  <si>
    <t>Lee, Juantraviaus</t>
  </si>
  <si>
    <t>Lee, Trey</t>
  </si>
  <si>
    <t>Lemos, Kiana</t>
  </si>
  <si>
    <t>Le, Oanh</t>
  </si>
  <si>
    <t>LeTourneau, Ashley</t>
  </si>
  <si>
    <t>Lewis, Desiree</t>
  </si>
  <si>
    <t>Lewis, Myesha</t>
  </si>
  <si>
    <t>Lim, Kailean</t>
  </si>
  <si>
    <t>Little, Camron</t>
  </si>
  <si>
    <t>LOCKHART, RANASIA VALENCIA</t>
  </si>
  <si>
    <t>Long-Schneiden, Tanya</t>
  </si>
  <si>
    <t>Lopez, Daniel</t>
  </si>
  <si>
    <t>Lopez gonzalez, Gustavo Adolfo</t>
  </si>
  <si>
    <t>Lopez, Jairo</t>
  </si>
  <si>
    <t>Lordoba, Cindy</t>
  </si>
  <si>
    <t>Lorenzo, Olivia</t>
  </si>
  <si>
    <t>Loretto, Sandra</t>
  </si>
  <si>
    <t>Louis, Hannah</t>
  </si>
  <si>
    <t>Rent.com</t>
  </si>
  <si>
    <t>Lucas, Brandi</t>
  </si>
  <si>
    <t>Mana, Danait</t>
  </si>
  <si>
    <t>Manzanares Irias, Dorian</t>
  </si>
  <si>
    <t>Marco, Felipe</t>
  </si>
  <si>
    <t>Marin, Judith</t>
  </si>
  <si>
    <t>Marruffo, Maddie</t>
  </si>
  <si>
    <t>Martinez, America</t>
  </si>
  <si>
    <t>Martinez, Angelica</t>
  </si>
  <si>
    <t>Martinez, Carero</t>
  </si>
  <si>
    <t>Martinez, Isabel</t>
  </si>
  <si>
    <t>Martinez, Jolio</t>
  </si>
  <si>
    <t>Martinez, Julian</t>
  </si>
  <si>
    <t>Martinez, Lohari</t>
  </si>
  <si>
    <t>Martinez, Magaly</t>
  </si>
  <si>
    <t>Martinez Palacios, Julian</t>
  </si>
  <si>
    <t>Marzioli, Josiah</t>
  </si>
  <si>
    <t>Mays, Chyra</t>
  </si>
  <si>
    <t>Mcchrthy, Tatiana</t>
  </si>
  <si>
    <t>McCowan, Mahogany</t>
  </si>
  <si>
    <t>Mccullor, Aysia</t>
  </si>
  <si>
    <t>Mcdonald, Dejaya</t>
  </si>
  <si>
    <t>Mcdowell, Arthur</t>
  </si>
  <si>
    <t>Mcgee, Alondra</t>
  </si>
  <si>
    <t>Mcghee, Zyneria</t>
  </si>
  <si>
    <t>Mckenzie, Malissa</t>
  </si>
  <si>
    <t>McKinney, Emily</t>
  </si>
  <si>
    <t>Mcmillon, Chris</t>
  </si>
  <si>
    <t>Medrano, Jasmine</t>
  </si>
  <si>
    <t>Mendoza, Gabby</t>
  </si>
  <si>
    <t>Mendoza, Irene</t>
  </si>
  <si>
    <t>Michael, Jarelle</t>
  </si>
  <si>
    <t>Michelle, Rubio</t>
  </si>
  <si>
    <t>Mikel, Ve</t>
  </si>
  <si>
    <t>Mikel, Vershea</t>
  </si>
  <si>
    <t>Mitchell, Kiera</t>
  </si>
  <si>
    <t>Mitchell, Teionte</t>
  </si>
  <si>
    <t>Montgomery, Janyia</t>
  </si>
  <si>
    <t>Moore, Camaya</t>
  </si>
  <si>
    <t>Moore, Cristal</t>
  </si>
  <si>
    <t>Morales, Kimberly</t>
  </si>
  <si>
    <t>W09-1-0907</t>
  </si>
  <si>
    <t>Morales, Raul</t>
  </si>
  <si>
    <t>Morton, Tyler</t>
  </si>
  <si>
    <t>Mott, Kadin</t>
  </si>
  <si>
    <t>Muldrew, Carly</t>
  </si>
  <si>
    <t>MUNKANA, Grace</t>
  </si>
  <si>
    <t>Munoz, Celeste</t>
  </si>
  <si>
    <t>Munoz, Mariana</t>
  </si>
  <si>
    <t>Munoz, Ricardo</t>
  </si>
  <si>
    <t>Murrey, Dijuan</t>
  </si>
  <si>
    <t>Murtala, Mohammad</t>
  </si>
  <si>
    <t>Muse, Asia</t>
  </si>
  <si>
    <t>Mussa, Selemani</t>
  </si>
  <si>
    <t>Muswagha, Jeannine</t>
  </si>
  <si>
    <t>Naranjo, Stephanie</t>
  </si>
  <si>
    <t>W02-1-0214</t>
  </si>
  <si>
    <t>Neel, Jaylen</t>
  </si>
  <si>
    <t>Neely, Torrey</t>
  </si>
  <si>
    <t>Newhouse, Davian</t>
  </si>
  <si>
    <t>Newman, Megan</t>
  </si>
  <si>
    <t>Nicholas, Sylva</t>
  </si>
  <si>
    <t>Nnaji, Chukwuemeka</t>
  </si>
  <si>
    <t>Noied, Omyree</t>
  </si>
  <si>
    <t>Not_Provided, Jeremiah</t>
  </si>
  <si>
    <t>Not_Provided, Korlexis</t>
  </si>
  <si>
    <t>Not_Provided, Vishal</t>
  </si>
  <si>
    <t>Oaks, Jayden</t>
  </si>
  <si>
    <t>Obiamiwe, Lisa</t>
  </si>
  <si>
    <t>Odigie, Adenike</t>
  </si>
  <si>
    <t>O'Hearn, Matthew</t>
  </si>
  <si>
    <t>Okafor, Chigozie</t>
  </si>
  <si>
    <t>Oluwanisola, Nancy Omola</t>
  </si>
  <si>
    <t>Onim, Saif</t>
  </si>
  <si>
    <t>Ortega, Vannesa</t>
  </si>
  <si>
    <t>Osvaldo, Kevin</t>
  </si>
  <si>
    <t>Owens, Jahleel</t>
  </si>
  <si>
    <t>Ozkan, Hatice</t>
  </si>
  <si>
    <t>Parks, Cheyanne</t>
  </si>
  <si>
    <t>Parson, Tracie</t>
  </si>
  <si>
    <t>Patel, Aarti</t>
  </si>
  <si>
    <t>Patel, Kausha</t>
  </si>
  <si>
    <t>Patino, Jazmin</t>
  </si>
  <si>
    <t>Pearson, Zanetra</t>
  </si>
  <si>
    <t>Pease, Austin</t>
  </si>
  <si>
    <t>Peller, Janiya</t>
  </si>
  <si>
    <t>Perry, Amber</t>
  </si>
  <si>
    <t>Peter, Kharis</t>
  </si>
  <si>
    <t>Pham, Hieu</t>
  </si>
  <si>
    <t>Phean, Soriya</t>
  </si>
  <si>
    <t>Philemon, Jude</t>
  </si>
  <si>
    <t>Pittman, Jeremy</t>
  </si>
  <si>
    <t>Pollock, Danny</t>
  </si>
  <si>
    <t>Pompa, Brianna (Brianna)</t>
  </si>
  <si>
    <t>Popoca, Eduardo</t>
  </si>
  <si>
    <t>Potraza, Caitlyn</t>
  </si>
  <si>
    <t>Prajapati, Ashish</t>
  </si>
  <si>
    <t>Prince, Deborah</t>
  </si>
  <si>
    <t>Pulattie, Skyler</t>
  </si>
  <si>
    <t>Rainers, Nadine</t>
  </si>
  <si>
    <t>Ramey, Cenovia</t>
  </si>
  <si>
    <t>Ramos, Mairim</t>
  </si>
  <si>
    <t>Rana, Bishakha</t>
  </si>
  <si>
    <t>Rangel, Angel</t>
  </si>
  <si>
    <t>Ray-Jackson, Cantrell</t>
  </si>
  <si>
    <t>Rayo, Nanci</t>
  </si>
  <si>
    <t>W06-1-0601</t>
  </si>
  <si>
    <t>Ray Williams, Bridget</t>
  </si>
  <si>
    <t>Razz, Christopher</t>
  </si>
  <si>
    <t>Record, Aaniyah</t>
  </si>
  <si>
    <t>Regner, Rachel</t>
  </si>
  <si>
    <t>rhynes, chanelle</t>
  </si>
  <si>
    <t>Richards, Janette</t>
  </si>
  <si>
    <t>W09-1-0904</t>
  </si>
  <si>
    <t>RICHARDSON, STACEY</t>
  </si>
  <si>
    <t>Richmond, Steven</t>
  </si>
  <si>
    <t>Rios Adame, Cecilia</t>
  </si>
  <si>
    <t>Rives, Shaun</t>
  </si>
  <si>
    <t>Robertson, Jacobe</t>
  </si>
  <si>
    <t>Robinson, Elias</t>
  </si>
  <si>
    <t>Robinson, James</t>
  </si>
  <si>
    <t>Rockwell, Josh</t>
  </si>
  <si>
    <t>Rodríguez Roa, Daniel</t>
  </si>
  <si>
    <t>Rojik, Jaycie</t>
  </si>
  <si>
    <t>Rojo, Syann</t>
  </si>
  <si>
    <t>Romero, Amanda</t>
  </si>
  <si>
    <t>Romo, Naomy</t>
  </si>
  <si>
    <t>W08-1-0813</t>
  </si>
  <si>
    <t>Rubina, Oscar</t>
  </si>
  <si>
    <t>Ruffini, Melissa</t>
  </si>
  <si>
    <t>Rutter, Cameron</t>
  </si>
  <si>
    <t>Salinas, Maria</t>
  </si>
  <si>
    <t>Salmeron, Edgar</t>
  </si>
  <si>
    <t>Salomom, Temesgen</t>
  </si>
  <si>
    <t>Salvador, Manuela</t>
  </si>
  <si>
    <t>Samon Pelegrin, Reineri</t>
  </si>
  <si>
    <t>Samuels, Taylor</t>
  </si>
  <si>
    <t>Sanchez, Andrew</t>
  </si>
  <si>
    <t>Sanchez, Dakota</t>
  </si>
  <si>
    <t>Sanchez, Kimberly</t>
  </si>
  <si>
    <t>Sanders, Brandi</t>
  </si>
  <si>
    <t>Sanders, Lazarria</t>
  </si>
  <si>
    <t>Sanders, Zibree</t>
  </si>
  <si>
    <t>Santillan, Allen</t>
  </si>
  <si>
    <t>Sauyes, kay</t>
  </si>
  <si>
    <t>Sayers, Marlene</t>
  </si>
  <si>
    <t>S, Bella</t>
  </si>
  <si>
    <t>Scotting, Mckenna</t>
  </si>
  <si>
    <t>Scott, Rejana</t>
  </si>
  <si>
    <t>Seamster, Jayla</t>
  </si>
  <si>
    <t>Searcy, Mitchell</t>
  </si>
  <si>
    <t>Segun, Tolani</t>
  </si>
  <si>
    <t>Semie, Tilahun</t>
  </si>
  <si>
    <t>Service, Customer</t>
  </si>
  <si>
    <t>Sescon, Jayden</t>
  </si>
  <si>
    <t>Settle, Richard</t>
  </si>
  <si>
    <t>Seymon, Halayiah</t>
  </si>
  <si>
    <t>Shakya, Smit</t>
  </si>
  <si>
    <t>Sharkey, Charleston</t>
  </si>
  <si>
    <t>Shearing, Janice</t>
  </si>
  <si>
    <t>Shelby, Tarrin</t>
  </si>
  <si>
    <t>Shepard, Daisah</t>
  </si>
  <si>
    <t>Sherman, Alexzandria</t>
  </si>
  <si>
    <t>Siddall, Veronica</t>
  </si>
  <si>
    <t>Sinclair, Olivia</t>
  </si>
  <si>
    <t>Smith, Amaria</t>
  </si>
  <si>
    <t>Smith, Naudia</t>
  </si>
  <si>
    <t>Smith, Sherion</t>
  </si>
  <si>
    <t>Sneed, Keena</t>
  </si>
  <si>
    <t>Snyder, Angelo</t>
  </si>
  <si>
    <t>Sosa, Alaxey</t>
  </si>
  <si>
    <t>Sosa, Robinson</t>
  </si>
  <si>
    <t>Stahlke, Anna</t>
  </si>
  <si>
    <t>standard, taliyah</t>
  </si>
  <si>
    <t>Stephens, Lucy</t>
  </si>
  <si>
    <t>Stewart, Ember</t>
  </si>
  <si>
    <t>Strickland, Kaila</t>
  </si>
  <si>
    <t>Talks, Alicia</t>
  </si>
  <si>
    <t>Tanner, TaQuirah</t>
  </si>
  <si>
    <t>W14-1-1405</t>
  </si>
  <si>
    <t>Taylor, Monique</t>
  </si>
  <si>
    <t>Taylor, Rosiland</t>
  </si>
  <si>
    <t>Tente, Shukru</t>
  </si>
  <si>
    <t>Terell, Ceaera</t>
  </si>
  <si>
    <t>Tesfamicael, Medhane</t>
  </si>
  <si>
    <t>test, alex</t>
  </si>
  <si>
    <t>Chavez, Alexandra</t>
  </si>
  <si>
    <t>Teul, Vianei</t>
  </si>
  <si>
    <t>That's It, Oh</t>
  </si>
  <si>
    <t>Thomas, Anna</t>
  </si>
  <si>
    <t>Thomas, Asia</t>
  </si>
  <si>
    <t>Thomas, Colonique</t>
  </si>
  <si>
    <t>Thompson, Andre</t>
  </si>
  <si>
    <t>THOMPSON, JOHNNY</t>
  </si>
  <si>
    <t>Tillmon, Alicia</t>
  </si>
  <si>
    <t>Tipton, Mary</t>
  </si>
  <si>
    <t>Torres, Cindy</t>
  </si>
  <si>
    <t>Tsegah, Prince</t>
  </si>
  <si>
    <t>Turner, Elizare</t>
  </si>
  <si>
    <t>Tyler, Larry</t>
  </si>
  <si>
    <t>Unknown, Abdullah</t>
  </si>
  <si>
    <t>Unknown, Adolfo</t>
  </si>
  <si>
    <t>Unknown, Akilesh</t>
  </si>
  <si>
    <t>Unknown, Amy</t>
  </si>
  <si>
    <t>Unknown, Aquilina</t>
  </si>
  <si>
    <t>Unknown, Arash</t>
  </si>
  <si>
    <t>Unknown, Arthur</t>
  </si>
  <si>
    <t>Unknown, Barbara</t>
  </si>
  <si>
    <t>Unknown, Belt</t>
  </si>
  <si>
    <t>Unknown, Ben</t>
  </si>
  <si>
    <t>Unknown, Brianna</t>
  </si>
  <si>
    <t>Unknown, Carigan</t>
  </si>
  <si>
    <t>Unknown, Casey</t>
  </si>
  <si>
    <t>Unknown, Cece</t>
  </si>
  <si>
    <t>Unknown, Chester</t>
  </si>
  <si>
    <t>Unknown, Dan</t>
  </si>
  <si>
    <t>Unknown, Dana</t>
  </si>
  <si>
    <t>Unknown, Davonte</t>
  </si>
  <si>
    <t>Unknown, Devin</t>
  </si>
  <si>
    <t>Unknown, Dog</t>
  </si>
  <si>
    <t>Unknown, Donnie</t>
  </si>
  <si>
    <t>Unknown, Eileen</t>
  </si>
  <si>
    <t>Unknown, Elly</t>
  </si>
  <si>
    <t>Unknown, Emily</t>
  </si>
  <si>
    <t>Unknown, Ethan</t>
  </si>
  <si>
    <t>Unknown, Gerardo</t>
  </si>
  <si>
    <t>Unknown, Gloria</t>
  </si>
  <si>
    <t>Unknown, Herbert</t>
  </si>
  <si>
    <t>Unknown, Hola</t>
  </si>
  <si>
    <t>Unknown, Hollett</t>
  </si>
  <si>
    <t>Unknown, Homer</t>
  </si>
  <si>
    <t>Unknown, James</t>
  </si>
  <si>
    <t>Unknown, Jamie</t>
  </si>
  <si>
    <t>Unknown, Jazmine</t>
  </si>
  <si>
    <t>Unknown, Jennifer</t>
  </si>
  <si>
    <t>Unknown, Josea</t>
  </si>
  <si>
    <t>Unknown, Jury</t>
  </si>
  <si>
    <t>Unknown, Kelly</t>
  </si>
  <si>
    <t>Unknown, Kyrum</t>
  </si>
  <si>
    <t>Unknown, Lowen</t>
  </si>
  <si>
    <t>Unknown, Madison</t>
  </si>
  <si>
    <t>Unknown, Maria</t>
  </si>
  <si>
    <t>Unknown, Mariel</t>
  </si>
  <si>
    <t>Unknown, Marsha</t>
  </si>
  <si>
    <t>Unknown, Matthew</t>
  </si>
  <si>
    <t>Unknown, Nadine</t>
  </si>
  <si>
    <t>Unknown, Nicole</t>
  </si>
  <si>
    <t>Unknown, Paisley</t>
  </si>
  <si>
    <t>Unknown, Person</t>
  </si>
  <si>
    <t>Unknown, Pysics</t>
  </si>
  <si>
    <t>Unknown, Rachel</t>
  </si>
  <si>
    <t>Unknown, Rafayud</t>
  </si>
  <si>
    <t>Unknown, Rakesh</t>
  </si>
  <si>
    <t>Unknown, Renishunner</t>
  </si>
  <si>
    <t>Unknown, Roxanne</t>
  </si>
  <si>
    <t>Unknown, Samaya</t>
  </si>
  <si>
    <t>Unknown, Sidharth</t>
  </si>
  <si>
    <t>Unknown, Tamaya</t>
  </si>
  <si>
    <t>Unknown, Tingit</t>
  </si>
  <si>
    <t>Unknown, Toria</t>
  </si>
  <si>
    <t>Unknown, Tushma</t>
  </si>
  <si>
    <t>Unknown, Vanessa</t>
  </si>
  <si>
    <t>Unknown, Yin</t>
  </si>
  <si>
    <t>Unknown, Zack</t>
  </si>
  <si>
    <t>Unknown, Zairine</t>
  </si>
  <si>
    <t>Vaghashia, Mann</t>
  </si>
  <si>
    <t>Valencia, Veronica</t>
  </si>
  <si>
    <t>Valure, Ambriah</t>
  </si>
  <si>
    <t>Vance, Dominique</t>
  </si>
  <si>
    <t>Vaughn, Keyora</t>
  </si>
  <si>
    <t>Velasquez, Taisha</t>
  </si>
  <si>
    <t>Velazquez, Jason</t>
  </si>
  <si>
    <t>Vidrine, Ana</t>
  </si>
  <si>
    <t>Vielman, Myler</t>
  </si>
  <si>
    <t>W13-1-1315</t>
  </si>
  <si>
    <t>Villareal, Felicia</t>
  </si>
  <si>
    <t>Villareal, Mariam</t>
  </si>
  <si>
    <t>Villarreal, Andrew Ryan</t>
  </si>
  <si>
    <t>Villarreal, Olivia</t>
  </si>
  <si>
    <t>Wade, Sakita</t>
  </si>
  <si>
    <t>Walker, Cassandra</t>
  </si>
  <si>
    <t>Walker, Sierra</t>
  </si>
  <si>
    <t>Washington, Denzel</t>
  </si>
  <si>
    <t>Washington, Semyria</t>
  </si>
  <si>
    <t>Watson, Jessie</t>
  </si>
  <si>
    <t>Weah, Malachi</t>
  </si>
  <si>
    <t>Wheat, Kaitlyn</t>
  </si>
  <si>
    <t>Whitcomb, Chad</t>
  </si>
  <si>
    <t>White, Myah</t>
  </si>
  <si>
    <t>White, Thomasina</t>
  </si>
  <si>
    <t>W24-2-2032</t>
  </si>
  <si>
    <t>Williams, Celetta</t>
  </si>
  <si>
    <t>Williams, Chavez</t>
  </si>
  <si>
    <t>Williams, Corra</t>
  </si>
  <si>
    <t>Williams, Darrius</t>
  </si>
  <si>
    <t>Williams, Domonique</t>
  </si>
  <si>
    <t>Williams, Jaela</t>
  </si>
  <si>
    <t>Williams, Jennifer</t>
  </si>
  <si>
    <t>Williams, Jerry</t>
  </si>
  <si>
    <t>Williams, Jessica</t>
  </si>
  <si>
    <t>Williams, Kayanti</t>
  </si>
  <si>
    <t>Williams, Ladajaha</t>
  </si>
  <si>
    <t>Williams, Mariona</t>
  </si>
  <si>
    <t>Williams, Martha</t>
  </si>
  <si>
    <t>Williams, Tamara</t>
  </si>
  <si>
    <t>Wilson, Sincere</t>
  </si>
  <si>
    <t>Wingsield, Sophia</t>
  </si>
  <si>
    <t>Winters, Ashley</t>
  </si>
  <si>
    <t>Woodburn, Ian</t>
  </si>
  <si>
    <t>Woolford, Kyshawn</t>
  </si>
  <si>
    <t>Wright, Anternett</t>
  </si>
  <si>
    <t>W, Zakejdra</t>
  </si>
  <si>
    <t>Xue, Li</t>
  </si>
  <si>
    <t>Yagumanti, Nirmal Kumar reddy</t>
  </si>
  <si>
    <t>Yarbrough, Sharavionne</t>
  </si>
  <si>
    <t>Young, Essence</t>
  </si>
  <si>
    <t>Young, Tyjuan</t>
  </si>
  <si>
    <t>Zain, Hira</t>
  </si>
  <si>
    <t>Zalmai, Abid</t>
  </si>
  <si>
    <t>Zambrano, Weelferth</t>
  </si>
  <si>
    <t>Zorrla, Danielle</t>
  </si>
  <si>
    <t>%</t>
  </si>
  <si>
    <t>Possession Partner: Failure To Payrent Service</t>
  </si>
  <si>
    <t>Issue Date</t>
  </si>
  <si>
    <t>Tenant Name</t>
  </si>
  <si>
    <t>Tenant Address</t>
  </si>
  <si>
    <t>County</t>
  </si>
  <si>
    <t>Filed Amount</t>
  </si>
  <si>
    <t>Judgment Amount</t>
  </si>
  <si>
    <t>Court Date</t>
  </si>
  <si>
    <t>Index Number</t>
  </si>
  <si>
    <t>‌02/25/2026</t>
  </si>
  <si>
    <t>‌Tamiko Brown</t>
  </si>
  <si>
    <t>‌9750 Royal Lane 1106Dallas, TX 75231</t>
  </si>
  <si>
    <t>‌Dallas County</t>
  </si>
  <si>
    <t>‌$1970.00</t>
  </si>
  <si>
    <t>‌$0.00</t>
  </si>
  <si>
    <t>‌Awaiting Court Confirmation</t>
  </si>
  <si>
    <t>‌Not Assigned by Court</t>
  </si>
  <si>
    <t>‌Cancelled  (Notes)</t>
  </si>
  <si>
    <t>‌Teaira Shead</t>
  </si>
  <si>
    <t>‌9750 Royal Lane 1417Dallas, TX 75231</t>
  </si>
  <si>
    <t>‌$1696.00</t>
  </si>
  <si>
    <t>‌Elieser Cortez RochaCristal Urquiza</t>
  </si>
  <si>
    <t>‌8201 Fair Oaks Crossing 2041Dallas, TX 75231</t>
  </si>
  <si>
    <t>‌$2400.00</t>
  </si>
  <si>
    <t>‌Danny EnriqueSugeily NievesEdgar Estrada Barrera</t>
  </si>
  <si>
    <t>‌9750 Royal Lane 1-1206Dallas, TX 75231</t>
  </si>
  <si>
    <t>‌$2760.00</t>
  </si>
  <si>
    <t>‌02/17/2026</t>
  </si>
  <si>
    <t>‌Allisa Burton</t>
  </si>
  <si>
    <t>‌8401 Skillman Street 3046Dallas, TX 75231</t>
  </si>
  <si>
    <t>‌$1664.00</t>
  </si>
  <si>
    <t>‌Leaujodon Pierre Alexander</t>
  </si>
  <si>
    <t>‌8201 Fair Oaks Crossing, ##1020Dallas, TX 75231</t>
  </si>
  <si>
    <t>‌$2812.00</t>
  </si>
  <si>
    <t>‌$5,389.00Judgment Stay: 04/03/2026</t>
  </si>
  <si>
    <t>‌03/25/20269.30 am</t>
  </si>
  <si>
    <t>‌JPC-26-01658-31</t>
  </si>
  <si>
    <t>‌Granted  (Notes)</t>
  </si>
  <si>
    <t>‌Naureen AsadGulnaz Rashid</t>
  </si>
  <si>
    <t>‌8201 Fair Oaks Crossing 1013Dallas, TX 75231</t>
  </si>
  <si>
    <t>‌$452.98</t>
  </si>
  <si>
    <t>‌JPC-26-01656-31</t>
  </si>
  <si>
    <t>‌Dismissed  (Tenant PAID)  (Notes)</t>
  </si>
  <si>
    <t>‌Tatiana Cooks</t>
  </si>
  <si>
    <t>‌8303 Skillman Street 414Dallas, TX 75231</t>
  </si>
  <si>
    <t>‌$2590.00</t>
  </si>
  <si>
    <t>‌Iram Coronado</t>
  </si>
  <si>
    <t>‌8303 Skillman Street 109Dallas, TX 75231</t>
  </si>
  <si>
    <t>‌$2215.40</t>
  </si>
  <si>
    <t>‌Thalia Daniels</t>
  </si>
  <si>
    <t>‌8201 Fair Oaks Crossing 1059Dallas, TX 75231</t>
  </si>
  <si>
    <t>‌$925.00</t>
  </si>
  <si>
    <t>‌Jordan Feaster</t>
  </si>
  <si>
    <t>‌8201 Fair Oaks Crossing 1080Dallas, TX 75231</t>
  </si>
  <si>
    <t>‌Alexxis Means</t>
  </si>
  <si>
    <t>‌8201 Fair Oaks Crossing , ##1016Dallas, TX 75231</t>
  </si>
  <si>
    <t>‌$2190.00</t>
  </si>
  <si>
    <t>‌$0.00Judgment Stay: 04/03/2026</t>
  </si>
  <si>
    <t>‌JPC-26-01657-31</t>
  </si>
  <si>
    <t>‌Malik Shamar Walker</t>
  </si>
  <si>
    <t>‌8201 Fair Oaks Crossing 1050Dallas, TX 75231</t>
  </si>
  <si>
    <t>‌$800.66</t>
  </si>
  <si>
    <t>‌Omari Lamon White</t>
  </si>
  <si>
    <t>‌8303 Skillman Street 408Dallas, TX 75231</t>
  </si>
  <si>
    <t>‌$2290.00</t>
  </si>
  <si>
    <t>‌Amariah Wiggins</t>
  </si>
  <si>
    <t>‌8401 Skillman Street 3061Dallas, TX 75231</t>
  </si>
  <si>
    <t>‌$2140.00</t>
  </si>
  <si>
    <t>‌8401 Skillman Street 2083Dallas, TX 75231</t>
  </si>
  <si>
    <t>‌$1171.60</t>
  </si>
  <si>
    <t>‌N/A</t>
  </si>
  <si>
    <t>‌Dismissed  (Other)  (Notes)</t>
  </si>
  <si>
    <t>‌Dewayne Dixon</t>
  </si>
  <si>
    <t>‌8401 Skillman Street 2038Dallas, TX 75231</t>
  </si>
  <si>
    <t>‌$7351.07</t>
  </si>
  <si>
    <t>‌03/26/20269.30 am</t>
  </si>
  <si>
    <t>‌JPC-26-01790-31</t>
  </si>
  <si>
    <t>‌Dismissed  (Notes)</t>
  </si>
  <si>
    <t>‌Krystal Farrell</t>
  </si>
  <si>
    <t>‌8401 Skillman Street 2086Dallas, TX 75231</t>
  </si>
  <si>
    <t>‌$3054.00</t>
  </si>
  <si>
    <t>‌$4,326.00Judgment Stay: 04/03/2026</t>
  </si>
  <si>
    <t>‌JPC-26-01652-31</t>
  </si>
  <si>
    <t>‌8401 Skillman Street 3016Dallas, TX 75231</t>
  </si>
  <si>
    <t>‌$999.00</t>
  </si>
  <si>
    <t>‌Alton Marshall</t>
  </si>
  <si>
    <t>‌8401 Skillman Street 2093Dallas, TX 75231</t>
  </si>
  <si>
    <t>‌$1568.00</t>
  </si>
  <si>
    <t>‌JPC-26-01795-31</t>
  </si>
  <si>
    <t>‌Jada Taylor</t>
  </si>
  <si>
    <t>‌8401 Skillman Street 3019Dallas, TX 75231</t>
  </si>
  <si>
    <t>‌$320.00</t>
  </si>
  <si>
    <t>‌Nicole Brown</t>
  </si>
  <si>
    <t>‌8401 Skillman Street 2021Dallas, TX 75231</t>
  </si>
  <si>
    <t>‌$7517.93</t>
  </si>
  <si>
    <t>‌JPC-26-01789-31</t>
  </si>
  <si>
    <t>‌Anay CarrascoLeonardo Jerezano</t>
  </si>
  <si>
    <t>‌8401 Skillman Street 1028Dallas, TX 75231</t>
  </si>
  <si>
    <t>‌$2350.00</t>
  </si>
  <si>
    <t>‌Latricia CooperBrian Bedford</t>
  </si>
  <si>
    <t>‌8401 Skillman Street 1083Dallas, TX 75231</t>
  </si>
  <si>
    <t>‌$1315.00</t>
  </si>
  <si>
    <t>‌Miguel Cruz SalasRafael Ortiz</t>
  </si>
  <si>
    <t>‌8401 Skillman Street 1006Dallas, TX 75231</t>
  </si>
  <si>
    <t>‌$1988.00</t>
  </si>
  <si>
    <t>‌Estanislao Flores</t>
  </si>
  <si>
    <t>‌8401 Skillman Street 1037Dallas, TX 75231</t>
  </si>
  <si>
    <t>‌$1987.00</t>
  </si>
  <si>
    <t>‌02/17/2026MIL</t>
  </si>
  <si>
    <t>‌Fernando Gonzalez</t>
  </si>
  <si>
    <t>‌8401 Skillman Street 1059Dallas, TX 75231</t>
  </si>
  <si>
    <t>‌$840.00</t>
  </si>
  <si>
    <t>‌Christopher GuthrieTawa Salami Guthier</t>
  </si>
  <si>
    <t>‌8401 Skillman Street 2009Dallas, TX 75231</t>
  </si>
  <si>
    <t>‌$1300.00</t>
  </si>
  <si>
    <t>‌Leo Jackson</t>
  </si>
  <si>
    <t>‌8401 Skillman Street 1016Dallas, TX 75231</t>
  </si>
  <si>
    <t>‌$885.00</t>
  </si>
  <si>
    <t>‌$0.00Judgment Stay: 04/01/2026</t>
  </si>
  <si>
    <t>‌03/23/20261.30 pm</t>
  </si>
  <si>
    <t>‌JPC-26-01592-31</t>
  </si>
  <si>
    <t>‌LC Handling Appeal  (Notes)</t>
  </si>
  <si>
    <t>‌Christiana Odebiyi</t>
  </si>
  <si>
    <t>‌8401 Skillman Street 1060Dallas, TX 75231</t>
  </si>
  <si>
    <t>‌$2010.00</t>
  </si>
  <si>
    <t>‌JPC-26-01791-31</t>
  </si>
  <si>
    <t>‌Dismissed  (Tenant Vacated)  (Notes)</t>
  </si>
  <si>
    <t>‌Aramide Ogundipe</t>
  </si>
  <si>
    <t>‌8303 Skillman Street 424Dallas, TX 75231</t>
  </si>
  <si>
    <t>‌$2534.00</t>
  </si>
  <si>
    <t>‌Joser Raudales</t>
  </si>
  <si>
    <t>‌8401 Skillman Street 1055Dallas, TX 75231</t>
  </si>
  <si>
    <t>‌$1204.65</t>
  </si>
  <si>
    <t>‌JPC-26-01786-31</t>
  </si>
  <si>
    <t>‌Zantevia Straw</t>
  </si>
  <si>
    <t>‌8401 Skillman Street 1049Dallas, TX 75231</t>
  </si>
  <si>
    <t>‌$926.00</t>
  </si>
  <si>
    <t>‌Maria BranchVictor Branch</t>
  </si>
  <si>
    <t>‌8303 Skillman Street 105Dallas, TX 75231</t>
  </si>
  <si>
    <t>‌$457.00</t>
  </si>
  <si>
    <t>‌Rocio Contreras</t>
  </si>
  <si>
    <t>‌8303 Skillman Street 118Dallas, TX 75231</t>
  </si>
  <si>
    <t>‌$737.50</t>
  </si>
  <si>
    <t>‌JPC-26-01787-31</t>
  </si>
  <si>
    <t>‌Camilo FlorencioDANIELA NICANOR</t>
  </si>
  <si>
    <t>‌8303 Skillman Street 217Dallas, TX 75231</t>
  </si>
  <si>
    <t>‌$1524.60</t>
  </si>
  <si>
    <t>‌Diana Neira</t>
  </si>
  <si>
    <t>‌8303 Skillman Street 402Dallas, TX 75231</t>
  </si>
  <si>
    <t>‌$507.50</t>
  </si>
  <si>
    <t>‌Brianca Smiley</t>
  </si>
  <si>
    <t>‌8303 Skillman Street 169Dallas, TX 75231</t>
  </si>
  <si>
    <t>‌$2051.04</t>
  </si>
  <si>
    <t>‌JPC-26-01788-31</t>
  </si>
  <si>
    <t>‌Katera Smith</t>
  </si>
  <si>
    <t>‌8303 Skillman Street 352Dallas, TX 75231</t>
  </si>
  <si>
    <t>‌$1265.00</t>
  </si>
  <si>
    <t>‌JPC-26-01805-31</t>
  </si>
  <si>
    <t>‌Latesha Williams</t>
  </si>
  <si>
    <t>‌8303 Skillman Street 235Dallas, TX 75231</t>
  </si>
  <si>
    <t>‌$2157.00</t>
  </si>
  <si>
    <t>‌JPC-26-01804-31</t>
  </si>
  <si>
    <t>‌Teresa Williams</t>
  </si>
  <si>
    <t>‌8303 Skillman Street 104Dallas, TX 75231</t>
  </si>
  <si>
    <t>‌$2200.00</t>
  </si>
  <si>
    <t>‌Ana CamachoAlberto Olalde</t>
  </si>
  <si>
    <t>‌9750 Royal Lane 901Dallas, TX 75231</t>
  </si>
  <si>
    <t>‌$1420.00</t>
  </si>
  <si>
    <t>‌Michael Hall</t>
  </si>
  <si>
    <t>‌8303 Skillman Street 103Dallas, TX 75231</t>
  </si>
  <si>
    <t>‌$2280.00</t>
  </si>
  <si>
    <t>‌JPC-26-01655-31</t>
  </si>
  <si>
    <t>‌Carlos Jose Oliva Cordero</t>
  </si>
  <si>
    <t>‌9750 Royal Lane 810Dallas, TX 75231</t>
  </si>
  <si>
    <t>‌$1921.00</t>
  </si>
  <si>
    <t>‌Juan Rangel</t>
  </si>
  <si>
    <t>‌9750 Royal Lane 719Dallas, TX 75231</t>
  </si>
  <si>
    <t>‌$806.00</t>
  </si>
  <si>
    <t>‌Eric SantiniMia Smith</t>
  </si>
  <si>
    <t>‌9750 Royal Lane 808Dallas, TX 75231</t>
  </si>
  <si>
    <t>‌$1820.00</t>
  </si>
  <si>
    <t>‌Karen Yazmin VillanuevaFrancis M Ponce</t>
  </si>
  <si>
    <t>‌9750 Royal Lane 1-0916Dallas, TX 75231</t>
  </si>
  <si>
    <t>‌$3064.71</t>
  </si>
  <si>
    <t>‌Lisa DavilaAlejandro Salazar Lopez</t>
  </si>
  <si>
    <t>‌9750 Royal Lane 1-0717Dallas, TX 75231</t>
  </si>
  <si>
    <t>‌$905.00</t>
  </si>
  <si>
    <t>‌Jose Hugo GonzalesElias Gutierrez Araujo</t>
  </si>
  <si>
    <t>‌9750 Royal Lane 521Dallas, TX 75231</t>
  </si>
  <si>
    <t>‌$1502.00</t>
  </si>
  <si>
    <t>‌Abrianna LopezMaria Torres</t>
  </si>
  <si>
    <t>‌9750 Royal Lane 1-0616Dallas, TX 75231</t>
  </si>
  <si>
    <t>‌$255.00</t>
  </si>
  <si>
    <t>‌Cancelled</t>
  </si>
  <si>
    <t>‌Elvira MerazJose Perez</t>
  </si>
  <si>
    <t>‌9750 Royal Lane 707Dallas, TX 75231</t>
  </si>
  <si>
    <t>‌$878.00</t>
  </si>
  <si>
    <t>‌Faye Miller</t>
  </si>
  <si>
    <t>‌9750 Royal Lane 715Dallas, TX 75231</t>
  </si>
  <si>
    <t>‌$2020.00</t>
  </si>
  <si>
    <t>‌9750 Royal Lane 110Dallas, TX 75231</t>
  </si>
  <si>
    <t>‌$2250.00</t>
  </si>
  <si>
    <t>‌Briana Clark</t>
  </si>
  <si>
    <t>‌8201 Fair Oaks Crossing 3088Dallas, TX 75231</t>
  </si>
  <si>
    <t>‌$2241.00</t>
  </si>
  <si>
    <t>‌Deborah Clark</t>
  </si>
  <si>
    <t>‌8201 Fair Oaks Crossing 1081Dallas, TX 75231</t>
  </si>
  <si>
    <t>‌$2226.00</t>
  </si>
  <si>
    <t>‌Ronnie Howard</t>
  </si>
  <si>
    <t>‌9750 Royal Lane 105Dallas, TX 75231</t>
  </si>
  <si>
    <t>‌$1120.14</t>
  </si>
  <si>
    <t>‌Julio Jean</t>
  </si>
  <si>
    <t>‌8201 Fair Oaks Crossing 3092Dallas, TX 75231</t>
  </si>
  <si>
    <t>‌Jared Jenkins</t>
  </si>
  <si>
    <t>‌8201 Fair Oaks Crossing 2085Dallas, TX 75231</t>
  </si>
  <si>
    <t>‌$1399.71</t>
  </si>
  <si>
    <t>‌Sergio Rodas</t>
  </si>
  <si>
    <t>‌8201 Fair Oaks Crossing 1044Dallas, TX 75231</t>
  </si>
  <si>
    <t>‌$2033.09</t>
  </si>
  <si>
    <t>‌Yender Jose Uzcategui Aponte</t>
  </si>
  <si>
    <t>‌8201 Fair Oaks Crossing 2-3089Dallas, TX 75231</t>
  </si>
  <si>
    <t>‌$2180.00</t>
  </si>
  <si>
    <t>Investors' Property Services</t>
  </si>
  <si>
    <t>Cancellations, Denials, and Move Outs</t>
  </si>
  <si>
    <t>1/1/2025 - 3/31/2026</t>
  </si>
  <si>
    <t>Printed 3/3/2026 2:39:26 PM</t>
  </si>
  <si>
    <t>Residents</t>
  </si>
  <si>
    <t>Days Occupied</t>
  </si>
  <si>
    <t>Broke Lease</t>
  </si>
  <si>
    <t>Days Notice</t>
  </si>
  <si>
    <t>Date Vacated</t>
  </si>
  <si>
    <t>Times Late / NSF</t>
  </si>
  <si>
    <t>Actual Rent</t>
  </si>
  <si>
    <t>Move Out Reason</t>
  </si>
  <si>
    <t>waitlist</t>
  </si>
  <si>
    <t>Joy David</t>
  </si>
  <si>
    <t>Failure to Produce Docs</t>
  </si>
  <si>
    <t>R</t>
  </si>
  <si>
    <t>Fernando Gonzalez, Hortencia Mejorada</t>
  </si>
  <si>
    <t xml:space="preserve">(R) </t>
  </si>
  <si>
    <t>1-1406</t>
  </si>
  <si>
    <t>Eve Kelvin Uruvwewhu, Oreva Akweda</t>
  </si>
  <si>
    <t>1-1414</t>
  </si>
  <si>
    <t>Tariq Cooley</t>
  </si>
  <si>
    <t>1-0520</t>
  </si>
  <si>
    <t>Paul James</t>
  </si>
  <si>
    <t>1-1311</t>
  </si>
  <si>
    <t>Dianai Arellano Diaz, Victor Enriquez</t>
  </si>
  <si>
    <t>2-1035</t>
  </si>
  <si>
    <t>Damilare Falana</t>
  </si>
  <si>
    <t xml:space="preserve">(PT) </t>
  </si>
  <si>
    <t>Lorena Montes</t>
  </si>
  <si>
    <t>Quintence Mccarthy</t>
  </si>
  <si>
    <t>Wayne Stinson</t>
  </si>
  <si>
    <t>Maria Soleded, Mercede Nzang</t>
  </si>
  <si>
    <t>Tunde Akingbowumi</t>
  </si>
  <si>
    <t>Vicent Anthony Carrasouillo</t>
  </si>
  <si>
    <t>Bekri Mohammed, Erebi Mohammed</t>
  </si>
  <si>
    <t>Xavier Taylor</t>
  </si>
  <si>
    <t>Incomplete Application</t>
  </si>
  <si>
    <t>Andrew Newton</t>
  </si>
  <si>
    <t>(R) Clerical Adjustment</t>
  </si>
  <si>
    <t>1-0214</t>
  </si>
  <si>
    <t>Xayvion Cloud</t>
  </si>
  <si>
    <t>Leo Malacara, Maria Malacara</t>
  </si>
  <si>
    <t>Dominique Tall, Maria Murcia</t>
  </si>
  <si>
    <t>Added/Lost Roommate</t>
  </si>
  <si>
    <t>Rodrigo Velazquez</t>
  </si>
  <si>
    <t>(R) Larger/Smaller Apartment</t>
  </si>
  <si>
    <t>Yeymi Fajardo Ramirez</t>
  </si>
  <si>
    <t>1-1005</t>
  </si>
  <si>
    <t>Brenda Nyelong</t>
  </si>
  <si>
    <t>2-1078</t>
  </si>
  <si>
    <t>Diamond Summers</t>
  </si>
  <si>
    <t>Sergio Martinez - Ruan</t>
  </si>
  <si>
    <t>Cameron Woodley</t>
  </si>
  <si>
    <t>Death</t>
  </si>
  <si>
    <t>1-0906</t>
  </si>
  <si>
    <t>Terrah Phipps</t>
  </si>
  <si>
    <t>Esther Y Yi</t>
  </si>
  <si>
    <t>Flor Mendez</t>
  </si>
  <si>
    <t>1-1216</t>
  </si>
  <si>
    <t>Geoffrey Oteri</t>
  </si>
  <si>
    <t>Eyobel Tesfay, Hermon Habtemariam</t>
  </si>
  <si>
    <t>2-1044</t>
  </si>
  <si>
    <t>Sergio Rodas</t>
  </si>
  <si>
    <t>Roseline Ilugbekhai</t>
  </si>
  <si>
    <t>2-1076</t>
  </si>
  <si>
    <t>Nallely Santibanez</t>
  </si>
  <si>
    <t>1-0718</t>
  </si>
  <si>
    <t>Tyler Myrick</t>
  </si>
  <si>
    <t>Hossein Nazari, Mohammad Nazary</t>
  </si>
  <si>
    <t>2-1025</t>
  </si>
  <si>
    <t>Joser Raudales</t>
  </si>
  <si>
    <t>1-0308</t>
  </si>
  <si>
    <t>Jaxon Jaxon Mckinley</t>
  </si>
  <si>
    <t>Kenneth Nwuya</t>
  </si>
  <si>
    <t>(PT) Incomplete Application</t>
  </si>
  <si>
    <t>Liam kemple</t>
  </si>
  <si>
    <t>Rented a House</t>
  </si>
  <si>
    <t>1-0601</t>
  </si>
  <si>
    <t>Jessica Cornejo Moreno, Nilson Flores</t>
  </si>
  <si>
    <t>Aminata Kabba</t>
  </si>
  <si>
    <t>Wanted a Change/Unhappy</t>
  </si>
  <si>
    <t>1-0514</t>
  </si>
  <si>
    <t>Brhane Temelso</t>
  </si>
  <si>
    <t>Leaving Town</t>
  </si>
  <si>
    <t>2-1090</t>
  </si>
  <si>
    <t>Isabel Castillo</t>
  </si>
  <si>
    <t>Celetta Williams</t>
  </si>
  <si>
    <t>1-1215</t>
  </si>
  <si>
    <t>Keshira Mcknight</t>
  </si>
  <si>
    <t>Christopher Marquez</t>
  </si>
  <si>
    <t>Taneshia Smith</t>
  </si>
  <si>
    <t>2-1074</t>
  </si>
  <si>
    <t>Arneiqua Gillard, Arneiqua Gillard</t>
  </si>
  <si>
    <t>Higher LOC \ Illness</t>
  </si>
  <si>
    <t>(R) Failure to Produce Docs</t>
  </si>
  <si>
    <t>Hammed Akintoye</t>
  </si>
  <si>
    <t>Amelia Rosales, Jorge Alberto Negrete</t>
  </si>
  <si>
    <t>1-0504</t>
  </si>
  <si>
    <t>Omar Martinez</t>
  </si>
  <si>
    <t>Clerical Adjustment</t>
  </si>
  <si>
    <t>Elizabeth Martinez, Rafael Morales</t>
  </si>
  <si>
    <t>Karina Angel Acevedo</t>
  </si>
  <si>
    <t>Raynesha Bollin</t>
  </si>
  <si>
    <t>Bought Home/Condo/Townhouse</t>
  </si>
  <si>
    <t>Syria Hudson</t>
  </si>
  <si>
    <t>1-1324</t>
  </si>
  <si>
    <t>Muhammad Medina Kiara, Tobi Ogunmola</t>
  </si>
  <si>
    <t>1-0309</t>
  </si>
  <si>
    <t>Nnaemeka Christopher</t>
  </si>
  <si>
    <t>(PT) Bought Home/Condo/Townhouse</t>
  </si>
  <si>
    <t>Gerald Mbanaso, Iddrissu Musah</t>
  </si>
  <si>
    <t>Kearyon Taylor, Shanique Reid</t>
  </si>
  <si>
    <t>Quavius Reza</t>
  </si>
  <si>
    <t>Larger/Smaller Apartment</t>
  </si>
  <si>
    <t>Nubia Iris Argueta Soriano</t>
  </si>
  <si>
    <t>Job Transfer</t>
  </si>
  <si>
    <t>Angel Yvonne Smith</t>
  </si>
  <si>
    <t>1-1302</t>
  </si>
  <si>
    <t>Tierra Salaam</t>
  </si>
  <si>
    <t>John Joseph</t>
  </si>
  <si>
    <t>1-1220</t>
  </si>
  <si>
    <t>Elica Virgina Lopez, Gabriela Gonzalez</t>
  </si>
  <si>
    <t>Nallely Santibanez, Walter escobar</t>
  </si>
  <si>
    <t>2-1036</t>
  </si>
  <si>
    <t>Cesar Acevedo</t>
  </si>
  <si>
    <t>1-0102</t>
  </si>
  <si>
    <t>Damien Toney, Joshua Gallegos</t>
  </si>
  <si>
    <t>Maira Portillo, Sergio Serrano Rivera</t>
  </si>
  <si>
    <t>Alfonso Hernández, Amparo Trejo, Ashlee Trejo, Karol Trejo</t>
  </si>
  <si>
    <t>Karen Yulissa Gomez, Waldina Gomez</t>
  </si>
  <si>
    <t>Belen Sarmiento Montes</t>
  </si>
  <si>
    <t>Amalia Hurtado, Benito Ruiz</t>
  </si>
  <si>
    <t>Anngy Rodriguez</t>
  </si>
  <si>
    <t>Calista Onuegbu, Okechukwu Chimereze Onuegbu</t>
  </si>
  <si>
    <t>Abigail Gomez</t>
  </si>
  <si>
    <t>Miraunda Dickerson</t>
  </si>
  <si>
    <t>Lost Job</t>
  </si>
  <si>
    <t>Niloidy Ledesma</t>
  </si>
  <si>
    <t>1-1413</t>
  </si>
  <si>
    <t>Semere Emnetu</t>
  </si>
  <si>
    <t>2-1065</t>
  </si>
  <si>
    <t>Jessica Joichin</t>
  </si>
  <si>
    <t>Christian Kochan</t>
  </si>
  <si>
    <t>Hue Le, Triet Nguyen</t>
  </si>
  <si>
    <t>Basil Eneji, Ejima Ogoh</t>
  </si>
  <si>
    <t>Damian Campbell</t>
  </si>
  <si>
    <t>1-0209</t>
  </si>
  <si>
    <t>Daniel Teklehaimanot, Natnael Geberemeskel</t>
  </si>
  <si>
    <t>Gabriella Grange</t>
  </si>
  <si>
    <t>Financial Problems</t>
  </si>
  <si>
    <t>Lachandra Thomas</t>
  </si>
  <si>
    <t>Hayley Nacole Preston</t>
  </si>
  <si>
    <t>Leia Amerson, Rachel Lopez</t>
  </si>
  <si>
    <t>Malik Mousa</t>
  </si>
  <si>
    <t>Tytanisha Earl</t>
  </si>
  <si>
    <t>Omotola Daniyan, Victor Hunt</t>
  </si>
  <si>
    <t>1-0108</t>
  </si>
  <si>
    <t>Deaja Stewart</t>
  </si>
  <si>
    <t>Aramide Ogundipe</t>
  </si>
  <si>
    <t>1-1111</t>
  </si>
  <si>
    <t>Henry Berko Sakyi</t>
  </si>
  <si>
    <t>Nayomi Michael Tesfaslassie</t>
  </si>
  <si>
    <t>1-1011</t>
  </si>
  <si>
    <t>Ambrose Agosun, Nancy Obiechefu</t>
  </si>
  <si>
    <t>Monica Jordan</t>
  </si>
  <si>
    <t>1-1103</t>
  </si>
  <si>
    <t>Christine Jackson, Rabiu Okunola</t>
  </si>
  <si>
    <t>(R) Military Transfer</t>
  </si>
  <si>
    <t>Keith Edwards</t>
  </si>
  <si>
    <t>Cancelled Total : 105</t>
  </si>
  <si>
    <t>Leslie Wills, Brissa Fraire, Whaten C Wills</t>
  </si>
  <si>
    <t>Y</t>
  </si>
  <si>
    <t>Clerical Adjustment, Financial Problems</t>
  </si>
  <si>
    <t>Lucille Dixon</t>
  </si>
  <si>
    <t>Credit Rejected</t>
  </si>
  <si>
    <t>Lamya Overton</t>
  </si>
  <si>
    <t>1-0310</t>
  </si>
  <si>
    <t>Nicolas Williams</t>
  </si>
  <si>
    <t>1-1004</t>
  </si>
  <si>
    <t>Yannick Belibi</t>
  </si>
  <si>
    <t>Jamaica Powell, Jermiah Powell</t>
  </si>
  <si>
    <t>Anthony Lewis Verdine</t>
  </si>
  <si>
    <t>1-1416</t>
  </si>
  <si>
    <t>Alexcia Hill</t>
  </si>
  <si>
    <t>Sunny Eyi</t>
  </si>
  <si>
    <t>Hilda Pineda Lainez, Martir Samuel Centeno Aleman</t>
  </si>
  <si>
    <t>Background</t>
  </si>
  <si>
    <t>John Hadley</t>
  </si>
  <si>
    <t>Olivia Hampton</t>
  </si>
  <si>
    <t>1-1301</t>
  </si>
  <si>
    <t>Chastity Ray</t>
  </si>
  <si>
    <t>2-1013</t>
  </si>
  <si>
    <t>Lakendra Lacy</t>
  </si>
  <si>
    <t>Jessekah Mays</t>
  </si>
  <si>
    <t>2-1053</t>
  </si>
  <si>
    <t>Carlos Juarez</t>
  </si>
  <si>
    <t>Damion Lee</t>
  </si>
  <si>
    <t>Jimiski Johnson</t>
  </si>
  <si>
    <t>Shannon Dawnson</t>
  </si>
  <si>
    <t>Jovan Savage</t>
  </si>
  <si>
    <t>1-1410</t>
  </si>
  <si>
    <t>Nyesha Mason</t>
  </si>
  <si>
    <t>Briana Jones, Jessica Belton</t>
  </si>
  <si>
    <t>Skipped/Owes Money/No Notice</t>
  </si>
  <si>
    <t>1-0708</t>
  </si>
  <si>
    <t>Enma Chiroy</t>
  </si>
  <si>
    <t>Azariah Jemison</t>
  </si>
  <si>
    <t>Shawn Allison Smith</t>
  </si>
  <si>
    <t>Sanai Jackson</t>
  </si>
  <si>
    <t>Favour Emole</t>
  </si>
  <si>
    <t>Antonio Gordon</t>
  </si>
  <si>
    <t>Tradarian Barnes</t>
  </si>
  <si>
    <t>Craig Mcguire</t>
  </si>
  <si>
    <t>Leroy Bargas Iii</t>
  </si>
  <si>
    <t>Paige Opal</t>
  </si>
  <si>
    <t>1-1206</t>
  </si>
  <si>
    <t>Ophelia Clines, Tanisha Braams</t>
  </si>
  <si>
    <t>Daniel Nguema Mikue</t>
  </si>
  <si>
    <t>1-1316</t>
  </si>
  <si>
    <t>Roderick Williams</t>
  </si>
  <si>
    <t>Marco Joubert</t>
  </si>
  <si>
    <t>Elizabeth Emiohe</t>
  </si>
  <si>
    <t>1-0410</t>
  </si>
  <si>
    <t>Himelinda Gallegos</t>
  </si>
  <si>
    <t>Antonio Rivera</t>
  </si>
  <si>
    <t>2-1018</t>
  </si>
  <si>
    <t>Lino Rodriguez, Maria Fonseca Pena</t>
  </si>
  <si>
    <t>Clayton Owens, Latanya Brown</t>
  </si>
  <si>
    <t>Naomi Barbee, Stacey Small</t>
  </si>
  <si>
    <t>1-0303</t>
  </si>
  <si>
    <t>Akira Ross</t>
  </si>
  <si>
    <t>Ehab Abouelkheir, Lis Scocozza</t>
  </si>
  <si>
    <t>Victoria Jones</t>
  </si>
  <si>
    <t>Jayla Johnson</t>
  </si>
  <si>
    <t>2-1064</t>
  </si>
  <si>
    <t>Marseillas Bolden</t>
  </si>
  <si>
    <t>1-1003</t>
  </si>
  <si>
    <t>Shirley Y Alvarez Bejarano</t>
  </si>
  <si>
    <t>Breckin Spinks, Darian Spinks</t>
  </si>
  <si>
    <t>Tyler Rachel, Zyion Tyler</t>
  </si>
  <si>
    <t>Chynah King</t>
  </si>
  <si>
    <t>1-0414</t>
  </si>
  <si>
    <t>Tyree Newble</t>
  </si>
  <si>
    <t>Jertorrius Glenn</t>
  </si>
  <si>
    <t>1-1417</t>
  </si>
  <si>
    <t>Eybel Tesfay</t>
  </si>
  <si>
    <t>Tashunia Coleman</t>
  </si>
  <si>
    <t>Amaya Johnson</t>
  </si>
  <si>
    <t>Michael Doh</t>
  </si>
  <si>
    <t>2-1060</t>
  </si>
  <si>
    <t>Kennedy Reid</t>
  </si>
  <si>
    <t>Auriel Brown</t>
  </si>
  <si>
    <t>Lataurus Hardeman</t>
  </si>
  <si>
    <t>Skhulile Sibiya</t>
  </si>
  <si>
    <t>Denied Total : 61</t>
  </si>
  <si>
    <t>Moved Out</t>
  </si>
  <si>
    <t>Eduin Guevara Camphell</t>
  </si>
  <si>
    <t>Arlis Velandia Lopez, Maria Claro Sanchez</t>
  </si>
  <si>
    <t>N</t>
  </si>
  <si>
    <t>Richard Oilatan</t>
  </si>
  <si>
    <t>Kayala McElroy</t>
  </si>
  <si>
    <t>Elvira Serrano, Jose Zavala, Marleny Contreras</t>
  </si>
  <si>
    <t>Jairo Yobany Nunez Barahona</t>
  </si>
  <si>
    <t>2-1014</t>
  </si>
  <si>
    <t>Mayra Yamileth Valdiviezo, Salvador Fajardo</t>
  </si>
  <si>
    <t>Kimary Robert</t>
  </si>
  <si>
    <t>Nekedra Akinyanju</t>
  </si>
  <si>
    <t>Markesiunna Guice</t>
  </si>
  <si>
    <t>Mayra Canales, Nallely Ortiz</t>
  </si>
  <si>
    <t>Danica Heidmann, Nico Rodriguez</t>
  </si>
  <si>
    <t>Lawrence Igoni, Tasheika Bennett</t>
  </si>
  <si>
    <t>1-0301</t>
  </si>
  <si>
    <t>Anibal Bargas, Anibal Vargas, Joxanna Vargas</t>
  </si>
  <si>
    <t>Deziree Griffin</t>
  </si>
  <si>
    <t>Mohamed Amare Fofana</t>
  </si>
  <si>
    <t>Deandre Henry</t>
  </si>
  <si>
    <t>Amershia Freeman</t>
  </si>
  <si>
    <t>Keyahma Walzier</t>
  </si>
  <si>
    <t>1-1116</t>
  </si>
  <si>
    <t>Danny Maldonado, Javier Enrique Lopez</t>
  </si>
  <si>
    <t>1-1304</t>
  </si>
  <si>
    <t>Lunya Taylor</t>
  </si>
  <si>
    <t>Monte Heard</t>
  </si>
  <si>
    <t>1-1002</t>
  </si>
  <si>
    <t>Alejandra Velasquez</t>
  </si>
  <si>
    <t>Lucia Rodriguez</t>
  </si>
  <si>
    <t>Christopher Orozco, Krystal Hernandez</t>
  </si>
  <si>
    <t>Ersharon Roberts</t>
  </si>
  <si>
    <t>Lavona Lipscomb</t>
  </si>
  <si>
    <t>Ebony Houston</t>
  </si>
  <si>
    <t>2-1063</t>
  </si>
  <si>
    <t>Clayton Bouchard</t>
  </si>
  <si>
    <t>2-1024</t>
  </si>
  <si>
    <t>Josefina Beltran</t>
  </si>
  <si>
    <t>Matthew Oliver</t>
  </si>
  <si>
    <t>Jailon Jones</t>
  </si>
  <si>
    <t>Rayenieshia Cole</t>
  </si>
  <si>
    <t>Azalea Davis</t>
  </si>
  <si>
    <t>Olalekan Adebiyi</t>
  </si>
  <si>
    <t>Fredy Choc Che, Pablo Ical Choc</t>
  </si>
  <si>
    <t>Brianna Bell</t>
  </si>
  <si>
    <t>Brenda Carrillo Rios, Jembere Workneh</t>
  </si>
  <si>
    <t>2-1002</t>
  </si>
  <si>
    <t>Catalina Garcia Nunez, Emilio Padilla</t>
  </si>
  <si>
    <t>Maria Brown</t>
  </si>
  <si>
    <t>Dominque Brown</t>
  </si>
  <si>
    <t>Desha Tatum</t>
  </si>
  <si>
    <t>Candace Gafford</t>
  </si>
  <si>
    <t>DeAndra Hobson, Varun Mehindru</t>
  </si>
  <si>
    <t>J Jesus Mercado Arriaga</t>
  </si>
  <si>
    <t>Khary Manners</t>
  </si>
  <si>
    <t>2-1080</t>
  </si>
  <si>
    <t>Keiny Castillo, Kristna Castillo, Mirian Gomez</t>
  </si>
  <si>
    <t>1-0501</t>
  </si>
  <si>
    <t>Tania Guzman</t>
  </si>
  <si>
    <t>Dinerrio Brown</t>
  </si>
  <si>
    <t>Carlos Lira, Drew Alonzo</t>
  </si>
  <si>
    <t>Keondrae Lipsey</t>
  </si>
  <si>
    <t>Arlis Menjivar Zepeda</t>
  </si>
  <si>
    <t>Lilian Nayeli Medina</t>
  </si>
  <si>
    <t>1-0710</t>
  </si>
  <si>
    <t>Heraclio Mendoza</t>
  </si>
  <si>
    <t>2-1088</t>
  </si>
  <si>
    <t>Dashanae Hall</t>
  </si>
  <si>
    <t>2-1041</t>
  </si>
  <si>
    <t>Keenan Mitchell</t>
  </si>
  <si>
    <t>Juan Che Choc</t>
  </si>
  <si>
    <t>Samantha Brown</t>
  </si>
  <si>
    <t>1-0614</t>
  </si>
  <si>
    <t>Viviana Quintero</t>
  </si>
  <si>
    <t>Gabriel Serrano</t>
  </si>
  <si>
    <t>1-0101</t>
  </si>
  <si>
    <t>Annie Mcelroy</t>
  </si>
  <si>
    <t>Sheniece Perkins</t>
  </si>
  <si>
    <t>Chioma Nwaeze, Ijeoma Mbonu</t>
  </si>
  <si>
    <t>Gabriel Andara</t>
  </si>
  <si>
    <t>Joseph Thomas, Michelle Thomas</t>
  </si>
  <si>
    <t>Adril Bolivar, Shirleys Bolivar</t>
  </si>
  <si>
    <t>Oludolapo Fakeye</t>
  </si>
  <si>
    <t>Armando Torres, Joel Torres</t>
  </si>
  <si>
    <t>Keanna Bell</t>
  </si>
  <si>
    <t>Kaiden Hawthorne</t>
  </si>
  <si>
    <t>Amiya Gilbert</t>
  </si>
  <si>
    <t>1-0204</t>
  </si>
  <si>
    <t>Yessika Hobbs</t>
  </si>
  <si>
    <t>Denis Romero, Luis Lopez</t>
  </si>
  <si>
    <t>Jose Acevedo Sosa</t>
  </si>
  <si>
    <t>1-0311</t>
  </si>
  <si>
    <t>Kevin Thompson</t>
  </si>
  <si>
    <t>Dorian Jackson</t>
  </si>
  <si>
    <t>Anna Mellado</t>
  </si>
  <si>
    <t>Maria De Los Angeles velasquez moreno</t>
  </si>
  <si>
    <t>Baltazar De La Paz, Maria Oliveros</t>
  </si>
  <si>
    <t>Segun Oguntomi</t>
  </si>
  <si>
    <t>Gracie Mcelroy</t>
  </si>
  <si>
    <t>Martinez Brown</t>
  </si>
  <si>
    <t>Cohlby Thomas</t>
  </si>
  <si>
    <t>Norlyn Ely Hercules Lopez</t>
  </si>
  <si>
    <t>Djarabe Bonaventure</t>
  </si>
  <si>
    <t>Nixon Alvarez</t>
  </si>
  <si>
    <t>1-1014</t>
  </si>
  <si>
    <t>Walter Mcglone</t>
  </si>
  <si>
    <t>Danieshia Vincent</t>
  </si>
  <si>
    <t>2-1029</t>
  </si>
  <si>
    <t>Rosa Pena</t>
  </si>
  <si>
    <t>Orlin Hernandez, Yulisa Avila</t>
  </si>
  <si>
    <t>Onsite Transfer</t>
  </si>
  <si>
    <t>Julius Barksdale</t>
  </si>
  <si>
    <t>2-1061</t>
  </si>
  <si>
    <t>Modupe Awe Taiwo</t>
  </si>
  <si>
    <t>Aloysius Griffiths, Williemina Griffiths</t>
  </si>
  <si>
    <t>2-1020</t>
  </si>
  <si>
    <t>Agustin Magadan, Christian Magadan, Esmeralda Bibiano, Kevin Magadan, Marvin Magadan</t>
  </si>
  <si>
    <t>1-1114</t>
  </si>
  <si>
    <t>Kerem Soydan, Mesut Uzuntas</t>
  </si>
  <si>
    <t>Alejandro Pineda Matos, Mayerlin Gonzalez</t>
  </si>
  <si>
    <t>Heraldo Pena, Melissa Lopez</t>
  </si>
  <si>
    <t>Jadesola Munis, Olawunmi Munis</t>
  </si>
  <si>
    <t>Security Concerns</t>
  </si>
  <si>
    <t>2-1072</t>
  </si>
  <si>
    <t>Tunde Arikewuyo</t>
  </si>
  <si>
    <t>Jonathan Valecillos</t>
  </si>
  <si>
    <t>Samson Ikhariale</t>
  </si>
  <si>
    <t>Gabriel Medina Zavala, Rosaivic Martinez Pereida</t>
  </si>
  <si>
    <t>Carrie Coats, Hannah Mcknight</t>
  </si>
  <si>
    <t>Cherish Sims</t>
  </si>
  <si>
    <t>Abayomi Apuabi</t>
  </si>
  <si>
    <t>Apolinario III Dungca</t>
  </si>
  <si>
    <t>Molly Shigemoto</t>
  </si>
  <si>
    <t>Celestina Biachi, Darrus Metcalf</t>
  </si>
  <si>
    <t>1-0321</t>
  </si>
  <si>
    <t>Azeezat Olaleye, Ibironke Crockett, Naeem Olaleye</t>
  </si>
  <si>
    <t>Onsite Transfer, Leaving Town</t>
  </si>
  <si>
    <t>Eric Henry</t>
  </si>
  <si>
    <t>Uriel Bautista</t>
  </si>
  <si>
    <t>Ani Segovia, Jesus Neire</t>
  </si>
  <si>
    <t>1-1213</t>
  </si>
  <si>
    <t>Cindy Delgadillo, Osiel Duarte</t>
  </si>
  <si>
    <t>Employment Transfer</t>
  </si>
  <si>
    <t>1-1404</t>
  </si>
  <si>
    <t>Chidera Amandianaeze, Daryl Manning, Kamsiyochukwu Amandianaeze, Victoria Amandianaeze-Manning</t>
  </si>
  <si>
    <t>Edward Benton, Isabella Efemartins, Isabella Egonye</t>
  </si>
  <si>
    <t>Alex Delgado, Nelson Rivera</t>
  </si>
  <si>
    <t>Kynisha Pierre</t>
  </si>
  <si>
    <t>Juana Quintanilla Lopez</t>
  </si>
  <si>
    <t>Emmanuel Babalola</t>
  </si>
  <si>
    <t>Alicia Guel, Beningo Rodriguez, Roberto Rodriguez, Steve Rodriguez</t>
  </si>
  <si>
    <t>2-1050</t>
  </si>
  <si>
    <t>Jacqueline Lemus, Kevin Lemus</t>
  </si>
  <si>
    <t>Janet Adeyeye, Kamrhon Dupas</t>
  </si>
  <si>
    <t>Francis Wobo</t>
  </si>
  <si>
    <t>Military Transfer</t>
  </si>
  <si>
    <t>Juan Calderon  Carranza</t>
  </si>
  <si>
    <t>Maria Perez</t>
  </si>
  <si>
    <t>1-0813</t>
  </si>
  <si>
    <t>Ivis Lagos</t>
  </si>
  <si>
    <t>Oluwatosin Oni</t>
  </si>
  <si>
    <t>Bridget Adeleye, Robert Booth</t>
  </si>
  <si>
    <t>Carlos Perez</t>
  </si>
  <si>
    <t>Khatera Azimi, Nesar Ahmad Azimi</t>
  </si>
  <si>
    <t>Jesus Segura, Miriam Gonzalez</t>
  </si>
  <si>
    <t>2-1084</t>
  </si>
  <si>
    <t>Alma Rodriguez, Francisco Gonzalez</t>
  </si>
  <si>
    <t>Cristobal Ibarra</t>
  </si>
  <si>
    <t>Alejandra Saavedra, Bryan Rivero Gomez</t>
  </si>
  <si>
    <t>Adeniyi Alagbe, Tamekia Colvin</t>
  </si>
  <si>
    <t xml:space="preserve">Leaving Town, </t>
  </si>
  <si>
    <t>1-0723</t>
  </si>
  <si>
    <t>Samuel Mezie</t>
  </si>
  <si>
    <t>1-0210</t>
  </si>
  <si>
    <t>Roseline Otanwa</t>
  </si>
  <si>
    <t>Mohammad Helmandi, Wahida Ahmadi</t>
  </si>
  <si>
    <t>Myron Jones</t>
  </si>
  <si>
    <t>2-1067</t>
  </si>
  <si>
    <t>Jonathan Gonzalez, Nereyda Rodriguez</t>
  </si>
  <si>
    <t>Akinloye Ojudale, Francisca Ojudale</t>
  </si>
  <si>
    <t>1-0406</t>
  </si>
  <si>
    <t>Disney Valencia, Erica Mendoza</t>
  </si>
  <si>
    <t>Leaving Town, Onsite Transfer</t>
  </si>
  <si>
    <t>2-1085</t>
  </si>
  <si>
    <t>Joseli Almendarez Rodas, Juan Carlos Almendarez</t>
  </si>
  <si>
    <t>Gbenga Thomas</t>
  </si>
  <si>
    <t>Nemiah Dotson</t>
  </si>
  <si>
    <t>2-1040</t>
  </si>
  <si>
    <t>Mariano Abeso Bindang</t>
  </si>
  <si>
    <t>Alexa Rojas, Raul Martinez</t>
  </si>
  <si>
    <t>Alexander Vanegas Duran</t>
  </si>
  <si>
    <t>Ameerah Salman, Anas Abdulbasit, Mustafa Hammo</t>
  </si>
  <si>
    <t>1-0315</t>
  </si>
  <si>
    <t>Israel Ayemoba</t>
  </si>
  <si>
    <t>Lizeth Castaneda</t>
  </si>
  <si>
    <t>Zaleeah Iddeen</t>
  </si>
  <si>
    <t>Darrius Collins</t>
  </si>
  <si>
    <t>Veronica Holton</t>
  </si>
  <si>
    <t>Mylisa Panta</t>
  </si>
  <si>
    <t>Bibi Ahmadi, Fnu Hamidullah</t>
  </si>
  <si>
    <t>Eloy Gutierrez</t>
  </si>
  <si>
    <t>1-0703</t>
  </si>
  <si>
    <t>Jose Rosa</t>
  </si>
  <si>
    <t>Gloria Vivanco</t>
  </si>
  <si>
    <t>Martha Hernandez</t>
  </si>
  <si>
    <t>2-1006</t>
  </si>
  <si>
    <t>Andrea Hall, Janice Hayes</t>
  </si>
  <si>
    <t>Charisma Kirby</t>
  </si>
  <si>
    <t>Antonio De Jesus Vasquez Alvarado, Emmanuel De Jesus Vazquez Sustaita</t>
  </si>
  <si>
    <t>Austin Bray, Lora Lane</t>
  </si>
  <si>
    <t>Andrew Abubokhe</t>
  </si>
  <si>
    <t>Natalie Cortez</t>
  </si>
  <si>
    <t>Chiddy Ezevillo, Clement Ezevillo</t>
  </si>
  <si>
    <t>Brooklynn Mcgowan, Jarelle Mayberry</t>
  </si>
  <si>
    <t>Jose Luis Alcocer</t>
  </si>
  <si>
    <t>Ignacio Alfonso Gonzales Alvarado, Ignacio Gonzales</t>
  </si>
  <si>
    <t>1-0511</t>
  </si>
  <si>
    <t>Tre'Quan Joffrion</t>
  </si>
  <si>
    <t>Lamerlou Poliarco</t>
  </si>
  <si>
    <t>Christian Oluwole, Femi Oluwole</t>
  </si>
  <si>
    <t>Larger/Smaller Apartment, Leaving Town</t>
  </si>
  <si>
    <t>2-1042</t>
  </si>
  <si>
    <t>Milton Anye</t>
  </si>
  <si>
    <t>Josue Poron</t>
  </si>
  <si>
    <t>1-1401</t>
  </si>
  <si>
    <t>Brahyan Vargas, Francisco Amorocho Molina</t>
  </si>
  <si>
    <t>Pablo Betancourt</t>
  </si>
  <si>
    <t>Deybin Padilla Buezo, Jose De Jesus Guillen Machada, Katerin Guillen, Maryuri Guillen</t>
  </si>
  <si>
    <t>Audrey Ortega, Bonnie Ortega, Linda Salas</t>
  </si>
  <si>
    <t>Beatriz Rodrigues, Davi Meneses</t>
  </si>
  <si>
    <t>Adrian Hernandez</t>
  </si>
  <si>
    <t>1-1109</t>
  </si>
  <si>
    <t>Ariam Carrizales, Jose Carrizales</t>
  </si>
  <si>
    <t>Adolfina Vergara Diaz, Juan Tovar</t>
  </si>
  <si>
    <t>1-0904</t>
  </si>
  <si>
    <t>Ruben Rivera, Silvia Rivera</t>
  </si>
  <si>
    <t>Fiyori Hagos, Yonatan Simon</t>
  </si>
  <si>
    <t>2-1033</t>
  </si>
  <si>
    <t>Joy Jenkins</t>
  </si>
  <si>
    <t>Julianne White, Kevin Ray-Taque</t>
  </si>
  <si>
    <t>1-0113</t>
  </si>
  <si>
    <t>Ifeoma Agbasi, Kyle Johnson</t>
  </si>
  <si>
    <t>Mario Mendoza</t>
  </si>
  <si>
    <t>Eric Gilmore, Paola Hernandez Bravo, Sean Gilmore</t>
  </si>
  <si>
    <t>Amina Baker</t>
  </si>
  <si>
    <t>Dolores Choc Ical, Fernando Cucul Tiul</t>
  </si>
  <si>
    <t>Cludius Ojo, Oluwatosin Onifade</t>
  </si>
  <si>
    <t>2-1028</t>
  </si>
  <si>
    <t>Dulce Pacheco, Wilfrido Cruz Urbano</t>
  </si>
  <si>
    <t>1-0307</t>
  </si>
  <si>
    <t>Juan Alcantar</t>
  </si>
  <si>
    <t>Gafar Danmola, Morenikeji Danmola, Moshood Danmola, Olubunmi Danmola</t>
  </si>
  <si>
    <t>Rafatu Sarumo</t>
  </si>
  <si>
    <t>Daizsa Turner</t>
  </si>
  <si>
    <t>David Benbourked</t>
  </si>
  <si>
    <t>Guadalupe Lazaro</t>
  </si>
  <si>
    <t>Jennifer Adetosoye</t>
  </si>
  <si>
    <t>Garrett L Bower</t>
  </si>
  <si>
    <t>Andy Bastidas</t>
  </si>
  <si>
    <t>2-1034</t>
  </si>
  <si>
    <t>Erika Antero, Jonathan Antero, Melina Martinez</t>
  </si>
  <si>
    <t>1-1212</t>
  </si>
  <si>
    <t>Adrian Ramos</t>
  </si>
  <si>
    <t>Jayson Herrera</t>
  </si>
  <si>
    <t>Henderson Tyrell, Osarenkhoe Edayi</t>
  </si>
  <si>
    <t>2-1019</t>
  </si>
  <si>
    <t>Andrea Jones, Azeezat Seidu</t>
  </si>
  <si>
    <t>1-0415</t>
  </si>
  <si>
    <t>Denzel Okafor, Derek Okafor</t>
  </si>
  <si>
    <t>2-1027</t>
  </si>
  <si>
    <t>Alfredo Ba Tux, Vicente Caal Maquin</t>
  </si>
  <si>
    <t>Fernando Gallardo</t>
  </si>
  <si>
    <t>Magdalena Mifumu Ogbo Abegue</t>
  </si>
  <si>
    <t>Kennedy Hampton</t>
  </si>
  <si>
    <t>Abiodun Salawu, Adejoke Salawu</t>
  </si>
  <si>
    <t>Brondon Perez, Leslie Lopez</t>
  </si>
  <si>
    <t>Nathalie Rodriguez</t>
  </si>
  <si>
    <t>Gustavo Rangel</t>
  </si>
  <si>
    <t>1-1016</t>
  </si>
  <si>
    <t>Kenneth Nwuya, Nkwo Chidi</t>
  </si>
  <si>
    <t>1-0807</t>
  </si>
  <si>
    <t>Obiora Maneke</t>
  </si>
  <si>
    <t>Idania Gramajo, Jaime Lopez</t>
  </si>
  <si>
    <t>1-1102</t>
  </si>
  <si>
    <t>Maria Soleded, Nicol Afang</t>
  </si>
  <si>
    <t>1-0905</t>
  </si>
  <si>
    <t>Camilo Florencio, Daniela Nicanor</t>
  </si>
  <si>
    <t>Alex Lopez, Kennya Jacqueline Reyes</t>
  </si>
  <si>
    <t>1-1110</t>
  </si>
  <si>
    <t>Olaide Folorunsho</t>
  </si>
  <si>
    <t>1-1315</t>
  </si>
  <si>
    <t>Jeleel Olufowobi</t>
  </si>
  <si>
    <t>Ali Mohammad Einullah, Zakirullah Akhtari</t>
  </si>
  <si>
    <t>Natalie Aguilera, Saul Jonathan Discua Calix</t>
  </si>
  <si>
    <t>Anil Kumar Gummadidala, Bala Murali Krishna Gummadidala, Naresh Gummadidala</t>
  </si>
  <si>
    <t>Willie Beacham</t>
  </si>
  <si>
    <t>Kiara Murray</t>
  </si>
  <si>
    <t>Chiekezi Akagha, Renee Walters</t>
  </si>
  <si>
    <t>Wanted a Change/Unhappy, Leaving Town</t>
  </si>
  <si>
    <t>Mario Cortez Reyes</t>
  </si>
  <si>
    <t>Annelise Glaze</t>
  </si>
  <si>
    <t>Chandanea Haliburton</t>
  </si>
  <si>
    <t>1-0518</t>
  </si>
  <si>
    <t>Ibraheem Akilagun</t>
  </si>
  <si>
    <t>Rebecca Hunter, Tandi Hunter</t>
  </si>
  <si>
    <t>Michael Lupian</t>
  </si>
  <si>
    <t>1-0806</t>
  </si>
  <si>
    <t>Malik Ismail</t>
  </si>
  <si>
    <t>Qiana Abrams, Robert Abrams III</t>
  </si>
  <si>
    <t>Tania Machado</t>
  </si>
  <si>
    <t>Kyesha Oatis</t>
  </si>
  <si>
    <t>Samantha Ramirez</t>
  </si>
  <si>
    <t>Luis Vazquez, Mirella Galvan Arredondo</t>
  </si>
  <si>
    <t>1-1012</t>
  </si>
  <si>
    <t>Greg Daiker</t>
  </si>
  <si>
    <t>Denis Villegas, Mayra Elizabeth Ignacio</t>
  </si>
  <si>
    <t>Johandris Alvarez, Yaritza Ojeda</t>
  </si>
  <si>
    <t>1-1010</t>
  </si>
  <si>
    <t>Nissa Escalante Branch</t>
  </si>
  <si>
    <t>Ejiro Iwhiwhu, Ogodo Maxwell</t>
  </si>
  <si>
    <t>Deshawn Coleman</t>
  </si>
  <si>
    <t>Santos Avila</t>
  </si>
  <si>
    <t>1-0616</t>
  </si>
  <si>
    <t>Irving Paz Lazo</t>
  </si>
  <si>
    <t>Abigail Foley, Justin Foley</t>
  </si>
  <si>
    <t>1-1201</t>
  </si>
  <si>
    <t>Nnadi Emmanuel, Nnaemeka Christopher</t>
  </si>
  <si>
    <t>1-0203</t>
  </si>
  <si>
    <t>Estifanos Yohannes</t>
  </si>
  <si>
    <t>Dionni Monette</t>
  </si>
  <si>
    <t>Brittany Brown, Za'Naae Alley</t>
  </si>
  <si>
    <t>2-1015</t>
  </si>
  <si>
    <t>Aldair Serrano, Fabiola Romo, Jesus Serrano</t>
  </si>
  <si>
    <t>1-1105</t>
  </si>
  <si>
    <t>Abdullah Ali Al Ahjeri, Amy Saleh</t>
  </si>
  <si>
    <t>Marlon Brown</t>
  </si>
  <si>
    <t>1-1318</t>
  </si>
  <si>
    <t>Makenzie Greenwood</t>
  </si>
  <si>
    <t>Michel Perez-Perez</t>
  </si>
  <si>
    <t>2-1016</t>
  </si>
  <si>
    <t>Francisco Mendoza</t>
  </si>
  <si>
    <t>2-1005</t>
  </si>
  <si>
    <t>Cindy Us Tec, Omar Barbosa</t>
  </si>
  <si>
    <t>Charles Ewere, Ese Ewere</t>
  </si>
  <si>
    <t>Edwin Hernandez, Miriam Lopez</t>
  </si>
  <si>
    <t>Michael Schindler</t>
  </si>
  <si>
    <t>Annaciata Obidigwe</t>
  </si>
  <si>
    <t>Cinthia Velasco, Virginia Martinez</t>
  </si>
  <si>
    <t>Jahirey Berry, Olivia Mendoza</t>
  </si>
  <si>
    <t>2-1017</t>
  </si>
  <si>
    <t>Paola Rios</t>
  </si>
  <si>
    <t>2-1059</t>
  </si>
  <si>
    <t>Donovan Webb</t>
  </si>
  <si>
    <t>Allen Maradiaga, Sherry Aguero Flores</t>
  </si>
  <si>
    <t>1-0604</t>
  </si>
  <si>
    <t>Maranda Wagner</t>
  </si>
  <si>
    <t>Carmen Castello, ERGUIN LARA</t>
  </si>
  <si>
    <t>Leaving Town, Wanted a Change/Unhappy</t>
  </si>
  <si>
    <t>2-1031</t>
  </si>
  <si>
    <t>Lorinda Duffey</t>
  </si>
  <si>
    <t>Marvin De Jesus Lazo</t>
  </si>
  <si>
    <t>Latanya Stanback</t>
  </si>
  <si>
    <t>2-1052</t>
  </si>
  <si>
    <t>Enrique Jaral</t>
  </si>
  <si>
    <t>Daniel Beltran</t>
  </si>
  <si>
    <t>Aaliyah Edwards</t>
  </si>
  <si>
    <t>Jose Moreno, Minerva Soriano</t>
  </si>
  <si>
    <t>Stairesand Bennett- Bryan</t>
  </si>
  <si>
    <t>Ayala Dennis, Tamiah Giles</t>
  </si>
  <si>
    <t>Oscarline Onwuemenyi</t>
  </si>
  <si>
    <t>2-1054</t>
  </si>
  <si>
    <t>Cornelius Pyle</t>
  </si>
  <si>
    <t>Amy Perez, Maria Morales (Employee), Miriam Sapon, Omar Martinez (Employee)</t>
  </si>
  <si>
    <t>Lost Job, Onsite Transfer</t>
  </si>
  <si>
    <t>Diana Valeria Pacheco, Oscar Mendez</t>
  </si>
  <si>
    <t>Franklin Valera, Omaira Araujo, Omaireddys Rosales</t>
  </si>
  <si>
    <t>1-0416</t>
  </si>
  <si>
    <t>Adeola Lawal, Joseph Irokwe, Suraj Maiyegun</t>
  </si>
  <si>
    <t>Steve Harper</t>
  </si>
  <si>
    <t>Dreson Evans</t>
  </si>
  <si>
    <t>Nataly Hurtado, Rene Reyes</t>
  </si>
  <si>
    <t>Abriana Benavides, Julio Mata</t>
  </si>
  <si>
    <t>Mauricio Jovel</t>
  </si>
  <si>
    <t>Abosede Ogunnubi</t>
  </si>
  <si>
    <t>Joy Onuorah</t>
  </si>
  <si>
    <t>1-0522</t>
  </si>
  <si>
    <t>Roy Quintero Jr</t>
  </si>
  <si>
    <t>Emanuela Petitval, Jn Laurent Luc</t>
  </si>
  <si>
    <t>Juan Rangel Alvarez, Maria Gonzalez Romero</t>
  </si>
  <si>
    <t>1-0104</t>
  </si>
  <si>
    <t>Andrew Valdez, pablo moises mejia zelaya</t>
  </si>
  <si>
    <t>Luis Fernando Ordonez Aguilar</t>
  </si>
  <si>
    <t>1-0312</t>
  </si>
  <si>
    <t>Christian Vasquez, Mirna Favela</t>
  </si>
  <si>
    <t>1-0714</t>
  </si>
  <si>
    <t>Samson Bahta</t>
  </si>
  <si>
    <t>Alexis Brown, Miky'Ra Butler</t>
  </si>
  <si>
    <t>Katherine Galindo, Keydy Galindo</t>
  </si>
  <si>
    <t>Ahmad Zia Ali Jani, Ali Jani, Fatima Jani, Giti Haidarzada, Hojjat Jani, Mohammad Jani</t>
  </si>
  <si>
    <t>Bobby Manley</t>
  </si>
  <si>
    <t>2-1079</t>
  </si>
  <si>
    <t>Daniela Jaramillo, Jessica Jaramillo</t>
  </si>
  <si>
    <t>1-0116</t>
  </si>
  <si>
    <t>Emily Hennawi Martinez, Enriquez Melquiadez, Martina Martinez Polanco, Nelbys Gonzalez</t>
  </si>
  <si>
    <t>Alvin Arnold, Temitope Oduwaiye</t>
  </si>
  <si>
    <t>Estefany Breve, Miguel Botello Moreira</t>
  </si>
  <si>
    <t>Todd Buretz</t>
  </si>
  <si>
    <t>Trevor Bryant</t>
  </si>
  <si>
    <t>1-1303</t>
  </si>
  <si>
    <t>Gerardo Duenez</t>
  </si>
  <si>
    <t>1-0816</t>
  </si>
  <si>
    <t>Sheku Popai</t>
  </si>
  <si>
    <t>1-0524</t>
  </si>
  <si>
    <t>Lateefat Falola, Yemi Kuforiji</t>
  </si>
  <si>
    <t>Moved Out Total : 326</t>
  </si>
  <si>
    <t>Hearing Time</t>
  </si>
  <si>
    <t>Location</t>
  </si>
  <si>
    <t>Plaintiff</t>
  </si>
  <si>
    <t>Defendant</t>
  </si>
  <si>
    <t>Property Email Addresses</t>
  </si>
  <si>
    <t>Unit Address</t>
  </si>
  <si>
    <t>Case No</t>
  </si>
  <si>
    <t>Dallas County JP 3-1</t>
  </si>
  <si>
    <t>Quentin Allen</t>
  </si>
  <si>
    <t>ava.pm@cafmanagement.com</t>
  </si>
  <si>
    <t>9750 Royal Oaks, 1416</t>
  </si>
  <si>
    <t>Ethine Nwokedi</t>
  </si>
  <si>
    <t>9750 Royal Lane, 213</t>
  </si>
  <si>
    <t>JPC-25-07646-31</t>
  </si>
  <si>
    <t>Javier Lopez</t>
  </si>
  <si>
    <t>9750 Royal Oaks, 1116</t>
  </si>
  <si>
    <t>Stephanie Davis</t>
  </si>
  <si>
    <t>9750 Royal Oaks, 310</t>
  </si>
  <si>
    <t>E-file</t>
  </si>
  <si>
    <t>Nereyda Rodriguez</t>
  </si>
  <si>
    <t>8201 Fair Oaks Crossing, 1071</t>
  </si>
  <si>
    <t>.</t>
  </si>
  <si>
    <t>Jose Guillen Machada</t>
  </si>
  <si>
    <t>8303 Skillman Street, 122</t>
  </si>
  <si>
    <t>09:30 AM</t>
  </si>
  <si>
    <t>Andrew Jonshua Trujillo Alvarado</t>
  </si>
  <si>
    <t>9750 Royal Lane, 1424</t>
  </si>
  <si>
    <t>JPC-25-07384-31</t>
  </si>
  <si>
    <t>Ingrid Diaz</t>
  </si>
  <si>
    <t>9750 Royal Lane, 215</t>
  </si>
  <si>
    <t>JPC-25-07378-31</t>
  </si>
  <si>
    <t>Faye Miller</t>
  </si>
  <si>
    <t>9750 Royal Lane, 715</t>
  </si>
  <si>
    <t>JPC-25-06767-31</t>
  </si>
  <si>
    <t>01:30 PM</t>
  </si>
  <si>
    <t>8201 Fair Oaks Crossing, 1031</t>
  </si>
  <si>
    <t>JPC-25-07762-31</t>
  </si>
  <si>
    <t>Krystal Farrell</t>
  </si>
  <si>
    <t>8401 Skillman Street, 2086</t>
  </si>
  <si>
    <t>JPC-25-07732-31</t>
  </si>
  <si>
    <t>Omari White</t>
  </si>
  <si>
    <t>8303 Skillman Street, 408</t>
  </si>
  <si>
    <t>JPC-25-07761-31</t>
  </si>
  <si>
    <t>Miguel Salazar Sanchez</t>
  </si>
  <si>
    <t>9750 Royal Lane, 406</t>
  </si>
  <si>
    <t>JPC-25-07928-31</t>
  </si>
  <si>
    <t>Dija Sparks</t>
  </si>
  <si>
    <t>9750 Royal Lane, 516</t>
  </si>
  <si>
    <t>JPC-25-07512-31</t>
  </si>
  <si>
    <t>Mia Smith</t>
  </si>
  <si>
    <t>9750 Royal Lane, 808</t>
  </si>
  <si>
    <t>JPC-25-07788-31</t>
  </si>
  <si>
    <t>9750 Royal Lane, 310</t>
  </si>
  <si>
    <t>JPC-25-07377-31</t>
  </si>
  <si>
    <t>Ilona Hishaw</t>
  </si>
  <si>
    <t>9750 Royal Lane, 1105</t>
  </si>
  <si>
    <t>JPC-25-07389-31</t>
  </si>
  <si>
    <t>9750 Royal Lane, 1416</t>
  </si>
  <si>
    <t>JPC-25-07385-31</t>
  </si>
  <si>
    <t>Latonya Walker</t>
  </si>
  <si>
    <t>9750 Royal Lane, 113</t>
  </si>
  <si>
    <t>JPC-25-07388-31</t>
  </si>
  <si>
    <t>Leila Butler</t>
  </si>
  <si>
    <t>9750 Royal Lane, 802</t>
  </si>
  <si>
    <t>JPC-25-07927-31</t>
  </si>
  <si>
    <t>Clarence Kouevi</t>
  </si>
  <si>
    <t>9750 Royal Lane, 910</t>
  </si>
  <si>
    <t>JPC-25-07179-31</t>
  </si>
  <si>
    <t>Afi Anyakpah</t>
  </si>
  <si>
    <t>9750 Royal Lane, 1419</t>
  </si>
  <si>
    <t>JPC-25-07930-31</t>
  </si>
  <si>
    <t>Laquinda Weaver</t>
  </si>
  <si>
    <t>8201 Fair Oaks Crossing, 1046</t>
  </si>
  <si>
    <t>JPC-25-06706-31</t>
  </si>
  <si>
    <t>Alvaro Santana Juarez</t>
  </si>
  <si>
    <t>9750 Royal Lane, 1423</t>
  </si>
  <si>
    <t>JPC-25-07929-31</t>
  </si>
  <si>
    <t>8401 Skillman Street LP</t>
  </si>
  <si>
    <t>8303 Skillman Street, 403</t>
  </si>
  <si>
    <t>JPC-25-04454-31</t>
  </si>
  <si>
    <t>8401 Skillman Street, 2040</t>
  </si>
  <si>
    <t>JPC-25-04475-31</t>
  </si>
  <si>
    <t>8401 Skillman Street, 2047</t>
  </si>
  <si>
    <t>JPC-25-04472-31</t>
  </si>
  <si>
    <t>8401 Skillman Street, 3058</t>
  </si>
  <si>
    <t>JPC-25-04471-31</t>
  </si>
  <si>
    <t>8401 Skillman Street, 2034</t>
  </si>
  <si>
    <t>JPC-25-04709-31</t>
  </si>
  <si>
    <t>8401 Skillman Street, 3046</t>
  </si>
  <si>
    <t>JPC-25-04698-31</t>
  </si>
  <si>
    <t>8401 Skillman Street, 2082</t>
  </si>
  <si>
    <t>JPC-25-04683-31</t>
  </si>
  <si>
    <t>8401 Skillman Street, 2093</t>
  </si>
  <si>
    <t>JPC-25-04708-31</t>
  </si>
  <si>
    <t>8401 Skillman Street, 3091</t>
  </si>
  <si>
    <t>JPC-25-04697-31</t>
  </si>
  <si>
    <t>11:00 AM</t>
  </si>
  <si>
    <t>8303 Skillman Street, 258</t>
  </si>
  <si>
    <t>JPC-25-04371-31</t>
  </si>
  <si>
    <t>8401 Skillman Street, 1038</t>
  </si>
  <si>
    <t>JPC-25-03882-31</t>
  </si>
  <si>
    <t>8401 Skillman Street, 2061</t>
  </si>
  <si>
    <t>JPC-25-03883-31</t>
  </si>
  <si>
    <t>Dynisha Harris</t>
  </si>
  <si>
    <t>8201 Fair Oaks Crossing, 1074</t>
  </si>
  <si>
    <t>JPC-25-06442-31</t>
  </si>
  <si>
    <t>9750 Royal Lane, 102</t>
  </si>
  <si>
    <t>JPC-25-06445-31</t>
  </si>
  <si>
    <t>8201 Fair Oaks Crossing, 2005</t>
  </si>
  <si>
    <t>JPC-25-06447-31</t>
  </si>
  <si>
    <t>Mahogany Harris</t>
  </si>
  <si>
    <t>9750 Royal Lane, 1202</t>
  </si>
  <si>
    <t>JPC-25-06444-31</t>
  </si>
  <si>
    <t>Breana Mccarrell</t>
  </si>
  <si>
    <t>9750 Royal Lane, 401</t>
  </si>
  <si>
    <t>JPC-25-06441-31</t>
  </si>
  <si>
    <t>JPC-25-06461-31</t>
  </si>
  <si>
    <t>8303 Skillman Street, 433</t>
  </si>
  <si>
    <t>JPC-25-06407-31</t>
  </si>
  <si>
    <t>8201 Fair Oaks Crossing, 1041</t>
  </si>
  <si>
    <t>JPC-25-06462-31</t>
  </si>
  <si>
    <t>Brittany Candler</t>
  </si>
  <si>
    <t>8201 Fair Oaks Crossing, 2070</t>
  </si>
  <si>
    <t>JPC-25-06608-31</t>
  </si>
  <si>
    <t>8401 Skillman Street, 3048</t>
  </si>
  <si>
    <t>JPC-25-06459-31</t>
  </si>
  <si>
    <t>8201 Fair Oaks Crossing, 1040</t>
  </si>
  <si>
    <t>JPC-25-06604-31</t>
  </si>
  <si>
    <t>Alexis Brown</t>
  </si>
  <si>
    <t>8303 Skillman Street, 159</t>
  </si>
  <si>
    <t>JPC-25-06609-31</t>
  </si>
  <si>
    <t>8401 Skillman Street, 2057</t>
  </si>
  <si>
    <t>JPC-25-06610-31</t>
  </si>
  <si>
    <t>Jordan Feaster</t>
  </si>
  <si>
    <t>8201 Fair Oaks Crossing, 1080</t>
  </si>
  <si>
    <t>JPC-25-06605-31</t>
  </si>
  <si>
    <t>Desaray Weathers</t>
  </si>
  <si>
    <t>8201 Fair Oaks Crossing, 2028</t>
  </si>
  <si>
    <t>JPC-25-06607-31</t>
  </si>
  <si>
    <t>Tamiah Giles</t>
  </si>
  <si>
    <t>8401 Skillman Street, 1101</t>
  </si>
  <si>
    <t>JPC-25-06693-31</t>
  </si>
  <si>
    <t>William Simpson</t>
  </si>
  <si>
    <t>8201 Fair Oaks Crossing, 2065</t>
  </si>
  <si>
    <t>JPC-25-06692-31</t>
  </si>
  <si>
    <t>JPC-25-06931-31</t>
  </si>
  <si>
    <t>JPC-25-06766-31</t>
  </si>
  <si>
    <t>JPC-25-06759-31</t>
  </si>
  <si>
    <t>Leaujodon Alexander</t>
  </si>
  <si>
    <t>8201 Fair Oaks Crossing, 1020</t>
  </si>
  <si>
    <t>JPC-25-06770-31</t>
  </si>
  <si>
    <t>Latrina Thomas</t>
  </si>
  <si>
    <t>8303 Skillman Street, 201</t>
  </si>
  <si>
    <t>JPC-25-06764-31</t>
  </si>
  <si>
    <t>JPC-25-06708-31</t>
  </si>
  <si>
    <t>8401 Skillman Street, 2051</t>
  </si>
  <si>
    <t>JPC-25-06699-31</t>
  </si>
  <si>
    <t>Olivia Mendoza</t>
  </si>
  <si>
    <t>8303 Skillman Street, 162</t>
  </si>
  <si>
    <t>JPC-25-06705-31</t>
  </si>
  <si>
    <t>Andrew Trujillo Alvarado</t>
  </si>
  <si>
    <t>9750 Royal Oaks, 1424</t>
  </si>
  <si>
    <t>JPC-25-06700-31</t>
  </si>
  <si>
    <t>Roy Quintero</t>
  </si>
  <si>
    <t>9750 Royal Oaks, 522</t>
  </si>
  <si>
    <t>JPC-25-06697-31</t>
  </si>
  <si>
    <t>Dewayne Dixon</t>
  </si>
  <si>
    <t>8401 Skillman Street, 2038</t>
  </si>
  <si>
    <t>JPC-25-06704-31</t>
  </si>
  <si>
    <t>Chigozie Amaechi-Okorie</t>
  </si>
  <si>
    <t>8401 Skillman Street, 2018</t>
  </si>
  <si>
    <t>JPC-25-06696-31</t>
  </si>
  <si>
    <t>Shaquesa Murphy</t>
  </si>
  <si>
    <t>8401 Skillman Street, 2020</t>
  </si>
  <si>
    <t>JPC-25-06703-31</t>
  </si>
  <si>
    <t>Taydrian Washington</t>
  </si>
  <si>
    <t>8201 Fair Oaks Crossing, 1065</t>
  </si>
  <si>
    <t>JPC-25-06702-31</t>
  </si>
  <si>
    <t>Symone Rogers</t>
  </si>
  <si>
    <t>8401 Skillman Street, 1020</t>
  </si>
  <si>
    <t>JPC-25-06701-31</t>
  </si>
  <si>
    <t>8303 Skillman Street, 430</t>
  </si>
  <si>
    <t>JPC-25-06443-31</t>
  </si>
  <si>
    <t>Talika Taylor</t>
  </si>
  <si>
    <t>8201 Fair Oaks Crossing, 2067</t>
  </si>
  <si>
    <t>JPC-25-06905-31</t>
  </si>
  <si>
    <t>Nicole Brown</t>
  </si>
  <si>
    <t>8401 Skillman Street, 2021</t>
  </si>
  <si>
    <t>JPC-25-06698-31</t>
  </si>
  <si>
    <t>9750 Royal Lane, 1004</t>
  </si>
  <si>
    <t>JPC-25-06934-31</t>
  </si>
  <si>
    <t>Alexxis Means</t>
  </si>
  <si>
    <t>8201 Fair Oaks Crossing, 1016</t>
  </si>
  <si>
    <t>JPC-25-06926-31</t>
  </si>
  <si>
    <t>Jarelle Mayberry</t>
  </si>
  <si>
    <t>8201 Fair Oaks Crossing, 2050</t>
  </si>
  <si>
    <t>JPC-25-06928-31</t>
  </si>
  <si>
    <t>8201 Fair Oaks Crossing, 1044</t>
  </si>
  <si>
    <t>JPC-25-06957-31</t>
  </si>
  <si>
    <t>8201 Fair Oaks Crossing, 2092</t>
  </si>
  <si>
    <t>JPC-25-06961-31</t>
  </si>
  <si>
    <t>Alma Bacho</t>
  </si>
  <si>
    <t>8303 Skillman Street, 157</t>
  </si>
  <si>
    <t>JPC-25-06963-31</t>
  </si>
  <si>
    <t>Diamond Goodman</t>
  </si>
  <si>
    <t>8201 Fair Oaks Crossing, 1087</t>
  </si>
  <si>
    <t>JPC-25-06958-31</t>
  </si>
  <si>
    <t>Vita Manning</t>
  </si>
  <si>
    <t>8201 Fair Oaks Crossing, 1032</t>
  </si>
  <si>
    <t>JPC-25-06956-31</t>
  </si>
  <si>
    <t>DeAndra Hobson</t>
  </si>
  <si>
    <t>8201 Fair Oaks Crossing, 2053</t>
  </si>
  <si>
    <t>JPC-25-06960-31</t>
  </si>
  <si>
    <t>Jocelyn Perez</t>
  </si>
  <si>
    <t>8303 Skillman Street, 245</t>
  </si>
  <si>
    <t>JPC-25-06966-31</t>
  </si>
  <si>
    <t>Nely Lara Vasquez</t>
  </si>
  <si>
    <t>8401 Skillman Street, 1056</t>
  </si>
  <si>
    <t>JPC-25-06971-31</t>
  </si>
  <si>
    <t>8401 Skillman Street, 2014</t>
  </si>
  <si>
    <t>JPC-25-07012-31</t>
  </si>
  <si>
    <t>Oscar Divini Pomposo Aviles</t>
  </si>
  <si>
    <t>8401 Skillman Street, 2083</t>
  </si>
  <si>
    <t>JPC-25-07009-31</t>
  </si>
  <si>
    <t>Talasia Rashidi</t>
  </si>
  <si>
    <t>8401 Skillman Street, 2096</t>
  </si>
  <si>
    <t>JPC-25-06972-31</t>
  </si>
  <si>
    <t>Tyler Kelly</t>
  </si>
  <si>
    <t>8401 Skillman Street, 3040</t>
  </si>
  <si>
    <t>JPC-25-07008-31</t>
  </si>
  <si>
    <t>8401 Skillman Street, 3094</t>
  </si>
  <si>
    <t>JPC-25-07007-31</t>
  </si>
  <si>
    <t>8201 Fair Oaks Crossing, 1054</t>
  </si>
  <si>
    <t>JPC-25-07011-31</t>
  </si>
  <si>
    <t>Prince Sunday</t>
  </si>
  <si>
    <t>8303 Skillman Street, 421</t>
  </si>
  <si>
    <t>JPC-25-06969-31</t>
  </si>
  <si>
    <t>JPC-25-07181-31</t>
  </si>
  <si>
    <t>Alberto Olalde</t>
  </si>
  <si>
    <t>9750 Royal Lane, 901</t>
  </si>
  <si>
    <t>JPC-25-07180-31</t>
  </si>
  <si>
    <t>9750 Royal Lane, 1-0516</t>
  </si>
  <si>
    <t>JPC-25-07182-31</t>
  </si>
  <si>
    <t>Tatiana Cooks</t>
  </si>
  <si>
    <t>8303 Skillman Street, 414</t>
  </si>
  <si>
    <t>JPC-25-06707-31</t>
  </si>
  <si>
    <t>JPC-25-07371-31</t>
  </si>
  <si>
    <t>Theophile Kangkang</t>
  </si>
  <si>
    <t>8303 Skillman Street, 215</t>
  </si>
  <si>
    <t>JPC-25-06409-31</t>
  </si>
  <si>
    <t>Estanislao Flores</t>
  </si>
  <si>
    <t>8401 Skillman Street, 1037</t>
  </si>
  <si>
    <t>JPC-25-06460-31</t>
  </si>
  <si>
    <t>8303 Skillman Street, 272</t>
  </si>
  <si>
    <t>JPC-25-06408-31</t>
  </si>
  <si>
    <t>Breana Renee Mccarrell</t>
  </si>
  <si>
    <t>JPC-25-07376-31</t>
  </si>
  <si>
    <t>Rodrinesha Fridia</t>
  </si>
  <si>
    <t>8201 Fair Oaks Crossing, 2039</t>
  </si>
  <si>
    <t>JPC-25-06446-31</t>
  </si>
  <si>
    <t>Julian Rodriguez</t>
  </si>
  <si>
    <t>9750 Royal Lane, 403</t>
  </si>
  <si>
    <t>JPC-25-07372-31</t>
  </si>
  <si>
    <t>Client</t>
  </si>
  <si>
    <t>Case Type</t>
  </si>
  <si>
    <t>Tenant</t>
  </si>
  <si>
    <t>Balance Due</t>
  </si>
  <si>
    <t>File Date</t>
  </si>
  <si>
    <t>Case Number</t>
  </si>
  <si>
    <t>Result</t>
  </si>
  <si>
    <t>Vacated?</t>
  </si>
  <si>
    <t>Writ?</t>
  </si>
  <si>
    <t>Dismiss?</t>
  </si>
  <si>
    <t>Dismissal Reason</t>
  </si>
  <si>
    <t>Collections?</t>
  </si>
  <si>
    <t>Attorney Notes</t>
  </si>
  <si>
    <t>CAF Management</t>
  </si>
  <si>
    <t>DALLAS (PRECINCT 3 - 1)</t>
  </si>
  <si>
    <t>Dismissed Filed</t>
  </si>
  <si>
    <t>Dwayne Sanders</t>
  </si>
  <si>
    <t>9750 Royal Apt 605</t>
  </si>
  <si>
    <t>$22,761.44</t>
  </si>
  <si>
    <t>09/18/2025</t>
  </si>
  <si>
    <t>New</t>
  </si>
  <si>
    <t>Attendance Required</t>
  </si>
  <si>
    <t/>
  </si>
  <si>
    <t>Attorney Dismissal</t>
  </si>
  <si>
    <t>Vacated</t>
  </si>
  <si>
    <t>Writ</t>
  </si>
  <si>
    <t>9/29/2025</t>
  </si>
  <si>
    <t>(09/29/2025 - CE - Emailed) Since you have not responded to our email asking if you would like to use one of the attorneys on our network to represent you in your upcoming judgment over 20,000 case, we have to assume that you have your own representation.  We have, therefore, closed this case in our system.  If this was an oversight and you do actually need representation, please feel free to contact us.
(09/19/2025 - ce - Emailed) The Justice of the Peace can only hear cases for damages under $20,000. 
If you would like to proceed with this case in JP court, you will need to reduce the judgment amount requested to under $20,000 and change the reason for eviction. After this has been done, please reply directly to this email informing us that you would like to move forward and the fees have been reduced. 
If you would like to request more than $20,000, you will have to request this amount in the district court. If you opt to file in the district court, you will need an attorney to represent you. We do have an In-Network Attorney that we can transfer your case to. The fee would depend on the complexity of your particular case. You can also choose to use your own attorney.</t>
  </si>
  <si>
    <t>Lakimbe Anderson</t>
  </si>
  <si>
    <t>8201 Fair Apt 2075</t>
  </si>
  <si>
    <t>$0.00</t>
  </si>
  <si>
    <t>10/07/2025</t>
  </si>
  <si>
    <t>10/29/2025</t>
  </si>
  <si>
    <t>(10/08/2025 - ce - Emailed) All lease violation cases must be filed by either the property itself or an attorney.  Therefore, Nationwide Compliant is unable to represent you on this case for Lease Violation.
We do have an In-Network Attorney that we can transfer your case to. The base fee is $750 but is subject to change depending on the complexity of the case.  You can also choose to use your own attorney or file the case yourself.
Please reply to this email and let us know your preference.
If you choose to use your own attorney or file the case yourself, simply click DISMISS in our system within the next 7 days, and your property will not incur any charges.</t>
  </si>
  <si>
    <t>9750 Royal Apt/Suite 605</t>
  </si>
  <si>
    <t>$24,375.36</t>
  </si>
  <si>
    <t>10/14/2025</t>
  </si>
  <si>
    <t>10/23/2025</t>
  </si>
  <si>
    <t>(10/23/2025 - ce - Emailed) Since you have not responded to our email asking if you would like to use one of the attorneys on our network to represent you in your upcoming judgment over 20,000 case, we have to assume that you have your own representation.  We have, therefore, closed this case in our system.  If this was an oversight and you do actually need representation, please feel free to contact us.
(10/15/2025 - ce - Emailed) The Justice of the Peace can only hear cases for damages under $20,000. 
If you would like to proceed with this case in JP court, you will need to reduce the judgment amount requested to under $20,000 and change the reason for eviction. After this has been done, please reply directly to this email informing us that you would like to move forward and the fees have been reduced. 
If you would like to request more than $20,000, you will have to request this amount in the district court. If you opt to file in the district court, you will need an attorney to represent you. We do have an In-Network Attorney that we can transfer your case to. The fee would depend on the complexity of your particular case. You can also choose to use your own attorney.</t>
  </si>
  <si>
    <t>10/28/2025</t>
  </si>
  <si>
    <t>11/7/2025</t>
  </si>
  <si>
    <t>(10/28/2025 - ce - Emailed) All lease violation cases must be filed by either the property itself or an attorney.  Therefore, Nationwide Compliant is unable to represent you on this case for Lease Violation.
We do have an In-Network Attorney that we can transfer your case to. The base fee is $750 but is subject to change depending on the complexity of the case.  You can also choose to use your own attorney or file the case yourself.
Please reply to this email and let us know your preference.
If you choose to use your own attorney or file the case yourself, simply click DISMISS in our system within the next 7 days, and your property will not incur any charges.</t>
  </si>
  <si>
    <t>8201 Fair Apt 2065</t>
  </si>
  <si>
    <t>$3,389.62</t>
  </si>
  <si>
    <t>09/23/2025</t>
  </si>
  <si>
    <t>Processed</t>
  </si>
  <si>
    <t>11/06/2025</t>
  </si>
  <si>
    <t>Judicial Dismissal</t>
  </si>
  <si>
    <t>(11/07/2025 - cj - Emailed) Dallas Eviction Advocacy Center appeared in attendance for Defendant and argued case should be dismissed due to insufficient notice to vacate. The Judge determined there was a lack of service because according to postal records notice was mailed after notice was posted outside of the door.
(11/03/2025 -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</si>
  <si>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8401 Skillman Apt 2021</t>
  </si>
  <si>
    <t>$2,466.23</t>
  </si>
  <si>
    <t>09/24/2025</t>
  </si>
  <si>
    <t>11/20/2025</t>
  </si>
  <si>
    <t>11/24/2025</t>
  </si>
  <si>
    <t>(11/24/2025 - cj) Dallas Eviction Advocacy Center appeared in attendance for Defendant and argued case should be dismissed due to pleadings being incorrect. Judge determined Plaintiff forfeited right to transact business in the State of Texas. Defendant's attorney provided court with a copy of tax status print out. The Judge determined that property does not have valid Franchise Tax with the Texas Comptroller of Public Accounts. Additionally, Judge considered notice improper due to the 'deadbolt engaged' component of service being refuted by the defendant's testimony. 
Please note that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(11/22/2025 - cj) Judge dismissed case after Defendant argued pleadings were incorrect. Judge determined Plaintiff forfeited right to transact business in the State of Texas. The Judge determined that property does not have valid Franchise Tax with the Texas Comptroller of Public Accounts.
Additionally, Dallas Eviction Advocacy Center appeared in attendance for Defendant and argued case should be dismissed due to improper notice. Due to this, Judge dismissed case due to insufficient notice. Please note that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(11/17/2025 -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(11/12/2025 - cj - Emailed) This case has been reset by the Judge and is set for 11/20/2025 @ 1:30PM because the tenant has contested service of notice to vacate and claims that notice was not properly served. Judge has requested that person who served notice to attend the reset hearing to testify regarding delivery. ATTENDANCE REQUIRED.
Additionally, the tenant in this case has retained legal counsel. Please be present at the hearing as you may have to refute the usual assertions that opposing counsel will make.
Also, while we feel that we are more than capable of prosecuting this case with your presences, we want to give you the opportunity to retain an attorney if you choose.
Please reply to this email and confirm that you WILL BE PRESENT at the reset hearing.</t>
  </si>
  <si>
    <t>8303 Skillman Apt 414</t>
  </si>
  <si>
    <t>$1,704.49</t>
  </si>
  <si>
    <t>09/30/2025</t>
  </si>
  <si>
    <t>12/08/2025</t>
  </si>
  <si>
    <t>12/9/2025</t>
  </si>
  <si>
    <t>(12/09/2025 - KD) The judge has dismissed this case. The DEAC was present to represent the defendant. The individual who delivered the Notice to Vacate letter (NTV) is no longer employed by the plaintiff, therefore unable to appear or respond to the defendants testimony. Additionally, the registered owner's franchise tax status is currently listed as inactive.
(12/03/2025 -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(11/12/2025 - cj - Emailed) This case has been reset by the Judge and is set for 12/08/2025 @ 1:30PM because the tenant has contested service of notice to vacate and claims that notice was not properly served. Judge has requested that person who served notice to attend the reset hearing to testify regarding delivery. ATTENDANCE REQUIRED.
Additionally, the tenant in this case has retained legal counsel. Please be present at the hearing as you may have to refute the usual assertions that opposing counsel will make.
Also, while we feel that we are more than capable of prosecuting this case with your presences, we want to give you the opportunity to retain an attorney if you choose.
Please reply to this email and confirm that you WILL BE PRESENT at the reset hearing.</t>
  </si>
  <si>
    <t>8201 Fair Apt/Suite 2067</t>
  </si>
  <si>
    <t>$2,976.27</t>
  </si>
  <si>
    <t>10/13/2025</t>
  </si>
  <si>
    <t>11/22/2025</t>
  </si>
  <si>
    <t>(11/22/2025 - cj) Judge dismissed case after Defendant argued pleadings were incorrect. Judge determined Plaintiff forfeited right to transact business in the State of Texas. The Judge determined that property does not have valid Franchise Tax with the Texas Comptroller of Public Accounts.
(11/17/2025 -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</si>
  <si>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9750 Royal Apt/Suite 715</t>
  </si>
  <si>
    <t>$2,807.89</t>
  </si>
  <si>
    <t>10/21/2025</t>
  </si>
  <si>
    <t>01/13/2026</t>
  </si>
  <si>
    <t>1/14/2026</t>
  </si>
  <si>
    <t>(01/14/2026 - cj) Judge dismissed case after determining pleadings were incorrect. Judge determined Plaintiff forfeited right to transact business in the State of Texas. The Judge determined that property does not have valid Franchise Tax with the Texas Comptroller of Public Accounts.
(01/08/2026 -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(12/05/2025 - SH) The Motion to reinstate was granted by the Judge. This case will now be heard on 1.13.2025 @ 9:30am
(12/01/2025 -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(11/04/2025 - 11:41:05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</si>
  <si>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9750 Royal Apt 516</t>
  </si>
  <si>
    <t>$1,511.89</t>
  </si>
  <si>
    <t>01/15/2026</t>
  </si>
  <si>
    <t>2/18/2026</t>
  </si>
  <si>
    <t>(03/05/2026 - SH) This case was dismissed due to the State Franchise Tax for this property was inavtive at the time of filing.
(02/13/2026 -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(01/16/2026 - 11:41:15 AM) The Judge has requested confirmation that Plaintiff's franchise tax status is in good standing. This case has been reset to 02/19/2026 at 9:30AM. Court has reset case in order to allow time to confirm if property will be able to provide evidence of good standing with franchise tax status. PLEASE NOTE that property ATTENDANCE is required at reset hearing detailed above.
(01/12/2026 -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(12/12/2025 - 8:06:16 AM) An attorney appeared on behalf of the defendant. The property is listed under Edcouch Financial, which currently reflects a forfeited tax status. The property representative advised that management is actively working to resolve this issue.
To allow time for the matter to be corrected, the Judge reset the case for January 15, 2025 at 1:30 p.m.
(12/05/2025 -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(11/18/2025 - 1:06:31 PM) Thank you for trusting Nationwide Compliant with your case(s). We understand that delays can be frustrating, and I want to reassure you that your case has been submitted to the court. Due to longer-than-usual processing times, we have contacted the court to obtain an estimated timeframe for acceptance. At this point, the case remains in “submitted” status and has not yet been processed.
We are monitoring the situation closely and will update the case as soon as any new information becomes available. If you have any questions, please feel free to reach out to me at shaunna.hampton@nationwidecompliant.com
 or to Christine Johnson at christine.johnson@nationwidecompliant.com
.
(11/04/2025 - 11:41:34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</si>
  <si>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9750 Royal Apt/Suite 808</t>
  </si>
  <si>
    <t>$2,180.11</t>
  </si>
  <si>
    <t>11/18/2025</t>
  </si>
  <si>
    <t>1/16/2026</t>
  </si>
  <si>
    <t>(01/16/2026 - cj) Dallas Eviction Advocacy Center appeared in attendance for Defendant and argued that notice was improper. Judge dismissed case after determining that mailed notice did not allow additional 3 days AFTER mailing.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(01/12/2026 -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(12/15/2025 - 1:06:10 PM) We followed up with the court regarding the status of pending cases. The court advised that filings are currently taking approximately 2–3 weeks to be reviewed and accepted due to an increase in filings, approved staff leave, and the holiday court schedule. After this week’s hearings, the court will have a two-week hearing break, allowing clerks to focus on processing filings. The court anticipates this will significantly reduce the backlog and bring timelines closer to normal by the end of the month.</t>
  </si>
  <si>
    <t>8303 Skillman Apt 433</t>
  </si>
  <si>
    <t>$15,868.64</t>
  </si>
  <si>
    <t>09/15/2025</t>
  </si>
  <si>
    <t>10/22/2025</t>
  </si>
  <si>
    <t>Possession</t>
  </si>
  <si>
    <t>Dismiss</t>
  </si>
  <si>
    <t>(10/17/2025 -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</si>
  <si>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8201 Fair Apt 1041</t>
  </si>
  <si>
    <t>$5,483.51</t>
  </si>
  <si>
    <t>09/19/2025</t>
  </si>
  <si>
    <t>uvac</t>
  </si>
  <si>
    <t>(10/20/2025 -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</si>
  <si>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8401 Skillman Apt 3048</t>
  </si>
  <si>
    <t>$5,713.78</t>
  </si>
  <si>
    <t>10/27/2025</t>
  </si>
  <si>
    <t>11/05/2025</t>
  </si>
  <si>
    <t>11/12/2025</t>
  </si>
  <si>
    <t>(10/22/2025 -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</si>
  <si>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8303 Skillman Apt 159</t>
  </si>
  <si>
    <t>$4,712.01</t>
  </si>
  <si>
    <t>09/22/2025</t>
  </si>
  <si>
    <t>8201 Fair Apt 1040</t>
  </si>
  <si>
    <t>$4,873.61</t>
  </si>
  <si>
    <t>8401 Skillman Apt 2057</t>
  </si>
  <si>
    <t>$2,933.08</t>
  </si>
  <si>
    <t>8401 Skillman Apt 2018</t>
  </si>
  <si>
    <t>$4,121.74</t>
  </si>
  <si>
    <t>11/11/2025</t>
  </si>
  <si>
    <t>11/17/2025</t>
  </si>
  <si>
    <t>8201 Fair Apt 2028</t>
  </si>
  <si>
    <t>$3,495.33</t>
  </si>
  <si>
    <t>8201 Fair Apt 1065</t>
  </si>
  <si>
    <t>$3,204.09</t>
  </si>
  <si>
    <t>8401 Skillman Apt 1020</t>
  </si>
  <si>
    <t>$2,400.92</t>
  </si>
  <si>
    <t>09/25/2025</t>
  </si>
  <si>
    <t>8401 Skillman Apt 2020</t>
  </si>
  <si>
    <t>$2,254.54</t>
  </si>
  <si>
    <t>8401 Skillman Apt 2038</t>
  </si>
  <si>
    <t>$1,927.60</t>
  </si>
  <si>
    <t>09/26/2025</t>
  </si>
  <si>
    <t>8201 Fair Apt 1020</t>
  </si>
  <si>
    <t>$3,461.10</t>
  </si>
  <si>
    <t>8303 Skillman Apt 201</t>
  </si>
  <si>
    <t>$1,534.67</t>
  </si>
  <si>
    <t>8201 Fair Apt 1046</t>
  </si>
  <si>
    <t>$1,646.02</t>
  </si>
  <si>
    <t>02/19/2026</t>
  </si>
  <si>
    <t>03/06/2026</t>
  </si>
  <si>
    <t>(02/13/2026 -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(01/16/2026 - 11:41:14 AM) The Judge has requested confirmation that Plaintiff's franchise tax status is in good standing. This case has been reset to 02/19/2026 at 9:30AM. Court has reset case in order to allow time to confirm if property will be able to provide evidence of good standing with franchise tax status. PLEASE NOTE that property ATTENDANCE is required at reset hearing detailed above.
(01/12/2026 -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(12/09/2025 - KD) This case has been reset for 01.15.26 @ 1:30 pm due to an outstanding franchise tax obligation. Property management was there and confirmed they've communicated the information to the owner. Attendance is required.
(12/03/2025 -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</si>
  <si>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8201 Fair Apt/Suite 2053</t>
  </si>
  <si>
    <t>$1,702.23</t>
  </si>
  <si>
    <t>12/01/2025</t>
  </si>
  <si>
    <t>(11/19/2025 -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</si>
  <si>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8201 Fair Apt/Suite 2092</t>
  </si>
  <si>
    <t>$1,724.97</t>
  </si>
  <si>
    <t>11/25/2025</t>
  </si>
  <si>
    <t>8201 Fair Apt/Suite 1032</t>
  </si>
  <si>
    <t>$1,765.47</t>
  </si>
  <si>
    <t>9750 Royal Apt/Suite 310</t>
  </si>
  <si>
    <t>$3,979.37</t>
  </si>
  <si>
    <t>02/09/2026</t>
  </si>
  <si>
    <t>(02/04/2026 -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(01/14/2026 - 10:57:25 AM) The Judge has requested confirmation that Plaintiff's franchise tax status is in good standing. This case has been reset to 02/09/2026 at 1:30 PM. Court has reset case in order to allow time to confirm if property will be able to provide evidence of good standing with franchise tax status. PLEASE NOTE that property ATTENDANCE is required at reset hearing detailed above.
(01/08/2026 -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(11/11/2025 - 12:31:51 PM)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or your Dallas County Market Support Specialist, Christine Johnson (Christine.johnson@nationwidecompliant.com). We are here to help and ensure you are supported every step of the way.
(11/04/2025 - 11:41:05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</si>
  <si>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9750 Royal Apt/Suite 403</t>
  </si>
  <si>
    <t>$1,363.12</t>
  </si>
  <si>
    <t>12/09/2025</t>
  </si>
  <si>
    <t>01/09/2026</t>
  </si>
  <si>
    <t>(12/04/2025 -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(11/11/2025 - 12:31:51 PM)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or your Dallas County Market Support Specialist, Christine Johnson (Christine.johnson@nationwidecompliant.com). We are here to help and ensure you are supported every step of the way.
(11/04/2025 - 11:41:05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</si>
  <si>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Unit Vacated</t>
  </si>
  <si>
    <t>9750 Royal Apt/Suite 401</t>
  </si>
  <si>
    <t>$18,597.93</t>
  </si>
  <si>
    <t>02/18/2026</t>
  </si>
  <si>
    <t>01/20/2026</t>
  </si>
  <si>
    <t>9750 Royal Apt/Suite 113</t>
  </si>
  <si>
    <t>$2,038.25</t>
  </si>
  <si>
    <t>(02/04/2026 -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(01/14/2026 - 10:57:23 AM) The Judge has requested confirmation that Plaintiff's franchise tax status is in good standing. This case has been reset to 02/09/2026 at 1:30 PM. Court has reset case in order to allow time to confirm if property will be able to provide evidence of good standing with franchise tax status. PLEASE NOTE that property ATTENDANCE is required at reset hearing detailed above.
(01/08/2026 -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(11/11/2025 - 12:31:47 PM)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or your Dallas County Market Support Specialist, Christine Johnson (Christine.johnson@nationwidecompliant.com). We are here to help and ensure you are supported every step of the way.
(11/04/2025 - 11:41:04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</si>
  <si>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9750 Royal Apt 1419</t>
  </si>
  <si>
    <t>$2,339.12</t>
  </si>
  <si>
    <t>02/25/2026</t>
  </si>
  <si>
    <t>03/04/2026</t>
  </si>
  <si>
    <t>bpaid</t>
  </si>
  <si>
    <t>(02/13/2026 -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(01/16/2026 - 11:41:14 AM) The Judge has requested confirmation that Plaintiff's franchise tax status is in good standing. This case has been reset to 02/19/2026 at 9:30AM. Court has reset case in order to allow time to confirm if property will be able to provide evidence of good standing with franchise tax status. PLEASE NOTE that property ATTENDANCE is required at reset hearing detailed above.
(01/12/2026 -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(12/15/2025 - 1:06:09 PM) We followed up with the court regarding the status of pending cases. The court advised that filings are currently taking approximately 2–3 weeks to be reviewed and accepted due to an increase in filings, approved staff leave, and the holiday court schedule. After this week’s hearings, the court will have a two-week hearing break, allowing clerks to focus on processing filings. The court anticipates this will significantly reduce the backlog and bring timelines closer to normal by the end of the month.</t>
  </si>
  <si>
    <t>8303 Skillman Apt/Suite 408</t>
  </si>
  <si>
    <t>$1,597.18</t>
  </si>
  <si>
    <t>11/19/2025</t>
  </si>
  <si>
    <t>01/14/2026</t>
  </si>
  <si>
    <t>(01/09/2026 -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</si>
  <si>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8303 Skillman Apt/Suite 245</t>
  </si>
  <si>
    <t>$2,154.18</t>
  </si>
  <si>
    <t>12/04/2025</t>
  </si>
  <si>
    <t>8303 Skillman Apt/Suite 122</t>
  </si>
  <si>
    <t>$2,268.90</t>
  </si>
  <si>
    <t>8201 Fair Apt/Suite 1016</t>
  </si>
  <si>
    <t>$2,318.88</t>
  </si>
  <si>
    <t>10/24/2025</t>
  </si>
  <si>
    <t>8201 Fair Apt/Suite 1071</t>
  </si>
  <si>
    <t>$2,490.20</t>
  </si>
  <si>
    <t>8303 Skillman Apt/Suite 157</t>
  </si>
  <si>
    <t>$2,694.54</t>
  </si>
  <si>
    <t>8401 Skillman Apt/Suite 2096</t>
  </si>
  <si>
    <t>$1,697.28</t>
  </si>
  <si>
    <t>8303 Skillman Apt/Suite 421</t>
  </si>
  <si>
    <t>$1,857.01</t>
  </si>
  <si>
    <t>8401 Skillman Apt/Suite 1056</t>
  </si>
  <si>
    <t>$1,898.95</t>
  </si>
  <si>
    <t>10/20/2025</t>
  </si>
  <si>
    <t>8201 Fair Apt/Suite 1087</t>
  </si>
  <si>
    <t>$1,746.84</t>
  </si>
  <si>
    <t>11/07/2025</t>
  </si>
  <si>
    <t>8201 Fair Apt/Suite 1044</t>
  </si>
  <si>
    <t>$1,723.99</t>
  </si>
  <si>
    <t>11/03/2025</t>
  </si>
  <si>
    <t>8401 Skillman Apt/Suite 2083</t>
  </si>
  <si>
    <t>$1,654.67</t>
  </si>
  <si>
    <t>10/15/2025</t>
  </si>
  <si>
    <t>10/17/2025</t>
  </si>
  <si>
    <t>8401 Skillman Apt/Suite 3040</t>
  </si>
  <si>
    <t>$1,616.13</t>
  </si>
  <si>
    <t>9750 Royal Apt/Suite 1-0516</t>
  </si>
  <si>
    <t>oth</t>
  </si>
  <si>
    <t>9750 Royal Apt/Suite 1419</t>
  </si>
  <si>
    <t>$2,368.74</t>
  </si>
  <si>
    <t>10/30/2025</t>
  </si>
  <si>
    <t>9750 Royal Apt/Suite 901</t>
  </si>
  <si>
    <t>$2,132.79</t>
  </si>
  <si>
    <t>10/31/2025</t>
  </si>
  <si>
    <t>9750 Royal Apt/Suite 213</t>
  </si>
  <si>
    <t>$1,635.92</t>
  </si>
  <si>
    <t>9750 Royal Apt/Suite 802</t>
  </si>
  <si>
    <t>$2,973.94</t>
  </si>
  <si>
    <t>02/12/2026</t>
  </si>
  <si>
    <t>(01/16/2026 - 11:41:15 AM) The Judge has requested confirmation that Plaintiff's franchise tax status is in good standing. This case has been reset to 02/19/2026 at 9:30AM. Court has reset case in order to allow time to confirm if property will be able to provide evidence of good standing with franchise tax status. PLEASE NOTE that property ATTENDANCE is required at reset hearing detailed above.
(01/12/2026 -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(12/15/2025 - 1:06:10 PM) We followed up with the court regarding the status of pending cases. The court advised that filings are currently taking approximately 2–3 weeks to be reviewed and accepted due to an increase in filings, approved staff leave, and the holiday court schedule. After this week’s hearings, the court will have a two-week hearing break, allowing clerks to focus on processing filings. The court anticipates this will significantly reduce the backlog and bring timelines closer to normal by the end of the month.</t>
  </si>
  <si>
    <t>9750 Royal Apt/Suite 406</t>
  </si>
  <si>
    <t>$2,480.95</t>
  </si>
  <si>
    <t>(01/12/2026 -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(12/15/2025 - 1:06:10 PM) We followed up with the court regarding the status of pending cases. The court advised that filings are currently taking approximately 2–3 weeks to be reviewed and accepted due to an increase in filings, approved staff leave, and the holiday court schedule. After this week’s hearings, the court will have a two-week hearing break, allowing clerks to focus on processing filings. The court anticipates this will significantly reduce the backlog and bring timelines closer to normal by the end of the month.</t>
  </si>
  <si>
    <t>9750 Royal Apt/Suite 1423</t>
  </si>
  <si>
    <t>$2,105.30</t>
  </si>
  <si>
    <t>8201 Fair Apt/Suite 1031</t>
  </si>
  <si>
    <t>$1,597.62</t>
  </si>
  <si>
    <t>8303 Skillman Apt 272</t>
  </si>
  <si>
    <t>$12,617.47</t>
  </si>
  <si>
    <t>11/14/2025</t>
  </si>
  <si>
    <t>(11/14/2025 - 11:59:49 AM) The Judge has determined that Plaintiff's name requires amendment. Our amendment team will contact you regarding next steps concerning this process.
Please note: If you need to amend this case, you must reply directly to this email or contact our support team. Amendments are not filed automatically—you must clearly indicate what needs to be changed and confirm your approval of any associated fees before we proceed.
(11/06/2025 -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(10/24/2025 - kb - Emailed) The court informed us this case needs to be amended to correct the plaintiff's name and also provide proof the address is correct. The charge to amend the case is $170. Please reply to this email if you would like to amend this case. Please also confirm the correct address/incorrect data. Note, that even if this amendment is approved and filed with the court, the case is still subject to dismissal at the judges discretion.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(10/23/2025 - KD - Emailed) Due to the case being amended, it will now be heard on 11.12.25 @ 1:30 pm. Attendance is required.
(10/22/2025 - 9:36:00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(10/22/2025 - 9:35:55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</si>
  <si>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8303 Skillman Apt 215</t>
  </si>
  <si>
    <t>$10,575.60</t>
  </si>
  <si>
    <t>(11/14/2025 - 11:59:49 AM) The Judge has determined that Plaintiff's name requires amendment. Our amendment team will contact you regarding next steps concerning this process.
Please note: If you need to amend this case, you must reply directly to this email or contact our support team. Amendments are not filed automatically—you must clearly indicate what needs to be changed and confirm your approval of any associated fees before we proceed.
(11/06/2025 -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(10/24/2025 - kb - Emailed) The court informed us this case needs to be amended to correct the plaintiff's name and provide evidence that the address is correct. The charge to amend the case is $170. Please reply to this email if you would like to amend this case. Please also confirm the correct address/incorrect data. Note, that even if this amendment is approved and filed with the court, the case is still subject to dismissal at the judges discretion.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(10/23/2025 - KD - Emailed) Due to the case being amended, it will now be heard on 11.12.25 @ 1:30 pm. Attendance is required.
(10/22/2025 - 9:35:58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(10/22/2025 - 9:35:55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</si>
  <si>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9750 Royal Apt 1202</t>
  </si>
  <si>
    <t>$19,211.18</t>
  </si>
  <si>
    <t>9750 Royal Apt 401</t>
  </si>
  <si>
    <t>$16,792.23</t>
  </si>
  <si>
    <t>9750 Royal Apt 102</t>
  </si>
  <si>
    <t>$7,369.97</t>
  </si>
  <si>
    <t>8201 Fair Apt 2005</t>
  </si>
  <si>
    <t>$7,424.87</t>
  </si>
  <si>
    <t>8201 Fair Apt 1074</t>
  </si>
  <si>
    <t>$9,280.90</t>
  </si>
  <si>
    <t>8401 Skillman Apt 2061</t>
  </si>
  <si>
    <t>$6,501.08</t>
  </si>
  <si>
    <t>8201 Fair Apt 2039</t>
  </si>
  <si>
    <t>$7,117.64</t>
  </si>
  <si>
    <t>(11/14/2025 - 11:59:49 AM) The Judge has determined that Plaintiff's name requires amendment. Our amendment team will contact you regarding next steps concerning this process.
Please note: If you need to amend this case, you must reply directly to this email or contact our support team. Amendments are not filed automatically—you must clearly indicate what needs to be changed and confirm your approval of any associated fees before we proceed.
(11/06/2025 -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(10/24/2025 - kb - Emailed) The court notified us this case needs to be amended to provide the correct plaintiff's name. The charge to amend the case is $170. Please reply to this email if you would like to amend this case. Please also confirm the correct address/incorrect data. Note, that even if this amendment is approved and filed with the court, the case is still subject to dismissal at the judges discretion.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(10/23/2025 - KD - Emailed) Due to this case being amended, this case will now be heard on 11.12.25 @ 1:30 PM. Attendance is required.
(10/22/2025 - 9:35:58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(10/22/2025 - 9:35:55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</si>
  <si>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8303 Skillman Apt 430</t>
  </si>
  <si>
    <t>$5,593.48</t>
  </si>
  <si>
    <t>(11/06/2025 -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(10/24/2025 - kb - Emailed) The court informed us this case needs to be amended to correct the plaintiff's name  and provide evidence that the address is correct. The charge to amend the case is $170. Please reply to this email if you would like to amend this case. Please also confirm the correct address/incorrect data. Note, that even if this amendment is approved and filed with the court, the case is still subject to dismissal at the judges discretion.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(10/23/2025 - KD - Emailed) Due to this case being amended, it will now be heard on 11.12.25 @ 1:30 PM. Attendance is required.
(10/22/2025 - 9:36:01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(10/22/2025 - 9:35:55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</si>
  <si>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8401 Skillman Apt 1037</t>
  </si>
  <si>
    <t>$5,320.90</t>
  </si>
  <si>
    <t>(11/14/2025 - 11:59:50 AM) The Judge has determined that Plaintiff's name requires amendment. Our amendment team will contact you regarding next steps concerning this process.
Please note: If you need to amend this case, you must reply directly to this email or contact our support team. Amendments are not filed automatically—you must clearly indicate what needs to be changed and confirm your approval of any associated fees before we proceed.
(11/06/2025 -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(10/24/2025 - kb - Emailed) The court notified us this case needs to be amended to provide the correct entity name and provide evidence the address listed is correct. The charge to amend the case is $170. Please reply to this email if you would like to amend this case. Please also confirm the correct address/incorrect data. Note, that even if this amendment is approved and filed with the court, the case is still subject to dismissal at the judges discretion.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
(10/23/2025 - KD  - Emailed) Due to this case being amended, it will now be heard on 11.12.25 @ 1:30 PM. Attendance is required.
(10/22/2025 - 9:36:01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(10/22/2025 - 9:35:56 AM) REMINDER, If you delivered the notice for this case by affixing it to the outside of the resident's door, you MUST attend the hearing and testify that you ALSO mailed the notice to the resident AND that you EITHER could not gain access to the unit or you feared bodily harm if you hand delivered the notice or posted the notice on the inside of the door. (G.S. Sec. 24.005) Court is set for TODAY 10/22/2025 @1:30PM, please note that your notice provided states you posted notice OUTSIDE of the door and mailed notice the same day.
(10/17/2025 -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</si>
  <si>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9750 Royal Apt 215</t>
  </si>
  <si>
    <t>$4,666.10</t>
  </si>
  <si>
    <t>9750 Royal Apt 1116</t>
  </si>
  <si>
    <t>$4,291.84</t>
  </si>
  <si>
    <t>(10/12/2025 - kb - Emailed) This case was rejected by the court due to a bad address (court stated it should be "lane" and not "oaks"). The charge to amend the case is $85. Please reply to this email if you would like to amend this case. Please also confirm the correct address/incorrect data. Note, that even if this amendment is approved and filed with the court, the case is still subject to dismissal at the judges discretion.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t>
  </si>
  <si>
    <t>9750 Royal Apt 310</t>
  </si>
  <si>
    <t>$2,717.44</t>
  </si>
  <si>
    <t>(10/10/2025 - ce - Emailed) This case was rejected by the court due to a bad address. The charge to amend the case is $85. Please reply to this email if you would like to amend this case. Please also confirm the correct address/incorrect data. Note, that even if this amendment is approved and filed with the court, the case is still subject to dismissal at the judges discretion. 
 You are responsible for the accuracy and completeness of your submission.  Nationwide is not responsible for any damages whether related to delays, unsatisfactory results, or other which are resulting from the submission of incomplete, insufficient, inaccurate information, or any other condition as specified in the terms and conditions.</t>
  </si>
  <si>
    <t>8401 Skillman Apt 1101</t>
  </si>
  <si>
    <t>$4,169.19</t>
  </si>
  <si>
    <t>(11/03/2025 -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</si>
  <si>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9750 Royal Apt 1416</t>
  </si>
  <si>
    <t>$3,973.42</t>
  </si>
  <si>
    <t>9750 Royal Apt 522</t>
  </si>
  <si>
    <t>$2,603.79</t>
  </si>
  <si>
    <t>8401 Skillman Apt 2051</t>
  </si>
  <si>
    <t>$2,973.45</t>
  </si>
  <si>
    <t>9750 Royal Apt 1424</t>
  </si>
  <si>
    <t>$3,235.84</t>
  </si>
  <si>
    <t>8303 Skillman Apt 162</t>
  </si>
  <si>
    <t>$3,318.19</t>
  </si>
  <si>
    <t>9750 Royal Apt 1105</t>
  </si>
  <si>
    <t>$1,497.92</t>
  </si>
  <si>
    <t>8401 Skillman Apt 2086</t>
  </si>
  <si>
    <t>$2,028.80</t>
  </si>
  <si>
    <t>9750 Royal Apt 1004</t>
  </si>
  <si>
    <t>$1,617.06</t>
  </si>
  <si>
    <t>9750 Royal Apt 715</t>
  </si>
  <si>
    <t>$1,507.46</t>
  </si>
  <si>
    <t>9750 Royal Apt 113</t>
  </si>
  <si>
    <t>$1,334.00</t>
  </si>
  <si>
    <t>9750 Royal Apt/Suite 910</t>
  </si>
  <si>
    <t>$1,919.14</t>
  </si>
  <si>
    <t>(01/16/2026 - 11:41:15 AM) The Judge has requested confirmation that Plaintiff's franchise tax status is in good standing. This case has been reset to 02/19/2026 at 9:30AM. Court has reset case in order to allow time to confirm if property will be able to provide evidence of good standing with franchise tax status. PLEASE NOTE that property ATTENDANCE is required at reset hearing detailed above.
(01/12/2026 -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(12/09/2025 - KD) This case has been reset for 01.15.26 @ 1:30 pm due to an outstanding franchise tax obligation. The property manager was present and confirmed that they have notified the owner of this information. Attendance is required.
(12/03/2025 -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(11/04/2025 - 11:40:57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</si>
  <si>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8201 Fair Apt 2070</t>
  </si>
  <si>
    <t>$3,892.21</t>
  </si>
  <si>
    <t>Case Transferred</t>
  </si>
  <si>
    <t>(12/26/2025 - TR - Emailed) We have received a notice regarding your appeal case from the County Court. ​This case has been sent to the County Court on appeal and we are no longer able to represent you on this case as it now requires an attorney.
It is imperative that you log into your account, download the document, which is located in your tenant documents for this case and forward it to your attorney as soon as possible (the same place you uploaded the lease, ntv, etc.) You may also need to adjust the calendar in the upper left hand corner back a few months to view this case if its older.
(10/31/2025 - hh - Emailed) This case has been sent to County Court on appeal. We are no longer able to represent you on this case as it now requires an attorney. Once we receive information from the County Court, we will notify you via email and mail but you should be proactive and reach out to the County Court for information on the appeal as the mail system does have delays.
 We do have an In-Network Attorney that we can transfer your case to. The base fee is $1,075 but is subject to change depending on the complexity of the case.  You can also choose your own attorney. 
 Please reply to this email and let us know your preference.
(10/22/2025 -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</si>
  <si>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8201 Fair Apt 1080</t>
  </si>
  <si>
    <t>$3,473.33</t>
  </si>
  <si>
    <t>(12/29/2025 - TR - Emailed) We have received a notice regarding your appeal case from the County Court. ​This case has been sent to the County Court on appeal and we are no longer able to represent you on this case as it now requires an attorney.
It is imperative that you log into your account, download the document, which is located in your tenant documents for this case and forward it to your attorney as soon as possible (the same place you uploaded the lease, ntv, etc.) You may also need to adjust the calendar in the upper left hand corner back a few months to view this case if its older.
(12/25/2025 - TR - Emailed) We have received a notice regarding your appeal case from the County Court. ​This case has been sent to the County Court on appeal and we are no longer able to represent you on this case as it now requires an attorney.
It is imperative that you log into your account, download the document, which is located in your tenant documents for this case and forward it to your attorney as soon as possible (the same place you uploaded the lease, ntv, etc.) You may also need to adjust the calendar in the upper left hand corner back a few months to view this case if its older.
(11/14/2025 - hh - Emailed) This case has been sent to County Court on appeal. We are no longer able to represent you on this case as it now requires an attorney. Once we receive information from the County Court, we will notify you via email and mail but you should be proactive and reach out to the County Court for information on the appeal as the mail system does have delays.
 We do have an In-Network Attorney that we can transfer your case to. The base fee is $1,075 but is subject to change depending on the complexity of the case.  You can also choose your own attorney. 
 Please reply to this email and let us know your preference.
(10/22/2025 -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t>
  </si>
  <si>
    <t>9750 Royal Apt/Suite 1416</t>
  </si>
  <si>
    <t>$5,235.35</t>
  </si>
  <si>
    <t>(03/05/2026 - TR - Emailed) We have received a notice regarding your appeal case from the County Court. ​This case has been sent to the County Court on appeal and we are no longer able to represent you on this case as it now requires an attorney.
It is imperative that you log into your account, download the document, which is located in your tenant documents for this case and forward it to your attorney as soon as possible (the same place you uploaded the lease, ntv, etc.) You may also need to adjust the calendar in the upper left hand corner back a few months to view this case if its older.
(02/16/2026 - hh - Emailed) This case has been sent to County Court on appeal. We are no longer able to represent you on this case as it now requires an attorney. Once we receive information from the County Court, we will notify you via email and mail but you should be proactive and reach out to the County Court for information on the appeal as the mail system does have delays.
 We do have an In-Network Attorney that we can transfer your case to. The base fee is $1,075 but is subject to change depending on the complexity of the case.  You can also choose your own attorney. 
 Please reply to this email and let us know your preference.
(02/04/2026 -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(01/14/2026 - 10:57:25 AM) The Judge has requested confirmation that Plaintiff's franchise tax status is in good standing. This case has been reset to 02/09/2026 at 1:30 PM. Court has reset case in order to allow time to confirm if property will be able to provide evidence of good standing with franchise tax status. PLEASE NOTE that property ATTENDANCE is required at reset hearing detailed above.
(01/08/2026 -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(11/11/2025 - 12:31:47 PM)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or your Dallas County Market Support Specialist, Christine Johnson (Christine.johnson@nationwidecompliant.com). We are here to help and ensure you are supported every step of the way.
(11/04/2025 - 11:41:04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</si>
  <si>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9750 Royal Apt/Suite 1105</t>
  </si>
  <si>
    <t>$2,765.34</t>
  </si>
  <si>
    <t>(02/17/2026 - hh - Emailed) This case has been sent to County Court on appeal. We are no longer able to represent you on this case as it now requires an attorney. Once we receive information from the County Court, we will notify you via email and mail but you should be proactive and reach out to the County Court for information on the appeal as the mail system does have delays.
 We do have an In-Network Attorney that we can transfer your case to. The base fee is $1,075 but is subject to change depending on the complexity of the case.  You can also choose your own attorney. 
 Please reply to this email and let us know your preference.
(02/04/2026 -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(01/14/2026 - 10:57:23 AM) The Judge has requested confirmation that Plaintiff's franchise tax status is in good standing. This case has been reset to 02/09/2026 at 1:30 PM. Court has reset case in order to allow time to confirm if property will be able to provide evidence of good standing with franchise tax status. PLEASE NOTE that property ATTENDANCE is required at reset hearing detailed above.
(01/08/2026 -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(11/24/2025 - cj) The court has updated this case, and the date has been reset to 12/09/2025 @1:30PM.
(11/17/2025 - SYS - Emailed) Please upload your most current ledger to your case in NWC.  Judges are now requesting proof that no  payments have been accepted since the eviction was filed.  Failure to do so could result in the dismissal of your case.  PLEASE NOTE: ​We will not update your fees to reflect the updated ledger, as the petition has already been filed. Th​e updated ledger ​will simply allow us to answer questions the court may have about payments made since the case was filed. To avoid receiving reminder emails requesting the updated ledger, please remember to check the ledger box on the file eviction page once you have added the updated ledger.
If you no longer wish to proceed with this case, please select DISMISS by the defendant name on your NWC case status page.
(11/04/2025 - 11:41:04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</si>
  <si>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8201 Fair Apt/Suite 2050</t>
  </si>
  <si>
    <t>$2,240.00</t>
  </si>
  <si>
    <t>Hearing</t>
  </si>
  <si>
    <t>9750 Royal Apt/Suite 1424</t>
  </si>
  <si>
    <t>$4,749.76</t>
  </si>
  <si>
    <t>01/07/2026</t>
  </si>
  <si>
    <t>(11/11/2025 - 12:31:47 PM)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or your Dallas County Market Support Specialist, Christine Johnson (Christine.johnson@nationwidecompliant.com). We are here to help and ensure you are supported every step of the way.
(11/04/2025 - 11:41:05 AM) Thank you for trusting NWC to handle your case(s). We understand delays can be frustrating, and we want to assure you that we are actively monitoring your cases. Due to a high volume of filings with the court, there has been a delay in receiving case numbers and court dates. Please know that the court is working as quickly as possible to serve all clients, including NWC.
We truly appreciate your patience during this time. At NWC, we are committed to keeping all case information updated promptly upon receipt and within our stated commitment times.
If you have any case- or court-specific questions, please don’t hesitate to reach out directly to me, Shaunna Hampton (shaunna.hampton@nationwidecompliant.com
), or your Dallas County Market Support Specialist, Christine Johnson (Christine.johnson@nationwidecompliant.com
). We are here to help and ensure you are supported every step of the way.</t>
  </si>
  <si>
    <t>9750 Royal Apt/Suite 215</t>
  </si>
  <si>
    <t>$6,460.80</t>
  </si>
  <si>
    <t>8401 Skillman Apt/Suite 2014</t>
  </si>
  <si>
    <t>$1,381.26</t>
  </si>
  <si>
    <t>In-Person Hearing</t>
  </si>
  <si>
    <t>8201 Fair Apt/Suite 1054</t>
  </si>
  <si>
    <t>$1,484.41</t>
  </si>
  <si>
    <t>8401 Skillman Apt/Suite 3094</t>
  </si>
  <si>
    <t>$1,400.78</t>
  </si>
  <si>
    <t>8401 Skillman Apt/Suite 2086</t>
  </si>
  <si>
    <t>$2,009.07</t>
  </si>
  <si>
    <t>Item #</t>
  </si>
  <si>
    <t>Mgmt Co.</t>
  </si>
  <si>
    <t>Address</t>
  </si>
  <si>
    <t>Substatus</t>
  </si>
  <si>
    <t>Program Ver.</t>
  </si>
  <si>
    <t>Reported Date</t>
  </si>
  <si>
    <t>Reoccupied Date</t>
  </si>
  <si>
    <t>Carrier</t>
  </si>
  <si>
    <t>Total Claimed</t>
  </si>
  <si>
    <t>Total Paid</t>
  </si>
  <si>
    <t>Unpaid</t>
  </si>
  <si>
    <t>Recovery %</t>
  </si>
  <si>
    <t>Coverage Limit</t>
  </si>
  <si>
    <t>Denial Reason</t>
  </si>
  <si>
    <t>Dismissed?</t>
  </si>
  <si>
    <t>Action Required?</t>
  </si>
  <si>
    <t>Days to File</t>
  </si>
  <si>
    <t>Loss Date</t>
  </si>
  <si>
    <t>Claimed Within Limit</t>
  </si>
  <si>
    <t>Missing Docs?</t>
  </si>
  <si>
    <t>Missing Docs List</t>
  </si>
  <si>
    <t>Property ID</t>
  </si>
  <si>
    <t>Tenant ID</t>
  </si>
  <si>
    <t>Dispute Date</t>
  </si>
  <si>
    <t>25-103410</t>
  </si>
  <si>
    <t>Investor Property Services</t>
  </si>
  <si>
    <t>W23-2-2042</t>
  </si>
  <si>
    <t>Closed</t>
  </si>
  <si>
    <t>Amount Claimed Greater than Limit</t>
  </si>
  <si>
    <t>6904196056</t>
  </si>
  <si>
    <t>24-61023</t>
  </si>
  <si>
    <t>Olman Hernandez</t>
  </si>
  <si>
    <t>3613720802</t>
  </si>
  <si>
    <t>24-67083</t>
  </si>
  <si>
    <t>Doris Alvarado garcia</t>
  </si>
  <si>
    <t>Pending Documentation;Closed-No Insured Response</t>
  </si>
  <si>
    <t>3613714573</t>
  </si>
  <si>
    <t>24-58141</t>
  </si>
  <si>
    <t>Megan Benedict</t>
  </si>
  <si>
    <t>Claim Item Denied</t>
  </si>
  <si>
    <t>631523221</t>
  </si>
  <si>
    <t>25-102082</t>
  </si>
  <si>
    <t>W07-1-0710</t>
  </si>
  <si>
    <t>4754398636</t>
  </si>
  <si>
    <t>25-100243</t>
  </si>
  <si>
    <t>Alejandro Pineda Matos,Mayerlin Gonzalez</t>
  </si>
  <si>
    <t>N14-3062</t>
  </si>
  <si>
    <t>Pending Documentation;Claim Item Denied</t>
  </si>
  <si>
    <t>4715783003</t>
  </si>
  <si>
    <t>25-106450</t>
  </si>
  <si>
    <t>N12-3048</t>
  </si>
  <si>
    <t>Claim Denied</t>
  </si>
  <si>
    <t>7030175499</t>
  </si>
  <si>
    <t>Deadline- Eviction</t>
  </si>
  <si>
    <t>25-100574</t>
  </si>
  <si>
    <t>Nataly Hurtado,Rene Reyes</t>
  </si>
  <si>
    <t>N02-1009</t>
  </si>
  <si>
    <t>3899757019</t>
  </si>
  <si>
    <t>25-103406</t>
  </si>
  <si>
    <t>N19-2082</t>
  </si>
  <si>
    <t>6904209213</t>
  </si>
  <si>
    <t>24-58104</t>
  </si>
  <si>
    <t>Julio Ernesto Ical</t>
  </si>
  <si>
    <t>3899785423</t>
  </si>
  <si>
    <t>25-106418</t>
  </si>
  <si>
    <t>7966779174</t>
  </si>
  <si>
    <t>25-100578</t>
  </si>
  <si>
    <t>W15-2-3086</t>
  </si>
  <si>
    <t>3899759923</t>
  </si>
  <si>
    <t>24-61024</t>
  </si>
  <si>
    <t>Gabriela Verastegui</t>
  </si>
  <si>
    <t>3613720855</t>
  </si>
  <si>
    <t>26-107393</t>
  </si>
  <si>
    <t>Charles Ewere,Ese Ewere</t>
  </si>
  <si>
    <t>3618908561</t>
  </si>
  <si>
    <t>26-108249</t>
  </si>
  <si>
    <t>W25-2-1031</t>
  </si>
  <si>
    <t>6770249734</t>
  </si>
  <si>
    <t>25-100367</t>
  </si>
  <si>
    <t>Brahyan Vargas,Francisco Amorocho Molina</t>
  </si>
  <si>
    <t>5795109150</t>
  </si>
  <si>
    <t>24-61030</t>
  </si>
  <si>
    <t>Abari Alaba</t>
  </si>
  <si>
    <t>1-0509</t>
  </si>
  <si>
    <t>3899779914</t>
  </si>
  <si>
    <t>25-97646</t>
  </si>
  <si>
    <t>Austin Bray,Lora Lane</t>
  </si>
  <si>
    <t>S28-102</t>
  </si>
  <si>
    <t>3899762638</t>
  </si>
  <si>
    <t>25-106466</t>
  </si>
  <si>
    <t>S36-433</t>
  </si>
  <si>
    <t>6770248126</t>
  </si>
  <si>
    <t>25-106368</t>
  </si>
  <si>
    <t>W03-1-0308</t>
  </si>
  <si>
    <t>Pending Documentation</t>
  </si>
  <si>
    <t>4115506226</t>
  </si>
  <si>
    <t>24-67383</t>
  </si>
  <si>
    <t>Caterin Mejia</t>
  </si>
  <si>
    <t>3613721933</t>
  </si>
  <si>
    <t>25-100589</t>
  </si>
  <si>
    <t>Marcus Weathers</t>
  </si>
  <si>
    <t>6904113556</t>
  </si>
  <si>
    <t>24-58135</t>
  </si>
  <si>
    <t>Angel Salazar,Sandro Salazar</t>
  </si>
  <si>
    <t>631523167</t>
  </si>
  <si>
    <t>24-65979</t>
  </si>
  <si>
    <t>Mario Frias</t>
  </si>
  <si>
    <t>3899778009</t>
  </si>
  <si>
    <t>25-100576</t>
  </si>
  <si>
    <t>Jose Carranza,Maria Martinez</t>
  </si>
  <si>
    <t>W16-2-0711</t>
  </si>
  <si>
    <t>3899758890</t>
  </si>
  <si>
    <t>24-77770</t>
  </si>
  <si>
    <t>Damaris DeJesus,Jackson Nzeyimana</t>
  </si>
  <si>
    <t>5795109257</t>
  </si>
  <si>
    <t>25-100545</t>
  </si>
  <si>
    <t>Milton Rodriguez Romero,Karis Osorio</t>
  </si>
  <si>
    <t>W15-2-3057</t>
  </si>
  <si>
    <t>6770240076</t>
  </si>
  <si>
    <t>25-106407</t>
  </si>
  <si>
    <t>Samantha Ilugbekhai,Kelvin Ilugbekhai</t>
  </si>
  <si>
    <t>W06-1-0612</t>
  </si>
  <si>
    <t>7966778940</t>
  </si>
  <si>
    <t>Claim Filing Deadline</t>
  </si>
  <si>
    <t>26-109362</t>
  </si>
  <si>
    <t>Tamara Smith,Juanita Johnson</t>
  </si>
  <si>
    <t>W26-2-2015</t>
  </si>
  <si>
    <t>7966774283</t>
  </si>
  <si>
    <t>25-97581</t>
  </si>
  <si>
    <t>Devin Cooks,Dominique Cooks</t>
  </si>
  <si>
    <t>W03-1-0309</t>
  </si>
  <si>
    <t>3899760137</t>
  </si>
  <si>
    <t>26-107401</t>
  </si>
  <si>
    <t>4227379244</t>
  </si>
  <si>
    <t>24-53553</t>
  </si>
  <si>
    <t>Alyssa Hodges</t>
  </si>
  <si>
    <t>3618880677</t>
  </si>
  <si>
    <t>24-53557</t>
  </si>
  <si>
    <t>Shelly Campbell</t>
  </si>
  <si>
    <t>Closed-No Insured Response</t>
  </si>
  <si>
    <t>3899755683</t>
  </si>
  <si>
    <t>25-106400</t>
  </si>
  <si>
    <t>Ayala Dennis,Tamiah Giles</t>
  </si>
  <si>
    <t>5485046402</t>
  </si>
  <si>
    <t>24-53559</t>
  </si>
  <si>
    <t>Renato Alvarez</t>
  </si>
  <si>
    <t>3613721693</t>
  </si>
  <si>
    <t>24-61028</t>
  </si>
  <si>
    <t>Nancy Hernandez</t>
  </si>
  <si>
    <t>3613721482</t>
  </si>
  <si>
    <t>26-107497</t>
  </si>
  <si>
    <t>W02-1-0209</t>
  </si>
  <si>
    <t>8127856069</t>
  </si>
  <si>
    <t>24-53558</t>
  </si>
  <si>
    <t>Yimi Orozco Ramirez</t>
  </si>
  <si>
    <t>3613714284</t>
  </si>
  <si>
    <t>24-57848</t>
  </si>
  <si>
    <t>Bryan Ogini-Peters</t>
  </si>
  <si>
    <t>3613714580</t>
  </si>
  <si>
    <t>25-78215</t>
  </si>
  <si>
    <t>Carolina Parra</t>
  </si>
  <si>
    <t>3613720772</t>
  </si>
  <si>
    <t>25-106439</t>
  </si>
  <si>
    <t>W23-2-1041</t>
  </si>
  <si>
    <t>7582772845</t>
  </si>
  <si>
    <t>25-106366</t>
  </si>
  <si>
    <t>Cindy Delgadillo,Osiel Duarte</t>
  </si>
  <si>
    <t>3899770564</t>
  </si>
  <si>
    <t>25-106363</t>
  </si>
  <si>
    <t>3618908712</t>
  </si>
  <si>
    <t>25-101072</t>
  </si>
  <si>
    <t>Ruben Rivera</t>
  </si>
  <si>
    <t>4296296615</t>
  </si>
  <si>
    <t>25-97602</t>
  </si>
  <si>
    <t>Raul Martinez</t>
  </si>
  <si>
    <t>W26-2-1013</t>
  </si>
  <si>
    <t>4011305439</t>
  </si>
  <si>
    <t>25-106447</t>
  </si>
  <si>
    <t>7489154862</t>
  </si>
  <si>
    <t>24-56548</t>
  </si>
  <si>
    <t>Joe Patton</t>
  </si>
  <si>
    <t>3613716807</t>
  </si>
  <si>
    <t>24-53174</t>
  </si>
  <si>
    <t>Quincy Law</t>
  </si>
  <si>
    <t>2-1021</t>
  </si>
  <si>
    <t>3899774871</t>
  </si>
  <si>
    <t>25-100568</t>
  </si>
  <si>
    <t>Abigail Foley,Justin Foley</t>
  </si>
  <si>
    <t>S40-160</t>
  </si>
  <si>
    <t>3613721368</t>
  </si>
  <si>
    <t>24-61045</t>
  </si>
  <si>
    <t>Daniel Lopez</t>
  </si>
  <si>
    <t>636846444</t>
  </si>
  <si>
    <t>26-108248</t>
  </si>
  <si>
    <t>6181156439</t>
  </si>
  <si>
    <t>25-106464</t>
  </si>
  <si>
    <t>Daniela Jaramillo,Jessica Jaramillo</t>
  </si>
  <si>
    <t>6770249604</t>
  </si>
  <si>
    <t>25-106431</t>
  </si>
  <si>
    <t>S42-272</t>
  </si>
  <si>
    <t>6348406467</t>
  </si>
  <si>
    <t>25-106395</t>
  </si>
  <si>
    <t>5389387193</t>
  </si>
  <si>
    <t>26-108246</t>
  </si>
  <si>
    <t>W25-2-2031</t>
  </si>
  <si>
    <t>5858810560</t>
  </si>
  <si>
    <t>25-97643</t>
  </si>
  <si>
    <t>Chiddy Ezevillo,Clement Ezevillo</t>
  </si>
  <si>
    <t>3613721634</t>
  </si>
  <si>
    <t>25-103393</t>
  </si>
  <si>
    <t>7582774875</t>
  </si>
  <si>
    <t>25-103398</t>
  </si>
  <si>
    <t>6927137050</t>
  </si>
  <si>
    <t>25-103388</t>
  </si>
  <si>
    <t>7788265319</t>
  </si>
  <si>
    <t>25-101167</t>
  </si>
  <si>
    <t>Luis Ordonez Aguilar</t>
  </si>
  <si>
    <t>7489153520</t>
  </si>
  <si>
    <t>24-57850</t>
  </si>
  <si>
    <t>Richard Zambrana</t>
  </si>
  <si>
    <t>1-0409</t>
  </si>
  <si>
    <t>3613716061</t>
  </si>
  <si>
    <t>26-107396</t>
  </si>
  <si>
    <t>Christine Jackson,Rabiu Okunola</t>
  </si>
  <si>
    <t>4011305769</t>
  </si>
  <si>
    <t>25-86440</t>
  </si>
  <si>
    <t>6348465753</t>
  </si>
  <si>
    <t>25-102045</t>
  </si>
  <si>
    <t>N14-3058</t>
  </si>
  <si>
    <t>3852165465</t>
  </si>
  <si>
    <t>25-106359</t>
  </si>
  <si>
    <t>3618878102</t>
  </si>
  <si>
    <t>25-101395</t>
  </si>
  <si>
    <t>W21-2-1052</t>
  </si>
  <si>
    <t>6348417953</t>
  </si>
  <si>
    <t>24-53550</t>
  </si>
  <si>
    <t>Eliana lobo</t>
  </si>
  <si>
    <t>3613713372</t>
  </si>
  <si>
    <t>25-100371</t>
  </si>
  <si>
    <t>4725604794</t>
  </si>
  <si>
    <t>25-106467</t>
  </si>
  <si>
    <t>Brooklynn Mcgowan,Jarelle Mayberry</t>
  </si>
  <si>
    <t>6409588824</t>
  </si>
  <si>
    <t>24-67385</t>
  </si>
  <si>
    <t>Abosede Kolade</t>
  </si>
  <si>
    <t>3613716898</t>
  </si>
  <si>
    <t>24-67393</t>
  </si>
  <si>
    <t>Tramell Allen</t>
  </si>
  <si>
    <t>3899755130</t>
  </si>
  <si>
    <t>24-67378</t>
  </si>
  <si>
    <t>Tazae Adams</t>
  </si>
  <si>
    <t>3613716822</t>
  </si>
  <si>
    <t>25-106419</t>
  </si>
  <si>
    <t>7703360323</t>
  </si>
  <si>
    <t>25-97580</t>
  </si>
  <si>
    <t>S10-249</t>
  </si>
  <si>
    <t>6191221964</t>
  </si>
  <si>
    <t>25-106369</t>
  </si>
  <si>
    <t>Danny Maldonado,Javier Lopez</t>
  </si>
  <si>
    <t>W11-1-1116</t>
  </si>
  <si>
    <t>4413977817</t>
  </si>
  <si>
    <t>24-53178</t>
  </si>
  <si>
    <t>Eke Nkechi</t>
  </si>
  <si>
    <t>1-1313</t>
  </si>
  <si>
    <t>319674160</t>
  </si>
  <si>
    <t>25-106380</t>
  </si>
  <si>
    <t>4570834677</t>
  </si>
  <si>
    <t>25-106377</t>
  </si>
  <si>
    <t>W06-1-0614</t>
  </si>
  <si>
    <t>4429064094</t>
  </si>
  <si>
    <t>25-106355</t>
  </si>
  <si>
    <t>W08-1-0816</t>
  </si>
  <si>
    <t>3613713858</t>
  </si>
  <si>
    <t>25-97615</t>
  </si>
  <si>
    <t>Diana Valeria Pacheco,Oscar Mendez</t>
  </si>
  <si>
    <t>N13-1057</t>
  </si>
  <si>
    <t>3899783108</t>
  </si>
  <si>
    <t>25-86431</t>
  </si>
  <si>
    <t>Emanuela Petitval</t>
  </si>
  <si>
    <t>4022096445</t>
  </si>
  <si>
    <t>24-57853</t>
  </si>
  <si>
    <t>Edgar Rincon</t>
  </si>
  <si>
    <t>3613721466</t>
  </si>
  <si>
    <t>24-58108</t>
  </si>
  <si>
    <t>Lacey Scott</t>
  </si>
  <si>
    <t>3711170982</t>
  </si>
  <si>
    <t>26-107390</t>
  </si>
  <si>
    <t>3613720788</t>
  </si>
  <si>
    <t>26-107388</t>
  </si>
  <si>
    <t>3613712998</t>
  </si>
  <si>
    <t>24-67390</t>
  </si>
  <si>
    <t>Syrena Torres</t>
  </si>
  <si>
    <t>3613720673</t>
  </si>
  <si>
    <t>25-106404</t>
  </si>
  <si>
    <t>W08-1-0806</t>
  </si>
  <si>
    <t>5485094226</t>
  </si>
  <si>
    <t>24-53556</t>
  </si>
  <si>
    <t>Faten Mashreqi</t>
  </si>
  <si>
    <t>3613714327</t>
  </si>
  <si>
    <t>25-106406</t>
  </si>
  <si>
    <t>W10-1-1004</t>
  </si>
  <si>
    <t>8479880575</t>
  </si>
  <si>
    <t>25-101391</t>
  </si>
  <si>
    <t>W02-1-0210</t>
  </si>
  <si>
    <t>3618882976</t>
  </si>
  <si>
    <t>25-106465</t>
  </si>
  <si>
    <t>N13-2057</t>
  </si>
  <si>
    <t>6770249316</t>
  </si>
  <si>
    <t>24-56550</t>
  </si>
  <si>
    <t>Nikia Butler</t>
  </si>
  <si>
    <t>1-1107</t>
  </si>
  <si>
    <t>3613716565</t>
  </si>
  <si>
    <t>25-106445</t>
  </si>
  <si>
    <t>7582771797</t>
  </si>
  <si>
    <t>25-106413</t>
  </si>
  <si>
    <t>N20-3094</t>
  </si>
  <si>
    <t>5654665818</t>
  </si>
  <si>
    <t>24-56532</t>
  </si>
  <si>
    <t>Karla Machuca</t>
  </si>
  <si>
    <t>3613721167</t>
  </si>
  <si>
    <t>25-101174</t>
  </si>
  <si>
    <t>Gabriel Medina Zavala,Rosaivic Martinez Pereida</t>
  </si>
  <si>
    <t>6770249666</t>
  </si>
  <si>
    <t>25-97628</t>
  </si>
  <si>
    <t>Azeezat Seidu</t>
  </si>
  <si>
    <t>W28-2-1019</t>
  </si>
  <si>
    <t>7054017008</t>
  </si>
  <si>
    <t>25-106385</t>
  </si>
  <si>
    <t>5084263793</t>
  </si>
  <si>
    <t>25-106403</t>
  </si>
  <si>
    <t>9336995320</t>
  </si>
  <si>
    <t>26-109491</t>
  </si>
  <si>
    <t>Christopher Lewis</t>
  </si>
  <si>
    <t>26-112314</t>
  </si>
  <si>
    <t>26-112393</t>
  </si>
  <si>
    <t>26-111251</t>
  </si>
  <si>
    <t>Andrew Jonshua</t>
  </si>
  <si>
    <t>Fees</t>
  </si>
  <si>
    <t>26-113399</t>
  </si>
  <si>
    <t>Breana Renee</t>
  </si>
  <si>
    <t>6348462455</t>
  </si>
  <si>
    <t>26-112425</t>
  </si>
  <si>
    <t>26-113347</t>
  </si>
  <si>
    <t>Randy Armstrong</t>
  </si>
  <si>
    <t>26-110843</t>
  </si>
  <si>
    <t>EILYN REYES,Nely Susana</t>
  </si>
  <si>
    <t>26-112944</t>
  </si>
  <si>
    <t>Deadline-Claim Filing</t>
  </si>
  <si>
    <t>26-112943</t>
  </si>
  <si>
    <t>Isaac Vasquez,Bethis Vasquez</t>
  </si>
  <si>
    <t>26-110898</t>
  </si>
  <si>
    <t>Marie Lwaboshi,Prince Sunday</t>
  </si>
  <si>
    <t>26-112396</t>
  </si>
  <si>
    <t>26-112423</t>
  </si>
  <si>
    <t>Tytiona Jackson,Leila Butler</t>
  </si>
  <si>
    <t>26-113498</t>
  </si>
  <si>
    <t>26-112427</t>
  </si>
  <si>
    <t>Yajaira Cervantes Carrizales,Alvaro Santana</t>
  </si>
  <si>
    <t>26-112298</t>
  </si>
  <si>
    <t>26-112942</t>
  </si>
  <si>
    <t>26-113402</t>
  </si>
  <si>
    <t>26-112453</t>
  </si>
  <si>
    <t>26-113497</t>
  </si>
  <si>
    <t>26-112951</t>
  </si>
  <si>
    <t>Stephanie Williams</t>
  </si>
  <si>
    <t>26-111120</t>
  </si>
  <si>
    <t>Miguel Salazar,Luis Ledesma</t>
  </si>
  <si>
    <t>Unit Status</t>
  </si>
  <si>
    <t>Expected Move-Out</t>
  </si>
  <si>
    <t>Actual Charges</t>
  </si>
  <si>
    <t>Scheduled Charges</t>
  </si>
  <si>
    <t>Balance</t>
  </si>
  <si>
    <t>Deposit Held</t>
  </si>
  <si>
    <t>W05-1-0501</t>
  </si>
  <si>
    <t>Vacant Unrented Not Ready</t>
  </si>
  <si>
    <t>-- Vacant --</t>
  </si>
  <si>
    <t>W05-1-0502</t>
  </si>
  <si>
    <t>Baker, Johnathon</t>
  </si>
  <si>
    <t>W05-1-0505</t>
  </si>
  <si>
    <t>Romero, Roberto</t>
  </si>
  <si>
    <t>W05-1-0506</t>
  </si>
  <si>
    <t>Anyaegbu, Kenechukwu</t>
  </si>
  <si>
    <t>W05-1-0520</t>
  </si>
  <si>
    <t>James, Paul</t>
  </si>
  <si>
    <t>W05-1-0523</t>
  </si>
  <si>
    <t>Lyons, Robert</t>
  </si>
  <si>
    <t>W07-1-0702</t>
  </si>
  <si>
    <t>Zelasko, Stan</t>
  </si>
  <si>
    <t>Vacant Unrented Ready</t>
  </si>
  <si>
    <t>W07-1-0704</t>
  </si>
  <si>
    <t>Martinez, Diego</t>
  </si>
  <si>
    <t>W07-1-0705</t>
  </si>
  <si>
    <t>EREKOSIMA, PRIYE</t>
  </si>
  <si>
    <t>W07-1-0706</t>
  </si>
  <si>
    <t>Siegwald, Kevin</t>
  </si>
  <si>
    <t>W07-1-0721</t>
  </si>
  <si>
    <t>Contreras, Hivis</t>
  </si>
  <si>
    <t>W07-1-0722</t>
  </si>
  <si>
    <t>Amani, Monica</t>
  </si>
  <si>
    <t>W13-1-1301</t>
  </si>
  <si>
    <t>Calvillo, Lisa</t>
  </si>
  <si>
    <t>W13-1-1304</t>
  </si>
  <si>
    <t>W13-1-1320</t>
  </si>
  <si>
    <t>Brown, Chiquita</t>
  </si>
  <si>
    <t>W13-1-1321</t>
  </si>
  <si>
    <t>garcia, Luis</t>
  </si>
  <si>
    <t>W13-1-1323</t>
  </si>
  <si>
    <t>Celaya, Michelle</t>
  </si>
  <si>
    <t>James, Alvin</t>
  </si>
  <si>
    <t>N01-1004</t>
  </si>
  <si>
    <t>Flores, Esbeidy</t>
  </si>
  <si>
    <t>N01-2001</t>
  </si>
  <si>
    <t>Obinna, Echidi</t>
  </si>
  <si>
    <t>N01-2003</t>
  </si>
  <si>
    <t>Brown, Rayquain</t>
  </si>
  <si>
    <t>N01-2004</t>
  </si>
  <si>
    <t>Joel, Douglas</t>
  </si>
  <si>
    <t>N01-3001</t>
  </si>
  <si>
    <t>Velez, Kelvin</t>
  </si>
  <si>
    <t>N09-1034</t>
  </si>
  <si>
    <t>Odimegwu, Ekwutor</t>
  </si>
  <si>
    <t>N09-1036</t>
  </si>
  <si>
    <t>Montes, Lorena</t>
  </si>
  <si>
    <t>N09-2035</t>
  </si>
  <si>
    <t>Mckelvin, Dylan</t>
  </si>
  <si>
    <t>N09-2037</t>
  </si>
  <si>
    <t>Yanez-Almonaci, Miguel</t>
  </si>
  <si>
    <t>N10-1039</t>
  </si>
  <si>
    <t>Jegede, Lamidi</t>
  </si>
  <si>
    <t>N10-1040</t>
  </si>
  <si>
    <t>Hernandez, Orlin</t>
  </si>
  <si>
    <t>N10-2039</t>
  </si>
  <si>
    <t>N10-2041</t>
  </si>
  <si>
    <t>N10-3039</t>
  </si>
  <si>
    <t>Okedele, Morenikeji</t>
  </si>
  <si>
    <t>Vacant Rented Ready</t>
  </si>
  <si>
    <t>N12-1046</t>
  </si>
  <si>
    <t>Santana, Lorenzo</t>
  </si>
  <si>
    <t>N12-1047</t>
  </si>
  <si>
    <t>Nnaji, Nnenna</t>
  </si>
  <si>
    <t>N12-1048</t>
  </si>
  <si>
    <t>Herrera, Ingrid</t>
  </si>
  <si>
    <t>N12-2046</t>
  </si>
  <si>
    <t>Santana, Misael</t>
  </si>
  <si>
    <t>N12-2049</t>
  </si>
  <si>
    <t>Cisse, Oumar</t>
  </si>
  <si>
    <t>N12-3047</t>
  </si>
  <si>
    <t>Nayte, Daniel</t>
  </si>
  <si>
    <t>N15-1066</t>
  </si>
  <si>
    <t>Cummings, Clayton</t>
  </si>
  <si>
    <t>N15-1067</t>
  </si>
  <si>
    <t>Lagunas, Francisco</t>
  </si>
  <si>
    <t>N15-1068</t>
  </si>
  <si>
    <t>Velazquez, Rodrigo</t>
  </si>
  <si>
    <t>N15-2066</t>
  </si>
  <si>
    <t>Gonzalez, Adolfo</t>
  </si>
  <si>
    <t>N15-2067</t>
  </si>
  <si>
    <t>N15-2068</t>
  </si>
  <si>
    <t>Chestnut, Darius</t>
  </si>
  <si>
    <t>N15-2069</t>
  </si>
  <si>
    <t>Vazquez, Jesus</t>
  </si>
  <si>
    <t>N15-3066</t>
  </si>
  <si>
    <t>N15-3067</t>
  </si>
  <si>
    <t>Jhaidri, Amine</t>
  </si>
  <si>
    <t>Baca, Hilda</t>
  </si>
  <si>
    <t>Murphy, Angenique</t>
  </si>
  <si>
    <t>W21-2-1053</t>
  </si>
  <si>
    <t>Centeno, Lester</t>
  </si>
  <si>
    <t>W21-2-1057</t>
  </si>
  <si>
    <t>David, Elvin</t>
  </si>
  <si>
    <t>W21-2-1058</t>
  </si>
  <si>
    <t>Ramin, Ahmad</t>
  </si>
  <si>
    <t>W21-2-1060</t>
  </si>
  <si>
    <t>Paw, Ta</t>
  </si>
  <si>
    <t>W21-2-1061</t>
  </si>
  <si>
    <t>Brown, Trenton</t>
  </si>
  <si>
    <t>Rebeca, Evelyn</t>
  </si>
  <si>
    <t>W21-2-2054</t>
  </si>
  <si>
    <t>Daboh, Sheik</t>
  </si>
  <si>
    <t>W21-2-2055</t>
  </si>
  <si>
    <t>Adetunji, Oladayo</t>
  </si>
  <si>
    <t>W21-2-2056</t>
  </si>
  <si>
    <t>Gamez-Montes, Jose</t>
  </si>
  <si>
    <t>Vacant Rented Not Ready</t>
  </si>
  <si>
    <t>W21-2-2060</t>
  </si>
  <si>
    <t>JIN, Yichao</t>
  </si>
  <si>
    <t>W21-2-2061</t>
  </si>
  <si>
    <t>Gyles, Noah</t>
  </si>
  <si>
    <t>W03-1-0307</t>
  </si>
  <si>
    <t>Mcconico, Freeman</t>
  </si>
  <si>
    <t>Okem, Paul</t>
  </si>
  <si>
    <t>Essel, Margaret</t>
  </si>
  <si>
    <t>W03-1-0311</t>
  </si>
  <si>
    <t>W03-1-0312</t>
  </si>
  <si>
    <t>Mitchell, Kolby</t>
  </si>
  <si>
    <t>W03-1-0313</t>
  </si>
  <si>
    <t>Santana, Perla</t>
  </si>
  <si>
    <t>W03-1-0314</t>
  </si>
  <si>
    <t>Jaimes, Maria</t>
  </si>
  <si>
    <t>W03-1-0315</t>
  </si>
  <si>
    <t>Ipoola, Abayomi</t>
  </si>
  <si>
    <t>W03-1-0316</t>
  </si>
  <si>
    <t>Silva, Pascual</t>
  </si>
  <si>
    <t>W03-1-0317</t>
  </si>
  <si>
    <t>Olumuyiwa, Blessing</t>
  </si>
  <si>
    <t>W03-1-0318</t>
  </si>
  <si>
    <t>Solis, Dulce</t>
  </si>
  <si>
    <t>W05-1-0507</t>
  </si>
  <si>
    <t>Waweru, Consolata</t>
  </si>
  <si>
    <t>W05-1-0508</t>
  </si>
  <si>
    <t>Alagba, Abel</t>
  </si>
  <si>
    <t>W05-1-0509</t>
  </si>
  <si>
    <t>Abeso, Angela</t>
  </si>
  <si>
    <t>W05-1-0511</t>
  </si>
  <si>
    <t>Ghebremichael, Yohanes</t>
  </si>
  <si>
    <t>W05-1-0512</t>
  </si>
  <si>
    <t>Okoro, Eric</t>
  </si>
  <si>
    <t>W05-1-0513</t>
  </si>
  <si>
    <t>Williams, Natasha</t>
  </si>
  <si>
    <t>W05-1-0515</t>
  </si>
  <si>
    <t>Okeke, Johnpaul</t>
  </si>
  <si>
    <t>W05-1-0517</t>
  </si>
  <si>
    <t>Akanmu, Olaitan</t>
  </si>
  <si>
    <t>W07-1-0709</t>
  </si>
  <si>
    <t>Kaper, Kevin</t>
  </si>
  <si>
    <t>York, Khristopher</t>
  </si>
  <si>
    <t>W07-1-0711</t>
  </si>
  <si>
    <t>Smith, Jennifer</t>
  </si>
  <si>
    <t>W07-1-0712</t>
  </si>
  <si>
    <t>Nguyen, Hoa</t>
  </si>
  <si>
    <t>W07-1-0713</t>
  </si>
  <si>
    <t>Ali, Zain</t>
  </si>
  <si>
    <t>W07-1-0714</t>
  </si>
  <si>
    <t>Nguebuo, Bernadette</t>
  </si>
  <si>
    <t>W07-1-0716</t>
  </si>
  <si>
    <t>Delgado, Frank</t>
  </si>
  <si>
    <t>W07-1-0718</t>
  </si>
  <si>
    <t>Pompa, Brianna</t>
  </si>
  <si>
    <t>W12-1-1207</t>
  </si>
  <si>
    <t>Arenas, Luis</t>
  </si>
  <si>
    <t>W12-1-1208</t>
  </si>
  <si>
    <t>Valera, Franklin</t>
  </si>
  <si>
    <t>W12-1-1210</t>
  </si>
  <si>
    <t>Oshilaja, Nojimu</t>
  </si>
  <si>
    <t>W12-1-1211</t>
  </si>
  <si>
    <t>Basilio, Uriel</t>
  </si>
  <si>
    <t>W12-1-1212</t>
  </si>
  <si>
    <t>Stites, Christian</t>
  </si>
  <si>
    <t>W12-1-1214</t>
  </si>
  <si>
    <t>Mendoza, Graciela</t>
  </si>
  <si>
    <t>W12-1-1215</t>
  </si>
  <si>
    <t>McKnight, Keshira</t>
  </si>
  <si>
    <t>W12-1-1216</t>
  </si>
  <si>
    <t>Gebru, Filmon</t>
  </si>
  <si>
    <t>W12-1-1217</t>
  </si>
  <si>
    <t>Tresp, Jerry</t>
  </si>
  <si>
    <t>W12-1-1218</t>
  </si>
  <si>
    <t>Egede, Bassey</t>
  </si>
  <si>
    <t>W13-1-1307</t>
  </si>
  <si>
    <t>Garrett, Mary</t>
  </si>
  <si>
    <t>W13-1-1308</t>
  </si>
  <si>
    <t>Romero, Eugenio</t>
  </si>
  <si>
    <t>W13-1-1309</t>
  </si>
  <si>
    <t>Semere, Denden</t>
  </si>
  <si>
    <t>W13-1-1310</t>
  </si>
  <si>
    <t>Barrett, A.L</t>
  </si>
  <si>
    <t>W13-1-1312</t>
  </si>
  <si>
    <t>Iwuanyanwu, Paul</t>
  </si>
  <si>
    <t>W13-1-1313</t>
  </si>
  <si>
    <t>Hall, Tamika</t>
  </si>
  <si>
    <t>W13-1-1314</t>
  </si>
  <si>
    <t>Faniyi, Oluwole</t>
  </si>
  <si>
    <t>W13-1-1316</t>
  </si>
  <si>
    <t>Devera, Paz</t>
  </si>
  <si>
    <t>W13-1-1317</t>
  </si>
  <si>
    <t>Bankas, Ernest</t>
  </si>
  <si>
    <t>W14-1-1407</t>
  </si>
  <si>
    <t>John, Bolanle</t>
  </si>
  <si>
    <t>W14-1-1408</t>
  </si>
  <si>
    <t>Gebrehiwot, Haben</t>
  </si>
  <si>
    <t>W14-1-1409</t>
  </si>
  <si>
    <t>McMahon, John</t>
  </si>
  <si>
    <t>W14-1-1410</t>
  </si>
  <si>
    <t>Casey, Noah</t>
  </si>
  <si>
    <t>W14-1-1412</t>
  </si>
  <si>
    <t>Obi, Longinus</t>
  </si>
  <si>
    <t>W14-1-1414</t>
  </si>
  <si>
    <t>Clincy, Jaqon</t>
  </si>
  <si>
    <t>W14-1-1415</t>
  </si>
  <si>
    <t>Torres, Jonmy</t>
  </si>
  <si>
    <t>W14-1-1418</t>
  </si>
  <si>
    <t>Oyadina, Babatunde</t>
  </si>
  <si>
    <t>N03-1014</t>
  </si>
  <si>
    <t>N03-1015</t>
  </si>
  <si>
    <t>Rodriguez, Raquel</t>
  </si>
  <si>
    <t>N03-1017</t>
  </si>
  <si>
    <t>Hodges, Alyssa</t>
  </si>
  <si>
    <t>N03-1019</t>
  </si>
  <si>
    <t>N03-1021</t>
  </si>
  <si>
    <t>Carrillo, Leslie</t>
  </si>
  <si>
    <t>N03-2015</t>
  </si>
  <si>
    <t>Kelly, Lakeshia</t>
  </si>
  <si>
    <t>N03-2016</t>
  </si>
  <si>
    <t>Ortega, Emanuel</t>
  </si>
  <si>
    <t>N03-2017</t>
  </si>
  <si>
    <t>De, Maria</t>
  </si>
  <si>
    <t>N03-2019</t>
  </si>
  <si>
    <t>Daniyan, Omotola</t>
  </si>
  <si>
    <t>N03-3015</t>
  </si>
  <si>
    <t>Contreras, Guillermo</t>
  </si>
  <si>
    <t>N03-3016</t>
  </si>
  <si>
    <t>King, Ronald</t>
  </si>
  <si>
    <t>N03-3018</t>
  </si>
  <si>
    <t>Owolana, Olubukunmi</t>
  </si>
  <si>
    <t>N03-3021</t>
  </si>
  <si>
    <t>N14-1059</t>
  </si>
  <si>
    <t>Gonzalez, Fernando</t>
  </si>
  <si>
    <t>N14-1061</t>
  </si>
  <si>
    <t>obidike, Frances</t>
  </si>
  <si>
    <t>N14-1062</t>
  </si>
  <si>
    <t>Eduardo, Jose</t>
  </si>
  <si>
    <t>N14-1065</t>
  </si>
  <si>
    <t>Martinez, Camilo</t>
  </si>
  <si>
    <t>N14-2060</t>
  </si>
  <si>
    <t>Gang, Xie</t>
  </si>
  <si>
    <t>N14-2061</t>
  </si>
  <si>
    <t>Rivero, Zamara</t>
  </si>
  <si>
    <t>N14-2062</t>
  </si>
  <si>
    <t>Young, Sebron</t>
  </si>
  <si>
    <t>N14-2063</t>
  </si>
  <si>
    <t>Ukaga, Diana</t>
  </si>
  <si>
    <t>N14-2064</t>
  </si>
  <si>
    <t>Reza, Mohammad</t>
  </si>
  <si>
    <t>N14-2065</t>
  </si>
  <si>
    <t>N14-3059</t>
  </si>
  <si>
    <t>Alejandra, Maria</t>
  </si>
  <si>
    <t>N14-3060</t>
  </si>
  <si>
    <t>Mabry, Hosea</t>
  </si>
  <si>
    <t>Folorunsho, Miracle</t>
  </si>
  <si>
    <t>N14-3064</t>
  </si>
  <si>
    <t>Ibrahim, Mary-Gabrielle</t>
  </si>
  <si>
    <t>N14-3065</t>
  </si>
  <si>
    <t>Hare, Roderick</t>
  </si>
  <si>
    <t>N20-1088</t>
  </si>
  <si>
    <t>Arce, Rogelio</t>
  </si>
  <si>
    <t>N20-1090</t>
  </si>
  <si>
    <t>King, Keith</t>
  </si>
  <si>
    <t>N20-1092</t>
  </si>
  <si>
    <t>Jackson, Kendra</t>
  </si>
  <si>
    <t>N20-1093</t>
  </si>
  <si>
    <t>Stiles, Cade</t>
  </si>
  <si>
    <t>N20-1095</t>
  </si>
  <si>
    <t>Pence, Cole</t>
  </si>
  <si>
    <t>N20-2090</t>
  </si>
  <si>
    <t>Pilkington, Rebecca</t>
  </si>
  <si>
    <t>N20-2092</t>
  </si>
  <si>
    <t>Oshinlaja, Omoyeni</t>
  </si>
  <si>
    <t>N20-2094</t>
  </si>
  <si>
    <t>Cabrales, Margie</t>
  </si>
  <si>
    <t>N20-2095</t>
  </si>
  <si>
    <t>Amaya, Salvador</t>
  </si>
  <si>
    <t>N20-3088</t>
  </si>
  <si>
    <t>Lloyd, Uche</t>
  </si>
  <si>
    <t>N20-3090</t>
  </si>
  <si>
    <t>Nicastro, Casey</t>
  </si>
  <si>
    <t>N20-3091</t>
  </si>
  <si>
    <t>N20-3092</t>
  </si>
  <si>
    <t>Nguyen, Trung</t>
  </si>
  <si>
    <t>N20-3093</t>
  </si>
  <si>
    <t>N20-3095</t>
  </si>
  <si>
    <t>W01-1-0103</t>
  </si>
  <si>
    <t>Olaleye, Azeezat</t>
  </si>
  <si>
    <t>W01-1-0104</t>
  </si>
  <si>
    <t>Cardenas, Yeiby</t>
  </si>
  <si>
    <t>W01-1-0106</t>
  </si>
  <si>
    <t>Ogonnaya, Amaka</t>
  </si>
  <si>
    <t>W01-1-0107</t>
  </si>
  <si>
    <t>Merida, Rossana</t>
  </si>
  <si>
    <t>W01-1-0109</t>
  </si>
  <si>
    <t>Martinez, Maria</t>
  </si>
  <si>
    <t>W01-1-0112</t>
  </si>
  <si>
    <t>Adeleke, Elizabeth</t>
  </si>
  <si>
    <t>W01-1-0114</t>
  </si>
  <si>
    <t>Ojiako, Esther</t>
  </si>
  <si>
    <t>W02-1-0203</t>
  </si>
  <si>
    <t>Ado, Lois</t>
  </si>
  <si>
    <t>W02-1-0204</t>
  </si>
  <si>
    <t>Oparaku, Joseph</t>
  </si>
  <si>
    <t>W02-1-0206</t>
  </si>
  <si>
    <t>Britto, Eric</t>
  </si>
  <si>
    <t>Renteria, Jorge</t>
  </si>
  <si>
    <t>W02-1-0208</t>
  </si>
  <si>
    <t>Angulo, Wilman</t>
  </si>
  <si>
    <t>Gebremariam Weldekeal, Asmerom</t>
  </si>
  <si>
    <t>Barragan, Lorenzo</t>
  </si>
  <si>
    <t>W02-1-0211</t>
  </si>
  <si>
    <t>Teklu, Wondwoson</t>
  </si>
  <si>
    <t>W04-1-0404</t>
  </si>
  <si>
    <t>Osevwe, Sherifat</t>
  </si>
  <si>
    <t>W04-1-0405</t>
  </si>
  <si>
    <t>Edet, Ime</t>
  </si>
  <si>
    <t>W04-1-0407</t>
  </si>
  <si>
    <t>Lopez, Alicia</t>
  </si>
  <si>
    <t>W04-1-0408</t>
  </si>
  <si>
    <t>Gilmore, Willie</t>
  </si>
  <si>
    <t>W04-1-0409</t>
  </si>
  <si>
    <t>Patterson, Martayvia</t>
  </si>
  <si>
    <t>W04-1-0413</t>
  </si>
  <si>
    <t>Offiong, Raymond</t>
  </si>
  <si>
    <t>W04-1-0414</t>
  </si>
  <si>
    <t>Barriga, Yanheli</t>
  </si>
  <si>
    <t>W06-1-0603</t>
  </si>
  <si>
    <t>Audu, Yohana</t>
  </si>
  <si>
    <t>W06-1-0606</t>
  </si>
  <si>
    <t>Barahona, Marvin</t>
  </si>
  <si>
    <t>W06-1-0607</t>
  </si>
  <si>
    <t>Espinoza, Katherine</t>
  </si>
  <si>
    <t>W06-1-0608</t>
  </si>
  <si>
    <t>Lanette, Katrice</t>
  </si>
  <si>
    <t>W06-1-0610</t>
  </si>
  <si>
    <t>Nwachukwu, Angela</t>
  </si>
  <si>
    <t>W06-1-0611</t>
  </si>
  <si>
    <t>Cornejo, Jessica</t>
  </si>
  <si>
    <t>Alvardo, Dulce</t>
  </si>
  <si>
    <t>Chunn, Dennis</t>
  </si>
  <si>
    <t>W08-1-0803</t>
  </si>
  <si>
    <t>Aroyewun, Samuel</t>
  </si>
  <si>
    <t>W08-1-0804</t>
  </si>
  <si>
    <t>Nwachukwu, Chidinma</t>
  </si>
  <si>
    <t>Ella Moukodi, Othnielle</t>
  </si>
  <si>
    <t>W08-1-0809</t>
  </si>
  <si>
    <t>Brazier, Tiara</t>
  </si>
  <si>
    <t>W08-1-0811</t>
  </si>
  <si>
    <t>Awaritoma, Otaroghene</t>
  </si>
  <si>
    <t>W08-1-0814</t>
  </si>
  <si>
    <t>Reyes, Alan</t>
  </si>
  <si>
    <t>W09-1-0903</t>
  </si>
  <si>
    <t>Williams, Christine</t>
  </si>
  <si>
    <t>Matamoros, Jocelyn</t>
  </si>
  <si>
    <t>W09-1-0905</t>
  </si>
  <si>
    <t>Hernandez, Javier</t>
  </si>
  <si>
    <t>W09-1-0906</t>
  </si>
  <si>
    <t>Phipps, Terrah</t>
  </si>
  <si>
    <t xml:space="preserve"> Excluded -Model Unit</t>
  </si>
  <si>
    <t>W09-1-0908</t>
  </si>
  <si>
    <t>Nwagboso, Jonah</t>
  </si>
  <si>
    <t>W09-1-0909</t>
  </si>
  <si>
    <t>Kotun, Jimoh</t>
  </si>
  <si>
    <t>W09-1-0911</t>
  </si>
  <si>
    <t>Tewelde, Bisrat</t>
  </si>
  <si>
    <t>W09-1-0912</t>
  </si>
  <si>
    <t>Lujan, Yesenia</t>
  </si>
  <si>
    <t>W09-1-0914</t>
  </si>
  <si>
    <t>Adams, Tony</t>
  </si>
  <si>
    <t>W10-1-1006</t>
  </si>
  <si>
    <t>Akintomide, Amidat</t>
  </si>
  <si>
    <t>W10-1-1007</t>
  </si>
  <si>
    <t>Cothern, Devin</t>
  </si>
  <si>
    <t>W10-1-1008</t>
  </si>
  <si>
    <t>Aina, Emoshoke</t>
  </si>
  <si>
    <t>W10-1-1009</t>
  </si>
  <si>
    <t>W10-1-1010</t>
  </si>
  <si>
    <t>Mendoza, Erica</t>
  </si>
  <si>
    <t>W10-1-1011</t>
  </si>
  <si>
    <t>Agosun, Ambrose</t>
  </si>
  <si>
    <t>W10-1-1012</t>
  </si>
  <si>
    <t>Tekie, Yoel</t>
  </si>
  <si>
    <t>W10-1-1014</t>
  </si>
  <si>
    <t>Ayemoba, Israel</t>
  </si>
  <si>
    <t>W11-1-1104</t>
  </si>
  <si>
    <t>Richards, Alessandro</t>
  </si>
  <si>
    <t>W11-1-1109</t>
  </si>
  <si>
    <t>Polynïce, Marie</t>
  </si>
  <si>
    <t>W11-1-1110</t>
  </si>
  <si>
    <t>Walker, Myocsheonia</t>
  </si>
  <si>
    <t>W11-1-1113</t>
  </si>
  <si>
    <t>Adejumobi, Yusuf</t>
  </si>
  <si>
    <t>W11-1-1114</t>
  </si>
  <si>
    <t>Abigail, Eden</t>
  </si>
  <si>
    <t>Saenz, Jacqueline</t>
  </si>
  <si>
    <t>S28-105</t>
  </si>
  <si>
    <t>Branch, Maria</t>
  </si>
  <si>
    <t>S28-106</t>
  </si>
  <si>
    <t>S28-108</t>
  </si>
  <si>
    <t>S28-202</t>
  </si>
  <si>
    <t>Clement, Tosin</t>
  </si>
  <si>
    <t>S28-203</t>
  </si>
  <si>
    <t>Alvarez, Maria</t>
  </si>
  <si>
    <t>S28-204</t>
  </si>
  <si>
    <t>De La Hoz Avila, Jose</t>
  </si>
  <si>
    <t>S28-205</t>
  </si>
  <si>
    <t>Jeje, Abdullahi</t>
  </si>
  <si>
    <t>S28-206</t>
  </si>
  <si>
    <t>Artis, Stephanie</t>
  </si>
  <si>
    <t>S28-207</t>
  </si>
  <si>
    <t>Williams, Miranda</t>
  </si>
  <si>
    <t>S28-208</t>
  </si>
  <si>
    <t>Ngu, Kathleen</t>
  </si>
  <si>
    <t>S29-109</t>
  </si>
  <si>
    <t>Coronado, Iram</t>
  </si>
  <si>
    <t>S29-110</t>
  </si>
  <si>
    <t>Mendoza, Rene</t>
  </si>
  <si>
    <t>S29-111</t>
  </si>
  <si>
    <t>Guadalupe-Ascen, Victor</t>
  </si>
  <si>
    <t>S29-112</t>
  </si>
  <si>
    <t>Leon, Jose</t>
  </si>
  <si>
    <t>S29-113</t>
  </si>
  <si>
    <t>Hernandez, Juan</t>
  </si>
  <si>
    <t>S29-114</t>
  </si>
  <si>
    <t>Anyasoh, Bright</t>
  </si>
  <si>
    <t>S29-115</t>
  </si>
  <si>
    <t>Lopez, Noelia</t>
  </si>
  <si>
    <t>S29-116</t>
  </si>
  <si>
    <t>Robinson, Calvin</t>
  </si>
  <si>
    <t>S29-209</t>
  </si>
  <si>
    <t>Mata, Julio</t>
  </si>
  <si>
    <t>S29-210</t>
  </si>
  <si>
    <t>Tyra, Otejiri</t>
  </si>
  <si>
    <t>S29-211</t>
  </si>
  <si>
    <t>Bastidas, Maria</t>
  </si>
  <si>
    <t>S29-212</t>
  </si>
  <si>
    <t>Mael, Haileab</t>
  </si>
  <si>
    <t>S29-213</t>
  </si>
  <si>
    <t>Bisiriyu, Rasaq</t>
  </si>
  <si>
    <t>S29-214</t>
  </si>
  <si>
    <t>Tesfamariam, Mengesha</t>
  </si>
  <si>
    <t>S29-216</t>
  </si>
  <si>
    <t>Castillo, Isabel</t>
  </si>
  <si>
    <t>S33-133</t>
  </si>
  <si>
    <t>King, Karvin</t>
  </si>
  <si>
    <t>S33-134</t>
  </si>
  <si>
    <t>Mcelroy, Robert</t>
  </si>
  <si>
    <t>S33-136</t>
  </si>
  <si>
    <t>S33-137</t>
  </si>
  <si>
    <t>Bodley, Keisha</t>
  </si>
  <si>
    <t>S33-138</t>
  </si>
  <si>
    <t>Shields, David</t>
  </si>
  <si>
    <t>S33-139</t>
  </si>
  <si>
    <t>John, Chidera</t>
  </si>
  <si>
    <t>S33-140</t>
  </si>
  <si>
    <t>Ninaji, Chukwuemaka</t>
  </si>
  <si>
    <t>S33-233</t>
  </si>
  <si>
    <t>Akingbowumi, Tunde</t>
  </si>
  <si>
    <t>S33-234</t>
  </si>
  <si>
    <t>Majid, Abdul</t>
  </si>
  <si>
    <t>S33-236</t>
  </si>
  <si>
    <t>Oseni, Ademola</t>
  </si>
  <si>
    <t>S33-237</t>
  </si>
  <si>
    <t>Zalejski, Stefan</t>
  </si>
  <si>
    <t>S33-238</t>
  </si>
  <si>
    <t>Molina, Cesar</t>
  </si>
  <si>
    <t>S33-239</t>
  </si>
  <si>
    <t>Buchanan, Terry</t>
  </si>
  <si>
    <t>S33-240</t>
  </si>
  <si>
    <t>Dessalegne, Abenezer</t>
  </si>
  <si>
    <t>W23-2-1042</t>
  </si>
  <si>
    <t>W23-2-1043</t>
  </si>
  <si>
    <t>De, Julio</t>
  </si>
  <si>
    <t>W23-2-1045</t>
  </si>
  <si>
    <t>Navarro, Jiovani</t>
  </si>
  <si>
    <t>W23-2-1047</t>
  </si>
  <si>
    <t>Simpson, Jeffrey</t>
  </si>
  <si>
    <t>W23-2-2040</t>
  </si>
  <si>
    <t>Aldana, Javier</t>
  </si>
  <si>
    <t>W23-2-2043</t>
  </si>
  <si>
    <t>Scholastica, Adaobi</t>
  </si>
  <si>
    <t>W23-2-2044</t>
  </si>
  <si>
    <t>Munguia, Adolfo</t>
  </si>
  <si>
    <t>W23-2-2046</t>
  </si>
  <si>
    <t>Avila, Yulisa</t>
  </si>
  <si>
    <t>W25-2-1024</t>
  </si>
  <si>
    <t>Haile, Tesfamihret</t>
  </si>
  <si>
    <t>W25-2-1025</t>
  </si>
  <si>
    <t>W25-2-1026</t>
  </si>
  <si>
    <t>Pasillas, Manuel</t>
  </si>
  <si>
    <t>W25-2-1027</t>
  </si>
  <si>
    <t>Yoryina, Emelyn</t>
  </si>
  <si>
    <t>W25-2-1028</t>
  </si>
  <si>
    <t>W25-2-2024</t>
  </si>
  <si>
    <t>Vaughan, Thomasine</t>
  </si>
  <si>
    <t>W25-2-2026</t>
  </si>
  <si>
    <t>Famojuro, Abimbola</t>
  </si>
  <si>
    <t>W25-2-2027</t>
  </si>
  <si>
    <t>W25-2-2029</t>
  </si>
  <si>
    <t>Monzon, Reyna</t>
  </si>
  <si>
    <t>W25-2-2030</t>
  </si>
  <si>
    <t>Acevedo, Rosemarie</t>
  </si>
  <si>
    <t>W27-2-1001</t>
  </si>
  <si>
    <t>Ojebode, Olujide</t>
  </si>
  <si>
    <t>W27-2-1003</t>
  </si>
  <si>
    <t>Rosales, Juan</t>
  </si>
  <si>
    <t>W27-2-1004</t>
  </si>
  <si>
    <t>W27-2-1007</t>
  </si>
  <si>
    <t>Mayuku, Marian</t>
  </si>
  <si>
    <t>W27-2-1008</t>
  </si>
  <si>
    <t>Santiago, Cesar</t>
  </si>
  <si>
    <t>W27-2-1009</t>
  </si>
  <si>
    <t>Ainabe, Grace</t>
  </si>
  <si>
    <t>W27-2-1010</t>
  </si>
  <si>
    <t>Akbari, Jalil</t>
  </si>
  <si>
    <t>W27-2-1011</t>
  </si>
  <si>
    <t>Obiakor, Augustina</t>
  </si>
  <si>
    <t>W27-2-1012</t>
  </si>
  <si>
    <t>Pacheco, Miguel</t>
  </si>
  <si>
    <t>W27-2-2002</t>
  </si>
  <si>
    <t>Price, Joaquin</t>
  </si>
  <si>
    <t>W27-2-2003</t>
  </si>
  <si>
    <t>Andrade, Abel</t>
  </si>
  <si>
    <t>W27-2-2004</t>
  </si>
  <si>
    <t>Aguirre, Alexandra</t>
  </si>
  <si>
    <t>W27-2-2005</t>
  </si>
  <si>
    <t>Chukwuma, Kester</t>
  </si>
  <si>
    <t>W27-2-2006</t>
  </si>
  <si>
    <t>Virginia, Elica</t>
  </si>
  <si>
    <t>W27-2-2007</t>
  </si>
  <si>
    <t>Ogunlusi, Adekanmi</t>
  </si>
  <si>
    <t>W27-2-2008</t>
  </si>
  <si>
    <t>Rocha, Luis</t>
  </si>
  <si>
    <t>W27-2-2009</t>
  </si>
  <si>
    <t>W27-2-2010</t>
  </si>
  <si>
    <t>Odoom, Rosemond</t>
  </si>
  <si>
    <t>W27-2-2012</t>
  </si>
  <si>
    <t>Jackson, Jeremaine</t>
  </si>
  <si>
    <t>N02-1005</t>
  </si>
  <si>
    <t>Wilbon, Sean</t>
  </si>
  <si>
    <t>N02-1007</t>
  </si>
  <si>
    <t>N02-1008</t>
  </si>
  <si>
    <t>Leiton, Daniel</t>
  </si>
  <si>
    <t>N02-1010</t>
  </si>
  <si>
    <t>Henderson, Adrian</t>
  </si>
  <si>
    <t>N02-1011</t>
  </si>
  <si>
    <t>N02-1012</t>
  </si>
  <si>
    <t>N02-2005</t>
  </si>
  <si>
    <t>Cano, Jesica</t>
  </si>
  <si>
    <t>N02-2006</t>
  </si>
  <si>
    <t>Chimereze, Okechukwu</t>
  </si>
  <si>
    <t>N02-2007</t>
  </si>
  <si>
    <t>Gonzalez, Yessenia</t>
  </si>
  <si>
    <t>N02-2008</t>
  </si>
  <si>
    <t>wang, Yubo</t>
  </si>
  <si>
    <t>N02-2009</t>
  </si>
  <si>
    <t>Guthrie, Christopher</t>
  </si>
  <si>
    <t>N02-2010</t>
  </si>
  <si>
    <t>Martinez, Elizabeth</t>
  </si>
  <si>
    <t>N02-2011</t>
  </si>
  <si>
    <t>Munoz, Aime</t>
  </si>
  <si>
    <t>N02-2012</t>
  </si>
  <si>
    <t>Alves, Diego</t>
  </si>
  <si>
    <t>N06-1029</t>
  </si>
  <si>
    <t>Reyes, Lindsay</t>
  </si>
  <si>
    <t>N06-1030</t>
  </si>
  <si>
    <t>Belber, Pedro</t>
  </si>
  <si>
    <t>N06-2028</t>
  </si>
  <si>
    <t>N06-2029</t>
  </si>
  <si>
    <t>N06-2030</t>
  </si>
  <si>
    <t>Shah, Zohoor</t>
  </si>
  <si>
    <t>N06-2031</t>
  </si>
  <si>
    <t>Howard, Jerry</t>
  </si>
  <si>
    <t>N07-1050</t>
  </si>
  <si>
    <t>Ramirez, Ricardina</t>
  </si>
  <si>
    <t>N07-1051</t>
  </si>
  <si>
    <t>Garcia-Herrera, Maria</t>
  </si>
  <si>
    <t>N07-1052</t>
  </si>
  <si>
    <t>Sepulveda, Irma</t>
  </si>
  <si>
    <t>N07-1053</t>
  </si>
  <si>
    <t>N07-2053</t>
  </si>
  <si>
    <t>Prieto Borjas, Ricardo</t>
  </si>
  <si>
    <t>N11-1042</t>
  </si>
  <si>
    <t>Lozada, Victor</t>
  </si>
  <si>
    <t>N11-1043</t>
  </si>
  <si>
    <t>Ahmed, Funke</t>
  </si>
  <si>
    <t>N11-1044</t>
  </si>
  <si>
    <t>Umelo, Innocent</t>
  </si>
  <si>
    <t>N11-1045</t>
  </si>
  <si>
    <t>Young, Margaret</t>
  </si>
  <si>
    <t>N11-2042</t>
  </si>
  <si>
    <t>Cruz, Lesly</t>
  </si>
  <si>
    <t>Gutierrez, Cliffton</t>
  </si>
  <si>
    <t>N11-2044</t>
  </si>
  <si>
    <t>Saunders, Kerric</t>
  </si>
  <si>
    <t>N11-2045</t>
  </si>
  <si>
    <t>Maldonado, Gissel</t>
  </si>
  <si>
    <t>N13-1054</t>
  </si>
  <si>
    <t>Alvarado, Carlos</t>
  </si>
  <si>
    <t>Djossouvi, Adjo</t>
  </si>
  <si>
    <t>N13-2054</t>
  </si>
  <si>
    <t>Albarran, Anabel</t>
  </si>
  <si>
    <t>N13-2055</t>
  </si>
  <si>
    <t>Aleman, Victor</t>
  </si>
  <si>
    <t>N13-2056</t>
  </si>
  <si>
    <t>Sereke, Aregai</t>
  </si>
  <si>
    <t>N19-1076</t>
  </si>
  <si>
    <t>Nunez, Valeria</t>
  </si>
  <si>
    <t>N19-1078</t>
  </si>
  <si>
    <t>N19-1079</t>
  </si>
  <si>
    <t>Palma, Julian</t>
  </si>
  <si>
    <t>N19-1081</t>
  </si>
  <si>
    <t>N19-1082</t>
  </si>
  <si>
    <t>Rodriguez, Abigail</t>
  </si>
  <si>
    <t>Cooper, Latricia</t>
  </si>
  <si>
    <t>N19-2077</t>
  </si>
  <si>
    <t>Jones, Brandy</t>
  </si>
  <si>
    <t>N19-2079</t>
  </si>
  <si>
    <t>Villegas, Lidia</t>
  </si>
  <si>
    <t>N19-2080</t>
  </si>
  <si>
    <t>Lumio Jimenez, Mauricio</t>
  </si>
  <si>
    <t>N19-2081</t>
  </si>
  <si>
    <t>Becerra, Maria</t>
  </si>
  <si>
    <t>S26-402</t>
  </si>
  <si>
    <t>Neira, Diana</t>
  </si>
  <si>
    <t>S26-405</t>
  </si>
  <si>
    <t>Ramsel, Christine</t>
  </si>
  <si>
    <t>S26-406</t>
  </si>
  <si>
    <t>Akpowevwe, Faustina</t>
  </si>
  <si>
    <t>S26-409</t>
  </si>
  <si>
    <t>Hernandez, Emma</t>
  </si>
  <si>
    <t>S26-411</t>
  </si>
  <si>
    <t>Ukeoma, Ferdinand</t>
  </si>
  <si>
    <t>S26-412</t>
  </si>
  <si>
    <t>Patricio, Manuel</t>
  </si>
  <si>
    <t>S26-413</t>
  </si>
  <si>
    <t>Nathaniel, Perpetual</t>
  </si>
  <si>
    <t>S27-417</t>
  </si>
  <si>
    <t>Osuji, Obinna</t>
  </si>
  <si>
    <t>S27-418</t>
  </si>
  <si>
    <t>S27-419</t>
  </si>
  <si>
    <t>Boyd, Glenda</t>
  </si>
  <si>
    <t>S27-420</t>
  </si>
  <si>
    <t>Diaz, Danilo</t>
  </si>
  <si>
    <t>W15-2-1085</t>
  </si>
  <si>
    <t>W15-2-1086</t>
  </si>
  <si>
    <t>De, Leandro</t>
  </si>
  <si>
    <t>W15-2-1087</t>
  </si>
  <si>
    <t>Goodman, Diamond</t>
  </si>
  <si>
    <t>W15-2-1088</t>
  </si>
  <si>
    <t>Arellano, Sandra</t>
  </si>
  <si>
    <t>W15-2-1089</t>
  </si>
  <si>
    <t>Vazquez, Maria</t>
  </si>
  <si>
    <t>W15-2-1090</t>
  </si>
  <si>
    <t>Beachy, Brian</t>
  </si>
  <si>
    <t>W15-2-1091</t>
  </si>
  <si>
    <t>Ruiz, Ludivina</t>
  </si>
  <si>
    <t>W15-2-1092</t>
  </si>
  <si>
    <t>Hernandez, Kelvia</t>
  </si>
  <si>
    <t>W15-2-2088</t>
  </si>
  <si>
    <t>Newton, Andrew</t>
  </si>
  <si>
    <t>W15-2-2090</t>
  </si>
  <si>
    <t>Nazary, Mohammad</t>
  </si>
  <si>
    <t>W15-2-2091</t>
  </si>
  <si>
    <t>W15-2-3085</t>
  </si>
  <si>
    <t>W15-2-3087</t>
  </si>
  <si>
    <t>Amaya, Hermis</t>
  </si>
  <si>
    <t>W15-2-3090</t>
  </si>
  <si>
    <t>W15-2-3091</t>
  </si>
  <si>
    <t>W16-2-1082</t>
  </si>
  <si>
    <t>Guzman, Rosalba</t>
  </si>
  <si>
    <t>W16-2-1084</t>
  </si>
  <si>
    <t>W16-2-2081</t>
  </si>
  <si>
    <t>Badmos, Femi</t>
  </si>
  <si>
    <t>W16-2-2082</t>
  </si>
  <si>
    <t>Baker, Veronica</t>
  </si>
  <si>
    <t>W16-2-2083</t>
  </si>
  <si>
    <t>Osarenmwinda, Eronmwon</t>
  </si>
  <si>
    <t>W16-2-2084</t>
  </si>
  <si>
    <t>Aguilar, Antonio</t>
  </si>
  <si>
    <t>W24-2-1033</t>
  </si>
  <si>
    <t>W24-2-1034</t>
  </si>
  <si>
    <t>W24-2-1035</t>
  </si>
  <si>
    <t>Desquare, Harvey</t>
  </si>
  <si>
    <t>W24-2-1037</t>
  </si>
  <si>
    <t>Godsey, Lillian</t>
  </si>
  <si>
    <t>W24-2-1039</t>
  </si>
  <si>
    <t>Romero, Christopher</t>
  </si>
  <si>
    <t>W24-2-2033</t>
  </si>
  <si>
    <t>Titilayo, Aminu</t>
  </si>
  <si>
    <t>W24-2-2034</t>
  </si>
  <si>
    <t>Addison, Calandra</t>
  </si>
  <si>
    <t>Ramirez, Nadia</t>
  </si>
  <si>
    <t>W24-2-2036</t>
  </si>
  <si>
    <t>W24-2-2037</t>
  </si>
  <si>
    <t>Nikechi, Ifeoma</t>
  </si>
  <si>
    <t>W24-2-2038</t>
  </si>
  <si>
    <t>Bonilla, Vicente</t>
  </si>
  <si>
    <t>S37-149</t>
  </si>
  <si>
    <t>Lopez, Eduardo</t>
  </si>
  <si>
    <t>S37-250</t>
  </si>
  <si>
    <t>Sullman, Duku</t>
  </si>
  <si>
    <t>S38-151</t>
  </si>
  <si>
    <t>S38-152</t>
  </si>
  <si>
    <t>Hernandez, Sara</t>
  </si>
  <si>
    <t>S38-154</t>
  </si>
  <si>
    <t>S38-251</t>
  </si>
  <si>
    <t>Avila, Marcos</t>
  </si>
  <si>
    <t>S38-252</t>
  </si>
  <si>
    <t>Adetosoye, Jennifer</t>
  </si>
  <si>
    <t>S38-253</t>
  </si>
  <si>
    <t>Sheperak, Andrew</t>
  </si>
  <si>
    <t>S38-254</t>
  </si>
  <si>
    <t>Adeboye, Adeyinka</t>
  </si>
  <si>
    <t>S38-353</t>
  </si>
  <si>
    <t>S38-354</t>
  </si>
  <si>
    <t>S40-159</t>
  </si>
  <si>
    <t>S40-161</t>
  </si>
  <si>
    <t>Hurtado, Amalia</t>
  </si>
  <si>
    <t>S40-162</t>
  </si>
  <si>
    <t>S40-259</t>
  </si>
  <si>
    <t>Rodriguez, Rene</t>
  </si>
  <si>
    <t>S40-260</t>
  </si>
  <si>
    <t>Ramos, Jacob</t>
  </si>
  <si>
    <t>S40-261</t>
  </si>
  <si>
    <t>Bryant, James</t>
  </si>
  <si>
    <t>S40-262</t>
  </si>
  <si>
    <t>Blanco Ramos, Maria</t>
  </si>
  <si>
    <t>S40-359</t>
  </si>
  <si>
    <t>Denham, Latoya</t>
  </si>
  <si>
    <t>S40-360</t>
  </si>
  <si>
    <t>Loving, Debra</t>
  </si>
  <si>
    <t>S40-361</t>
  </si>
  <si>
    <t>S40-362</t>
  </si>
  <si>
    <t>W01-1-0102</t>
  </si>
  <si>
    <t>W01-1-0115</t>
  </si>
  <si>
    <t>Gaston, William</t>
  </si>
  <si>
    <t>W02-1-0201</t>
  </si>
  <si>
    <t>Ruiz, Martha</t>
  </si>
  <si>
    <t>W02-1-0202</t>
  </si>
  <si>
    <t>Kamrani, Sarwia</t>
  </si>
  <si>
    <t>W02-1-0216</t>
  </si>
  <si>
    <t>Coello, Bryan</t>
  </si>
  <si>
    <t>W04-1-0402</t>
  </si>
  <si>
    <t>Coleman, Taija</t>
  </si>
  <si>
    <t>W06-1-0602</t>
  </si>
  <si>
    <t>Dorough, Sarah</t>
  </si>
  <si>
    <t>W06-1-0615</t>
  </si>
  <si>
    <t>Bastida, Gricelda</t>
  </si>
  <si>
    <t>W06-1-0616</t>
  </si>
  <si>
    <t>Lopez, Abrianna</t>
  </si>
  <si>
    <t>W08-1-0801</t>
  </si>
  <si>
    <t>Avalos, Ana</t>
  </si>
  <si>
    <t>W08-1-0815</t>
  </si>
  <si>
    <t>Ezisi-Odom, Ndidiamaka</t>
  </si>
  <si>
    <t>W09-1-0901</t>
  </si>
  <si>
    <t>Camacho, Ana</t>
  </si>
  <si>
    <t>W09-1-0902</t>
  </si>
  <si>
    <t>Mazola, Bin</t>
  </si>
  <si>
    <t>W09-1-0915</t>
  </si>
  <si>
    <t>Rodriguez, Maria</t>
  </si>
  <si>
    <t>W10-1-1002</t>
  </si>
  <si>
    <t>Rodriguez, Jairo</t>
  </si>
  <si>
    <t>W10-1-1015</t>
  </si>
  <si>
    <t>Aguilar, Carlos</t>
  </si>
  <si>
    <t>W10-1-1016</t>
  </si>
  <si>
    <t>W11-1-1101</t>
  </si>
  <si>
    <t>Jarencio, Joster</t>
  </si>
  <si>
    <t>W11-1-1102</t>
  </si>
  <si>
    <t>W11-1-1115</t>
  </si>
  <si>
    <t>Juach, Arop</t>
  </si>
  <si>
    <t>W19-2-1066</t>
  </si>
  <si>
    <t>Tovar, Mary</t>
  </si>
  <si>
    <t>W19-2-1067</t>
  </si>
  <si>
    <t xml:space="preserve"> Excluded -Down Unit</t>
  </si>
  <si>
    <t>W19-2-1068</t>
  </si>
  <si>
    <t>Garcia, Marco</t>
  </si>
  <si>
    <t>W19-2-1069</t>
  </si>
  <si>
    <t>Rodriguez, Roberto</t>
  </si>
  <si>
    <t>W19-2-2068</t>
  </si>
  <si>
    <t>Adenowo, Olalekan</t>
  </si>
  <si>
    <t>W19-2-2069</t>
  </si>
  <si>
    <t>Musah, Iddrissu</t>
  </si>
  <si>
    <t>W19-2-3067</t>
  </si>
  <si>
    <t>W19-2-3068</t>
  </si>
  <si>
    <t>W19-2-3069</t>
  </si>
  <si>
    <t>W20-2-1062</t>
  </si>
  <si>
    <t>Cristina, Isabel</t>
  </si>
  <si>
    <t>W20-2-1063</t>
  </si>
  <si>
    <t>Gonzalez, Oscar</t>
  </si>
  <si>
    <t>W20-2-1064</t>
  </si>
  <si>
    <t>Porcayo, Juan</t>
  </si>
  <si>
    <t>W20-2-2062</t>
  </si>
  <si>
    <t>W20-2-2063</t>
  </si>
  <si>
    <t>Nwitor, Oge</t>
  </si>
  <si>
    <t>W20-2-3062</t>
  </si>
  <si>
    <t>W20-2-3063</t>
  </si>
  <si>
    <t>Coker, Akinkunmi</t>
  </si>
  <si>
    <t>W20-2-3064</t>
  </si>
  <si>
    <t>Gyamfi, Daniel</t>
  </si>
  <si>
    <t>W20-2-3065</t>
  </si>
  <si>
    <t>Hield, Tiesha</t>
  </si>
  <si>
    <t>W22-2-1048</t>
  </si>
  <si>
    <t>Medina, Kevin</t>
  </si>
  <si>
    <t>W22-2-1049</t>
  </si>
  <si>
    <t>Juarez, Micaela</t>
  </si>
  <si>
    <t>W22-2-1051</t>
  </si>
  <si>
    <t>Collins, Angela</t>
  </si>
  <si>
    <t>W22-2-2051</t>
  </si>
  <si>
    <t>Igbalajobi, Lanre</t>
  </si>
  <si>
    <t>W03-1-0302</t>
  </si>
  <si>
    <t>Metu, Charles</t>
  </si>
  <si>
    <t>W03-1-0304</t>
  </si>
  <si>
    <t>Asemota, Donald</t>
  </si>
  <si>
    <t>W03-1-0305</t>
  </si>
  <si>
    <t>Esealuka, Arnold</t>
  </si>
  <si>
    <t>W03-1-0319</t>
  </si>
  <si>
    <t>Cardona, Sebastian</t>
  </si>
  <si>
    <t>W03-1-0320</t>
  </si>
  <si>
    <t>Chukwudi, Kelechi</t>
  </si>
  <si>
    <t>W03-1-0321</t>
  </si>
  <si>
    <t>Griffiths, Aloysius</t>
  </si>
  <si>
    <t>W03-1-0322</t>
  </si>
  <si>
    <t>Vargas, Ronaldo</t>
  </si>
  <si>
    <t>W03-1-0323</t>
  </si>
  <si>
    <t>Cole, Tiffany</t>
  </si>
  <si>
    <t>W12-1-1201</t>
  </si>
  <si>
    <t>Yulissa, Karen</t>
  </si>
  <si>
    <t>W12-1-1203</t>
  </si>
  <si>
    <t>Kenneth, Chukwuemeka</t>
  </si>
  <si>
    <t>W12-1-1204</t>
  </si>
  <si>
    <t>Murph, Mary</t>
  </si>
  <si>
    <t>W12-1-1205</t>
  </si>
  <si>
    <t>Fudge, Alicia</t>
  </si>
  <si>
    <t>W12-1-1219</t>
  </si>
  <si>
    <t>Tafoya, Maria</t>
  </si>
  <si>
    <t>W12-1-1222</t>
  </si>
  <si>
    <t>Adediji, Idris</t>
  </si>
  <si>
    <t>W12-1-1223</t>
  </si>
  <si>
    <t>Maciel, Griselda</t>
  </si>
  <si>
    <t>W14-1-1404</t>
  </si>
  <si>
    <t>Garcia, Marlet</t>
  </si>
  <si>
    <t>Olatunji, Atinuke</t>
  </si>
  <si>
    <t>W14-1-1406</t>
  </si>
  <si>
    <t>W14-1-1419</t>
  </si>
  <si>
    <t>Anyakpah, Afi</t>
  </si>
  <si>
    <t>W14-1-1420</t>
  </si>
  <si>
    <t>Jackson, Christopher</t>
  </si>
  <si>
    <t>W14-1-1421</t>
  </si>
  <si>
    <t>Miller, Orlando</t>
  </si>
  <si>
    <t>W14-1-1422</t>
  </si>
  <si>
    <t>Calderon, Sandra</t>
  </si>
  <si>
    <t>S30-121</t>
  </si>
  <si>
    <t>McGee, Kaitlin</t>
  </si>
  <si>
    <t>S30-122</t>
  </si>
  <si>
    <t>Medina, Yusmary</t>
  </si>
  <si>
    <t>S30-123</t>
  </si>
  <si>
    <t>Bwiza, Irebe</t>
  </si>
  <si>
    <t>S30-124</t>
  </si>
  <si>
    <t>Avila, Jason</t>
  </si>
  <si>
    <t>S30-222</t>
  </si>
  <si>
    <t>Poron, Josue</t>
  </si>
  <si>
    <t>S31-117</t>
  </si>
  <si>
    <t>Jackson, Rontarria</t>
  </si>
  <si>
    <t>S31-120</t>
  </si>
  <si>
    <t>Quinones, Raul</t>
  </si>
  <si>
    <t>S31-217</t>
  </si>
  <si>
    <t>Florencio, Camilo</t>
  </si>
  <si>
    <t>S31-218</t>
  </si>
  <si>
    <t>Gebreab, Pawlos</t>
  </si>
  <si>
    <t>S31-220</t>
  </si>
  <si>
    <t>Yetunde, Adewuyi</t>
  </si>
  <si>
    <t>S34-142</t>
  </si>
  <si>
    <t>S34-143</t>
  </si>
  <si>
    <t>Palomo, Jose</t>
  </si>
  <si>
    <t>S34-241</t>
  </si>
  <si>
    <t>Mohammed, Bekri</t>
  </si>
  <si>
    <t>S34-243</t>
  </si>
  <si>
    <t>Petrace, Jeremy</t>
  </si>
  <si>
    <t>S35-145</t>
  </si>
  <si>
    <t>Zapata, Deissy</t>
  </si>
  <si>
    <t>S35-146</t>
  </si>
  <si>
    <t>Moctezuma, Daisy</t>
  </si>
  <si>
    <t>Siman, Rodrigo</t>
  </si>
  <si>
    <t>S35-148</t>
  </si>
  <si>
    <t>Amerson, Leia</t>
  </si>
  <si>
    <t>S35-246</t>
  </si>
  <si>
    <t>Nwaobilor, Magnus</t>
  </si>
  <si>
    <t>S35-248</t>
  </si>
  <si>
    <t>Vega, Luis</t>
  </si>
  <si>
    <t>N04-1023</t>
  </si>
  <si>
    <t>Tabora, Heidy</t>
  </si>
  <si>
    <t>N04-1024</t>
  </si>
  <si>
    <t>Carrizalez, Christopher</t>
  </si>
  <si>
    <t>N04-1025</t>
  </si>
  <si>
    <t>Jimenez, Marisol</t>
  </si>
  <si>
    <t>N04-2022</t>
  </si>
  <si>
    <t>Baham, Tawanda</t>
  </si>
  <si>
    <t>N04-2023</t>
  </si>
  <si>
    <t>Gomez, Catalina</t>
  </si>
  <si>
    <t>N04-2024</t>
  </si>
  <si>
    <t>Medellin-Tapia, Jose</t>
  </si>
  <si>
    <t>N04-2025</t>
  </si>
  <si>
    <t>N05-1026</t>
  </si>
  <si>
    <t>Nuno, Yosselin</t>
  </si>
  <si>
    <t>N05-2026</t>
  </si>
  <si>
    <t>Popoola, Fatima</t>
  </si>
  <si>
    <t>N05-2027</t>
  </si>
  <si>
    <t>Bustos, Peter</t>
  </si>
  <si>
    <t>N08-1032</t>
  </si>
  <si>
    <t>Delgado, Rogelio</t>
  </si>
  <si>
    <t>N08-1033</t>
  </si>
  <si>
    <t>Lule, Gabriel</t>
  </si>
  <si>
    <t>N08-2032</t>
  </si>
  <si>
    <t>Rodriguez, Marquin</t>
  </si>
  <si>
    <t>N16-1070</t>
  </si>
  <si>
    <t>Maradiaga, Tania</t>
  </si>
  <si>
    <t>N16-1071</t>
  </si>
  <si>
    <t>Planas, Danis</t>
  </si>
  <si>
    <t>N17-1072</t>
  </si>
  <si>
    <t>Amayo, Jorge</t>
  </si>
  <si>
    <t>N17-1073</t>
  </si>
  <si>
    <t>Boscan, Jim</t>
  </si>
  <si>
    <t>N17-1075</t>
  </si>
  <si>
    <t>Reyes-Hill, Dilia</t>
  </si>
  <si>
    <t>N17-2072</t>
  </si>
  <si>
    <t>Martinez, Miriam</t>
  </si>
  <si>
    <t>N17-2074</t>
  </si>
  <si>
    <t>Lane, Yvette</t>
  </si>
  <si>
    <t>N17-2075</t>
  </si>
  <si>
    <t>Bradshaw, Charmaine</t>
  </si>
  <si>
    <t>N18-1084</t>
  </si>
  <si>
    <t>Portillo, Gerardo</t>
  </si>
  <si>
    <t>N18-1087</t>
  </si>
  <si>
    <t>Alvarez, Nixon</t>
  </si>
  <si>
    <t>N18-2085</t>
  </si>
  <si>
    <t>Mbiru, Kimani</t>
  </si>
  <si>
    <t>N18-2087</t>
  </si>
  <si>
    <t>Ortega, Maria</t>
  </si>
  <si>
    <t>Mayorga, Nancy</t>
  </si>
  <si>
    <t>N22-1097</t>
  </si>
  <si>
    <t>Cavazos, Jonathan</t>
  </si>
  <si>
    <t>N22-2096</t>
  </si>
  <si>
    <t>Rashidi, Talasia</t>
  </si>
  <si>
    <t>N23-1098</t>
  </si>
  <si>
    <t>Malacara, Maria</t>
  </si>
  <si>
    <t>N23-1099</t>
  </si>
  <si>
    <t>Fajardo, Yeymi</t>
  </si>
  <si>
    <t>N23-2098</t>
  </si>
  <si>
    <t>Chukwudire, Oluchi</t>
  </si>
  <si>
    <t>N23-2099</t>
  </si>
  <si>
    <t>Okolo, Obinna</t>
  </si>
  <si>
    <t>N24-1100</t>
  </si>
  <si>
    <t>Le, Hue</t>
  </si>
  <si>
    <t>N24-2100</t>
  </si>
  <si>
    <t>Hernández, Alfonso</t>
  </si>
  <si>
    <t>N24-2101</t>
  </si>
  <si>
    <t>Reynoso-Guzman, Luis</t>
  </si>
  <si>
    <t>N25-1102</t>
  </si>
  <si>
    <t>Eliuth, Gerson</t>
  </si>
  <si>
    <t>N26-1105</t>
  </si>
  <si>
    <t>W17-2-1076</t>
  </si>
  <si>
    <t>Santibanez, Nallely</t>
  </si>
  <si>
    <t>W17-2-1077</t>
  </si>
  <si>
    <t>Ordaz, Moises</t>
  </si>
  <si>
    <t>W17-2-2074</t>
  </si>
  <si>
    <t>Atinmo, Juliet</t>
  </si>
  <si>
    <t>W17-2-2077</t>
  </si>
  <si>
    <t>Okoh, Olufunke</t>
  </si>
  <si>
    <t>W17-2-2078</t>
  </si>
  <si>
    <t>Onye, Loveth</t>
  </si>
  <si>
    <t>W17-2-2080</t>
  </si>
  <si>
    <t>Celis, Belen</t>
  </si>
  <si>
    <t>W28-2-1021</t>
  </si>
  <si>
    <t>W28-2-1022</t>
  </si>
  <si>
    <t>Hocky, Ebagua</t>
  </si>
  <si>
    <t>W28-2-1023</t>
  </si>
  <si>
    <t>Molina, Melvin</t>
  </si>
  <si>
    <t>W28-2-2021</t>
  </si>
  <si>
    <t>W28-2-2023</t>
  </si>
  <si>
    <t>MGBAKOR-OBIORA, UCHENNA</t>
  </si>
  <si>
    <t>S32-425</t>
  </si>
  <si>
    <t>Alagbe, Adebukola</t>
  </si>
  <si>
    <t>S32-427</t>
  </si>
  <si>
    <t>Cheong, Kameng</t>
  </si>
  <si>
    <t>S32-428</t>
  </si>
  <si>
    <t>Gebremariam, Robiel</t>
  </si>
  <si>
    <t>S32-429</t>
  </si>
  <si>
    <t>Mexicano, Gillermo</t>
  </si>
  <si>
    <t>S32-432</t>
  </si>
  <si>
    <t>Olaniran, Oluwafikaunyomi</t>
  </si>
  <si>
    <t>S36-434</t>
  </si>
  <si>
    <t>Sanchez, Angelica</t>
  </si>
  <si>
    <t>S36-435</t>
  </si>
  <si>
    <t>Rodriguez, Carlos</t>
  </si>
  <si>
    <t>Wilcox, Heidi</t>
  </si>
  <si>
    <t>W18-2-1072</t>
  </si>
  <si>
    <t>Bauer, Jack</t>
  </si>
  <si>
    <t>W18-2-2073</t>
  </si>
  <si>
    <t>Woods, Bridget</t>
  </si>
  <si>
    <t>Asad, Naureen</t>
  </si>
  <si>
    <t>W26-2-1014</t>
  </si>
  <si>
    <t>Gali, Emmanuel</t>
  </si>
  <si>
    <t>W26-2-1015</t>
  </si>
  <si>
    <t>Portillo, Wendy</t>
  </si>
  <si>
    <t>W26-2-2013</t>
  </si>
  <si>
    <t>Romaine, Stella</t>
  </si>
  <si>
    <t>W26-2-2014</t>
  </si>
  <si>
    <t>Couron, Haylee</t>
  </si>
  <si>
    <t>W26-2-2016</t>
  </si>
  <si>
    <t>Ladejobi, Oluranti</t>
  </si>
  <si>
    <t>S39-157</t>
  </si>
  <si>
    <t>Bacho, Alma</t>
  </si>
  <si>
    <t>S41-163</t>
  </si>
  <si>
    <t>Moran, Judith</t>
  </si>
  <si>
    <t>S41-165</t>
  </si>
  <si>
    <t>Torres, Saul</t>
  </si>
  <si>
    <t>S41-167</t>
  </si>
  <si>
    <t>Montoya, Erika</t>
  </si>
  <si>
    <t>S41-264</t>
  </si>
  <si>
    <t>Garcia, Karin</t>
  </si>
  <si>
    <t>S41-266</t>
  </si>
  <si>
    <t>Esquivel, Inocencia</t>
  </si>
  <si>
    <t>S41-268</t>
  </si>
  <si>
    <t>Lemae, Rhianna</t>
  </si>
  <si>
    <t>S42-171</t>
  </si>
  <si>
    <t>S42-173</t>
  </si>
  <si>
    <t>Nunez, Eduar</t>
  </si>
  <si>
    <t>Torres, Karina</t>
  </si>
  <si>
    <t>S42-274</t>
  </si>
  <si>
    <t>Barahona, Karla</t>
  </si>
  <si>
    <t>Notice Given</t>
  </si>
  <si>
    <t>Lease End Date</t>
  </si>
  <si>
    <t>Early Termination</t>
  </si>
  <si>
    <t>Scheduled Rent</t>
  </si>
  <si>
    <t>Yousufi, Farzana</t>
  </si>
  <si>
    <t>Moving Out of Area</t>
  </si>
  <si>
    <t>Failure To Pay</t>
  </si>
  <si>
    <t>Skipped During Eviction</t>
  </si>
  <si>
    <t>Pacheco, Daylin</t>
  </si>
  <si>
    <t>Rented House</t>
  </si>
  <si>
    <t>Rodriguez, Rocio</t>
  </si>
  <si>
    <t>Job Transfer / Lost Job</t>
  </si>
  <si>
    <t>Maintenance Issue in Unit</t>
  </si>
  <si>
    <t>Relationship / Marital Change</t>
  </si>
  <si>
    <t>Villalba, Juan</t>
  </si>
  <si>
    <t>Moving out of state</t>
  </si>
  <si>
    <t>Khurramy, Khatira</t>
  </si>
  <si>
    <t>Need Larger Apartment</t>
  </si>
  <si>
    <t>Shrestha, Bijay</t>
  </si>
  <si>
    <t>Rental Increase</t>
  </si>
  <si>
    <t>Nene, Aki</t>
  </si>
  <si>
    <t>Too Far From Work</t>
  </si>
  <si>
    <t>Nwosu, Michael</t>
  </si>
  <si>
    <t>Unhappy w/ Neighbors</t>
  </si>
  <si>
    <t>Transfer On-Site</t>
  </si>
  <si>
    <t>Financial Difficulties</t>
  </si>
  <si>
    <t>Sunday, Akinola</t>
  </si>
  <si>
    <t>Hercules, Jonathan</t>
  </si>
  <si>
    <t>Chavez, Jessica</t>
  </si>
  <si>
    <t>irabor, Sylvester</t>
  </si>
  <si>
    <t>NTV sent on 4/8; Eivction filed 4/20; penidng court date</t>
  </si>
  <si>
    <t>User received request from Avery to move current eviction-in-process residents (not yet moved out) to the Current Residents section of Delinquency_Detail_3, and keep only actual past evictions in the Former section.</t>
  </si>
  <si>
    <t>Analyzed Delinquency_Detail_3, Evictions_RSI, Eviction_Success_Rate, and Nationwide_JP3-1 to identify 5 residents with Status=Eviction and no move-out date.</t>
  </si>
  <si>
    <t>Identified Sanders, Harris (Mahogany), Fridia, Hishaw, and Meraz as eviction-in-process with no move-out date. Total balance ~$95,702. Presented list for user to confirm with Avery before making changes.</t>
  </si>
  <si>
    <t>Awaiting user/Avery confirmation before moving residents between sections.</t>
  </si>
  <si>
    <t>User asked for just the names/units of the 5 eviction-in-process residents to share with Avery for confirmation.</t>
  </si>
  <si>
    <t>Provided concise name/unit list: Sanders (W06-1-0605), Harris (W12-1-1202), Fridia (W24-2-2039), Hishaw (W11-1-1105), Meraz (W07-1-0707).</t>
  </si>
  <si>
    <t>These 5 have Status=Eviction with no move-out date in Delinquency_Detail_3.</t>
  </si>
  <si>
    <t>Awaiting Avery's confirmation before restructuring the tab.</t>
  </si>
  <si>
    <t>EMMANUEL, NNADI</t>
  </si>
  <si>
    <t>User updated RR_Unit_Details and asked to re-check the 5 eviction-in-process residents.</t>
  </si>
  <si>
    <t>Re-verified all 5 units in updated rent roll — all show 'Occupied No Notice' confirming they are still current residents.</t>
  </si>
  <si>
    <t>Sanders (W06-1-0605, $33,854 bal), Harris (W12-1-1202, $31,617), Fridia (W24-2-2039, $17,069), Hishaw (W11-1-1105, $10,267), Meraz (W07-1-0707, $3,926). All confirmed occupied.</t>
  </si>
  <si>
    <t>List remains valid. Still awaiting Avery's confirmation before restructuring Delinquency_Detail_3.</t>
  </si>
  <si>
    <t>Going to resend NTV due to name not matching on the NTV and lease</t>
  </si>
  <si>
    <t>NTV sent on 4/8; Eivction being proccessed 4/20</t>
  </si>
  <si>
    <t>Pending SCRA regeneration</t>
  </si>
  <si>
    <t xml:space="preserve">pending lease lock </t>
  </si>
  <si>
    <t>still pending lease lock</t>
  </si>
  <si>
    <t>Avery added 6 more residents to move to Currents: Simpson (W20-2-2065), Taylor (W19-2-2067), Allen (W14-1-1416), Cooks (S26-414), Sparks (W05-1-0516), Jackson (N03-1016). User asked to verify.</t>
  </si>
  <si>
    <t>Cross-referenced all 6 against updated RR_Unit_Details. All show Occupied No Notice (Jackson is Notice Unrented). Delinq tab move-out dates are lease-end dates from formula, not actual move-outs.</t>
  </si>
  <si>
    <t>All 6 confirmed still living at property per rent roll. Combined with original 5, total of 11 residents to move from Former to Current section. Simpson is on Moved Out Override list but still occupied.</t>
  </si>
  <si>
    <t>Presented findings. Awaiting final confirmation to proceed with moving all 11 residents.</t>
  </si>
  <si>
    <t>CURRENT OVERRIDE</t>
  </si>
  <si>
    <t>(Eviction-in-process residents to show in Current section)</t>
  </si>
  <si>
    <t>User confirmed to proceed. Moved 11 eviction-in-process residents from Former to Current section in Delinquency_Detail_3 per Avery's request.</t>
  </si>
  <si>
    <t>Created 'Current Override' list in col P (P1:P13). Modified Former formula (A13) to exclude P3:P20 names, modified Current formula (A148) to include them. Updated total count formulas. Inserted 3 rows (188-190) to fit all 43 current accounts. Removed Simpson from Moved Out Override (col N).</t>
  </si>
  <si>
    <t>11 residents moved: Sanders, Harris(Mahogany), Fridia, Hishaw, Meraz, Simpson, Taylor, Allen, Cooks, Sparks, Jackson. Former: 132→121 accts ($529,866). Current: 32→43 accts ($277,125). Zero formula errors.</t>
  </si>
  <si>
    <t>Complete. Both sections dynamically driven by override lists. To add/remove future overrides, edit col P (Current Override) or col N (Moved Out Override).</t>
  </si>
  <si>
    <t>User reported possible lost comments and empty rows in Delinquency_Detail_3 after reclassification.</t>
  </si>
  <si>
    <t>Verified no comments were lost (K/L columns were originally empty for all 11 in Former section, CAF Notes carried over in Current). Deleted 9 empty formula rows (134-142) in Former section, shifted up. Fixed Current section formula offset (ROW()-147 → ROW()-138) broken by row deletion. Updated total row SUM ranges.</t>
  </si>
  <si>
    <t>Former: rows 13-133 data + row 134 total (121 accts). Current: rows 139-181 data + row 182 total (43 accts). Zero empty rows, zero formula errors.</t>
  </si>
  <si>
    <t>Complete. Both sections clean with no empty rows or missing comments.</t>
  </si>
  <si>
    <t>User asked to verify summary section accuracy and column totals for each section.</t>
  </si>
  <si>
    <t>Cross-checked all summary metrics and section totals against resident aged receivable source data using independent calculation. Every number matches exactly.</t>
  </si>
  <si>
    <t>Summary: Total Delinq $810,269 (193 accts), Evictions 19 ($189,055), Skips 51 ($317,056), Pending Eviction $76,690, Current Delinq $110,493, 0-30 $144,773, 31-60 $148,400. Former: 121 accts $529,866. Current: 43 accts $277,125. Note: 'Current Delinq $' does NOT include the 11 eviction-in-process ($160K) since their source status is 'Current - Eviction' — they appear in Eviction Exposure instead. Summary formulas pull from source statuses, not section placement.</t>
  </si>
  <si>
    <t>All verified accurate. No changes needed.</t>
  </si>
  <si>
    <t>2026-01</t>
  </si>
  <si>
    <t>2026-02</t>
  </si>
  <si>
    <t>Ledger;Eviction Documentation</t>
  </si>
  <si>
    <t>2025-12</t>
  </si>
  <si>
    <t>26-113698</t>
  </si>
  <si>
    <t>Damage Photos</t>
  </si>
  <si>
    <t>26-112452</t>
  </si>
  <si>
    <t>Ledger</t>
  </si>
  <si>
    <t>26-113718</t>
  </si>
  <si>
    <t>Teresa Williams</t>
  </si>
  <si>
    <t>26-113699</t>
  </si>
  <si>
    <t>Alejandro Salazar Lopez,Lisa Davila</t>
  </si>
  <si>
    <t>26-113716</t>
  </si>
  <si>
    <t>Danny Enrique,SUGEILY NIEVES,EDGAR ESTRADA BARRERA</t>
  </si>
  <si>
    <t>26-114252</t>
  </si>
  <si>
    <t>Karen Yazmin,FRANCIS PONCE</t>
  </si>
  <si>
    <t>26-113725</t>
  </si>
  <si>
    <t>Sergio Magarin,Lesly Gonzales,Iker Magarin,Valeria Magarin,LILIANA DIAZ</t>
  </si>
  <si>
    <t>26-113689</t>
  </si>
  <si>
    <t>26-113713</t>
  </si>
  <si>
    <t>Ahmed Elhakim</t>
  </si>
  <si>
    <t>26-109489</t>
  </si>
  <si>
    <t>Oscar Isidro</t>
  </si>
  <si>
    <t>26-112974</t>
  </si>
  <si>
    <t>Keiry Palomino,Brandon Ortega</t>
  </si>
  <si>
    <t>26-112955</t>
  </si>
  <si>
    <t>Amanda Dominguez</t>
  </si>
  <si>
    <t>26-112956</t>
  </si>
  <si>
    <t>Raul Nunez,VIVIANA MELELNDEZ</t>
  </si>
  <si>
    <t>User uploaded 2 new LeaseLock CSVs (claims + payments). Asked to update LeaseLock tab with latest data.</t>
  </si>
  <si>
    <t>Updated 21 existing claims (rows 101-122) with latest status/payment data. Added 9 new claims (rows 123-131). Added 4 payment-only claims (rows 132-135) with partial data. Formatted all new rows.</t>
  </si>
  <si>
    <t>New claims: 26-113698 through 26-113713. Payment-only: 26-109489, 26-112974, 26-112955, 26-112956. Denied: Williams(S28-104), Enrique(W12-1-1206). Action required: Raudales(N13-1055), Murphy(N03-2020). Perez(S35-245) still Open.</t>
  </si>
  <si>
    <t>LeaseLock now has 134 data rows (135 total with header). 4 payment-only rows have incomplete data — need manual fill when full claim info available.</t>
  </si>
  <si>
    <t>Collection/Leaselock Notes</t>
  </si>
  <si>
    <t>lease lock claim deined; wrote off $16,032.72, ready to send to collections</t>
  </si>
  <si>
    <t>lease lock claim deined; wrote off $15,609.70, ready to send to collections</t>
  </si>
  <si>
    <t>lease lock claim deined; wrote off $8,747.05, ready to send to collections</t>
  </si>
  <si>
    <t>lease lock claim deined; wrote off $8,454.99, ready to send to collections</t>
  </si>
  <si>
    <t>Lease lock payment of $1,000; new amount written off $8,591.79, ready to send to collections</t>
  </si>
  <si>
    <t>lease lock claim deined; wrote off $7,231.73, ready to send to collections</t>
  </si>
  <si>
    <t>lease lock claim deined; wrote off $7,151.47, ready to be sent to collections</t>
  </si>
  <si>
    <t>lease lock payment of $750; new amount written off $6,575.67, ready to be sent to collection</t>
  </si>
  <si>
    <t>lease lock payment $750; new amount written off $6,044.45, ready to be sent to collections</t>
  </si>
  <si>
    <t>lease lock payment $750; wrote off and ready for collections</t>
  </si>
  <si>
    <t>not in lease; wrote off $4,729.51, ready to be sent to collections</t>
  </si>
  <si>
    <t>lease lock payment of $602.71; wrote off, and ready for collections</t>
  </si>
  <si>
    <t>claim deined; wrote off $1,7991.90, ready for collections</t>
  </si>
  <si>
    <t>claim deined; wrote off $1,334.92</t>
  </si>
  <si>
    <t>claim deined; wrote off $1,178.92 and ready for collections</t>
  </si>
  <si>
    <t>lease lock payment $750; wrote off the remaining, and ready for collections</t>
  </si>
  <si>
    <t>claim deined; wrote off amount $604.02, ready for collections</t>
  </si>
  <si>
    <t>lease lock payment of $522.58; wrote off remaining amount and ready for collections</t>
  </si>
  <si>
    <t>lease lock payment $85; wrote off remaining amount and ready for collections</t>
  </si>
  <si>
    <t>not in lease lock; wrote off $269.18 and ready for collections</t>
  </si>
  <si>
    <t>not in leaselock; wrote off $236.19 and ready for collections</t>
  </si>
  <si>
    <t>no claim; wrote off $179.55, ready for collections</t>
  </si>
  <si>
    <t>Resident paid; Resident paid</t>
  </si>
  <si>
    <t>User asked to auto-populate column K with LeaseLock statuses, and move existing manual K comments to L without losing L content.</t>
  </si>
  <si>
    <t>Merged existing K values into L (prepended to existing L content with semicolon separator). Replaced K with LOOKUP formulas matching unit (col B) to LeaseLock!D, pulling Status+Substatus+TotalPaid. Extended range to $D$2:$D$500 for future growth.</t>
  </si>
  <si>
    <t>Formula: LOOKUP(2,1/(LeaseLock!D=unit),...) for last-match behavior. Output: 'Closed - $750 paid', 'Claim Denied (reason)', 'Open - substatus'. 31 Former and 3 Current residents matched. Zero formula errors.</t>
  </si>
  <si>
    <t>Complete. Column K auto-updates when LeaseLock tab is refreshed weekly. Manual notes preserved in column L.</t>
  </si>
  <si>
    <t>User asked: (1) Are LeaseLock claims on current tenants correct? (2) Make K red, L black. (3) Lock column K from edits.</t>
  </si>
  <si>
    <t>Found 3 false positives in Current section (Shead, Burton, Villanueva) — claims were for prior tenants in same unit. Updated K formula to match by unit AND tenant last name using SEARCH(LEFT(C,FIND(',',C)-1), LeaseLock!C). Set K font red, L font black. Locked K cells and protected sheet (all other columns unlocked).</t>
  </si>
  <si>
    <t>Formula now uses SUMPRODUCT((unit match)*(name SEARCH)) &gt; 0 as a gate, then LOOKUP with both conditions. 31 Former matches, 0 Current matches (correct). Protection allows insert/delete rows, sort, filter, format.</t>
  </si>
  <si>
    <t>Complete. False positives eliminated. K formatted red and protected. L formatted black and editable.</t>
  </si>
  <si>
    <t>LEASELOCK SUMMARY</t>
  </si>
  <si>
    <t>Recovery Rate</t>
  </si>
  <si>
    <t>Claims Filed</t>
  </si>
  <si>
    <t>Claims Denied</t>
  </si>
  <si>
    <t>Net Loss</t>
  </si>
  <si>
    <t>User asked to add LeaseLock summary section with paid to date, paid vs loss, pending claims, denial %, etc.</t>
  </si>
  <si>
    <t>Added LEASELOCK SUMMARY block at J4:M9 with 10 formula-driven metrics. Unprotected sheet, wrote formulas referencing LeaseLock!L/M/F columns, re-protected with K locked.</t>
  </si>
  <si>
    <t>Metrics: Total Claimed ($385K), Total Paid ($71K), Recovery Rate (18.4%), Claims Filed (134), Claims Denied (13), Net Loss ($314K), Pending Claims (2), Pending $ ($7K), Denial Rate (9.7%), Avg Recovery/Claim ($530). All formulas auto-update.</t>
  </si>
  <si>
    <t>Complete. Summary section matches existing formatting style. Sheet re-protected.</t>
  </si>
  <si>
    <t>Avg Recovery</t>
  </si>
  <si>
    <t>User asked why only 2 pending claims but many former residents have no LeaseLock comment in column K.</t>
  </si>
  <si>
    <t>Analyzed all 121 former residents. Found 87 with no LeaseLock claim filed (blank K column). Only 30 have matching claims. Broke down by status: 36 Skips ($204K), 6 Evictions ($57K), 45 Former ($49K). Total unclaimed exposure: $310K.</t>
  </si>
  <si>
    <t>The '2 pending claims' is correct (only 2 Open status in LeaseLock). The real issue is claims were never filed for 87 residents. High-value unfiled: Alexander ($15.5K), Brown ($13.8K), Miller ($13.4K), Diaz ($12.7K).</t>
  </si>
  <si>
    <t>Flagged for user to raise with Avery — potential filing gap. Some may still be within filing deadline.</t>
  </si>
  <si>
    <t>Open Claims</t>
  </si>
  <si>
    <t>Unfiled Claims</t>
  </si>
  <si>
    <t>User reported formula inconsistency errors and row 14 overlapping older data. Asked to add row and label for the $139K Total Pending $.</t>
  </si>
  <si>
    <t>Inserted row 14 to separate LeaseLock summary from section header. Moved Total Pending $ and Avg Recovery to row 14. Cleared stale TEXTJOIN formulas from K138 (Former total) and K186 (Current total) which caused green triangle warnings. Re-protected sheet.</t>
  </si>
  <si>
    <t>Summary layout: D11:E11=Open Claims (2), D12:E12=Unfiled Claims (87), D13:E13=Unfiled Potential $ ($130,500), D14:E14=Total Pending $ ($137,611). G14:H14=Avg Recovery ($530). Row 15=EVICTIONS &amp; FORMER section header.</t>
  </si>
  <si>
    <t>Fixed. Green triangle warnings should clear. Former total now shows 122 accounts (was 121), Current shows 42 (was 43) — may need investigation if row insert shifted count formulas.</t>
  </si>
  <si>
    <t>Est. Recovery (unfiled)</t>
  </si>
  <si>
    <t>Est. Recovery (total)</t>
  </si>
  <si>
    <t>User asked to remove rows 196-221, empty rows, and clarify confusing Total Pending vs Unfiled Potential labels.</t>
  </si>
  <si>
    <t>Deleted rows 196-219 (residual payment data), 3 empty formula rows (135-137), and 1 extra spacer. Renamed labels: 'Unfiled Potential $' → 'Est. Recovery (unfiled)', 'Total Pending $' → 'Est. Recovery (total)'. Fixed P column override list gaps (row insert had shifted P10-P13). Added formula for 43rd current resident. Updated SUM ranges.</t>
  </si>
  <si>
    <t>Layout now: row 134=last Former data, row 135=Former total (121 accts), row 136=spacer, row 137=CURRENT header, row 138=col headers, rows 139-181=data (43 accts), row 182=Current total. Summary: 86 unfiled ($129K est), 2 open, $136K total est recovery. Re-protected sheet.</t>
  </si>
  <si>
    <t>Complete. Clean layout, correct counts, clear labels.</t>
  </si>
  <si>
    <t>User asked to verify all LeaseLock claims are matched to Former residents in column K.</t>
  </si>
  <si>
    <t>Cross-referenced all 134 LeaseLock claims to 117 Former residents. Formula working correctly. Found 4 abbreviated unit numbers in LeaseLock from payment-only CSV import. Fixed unit codes.</t>
  </si>
  <si>
    <t>Fixed: 150 to S37-150 (Isidro), 69065 to W15-2-2089 (Palomino), 1080 to N19-1080 (Dominguez), 119 to S31-119 (Nunez). Real matches: 30 to 34.</t>
  </si>
  <si>
    <t>Verified. All real LeaseLock claims correctly flagged.</t>
  </si>
  <si>
    <t>User caught that summary formulas in E12-E14 started at row 18 instead of row 17, missing Alexander, Leaujodon.</t>
  </si>
  <si>
    <t>Fixed E12, E13, E14 formulas to scan B17:B134 (full Former section) instead of B18:B135.</t>
  </si>
  <si>
    <t>Counts updated: Unfiled Claims 82 to 83, Est. Recovery (unfiled) $123K to $124.5K, Est. Recovery (total) $130K to $131.6K.</t>
  </si>
  <si>
    <t>Fixed.</t>
  </si>
  <si>
    <t>Abdellatif, Mohamed</t>
  </si>
  <si>
    <t>Acosta, Daniela</t>
  </si>
  <si>
    <t>Adame, Kevin</t>
  </si>
  <si>
    <t>Aguilar, Athalia</t>
  </si>
  <si>
    <t>Aguilar, Meleanie</t>
  </si>
  <si>
    <t>Ahmed, Afsana Jalil</t>
  </si>
  <si>
    <t>Ahmed, Ebrahim</t>
  </si>
  <si>
    <t>Aka shah, Ahmad shah</t>
  </si>
  <si>
    <t>Hernandez, Justin</t>
  </si>
  <si>
    <t>Alabudy, Nadeen</t>
  </si>
  <si>
    <t>Alazmi, Faisal</t>
  </si>
  <si>
    <t>alba, victor</t>
  </si>
  <si>
    <t>Alejo, April</t>
  </si>
  <si>
    <t>Alexander, Brianna</t>
  </si>
  <si>
    <t>Ali, Saad</t>
  </si>
  <si>
    <t>Amaki Singh, Mitch</t>
  </si>
  <si>
    <t>Aman, Abdulsemed</t>
  </si>
  <si>
    <t>Angel, Esmeralda</t>
  </si>
  <si>
    <t>Araque, Victor</t>
  </si>
  <si>
    <t>archaga, brittany</t>
  </si>
  <si>
    <t>Arias, Luis</t>
  </si>
  <si>
    <t>Armstrong, Adonis</t>
  </si>
  <si>
    <t>Arvizu, Jonathan</t>
  </si>
  <si>
    <t>Ashley, Ashley</t>
  </si>
  <si>
    <t>Aw, Tai Wei</t>
  </si>
  <si>
    <t>Ayotte, Hilda</t>
  </si>
  <si>
    <t>Babs, Yemi</t>
  </si>
  <si>
    <t>Baca, Rashelle</t>
  </si>
  <si>
    <t>Barbosa, Carolina</t>
  </si>
  <si>
    <t>Barensprung, Desiree</t>
  </si>
  <si>
    <t>Barton, Tatum</t>
  </si>
  <si>
    <t>Baskin, Sarah</t>
  </si>
  <si>
    <t>Basnet, Arnika</t>
  </si>
  <si>
    <t>Batta, Abhi</t>
  </si>
  <si>
    <t>Bayliss, Aly</t>
  </si>
  <si>
    <t>Benavides, Abigail</t>
  </si>
  <si>
    <t>Benefield, Darius</t>
  </si>
  <si>
    <t>Bennette, Leader</t>
  </si>
  <si>
    <t>Bernabe, Matilde</t>
  </si>
  <si>
    <t>Betts, Keyunte</t>
  </si>
  <si>
    <t>Birguz, Aurimar</t>
  </si>
  <si>
    <t>Bocanegra Bustamante, Alberto</t>
  </si>
  <si>
    <t>Brandt, Coby</t>
  </si>
  <si>
    <t>Brinson, Jakesecia</t>
  </si>
  <si>
    <t>Briscoe, Tayee</t>
  </si>
  <si>
    <t>Broadnax, Ashauna</t>
  </si>
  <si>
    <t>Brown, Aubrey</t>
  </si>
  <si>
    <t>Brown, Quinlynn</t>
  </si>
  <si>
    <t>Brown, Shamee</t>
  </si>
  <si>
    <t>Brown, Takyria</t>
  </si>
  <si>
    <t>Brumfield, Rodney</t>
  </si>
  <si>
    <t>Bryant, Renee</t>
  </si>
  <si>
    <t>Buckner, Laurette</t>
  </si>
  <si>
    <t>Burns, Brittany</t>
  </si>
  <si>
    <t>Burton, Keneisha</t>
  </si>
  <si>
    <t>Bush, Kasyia</t>
  </si>
  <si>
    <t>Butler, Aiden</t>
  </si>
  <si>
    <t>Byrom, Caress</t>
  </si>
  <si>
    <t>Cambell, Chavon</t>
  </si>
  <si>
    <t>campbell, Brynnan</t>
  </si>
  <si>
    <t>Campbell, Mariah</t>
  </si>
  <si>
    <t>Canado, Alvaro</t>
  </si>
  <si>
    <t>Canizalez, Jacquelyn</t>
  </si>
  <si>
    <t>C, Ar</t>
  </si>
  <si>
    <t>Carney, Dashayrani</t>
  </si>
  <si>
    <t>Carrillo, Georgina</t>
  </si>
  <si>
    <t>Carter, Tyshanna</t>
  </si>
  <si>
    <t>Castillo, Isaac</t>
  </si>
  <si>
    <t>Castillo, Katie</t>
  </si>
  <si>
    <t>Catalan, Irlanda</t>
  </si>
  <si>
    <t>Catalan, Jexzamani</t>
  </si>
  <si>
    <t>Chambers, Antony</t>
  </si>
  <si>
    <t>Chavez, Joe</t>
  </si>
  <si>
    <t>Chinenye, Eriri</t>
  </si>
  <si>
    <t>Chow, Alyse</t>
  </si>
  <si>
    <t>Cisneros, Jessica</t>
  </si>
  <si>
    <t>Cisse, Ali</t>
  </si>
  <si>
    <t>Clark, Erica</t>
  </si>
  <si>
    <t>Clark, Lashun</t>
  </si>
  <si>
    <t>Clay, Lisa</t>
  </si>
  <si>
    <t>ApartmentRatings</t>
  </si>
  <si>
    <t>Coleman, Elnora</t>
  </si>
  <si>
    <t>Collins, Deja</t>
  </si>
  <si>
    <t>Cook, Kadajah</t>
  </si>
  <si>
    <t>Corona, Jose</t>
  </si>
  <si>
    <t>Cosby, Monica</t>
  </si>
  <si>
    <t>Cunningham, John</t>
  </si>
  <si>
    <t>Darfour, Lnya</t>
  </si>
  <si>
    <t>Davaakhuu, Munkhzul</t>
  </si>
  <si>
    <t>Davis, Henry</t>
  </si>
  <si>
    <t>Davis, Veronica</t>
  </si>
  <si>
    <t>Demar, Tierra</t>
  </si>
  <si>
    <t>Dotson, Jasmine</t>
  </si>
  <si>
    <t>Drake, Kerri</t>
  </si>
  <si>
    <t>Dudley, Malcolm</t>
  </si>
  <si>
    <t>Duncan, Jronquae</t>
  </si>
  <si>
    <t>eddie, Brandon</t>
  </si>
  <si>
    <t>Edwards, Breanna</t>
  </si>
  <si>
    <t>Edwards, Kamilah</t>
  </si>
  <si>
    <t>Ellston, Savannah</t>
  </si>
  <si>
    <t>Elmore, Ceriah</t>
  </si>
  <si>
    <t>Epinayu, Rosa</t>
  </si>
  <si>
    <t>Erwin, Krissy</t>
  </si>
  <si>
    <t>Escobar, Norma</t>
  </si>
  <si>
    <t>Espinoza, Marcel</t>
  </si>
  <si>
    <t>Espinoza, Pamela</t>
  </si>
  <si>
    <t>Evans, Floyd</t>
  </si>
  <si>
    <t>Fernandez, Marialuisa</t>
  </si>
  <si>
    <t>Finecy, Ellie</t>
  </si>
  <si>
    <t>Finley, Kelsey</t>
  </si>
  <si>
    <t>Flowers, Marquez</t>
  </si>
  <si>
    <t>Fotso, Nadege</t>
  </si>
  <si>
    <t>Francis, Tori</t>
  </si>
  <si>
    <t>Franklin, Kayla</t>
  </si>
  <si>
    <t>Franklin, Sapphiria</t>
  </si>
  <si>
    <t>Fudge, Willi</t>
  </si>
  <si>
    <t>Gaddis, Taylor</t>
  </si>
  <si>
    <t>Gall, Allison</t>
  </si>
  <si>
    <t>Gallardo Terrones, Noelia</t>
  </si>
  <si>
    <t>Garcia, Matthew</t>
  </si>
  <si>
    <t>Garcia, Yazmin</t>
  </si>
  <si>
    <t>Gbala, Triniti</t>
  </si>
  <si>
    <t>GilesAVATest, Amanda</t>
  </si>
  <si>
    <t>Goble, Brianna</t>
  </si>
  <si>
    <t>Golden, Enesha</t>
  </si>
  <si>
    <t>Gonzalez, Victor</t>
  </si>
  <si>
    <t>Good, Jubin</t>
  </si>
  <si>
    <t>Gordon, Rae</t>
  </si>
  <si>
    <t>Graymoor, Lisa</t>
  </si>
  <si>
    <t>Grayson, Tyrec</t>
  </si>
  <si>
    <t>Greene, Hailee</t>
  </si>
  <si>
    <t>Greer, Lexis</t>
  </si>
  <si>
    <t>Guinyard, Dejone</t>
  </si>
  <si>
    <t>Handy, Kevin</t>
  </si>
  <si>
    <t>Hanjelo, Ermias</t>
  </si>
  <si>
    <t>Hathaway, Ken</t>
  </si>
  <si>
    <t>Hayden, Tina</t>
  </si>
  <si>
    <t>Hayes, Charles</t>
  </si>
  <si>
    <t>Heath, Mckenzi</t>
  </si>
  <si>
    <t>Heck, Webster</t>
  </si>
  <si>
    <t>Helm, Beatrice</t>
  </si>
  <si>
    <t>Henslee, Leigha</t>
  </si>
  <si>
    <t>Herron, Briana</t>
  </si>
  <si>
    <t>Hester, Neilson B</t>
  </si>
  <si>
    <t>Hicks, Alisha</t>
  </si>
  <si>
    <t>Hicks, Markqon</t>
  </si>
  <si>
    <t>Hilburn, Nevaeh</t>
  </si>
  <si>
    <t>Hillary, Christopher</t>
  </si>
  <si>
    <t>., Hinklehinkle</t>
  </si>
  <si>
    <t>Hobson, Donna</t>
  </si>
  <si>
    <t>Hollander, Jared</t>
  </si>
  <si>
    <t>Hoyle, JayHem</t>
  </si>
  <si>
    <t>Hudson, Karen</t>
  </si>
  <si>
    <t>Huia, Kossia</t>
  </si>
  <si>
    <t>Hunter, Ashley</t>
  </si>
  <si>
    <t>Hussein, Ruba</t>
  </si>
  <si>
    <t>Ingraham, Kori</t>
  </si>
  <si>
    <t>Irvin, Caitlyn</t>
  </si>
  <si>
    <t>Iyeke, Temple</t>
  </si>
  <si>
    <t>Jackson, Cedric</t>
  </si>
  <si>
    <t>Jackson, DeMia</t>
  </si>
  <si>
    <t>Jackson, Felicia</t>
  </si>
  <si>
    <t>Jackson, Myles</t>
  </si>
  <si>
    <t>James, Alex</t>
  </si>
  <si>
    <t>James, Kyara</t>
  </si>
  <si>
    <t>JDfHv5, Morrie</t>
  </si>
  <si>
    <t>Jimenez, Karen</t>
  </si>
  <si>
    <t>Johnson, Acee</t>
  </si>
  <si>
    <t>Johnson-Harley, Ariel</t>
  </si>
  <si>
    <t>Johnson, Joyce</t>
  </si>
  <si>
    <t>Johnson, Kevin</t>
  </si>
  <si>
    <t>Johnson, Nicholas</t>
  </si>
  <si>
    <t>Johnson, Rakia</t>
  </si>
  <si>
    <t>Jones, Dereonique</t>
  </si>
  <si>
    <t>Jones, Reggie</t>
  </si>
  <si>
    <t>Jr, Terrance Lockett</t>
  </si>
  <si>
    <t>Kapenzi, Rumbidzai</t>
  </si>
  <si>
    <t>Karim, Jernetta</t>
  </si>
  <si>
    <t>Keita, Norbert</t>
  </si>
  <si>
    <t>Kelley, Renee</t>
  </si>
  <si>
    <t>Kelly, Candace</t>
  </si>
  <si>
    <t>Kennedy, Nevaeh</t>
  </si>
  <si>
    <t>Keyes, Lametria</t>
  </si>
  <si>
    <t>Keyes, Lamitria</t>
  </si>
  <si>
    <t>Kidd, Jacob</t>
  </si>
  <si>
    <t>King, Tierney</t>
  </si>
  <si>
    <t>Knighten, LeJean</t>
  </si>
  <si>
    <t>Kotey, Ardon</t>
  </si>
  <si>
    <t>Laster, Hope Alexandria</t>
  </si>
  <si>
    <t>Laverty, Kaylee</t>
  </si>
  <si>
    <t>L.Davis, Michelle</t>
  </si>
  <si>
    <t>Leann, Courtney</t>
  </si>
  <si>
    <t>Lewis, Keyciara</t>
  </si>
  <si>
    <t>Limuel, Laila</t>
  </si>
  <si>
    <t>Lopez, Leslie</t>
  </si>
  <si>
    <t>Loring, Gevan</t>
  </si>
  <si>
    <t>Luna, Esteban</t>
  </si>
  <si>
    <t>Lupichuk, Matthew</t>
  </si>
  <si>
    <t>Luster, Ryan</t>
  </si>
  <si>
    <t>Mabruko, Hassan</t>
  </si>
  <si>
    <t>Maiorka, Chelsey</t>
  </si>
  <si>
    <t>Maizere, Lenny</t>
  </si>
  <si>
    <t>manning, avri</t>
  </si>
  <si>
    <t>martinez, briana</t>
  </si>
  <si>
    <t>Martinez, Laura</t>
  </si>
  <si>
    <t>Martinez, Samantha</t>
  </si>
  <si>
    <t>Martin, Quenderious</t>
  </si>
  <si>
    <t>Matlock, Nosaj</t>
  </si>
  <si>
    <t>Maxwell, Jesse</t>
  </si>
  <si>
    <t>McBride, Asia</t>
  </si>
  <si>
    <t>McCleod Jr, Jason</t>
  </si>
  <si>
    <t>McCoy, Loni</t>
  </si>
  <si>
    <t>Mcgill, Sarai</t>
  </si>
  <si>
    <t>McKay, Branae</t>
  </si>
  <si>
    <t>Mclaurin, Mosiah</t>
  </si>
  <si>
    <t>Mendez, Donaldo</t>
  </si>
  <si>
    <t>Mendoza, Angelie</t>
  </si>
  <si>
    <t>Michaels, Alexander</t>
  </si>
  <si>
    <t>., Miiyadabraat</t>
  </si>
  <si>
    <t>Miller, Nicole</t>
  </si>
  <si>
    <t>Mills, Lamya</t>
  </si>
  <si>
    <t>Minda, David</t>
  </si>
  <si>
    <t>minter, Dajanette</t>
  </si>
  <si>
    <t>Miranda, Jazlyn</t>
  </si>
  <si>
    <t>Mitchell, Queen</t>
  </si>
  <si>
    <t>Mitiku, Kalkidan</t>
  </si>
  <si>
    <t>Moore, Angelina</t>
  </si>
  <si>
    <t>Moreno, Donaldo</t>
  </si>
  <si>
    <t>Moreno, Jeffrey</t>
  </si>
  <si>
    <t>Morris, Erica</t>
  </si>
  <si>
    <t>Mosallaei, Nikoo</t>
  </si>
  <si>
    <t>Moua, May</t>
  </si>
  <si>
    <t>Munoz, Cecilia</t>
  </si>
  <si>
    <t>Murphy, Dareion</t>
  </si>
  <si>
    <t>Murray, Laci</t>
  </si>
  <si>
    <t>Na, Kariana</t>
  </si>
  <si>
    <t>Nallamilli, Kamalesh Reddy</t>
  </si>
  <si>
    <t>Navarro, Bryan</t>
  </si>
  <si>
    <t>Navarro, Serina</t>
  </si>
  <si>
    <t>Nguyen, Augustine</t>
  </si>
  <si>
    <t>Ngwa, Yannick</t>
  </si>
  <si>
    <t>Nowlin, Alanna</t>
  </si>
  <si>
    <t>Nsengiyunva, Mauwa</t>
  </si>
  <si>
    <t>Ogbe, Thompson</t>
  </si>
  <si>
    <t>Oguegbu, Chinyere</t>
  </si>
  <si>
    <t>Oliver, Katlynn</t>
  </si>
  <si>
    <t>Olvera, Valeria</t>
  </si>
  <si>
    <t>Oneal, Tatyana</t>
  </si>
  <si>
    <t>Orduna, Arabelle</t>
  </si>
  <si>
    <t>Orfield, Daphni</t>
  </si>
  <si>
    <t>Pababire, Alejandra</t>
  </si>
  <si>
    <t>Page, Jaeda</t>
  </si>
  <si>
    <t>Panu, Degrace</t>
  </si>
  <si>
    <t>Parish, Dawn</t>
  </si>
  <si>
    <t>Pasterski, Nikk</t>
  </si>
  <si>
    <t>Peggins, Abbey</t>
  </si>
  <si>
    <t>Penagos, Karen Natalia</t>
  </si>
  <si>
    <t>Perez, Hillary</t>
  </si>
  <si>
    <t>Peters, Elijah</t>
  </si>
  <si>
    <t>Pinales, Natalie</t>
  </si>
  <si>
    <t>P., Izzy</t>
  </si>
  <si>
    <t>Price, Kamyron</t>
  </si>
  <si>
    <t>Quinones, Dawn</t>
  </si>
  <si>
    <t>Rajwani, Zaki</t>
  </si>
  <si>
    <t>Ramirez, Jasmin</t>
  </si>
  <si>
    <t>Ramirez, Maria</t>
  </si>
  <si>
    <t>Ramos, Graciela</t>
  </si>
  <si>
    <t>Ramsey, Jimelia</t>
  </si>
  <si>
    <t>Raulino, Lucas</t>
  </si>
  <si>
    <t>Reed, Anna</t>
  </si>
  <si>
    <t>Remigio, Ricardo</t>
  </si>
  <si>
    <t>Revere, John</t>
  </si>
  <si>
    <t>Revolorio Sarceno, Sergio</t>
  </si>
  <si>
    <t>Reyes, Osvaldo</t>
  </si>
  <si>
    <t>Reynolds, Liberte</t>
  </si>
  <si>
    <t>Richardson, TyAnna</t>
  </si>
  <si>
    <t>Richmond, KeAra</t>
  </si>
  <si>
    <t>Rigau, Maria</t>
  </si>
  <si>
    <t>Rockwell, Kristina Mcnett</t>
  </si>
  <si>
    <t>Rodriguez, Delilah</t>
  </si>
  <si>
    <t>Rodriguez, Sergio</t>
  </si>
  <si>
    <t>Rosales, Kenya</t>
  </si>
  <si>
    <t>Rosero, Angelo</t>
  </si>
  <si>
    <t>Rowe, Kris</t>
  </si>
  <si>
    <t>Rubio, Verania</t>
  </si>
  <si>
    <t>Rudder, Lanayia</t>
  </si>
  <si>
    <t>Saira, Anita</t>
  </si>
  <si>
    <t>Salazar Atilano, Victor</t>
  </si>
  <si>
    <t>Salazar, Jeovany</t>
  </si>
  <si>
    <t>Sammeli, Shaylee</t>
  </si>
  <si>
    <t>Sammons, Sye</t>
  </si>
  <si>
    <t>samuels, azariah</t>
  </si>
  <si>
    <t>Sanchez, Lisset</t>
  </si>
  <si>
    <t>Sanders, Jaleel</t>
  </si>
  <si>
    <t>sanders, serenity</t>
  </si>
  <si>
    <t>Santillo, Brittany</t>
  </si>
  <si>
    <t>Santos, Abraham</t>
  </si>
  <si>
    <t>Sardu, Ermea</t>
  </si>
  <si>
    <t>Scott Ford, Dylan</t>
  </si>
  <si>
    <t>Segovia, Michelle</t>
  </si>
  <si>
    <t>Selman, Jeremy</t>
  </si>
  <si>
    <t>Shanmugam, Sabareeswaran</t>
  </si>
  <si>
    <t>Shelvin, Dyntrale</t>
  </si>
  <si>
    <t>., Shemeshia</t>
  </si>
  <si>
    <t>Sherrill, Erica</t>
  </si>
  <si>
    <t>Shih, Hung-Yi</t>
  </si>
  <si>
    <t>Simmions, Myleah</t>
  </si>
  <si>
    <t>Simmons, Daija</t>
  </si>
  <si>
    <t>Simoneaux, Shane</t>
  </si>
  <si>
    <t>Simpson, Tybrasha</t>
  </si>
  <si>
    <t>Sims, Jami</t>
  </si>
  <si>
    <t>Simson, Kayla</t>
  </si>
  <si>
    <t>Sloan, Jamya</t>
  </si>
  <si>
    <t>Smith, Chelsey</t>
  </si>
  <si>
    <t>Smith, Ella</t>
  </si>
  <si>
    <t>Smith, Gebynshi</t>
  </si>
  <si>
    <t>Smith, George</t>
  </si>
  <si>
    <t>Sordia, Gricel</t>
  </si>
  <si>
    <t>Speights, Hajai</t>
  </si>
  <si>
    <t>Sr, Timothy</t>
  </si>
  <si>
    <t>Starks, Joasiya</t>
  </si>
  <si>
    <t>Steele., Dalton</t>
  </si>
  <si>
    <t>St Louis, Jordan</t>
  </si>
  <si>
    <t>Stoddart, Tabitha</t>
  </si>
  <si>
    <t>Straughter, Gerald</t>
  </si>
  <si>
    <t>Stuckey, Nina</t>
  </si>
  <si>
    <t>Suarez, Cristal</t>
  </si>
  <si>
    <t>Sutter, Anthony</t>
  </si>
  <si>
    <t>Sutton, Euna</t>
  </si>
  <si>
    <t>Tae, Tae</t>
  </si>
  <si>
    <t>Tanyiko, Cornelius</t>
  </si>
  <si>
    <t>teniente, Liliana</t>
  </si>
  <si>
    <t>Testing, Cory</t>
  </si>
  <si>
    <t>Testing, Joan</t>
  </si>
  <si>
    <t>Testing, Karylle</t>
  </si>
  <si>
    <t>Testing, Nona</t>
  </si>
  <si>
    <t>Testing, Valerie</t>
  </si>
  <si>
    <t>Thompson, Carmen</t>
  </si>
  <si>
    <t>Thompson, Lnn</t>
  </si>
  <si>
    <t>Thompson, Porche</t>
  </si>
  <si>
    <t>Torres, Francisco</t>
  </si>
  <si>
    <t>Torres, Jomnie</t>
  </si>
  <si>
    <t>Townsend, John</t>
  </si>
  <si>
    <t>Ulee, Jordan</t>
  </si>
  <si>
    <t>Unknown, Ajit</t>
  </si>
  <si>
    <t>Unknown, Alejandra</t>
  </si>
  <si>
    <t>Unknown, Alex</t>
  </si>
  <si>
    <t>Unknown, Ariel</t>
  </si>
  <si>
    <t>Unknown, Avelaida</t>
  </si>
  <si>
    <t>Unknown, Breann</t>
  </si>
  <si>
    <t>Unknown, Brenda</t>
  </si>
  <si>
    <t>Unknown, Brie</t>
  </si>
  <si>
    <t>Unknown, Carolina</t>
  </si>
  <si>
    <t>Unknown, Christina</t>
  </si>
  <si>
    <t>Unknown, Corey</t>
  </si>
  <si>
    <t>Unknown, Courtesy</t>
  </si>
  <si>
    <t>Unknown, Darez</t>
  </si>
  <si>
    <t>Unknown, Deshree</t>
  </si>
  <si>
    <t>Unknown, Epifany</t>
  </si>
  <si>
    <t>Unknown, Erica</t>
  </si>
  <si>
    <t>Unknown, Frank</t>
  </si>
  <si>
    <t>Unknown, Henok</t>
  </si>
  <si>
    <t>Unknown, Hyra</t>
  </si>
  <si>
    <t>Unknown, Inspector</t>
  </si>
  <si>
    <t>Unknown, Jamari</t>
  </si>
  <si>
    <t>Unknown, Jameerical</t>
  </si>
  <si>
    <t>Unknown, Junasia</t>
  </si>
  <si>
    <t>Unknown, Keandra</t>
  </si>
  <si>
    <t>Unknown, Lashonna</t>
  </si>
  <si>
    <t>Unknown, Moral</t>
  </si>
  <si>
    <t>Unknown, Naomi</t>
  </si>
  <si>
    <t>Unknown, Paul</t>
  </si>
  <si>
    <t>Unknown, Pedla</t>
  </si>
  <si>
    <t>Unknown, Prateek</t>
  </si>
  <si>
    <t>Unknown, Princess</t>
  </si>
  <si>
    <t>Unknown, Rhonda</t>
  </si>
  <si>
    <t>Unknown, Rusex</t>
  </si>
  <si>
    <t>Unknown, Shaw</t>
  </si>
  <si>
    <t>Unknown, Sonia</t>
  </si>
  <si>
    <t>Unknown, Tanika</t>
  </si>
  <si>
    <t>Unknown, Taylor</t>
  </si>
  <si>
    <t>Unknown, Tue</t>
  </si>
  <si>
    <t>Vieira, Jataisha</t>
  </si>
  <si>
    <t>Vishwasrao, Hemant</t>
  </si>
  <si>
    <t>Wagner, Riley</t>
  </si>
  <si>
    <t>Washington, Joseph</t>
  </si>
  <si>
    <t>Washington, Sharonda</t>
  </si>
  <si>
    <t>Watts, Laquinta</t>
  </si>
  <si>
    <t>Wegner, Sherlene</t>
  </si>
  <si>
    <t>Wenstrom, Lauren</t>
  </si>
  <si>
    <t>Wheeler, Ann</t>
  </si>
  <si>
    <t>White, Destiny</t>
  </si>
  <si>
    <t>white, Elisia</t>
  </si>
  <si>
    <t>Wilkes, Shaniqua</t>
  </si>
  <si>
    <t>Wilkins, Kennedi</t>
  </si>
  <si>
    <t>Wilkins, Mandy</t>
  </si>
  <si>
    <t>Williams, Hannah</t>
  </si>
  <si>
    <t>Williams, Kayla</t>
  </si>
  <si>
    <t>Williams, Lakisha</t>
  </si>
  <si>
    <t>Joe, Shawna</t>
  </si>
  <si>
    <t>Wong, Farron</t>
  </si>
  <si>
    <t>Woodruff, Emmanuel</t>
  </si>
  <si>
    <t>Woods, Kelsee</t>
  </si>
  <si>
    <t>Wright, Desiree</t>
  </si>
  <si>
    <t>Young, Hope</t>
  </si>
  <si>
    <t>Young, Patricia</t>
  </si>
  <si>
    <t>Zwerner, Kelsey</t>
  </si>
  <si>
    <t>User asked which blue tabs use Delinq Data tab data.</t>
  </si>
  <si>
    <t>Scanned all 17 blue-colored tabs for formula references to Delinq Data. Found only Screening_Impact_Analysis_7 with 4 references.</t>
  </si>
  <si>
    <t>Formulas use COUNTIFS/SUMIFS on Delinq Data C51:C200 and D51:D200. Flagged that Delinq Data extends to row 224, so rows 201-224 are being missed by these formulas.</t>
  </si>
  <si>
    <t>Identified. Awaiting user confirmation to extend formula ranges.</t>
  </si>
  <si>
    <t>‌04/20/2026</t>
  </si>
  <si>
    <t>‌$299.58</t>
  </si>
  <si>
    <t>‌Maria Malacara</t>
  </si>
  <si>
    <t>‌8401 Skillman Street 1098Dallas, TX 75231</t>
  </si>
  <si>
    <t>‌$423.51</t>
  </si>
  <si>
    <t>‌Kimani Mbiru</t>
  </si>
  <si>
    <t>‌8401 Skillman Street 2085Dallas, TX 75231</t>
  </si>
  <si>
    <t>‌$400.78</t>
  </si>
  <si>
    <t>‌Nereyda RodriguezJonathan Gonzalez</t>
  </si>
  <si>
    <t>‌8201 Fair Oaks Crossing 1071Dallas, TX 75231</t>
  </si>
  <si>
    <t>‌$204.53</t>
  </si>
  <si>
    <t>‌Corey Birdine</t>
  </si>
  <si>
    <t>‌8401 Skillman Street 3063Dallas, TX 75231</t>
  </si>
  <si>
    <t>‌$368.79</t>
  </si>
  <si>
    <t>‌</t>
  </si>
  <si>
    <t>‌Filed</t>
  </si>
  <si>
    <t>‌$3328.00</t>
  </si>
  <si>
    <t>‌Ronald KingLatrina Newsome</t>
  </si>
  <si>
    <t>‌$998.55</t>
  </si>
  <si>
    <t>‌$3136.00</t>
  </si>
  <si>
    <t>‌05/21/20269.30 am</t>
  </si>
  <si>
    <t>‌JPC-26-02911-31</t>
  </si>
  <si>
    <t>‌Hearing Scheduled</t>
  </si>
  <si>
    <t>‌Dandrea Mcneil</t>
  </si>
  <si>
    <t>‌8401 Skillman Street 3017Dallas, TX 75231</t>
  </si>
  <si>
    <t>‌$1678.00</t>
  </si>
  <si>
    <t>‌Talasia Rashidi</t>
  </si>
  <si>
    <t>‌8401 Skillman Street 2096Dallas, TX 75231</t>
  </si>
  <si>
    <t>‌$473.00</t>
  </si>
  <si>
    <t>‌$521.87</t>
  </si>
  <si>
    <t>‌JPC-26-02912-31</t>
  </si>
  <si>
    <t>‌Andres Hernandez</t>
  </si>
  <si>
    <t>‌8401 Skillman Street 2089Dallas, TX 75231</t>
  </si>
  <si>
    <t>‌$955.00</t>
  </si>
  <si>
    <t>‌Nixon AlvarezMARIELI MEZA</t>
  </si>
  <si>
    <t>‌8401 Skillman Street 1087Dallas, TX 75231</t>
  </si>
  <si>
    <t>‌$1653.00</t>
  </si>
  <si>
    <t>‌Keevin Bell</t>
  </si>
  <si>
    <t>‌8401 Skillman Street 2002Dallas, TX 75231</t>
  </si>
  <si>
    <t>‌$395.25</t>
  </si>
  <si>
    <t>‌$3282.00</t>
  </si>
  <si>
    <t>‌JPC-26-02910-31</t>
  </si>
  <si>
    <t>‌Maria FonsecaFernando Sotelo</t>
  </si>
  <si>
    <t>‌8401 Skillman Street 1094Dallas, TX 75231</t>
  </si>
  <si>
    <t>‌$931.00</t>
  </si>
  <si>
    <t>‌Solomon Onasanya</t>
  </si>
  <si>
    <t>‌8401 Skillman Street 2088Dallas, TX 75231</t>
  </si>
  <si>
    <t>‌$806.61</t>
  </si>
  <si>
    <t>‌Awaiting NTV Expiration  (Notes)</t>
  </si>
  <si>
    <t>‌Oscar Divini Pomposo Aviles</t>
  </si>
  <si>
    <t>‌$1175.00</t>
  </si>
  <si>
    <t>‌Jorge Camacho Ibarra</t>
  </si>
  <si>
    <t>‌8401 Skillman Street 1077Dallas, TX 75231</t>
  </si>
  <si>
    <t>‌$2394.00</t>
  </si>
  <si>
    <t>‌$3976.00</t>
  </si>
  <si>
    <t>‌$4604.25</t>
  </si>
  <si>
    <t>‌$5180.00</t>
  </si>
  <si>
    <t>‌Marshana GentryDerrick Hill</t>
  </si>
  <si>
    <t>‌8303 Skillman Street 270Dallas, TX 75231</t>
  </si>
  <si>
    <t>‌$838.00</t>
  </si>
  <si>
    <t>‌05/21/20261.30 pm</t>
  </si>
  <si>
    <t>‌JPC-26-02948-31</t>
  </si>
  <si>
    <t>‌$1140.00</t>
  </si>
  <si>
    <t>‌JPC-26-02947-31</t>
  </si>
  <si>
    <t>‌Alvin James</t>
  </si>
  <si>
    <t>‌8401 Skillman Street 1002Dallas, TX 75231</t>
  </si>
  <si>
    <t>‌$300.00</t>
  </si>
  <si>
    <t>‌$3392.00</t>
  </si>
  <si>
    <t>‌JPC-26-02928-31</t>
  </si>
  <si>
    <t>‌Jonmy Torres</t>
  </si>
  <si>
    <t>‌9750 Royal Lane 1415Dallas, TX 75231</t>
  </si>
  <si>
    <t>‌$200.00</t>
  </si>
  <si>
    <t>‌Jose Villanueva Granados</t>
  </si>
  <si>
    <t>‌8303 Skillman Street 401Dallas, TX 75231</t>
  </si>
  <si>
    <t>‌JPC-26-02949-31</t>
  </si>
  <si>
    <t>‌Tobi OgunmolaMuhammad Medina Kiara</t>
  </si>
  <si>
    <t>‌9750 Royal Lane 1324Dallas, TX 75231</t>
  </si>
  <si>
    <t>‌$1689.00</t>
  </si>
  <si>
    <t>‌JPC-26-02927-31</t>
  </si>
  <si>
    <t>‌Deandra Broomfield</t>
  </si>
  <si>
    <t>‌9750 Royal Lane 812Dallas, TX 75231</t>
  </si>
  <si>
    <t>‌$1046.35</t>
  </si>
  <si>
    <t>‌JPC-26-02925-31</t>
  </si>
  <si>
    <t>‌$255.45</t>
  </si>
  <si>
    <t>‌Mahogany Harris</t>
  </si>
  <si>
    <t>‌9750 Royal Lane 1202Dallas, TX 75231</t>
  </si>
  <si>
    <t>‌$5960.00</t>
  </si>
  <si>
    <t>‌JPC-26-02926-31</t>
  </si>
  <si>
    <t>‌Jessica Raychelle Harvey</t>
  </si>
  <si>
    <t>‌9750 Royal Lane 1003Dallas, TX 75231</t>
  </si>
  <si>
    <t>‌$2030.00</t>
  </si>
  <si>
    <t>‌$2765.70</t>
  </si>
  <si>
    <t>‌$3811.00</t>
  </si>
  <si>
    <t>‌JPC-26-02924-31</t>
  </si>
  <si>
    <t>‌$3822.00</t>
  </si>
  <si>
    <t>‌Myocsheonia Walker</t>
  </si>
  <si>
    <t>‌9750 Royal Lane 1110Dallas, TX 75231</t>
  </si>
  <si>
    <t>‌$960.00</t>
  </si>
  <si>
    <t>‌Victor A Diaz Becerra</t>
  </si>
  <si>
    <t>‌9750 Royal Lane 0415Dallas, TX 75231</t>
  </si>
  <si>
    <t>‌$1288.00</t>
  </si>
  <si>
    <t>‌JPC-26-02921-31</t>
  </si>
  <si>
    <t>‌Omar Martinez</t>
  </si>
  <si>
    <t>‌9750 Royal Lane 504Dallas, TX 75231</t>
  </si>
  <si>
    <t>‌$3024.00</t>
  </si>
  <si>
    <t>‌Dija Sparks</t>
  </si>
  <si>
    <t>‌9750 Royal Lane 516Dallas, TX 75231</t>
  </si>
  <si>
    <t>‌$4160.00</t>
  </si>
  <si>
    <t>‌JPC-26-02922-31</t>
  </si>
  <si>
    <t>‌Lois Ado</t>
  </si>
  <si>
    <t>‌9750 Royal Lane 0203Dallas, TX 75231</t>
  </si>
  <si>
    <t>‌$407.63</t>
  </si>
  <si>
    <t>‌Susana Castro</t>
  </si>
  <si>
    <t>‌9750 Royal Lane 0324Dallas, TX 75231</t>
  </si>
  <si>
    <t>‌$1508.00</t>
  </si>
  <si>
    <t>‌JPC-26-02920-31</t>
  </si>
  <si>
    <t>‌$4481.00</t>
  </si>
  <si>
    <t>‌JPC-26-02917-31</t>
  </si>
  <si>
    <t>‌$495.00</t>
  </si>
  <si>
    <t>‌JPC-26-02919-31</t>
  </si>
  <si>
    <t>‌$1098.00</t>
  </si>
  <si>
    <t>‌JPC-26-02918-31</t>
  </si>
  <si>
    <t>‌Maricela Ortega GascaJuan Antonio Ruiz Guerra</t>
  </si>
  <si>
    <t>‌$4500.00</t>
  </si>
  <si>
    <t>‌JPC-26-02923-31</t>
  </si>
  <si>
    <t>‌$4800.00</t>
  </si>
  <si>
    <t>‌JPC-26-02915-31</t>
  </si>
  <si>
    <t>‌$1637.91</t>
  </si>
  <si>
    <t>‌05/13/20261.30 pm</t>
  </si>
  <si>
    <t>‌JPC-26-02896-31</t>
  </si>
  <si>
    <t>‌Rodrinesha Fridia</t>
  </si>
  <si>
    <t>‌8201 Fair Oaks Crossing 2039Dallas, TX 75231</t>
  </si>
  <si>
    <t>‌$4543.00</t>
  </si>
  <si>
    <t>‌JPC-26-02914-31</t>
  </si>
  <si>
    <t>‌$2198.78</t>
  </si>
  <si>
    <t>‌Processing</t>
  </si>
  <si>
    <t>‌$2270.00</t>
  </si>
  <si>
    <t>‌JPC-26-02913-31</t>
  </si>
  <si>
    <t>‌Earl Roof</t>
  </si>
  <si>
    <t>‌8201 Fair Oaks Crossing 2057Dallas, TX 75231</t>
  </si>
  <si>
    <t>‌$949.00</t>
  </si>
  <si>
    <t>‌$3322.66</t>
  </si>
  <si>
    <t>‌JPC-26-02895-31</t>
  </si>
  <si>
    <t>‌William Simpson</t>
  </si>
  <si>
    <t>‌8201 Fair Oaks Crossing 2065Dallas, TX 75231</t>
  </si>
  <si>
    <t>‌$5464.00</t>
  </si>
  <si>
    <t>‌JPC-26-02916-31</t>
  </si>
  <si>
    <t>‌Talika Taylor</t>
  </si>
  <si>
    <t>‌8201 Fair Oaks Crossing 2067Dallas, TX 75231</t>
  </si>
  <si>
    <t>‌$5880.00</t>
  </si>
  <si>
    <t>‌JPC-26-02909-31</t>
  </si>
  <si>
    <t>‌Emelyn Yoryina</t>
  </si>
  <si>
    <t>‌8201 Fair Oaks Crossing 1027Dallas, TX 75231</t>
  </si>
  <si>
    <t>‌$1000.00</t>
  </si>
  <si>
    <t>User asked if Delinq Data tab was created by me.</t>
  </si>
  <si>
    <t>Searched Claude Log history — no record of creating Delinq Data tab. Confirmed it pre-existed in workbook.</t>
  </si>
  <si>
    <t>Only sheet I created during this session is Claude Log itself. Delinq Data was already part of the workbook before this session began.</t>
  </si>
  <si>
    <t>Confirmed: Delinq Data is a pre-existing source tab, not created by Claude.</t>
  </si>
  <si>
    <t>User confirmed to extend Delinq Data formula ranges in Screening_Impact_Analysis_7.</t>
  </si>
  <si>
    <t>Updated 2 formulas (B22 COUNTIFS and C22 SUMIFS) to scan Delinq Data rows 51-500 instead of 51-200.</t>
  </si>
  <si>
    <t>Now captures all current Delinq Data rows (extends to row 224) plus room for growth. Other 2 references in row 2 are text/note descriptions, not formulas.</t>
  </si>
  <si>
    <t>Done. Screening_Impact_Analysis_7 will not miss new Delinq Data entries.</t>
  </si>
  <si>
    <t>User refreshed all source data, asked to verify all blue tabs updated accordingly.</t>
  </si>
  <si>
    <t>Forced full workbook recalc. Scanned all 7 blue analytical tabs (Dashboard_1, Data_2, Delinquency_Detail_3, App_Pipeline_Intel_4, Action_Item_Tracker_5, Weekly_Question_Set_6, Screening_Impact_Analysis_7) for formula errors and verified key metrics.</t>
  </si>
  <si>
    <t>Zero formula errors found. Wk17 dashboard now shows: Occ 73.1%, Pipeline 168/33/7/68, June 55 exp/11 EarlyMO/7 NTV/25.5%, Collections $890K. App_Pipeline 168 total apps. Screening: $810K delinq/193 accts, 21 residents at-risk ($79K), $195K bad debt avoided.</t>
  </si>
  <si>
    <t>All blue tabs updated correctly with refreshed source data. Dashboard week selector at Wk17.</t>
  </si>
  <si>
    <t>User uploaded Resident Retention (2).xlsx with refreshed data, asked to update sheet starting at April 2026 (row 4) forward, leaving rows 2-3 untouched.</t>
  </si>
  <si>
    <t>Parsed xlsx (Apr 2026 - Apr 2027 = 13 months), wrote rows 4-16 in Resident Retention -12 months. Added new row 16 for Apr 2027 (was previously only through Mar 2027). Forced full workbook recalc.</t>
  </si>
  <si>
    <t>Key changes: April expirations 62 to 60 (net of MTM), April renewals 25 to 31 (51.7%), May renewals 19 to 22 (39.3%), June renewals 14 to 16 (29.1%). April MTM 0 to 64 (methodology change). Data_2 V column (Wk17) auto-updated via SUMIF formulas. Dashboard showing fresh values for all 4 renewal months.</t>
  </si>
  <si>
    <t>Complete. All blue tabs reflect updated retention data.</t>
  </si>
  <si>
    <t>User flagged App Pipeline detail rows 202+ had data missing or incorrectly formatted.</t>
  </si>
  <si>
    <t>Filled formulas in C202:K233 by autofilling from row 200. Applied row coloring based on E status (green for Cancelled/Denied/Converted, red bold for Incomplete/In Review). Extended summary formulas C6:C10 and H5:H9 from row 203 to row 233 to capture the new rows.</t>
  </si>
  <si>
    <t>32 rows formatted (rows 202-233): 11 Cancelled/Denied, 9 Incomplete, 5 In Review, 7 Converted (final after autofill recalc). Summary now: 46 active, 80 denied, 42 converted, total 168. Aging: 14 fresh, 11 normal, 10 approaching, 2 stale, 9 overdue.</t>
  </si>
  <si>
    <t>Complete. App pipeline detail fully populated and formatted, summary captures all 168 apps.</t>
  </si>
  <si>
    <t>Justin (new centralized team member) starts Monday. Pressure on Melody to backfill OKC site staffing. Per-lease evening incentive (6-7 PM, doubles at 11 leases) launching as 30-day trial.</t>
  </si>
  <si>
    <t>Resident Coordinator transfer from OKC began this past Monday and is now on site. Floating PM assisting with leasing this week while Leasing Manager supports other underperforming communities at Brooke's direction. Requested Leasing Manager back at AVA next week.</t>
  </si>
  <si>
    <t>User shared image with status update text on Justin's start, OKC transfer, late hours incentive plan, and floating PM. Asked to update Action Item Tracker.</t>
  </si>
  <si>
    <t>Updated G10 (Application Bottleneck) and G12 (Staffing Structure) with new operator comments capturing Justin starting Monday, OKC RC transfer on site, floating PM coverage, evening incentive trial.</t>
  </si>
  <si>
    <t>G10: Justin starts Monday + OKC backfill pressure + 6-7PM per-lease incentive (doubles at 11 leases, 30-day trial). G12: RC from OKC now on site, floating PM supporting this week, requested Leasing Manager back next week.</t>
  </si>
  <si>
    <t>Updated. Suggested adding standalone Compensation/Late Hours Incentive item if user wants it tracked separately.</t>
  </si>
  <si>
    <t>Water Meter Audit</t>
  </si>
  <si>
    <t>Follow up on water meter walk findings: confirmed leak repair, 8 missing reads, 2 incorrect reads, missing/unnumbered meters at 3 locations, and unclear note from 8303 Skillman.</t>
  </si>
  <si>
    <t>Meter 863494 (9750 Royal Lane): leak confirmed — get plumber out this week for repair estimate (top priority). 8 meters need re-reads (1176679, 1908203, 1182335, 819929, 855117, 741095, 854931, 741812). 2 meters re-read for incorrect entries (1176625 at 9750 Royal, 808282 at 8401 Skillman). 3 missing/unnumbered meters at Fair Oaks/8303 Skillman/8401 Skillman — confirm locations. Clarify '194280 by 42' note from 8303 Skillman.</t>
  </si>
  <si>
    <t>Wk 17</t>
  </si>
  <si>
    <t>RUBS / Conservice</t>
  </si>
  <si>
    <t>Set up call with Conservice to confirm allocation cap methodology (cluster vs property-wide) and update treatment for clusters with confirmed irrigation meters per PUC Rule 24.281 (95% vs 75% default).</t>
  </si>
  <si>
    <t>Next Week</t>
  </si>
  <si>
    <t>Set up call with Conservice next week to (1) confirm whether RUBS allocation cap is applied at building cluster level or property-wide, (2) walk through irrigation meter documentation from this audit, (3) determine cap update by cluster. Confirmed irrigation meters: 9750 Royal Lane (3), 8201 Fair Oaks (2), 8401 Skillman (3); 8303 Skillman has none. Per PUC Rule 24.281, properties w/dedicated irrigation meters eligible for 95% cap (vs 75% default) — could meaningfully increase resident-allocable share.</t>
  </si>
  <si>
    <t>User shared email re: AVA water meter audit. Asked to add new action items for Alex (meter follow-up) and Melody (Conservice/RUBS call).</t>
  </si>
  <si>
    <t>Inserted 2 new rows (13-14) under STAFFING AND OPERATIONS section. Row 13: Water Meter Audit assigned to Alex, This Week, Pending. Row 14: RUBS/Conservice assigned to Melody, Next Week, Pending.</t>
  </si>
  <si>
    <t>Alex items: leak at Meter 863494 (9750 Royal), 8 missing reads, 2 incorrect reads, 3 missing/unnumbered meters, '194280 by 42' note clarification. Melody item: set up Conservice call to verify cap methodology + push for 95% cap on 3 clusters w/irrigation meters per PUC Rule 24.281.</t>
  </si>
  <si>
    <t>Added with proper alternating blue/white formatting and amber Pending badges. Both Wk 17.</t>
  </si>
  <si>
    <t>User asked to verify Eviction_Success_Rate tab is updated and formulas working (also renamed to Eviction_Success_Rate_8).</t>
  </si>
  <si>
    <t>Found 4 #DIV/0 errors in D83:D86. Root cause: B83-B85 formulas referenced Delinquency_Detail_3!F17:F60 (wrong column - F is now IPS/CAF) and G17:G60 (wrong column for balance, and row range too small after recent reorganization).</t>
  </si>
  <si>
    <t>Fixed B83-B85 to point at G17:G134 (Status column) and C83-C85 to point at H17:H134 (Balance column). Now showing: 13 Evictions ($112K), 46 Skips ($255K), 58 Former ($88K), Section Total $456K. Eviction Success 98.3%, Total Removal 79.1%.</t>
  </si>
  <si>
    <t>Fixed. Zero errors. All formulas in tab now working correctly.</t>
  </si>
  <si>
    <t>User asked to ensure Eviction_Success_Rate tab is fully updated and formulas working.</t>
  </si>
  <si>
    <t>Audited tab against Move_Out_Reasons source. Found 35 missing move-outs since 12/15/25. Inserted rows 67-101, pulled data via existing INDEX/MATCH formulas, extended summary formula ranges from A20:A66 to A20:A101. Updated B9, B10, B14, B15, C14, C15, D14, B102, C102, D102.</t>
  </si>
  <si>
    <t>Move-out list grew 47→82 tenants. Bad debt $125K→$261,951. TOTAL row moved 67→102. Section Total now matches source exactly. Status breakdown intact: 13 Evictions/$112K, 46 Skips/$255K, 58 Former/$88K. Eviction Success 98.3%, Total Removal 79.1%.</t>
  </si>
  <si>
    <t>Complete. Zero formula errors. New rows have F (Inherited) defaulted to 'No' — user can override for any tenants that were on ResMan AR 12/14/25.</t>
  </si>
  <si>
    <t>User asked to clear previous responses in yellow column.</t>
  </si>
  <si>
    <t>Located yellow cells G7:G22 on Weekly_Question_Set_6 (12 cells with prior week's response data). Cleared contents while preserving formatting.</t>
  </si>
  <si>
    <t>Dashboard_1 had no yellow cells. Action_Item_Tracker_5 had no yellow. Weekly_Question_Set_6 G7:G22 confirmed yellow with previous variance/response data.</t>
  </si>
  <si>
    <t>Cleared. Ready for new week's responses.</t>
  </si>
  <si>
    <t>User clarified: yellow column is H (Team Response) on Weekly_Question_Set_6, not G (Var). Asked to ensure EFH formatting matches original.</t>
  </si>
  <si>
    <t>Restored G7:G22 variance values that were mistakenly cleared in turn 41 (-3, ✓ Hit, -15, -10.5%, —, $5,248, -41%, -50%, -3, +6 improved, —, —). Cleared H7:H22 contents with yellow fill preserved. Verified EFGH formatting intact: headers, borders, conditional fills, number formats.</t>
  </si>
  <si>
    <t>G column conditional formatting (red FFC7CE for negative variance, green C6EFCE for hits) preserved. H column yellow fill (#FFFF00) preserved. Borders and font formatting verified intact.</t>
  </si>
  <si>
    <t>Fixed. H7:H22 ready for new week's responses with original formatting.</t>
  </si>
  <si>
    <t>User asked if I updated the questions on Weekly_Question_Set_6.</t>
  </si>
  <si>
    <t>Acknowledged I had only cleared H column responses, not refreshed the questions in B/C/D/E/F/G. Asked user to clarify week number, data source, and confirm format before rebuilding.</t>
  </si>
  <si>
    <t>Need: week number (Wk 17 vs 18?), source for new data (Dashboard/uploads?), and format confirmation. Last week's questions covered LEASING (3), COLLECTIONS (3), RENEWALS (3), OPS (1), CARRYOVER (2).</t>
  </si>
  <si>
    <t>Awaiting user response on data source and week number.</t>
  </si>
  <si>
    <t>Maintenance Supervisor Backfill</t>
  </si>
  <si>
    <t>Backfill the open Maintenance Supervisor position following Angel's resignation. Identify internal or external candidates and define interim coverage plan to keep work order completion on track during the gap.</t>
  </si>
  <si>
    <t>Angel resigned. WO backlog at 101 (up from 82 last week, 19 worse WoW). Completion % dropped from 118.7% to 83.7%. Need immediate interim plan + permanent hire.</t>
  </si>
  <si>
    <t>New prospects more than doubled the target this week — 246 vs 120 target (+126), and up from 210 last week (+36). With updated pricing recently activated on 6 floorplans, what's the team's read on the QUALITY of these new prospects? Are they income-qualified and serious, or is the lower pricing pulling in tire-kickers and credit-challenged applicants we'll lose at screening?</t>
  </si>
  <si>
    <t>New Prospects 210→246 (+36 WoW, +126 vs target). Pricing activated on 6 floorplans. Tours 19→26 (+7), Apps 13→20 (+7). Conversions still lagging — net leases 7 vs 10 target.</t>
  </si>
  <si>
    <t>Prospects +126 vs tgt. Quality check needed.</t>
  </si>
  <si>
    <t>+126 ✓</t>
  </si>
  <si>
    <t>Tours hit 26 vs 23 target and submitted apps came in at 20 vs 16 target — both clean wins. Net apps were 10 vs 12 target (just shy), but net leases dropped to 7 vs 10 target. With prospects, tours, and apps all up, what specifically broke down between application and execution this week? Pricing pushback? Documentation? Approval delays?</t>
  </si>
  <si>
    <t>Tours 19→26 (+7 vs tgt 23). Apps 13→20 (+7 vs tgt 16). Net apps 4→10 (-2 vs tgt 12). Net leases 14→7 (-3 vs tgt 10, -7 WoW).</t>
  </si>
  <si>
    <t>Funnel up at top, leases down at bottom.</t>
  </si>
  <si>
    <t>Conversion rate dropped to 4.2% vs 15% target (and from 9.7% last week — half the prior rate). 21 apps are now 15+ days old (vs 8 target). Avg days to decision is 15.8 vs 7-day target. With Justin starting Monday and the centralized team adding dedicated AVA support, walk me through how he plugs in next week — which apps does he take first, who hands them off, and what's the expected throughput improvement in his first 5 business days?</t>
  </si>
  <si>
    <t>Conversion rate 9.7%→4.2% (-5.5pp). 21 apps 15+ days old (+3 WoW). Avg days to decision 18.1→15.8 (-2.3, but still 8.8d over tgt). Justin starts Monday + centralized AVA support.</t>
  </si>
  <si>
    <t>Conversion halved. 21 stale apps. Justin Mon.</t>
  </si>
  <si>
    <t>Gross charges came in at $890K (-$80K vs $970K target) and payments at $775K (-$137K vs $912K target), putting collection % at 85.4% vs 93% incentive scorecard target. The Incentive Scorecard hits a 93% threshold for full payout. What's the specific plan to get from 85.4% to 93% by month-end — which charge codes and which residents are we focusing on, and where are we as of today on the gap closure?</t>
  </si>
  <si>
    <t>Collection % 83.0%→85.4% (+2.3pp WoW, but -7.6pp vs 93% incentive tgt). Charges $890K (-$80K vs tgt). Payments $775K (-$137K vs tgt). Incentive scorecard requires 93%.</t>
  </si>
  <si>
    <t>85.4% vs 93% incentive tgt. -7.6pp gap.</t>
  </si>
  <si>
    <t>Delinquency balance is $810K (target -$125K), DSO at 27.1 vs 9.3 target. Trailing DSO 25.7 vs 8.8 target. With LeaseLock summary showing 87 unfiled potential claims worth ~$130K, is the team prioritizing claim filings on the recent skips/evictions to recover before the filing window closes? What's the cash-recovery timeline?</t>
  </si>
  <si>
    <t>Delinquency $810K (-$685K vs -$125K tgt). DSO 27.8→27.1. Trailing DSO 26.3→25.7. 87 unfiled LeaseLock claims = $130K potential recovery.</t>
  </si>
  <si>
    <t>DSO 27.1d. $130K unfiled LL claims.</t>
  </si>
  <si>
    <t>On evictions — we have 31 active eviction pipeline cases. 13 are in 'Active — Filed/Court Pending' or 'NTV/Pre-Filing' totaling $44K. Which of these are eligible for writ of possession this week, and what's blocking the rest from moving to writ?</t>
  </si>
  <si>
    <t>31 active eviction cases. 14 in Active stages ($64K). 3 Won — Writ/Judgment ($12K). 6 Hearing Scheduled ($20K). 2 Stalled/Dismissed ($7K).</t>
  </si>
  <si>
    <t>14 active eviction cases. Writ readiness?</t>
  </si>
  <si>
    <t>Target renewal % is now 80% to hit projections. Current state: April 51.7%, May 39.3%, June 29.1% — all materially short. April has 60 expirations with 31 signed, 17 NTV, 8 EMO — so ~4 still pending. What's the plan to get April to 80% before month-end (4 days left), and how many of the 4 pending have a confirmed renewal offer in hand?</t>
  </si>
  <si>
    <t>Apr Renewal 40.3%→51.7% (+11.4pp WoW). 60 expirations: 31 renewed, 17 NTV, 8 EMO, ~4 pending. 80% tgt = need 48 renewed. Currently 17 short.</t>
  </si>
  <si>
    <t>Apr 51.7% vs 80% tgt. -28pp.</t>
  </si>
  <si>
    <t>May renewal % is at 39.3% (up from 30.4% WoW) on 56 expirations — 11 NTV, 6 EMO, ~17 pending sign. To hit 80%, the team needs 45 signed leases vs ~22 today. What's the renewal party / outreach cadence for May, and which of the 17 pending residents are flight risks vs likely-to-sign?</t>
  </si>
  <si>
    <t>May Renewal 30.4%→39.3% (+8.9pp WoW). 56 expirations: ~22 renewed, 11 NTV, 6 EMO, ~17 pending. 80% tgt = need 45 renewed. Currently 23 short.</t>
  </si>
  <si>
    <t>May 39.3% vs 80% tgt. -41pp.</t>
  </si>
  <si>
    <t>June renewal % is at 29.1% on 55 expirations with 12 EMO and 7 NTV. May/June MTM count dropped from 79→65 (-14 WoW — great progress on conversions). Of the remaining 65 MTM, how many have been touched on a renewal offer in the last 14 days, and is Nylsa's prioritization list focusing on the highest-balance/longest-tenure residents first?</t>
  </si>
  <si>
    <t>Jun Renewal 14.8%→29.1% (+14.3pp WoW). 55 expirations: 12 EMO, 7 NTV. MTM count 79→65 (-14 WoW — strong progress).</t>
  </si>
  <si>
    <t>Jun 29.1%. MTM 65 (-14 WoW).</t>
  </si>
  <si>
    <t>Work order backlog jumped to 101 (up from 82, -19 WoW — worst since Wk10). Opened 123 vs completed 103 — completion % collapsed from 118.7% last week to 83.7%. With Angel resigned and the Maintenance Supervisor role now open, what's the interim coverage plan, what's the catch-up plan for the 101 backlog, and where are we on backlog reduction as of today?</t>
  </si>
  <si>
    <t>Backlog 82→101 (+19 WoW). Opened 91→123 (+32). Completed 108→103 (-5). Completion % 118.7%→83.7%. Angel resigned. Alex now owns backfill (Wk17 action item).</t>
  </si>
  <si>
    <t>Backlog +19 WoW. Angel resigned.</t>
  </si>
  <si>
    <t>+19 worse</t>
  </si>
  <si>
    <t>Justin (centralized team, dedicated to AVA) starts Monday — his role is to expedite application approvals and clear the 21-app stale backlog. What's his Day 1 plan, who from existing team trains him, and what's his target for first 5 days (apps cleared, decisions made, conversion uplift)?</t>
  </si>
  <si>
    <t>Justin starts 4/27. Centralized team member dedicated to AVA. Owner: Melody. Goal: clear 21 stale apps, hit 7-day avg decision tgt (vs 15.8 today), drive conversion 4.2%→15%.</t>
  </si>
  <si>
    <t>Justin Day 1 plan + 5-day targets.</t>
  </si>
  <si>
    <t>Mon Start</t>
  </si>
  <si>
    <t>Maintenance Supervisor backfill — Angel's resignation creates immediate gap. What's the interim leadership plan, candidate pipeline (internal vs external), and timeline to fill? Alex now owns this per Wk17 action items.</t>
  </si>
  <si>
    <t>Action item added Wk17. Owner: Alex. Status: Pending. Backlog already showing impact (101 vs 82 WoW).</t>
  </si>
  <si>
    <t>Backfill plan + interim coverage.</t>
  </si>
  <si>
    <t>User asked to update Weekly_Question_Set_6 for Wk17 with specific themes: new prospects quality (post pricing change), conversion drop, Justin onboarding, maintenance backfill, renewals to 80%, collections to 93%, WO backlog plan.</t>
  </si>
  <si>
    <t>Pulled Wk17 Dashboard, App Pipeline, and Targets KPIs. Built 12 questions: 3 Leasing (B7-B9), 3 Collections (B11-B13), 3 Renewals (B15-B17), 1 Ops (B19), 2 Carryover (B21-B22). Each with Discussion Topic (C), Supporting Data (D), Target (E), Actual (F), Var (G). Applied red/green conditional formatting to F/G columns based on hit/miss.</t>
  </si>
  <si>
    <t>Also added Wk17 action item: 'Maintenance Supervisor Backfill' (row 15, owner Alex, ASAP, Pending) re Angel's resignation. WO backlog 101 (+19 WoW), completion 83.7% post-Angel. New 80% renewal targets already in Targets!J18:J28 (user updated).</t>
  </si>
  <si>
    <t>Complete. Yellow H column ready for team responses. Question set covers all themes user specified.</t>
  </si>
  <si>
    <t>NTV sent on 4/8; Eivction filed 4/20; Appeal set for 5/4</t>
  </si>
  <si>
    <t>NTV sent on 4/8; Eivction filed 4/20; Appeal set for 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</si>
</sst>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8" formatCode="&quot;$&quot;#,##0.00_);[Red]\(&quot;$&quot;#,##0.00\)"/>
    <numFmt numFmtId="44" formatCode="_(&quot;$&quot;* #,##0.00_);_(&quot;$&quot;* \(#,##0.00\);_(&quot;$&quot;* &quot;-&quot;??_);_(@_)"/>
    <numFmt numFmtId="164" formatCode="mmmm\ d&quot;, &quot;yyyy"/>
    <numFmt numFmtId="165" formatCode="0.0%"/>
    <numFmt numFmtId="166" formatCode="\$#,##0"/>
    <numFmt numFmtId="167" formatCode="0.0"/>
    <numFmt numFmtId="168" formatCode="m/d/yy"/>
    <numFmt numFmtId="169" formatCode="0.0\x"/>
    <numFmt numFmtId="170" formatCode="\$0.00"/>
    <numFmt numFmtId="171" formatCode="mmm\ dd\,\ yyyy"/>
    <numFmt numFmtId="172" formatCode="\$#,##0.00"/>
    <numFmt numFmtId="173" formatCode="#,##0.00;\(#,##0.00\)"/>
    <numFmt numFmtId="174" formatCode="&quot;$&quot;#,##0"/>
    <numFmt numFmtId="175" formatCode="mm/dd/yyyy"/>
    <numFmt numFmtId="176" formatCode="#,##0.00;[Red]#,##0.00"/>
    <numFmt numFmtId="177" formatCode="&quot;$&quot;#,##0.00"/>
    <numFmt numFmtId="178" formatCode="mmmm\ d\,\ yyyy"/>
    <numFmt numFmtId="179" formatCode="&quot;$&quot;#,##0;\(&quot;$&quot;#,##0\)"/>
    <numFmt numFmtId="180" formatCode="0.0%;\(0.0%\)"/>
    <numFmt numFmtId="181" formatCode="&quot;$&quot;#,##0;\(&quot;$&quot;#,##0\);\-"/>
  </numFmts>
  <fonts count="203">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b/>
      <sz val="18"/>
      <color rgb="FF1F3864"/>
      <name val="Calibri"/>
      <family val="2"/>
    </font>
    <font>
      <sz val="11"/>
      <color rgb="FF666666"/>
      <name val="Calibri"/>
      <family val="2"/>
    </font>
    <font>
      <b/>
      <sz val="10"/>
      <color rgb="FF1F3864"/>
      <name val="Calibri"/>
      <family val="2"/>
    </font>
    <font>
      <b/>
      <sz val="9"/>
      <color rgb="FF0000FF"/>
      <name val="Calibri"/>
      <family val="2"/>
    </font>
    <font>
      <i/>
      <sz val="9"/>
      <color rgb="FF666666"/>
      <name val="Calibri"/>
      <family val="2"/>
    </font>
    <font>
      <b/>
      <sz val="9"/>
      <color rgb="FFFFFFFF"/>
      <name val="Calibri"/>
      <family val="2"/>
    </font>
    <font>
      <sz val="9"/>
      <name val="Calibri"/>
      <family val="2"/>
    </font>
    <font>
      <sz val="9"/>
      <color rgb="FF000000"/>
      <name val="Calibri"/>
      <family val="2"/>
    </font>
    <font>
      <b/>
      <sz val="9"/>
      <color rgb="FF1F3864"/>
      <name val="Calibri"/>
      <family val="2"/>
    </font>
    <font>
      <b/>
      <sz val="9"/>
      <color rgb="FF006100"/>
      <name val="Calibri"/>
      <family val="2"/>
    </font>
    <font>
      <b/>
      <sz val="9"/>
      <color rgb="FF9C0006"/>
      <name val="Calibri"/>
      <family val="2"/>
    </font>
    <font>
      <i/>
      <sz val="8"/>
      <color rgb="FF666666"/>
      <name val="Calibri"/>
      <family val="2"/>
    </font>
    <font>
      <b/>
      <sz val="20"/>
      <color rgb="FF1F3864"/>
      <name val="Calibri"/>
      <family val="2"/>
    </font>
    <font>
      <sz val="12"/>
      <color rgb="FF666666"/>
      <name val="Calibri"/>
      <family val="2"/>
    </font>
    <font>
      <sz val="8"/>
      <color rgb="FF666666"/>
      <name val="Calibri"/>
      <family val="2"/>
    </font>
    <font>
      <b/>
      <sz val="10"/>
      <color rgb="FFFFFFFF"/>
      <name val="Calibri"/>
      <family val="2"/>
    </font>
    <font>
      <sz val="10"/>
      <color rgb="FF000000"/>
      <name val="Calibri"/>
      <family val="2"/>
    </font>
    <font>
      <b/>
      <sz val="9"/>
      <name val="Calibri"/>
      <family val="2"/>
    </font>
    <font>
      <sz val="14"/>
      <color rgb="FF666666"/>
      <name val="Calibri"/>
      <family val="2"/>
    </font>
    <font>
      <sz val="10"/>
      <name val="Calibri"/>
      <family val="2"/>
    </font>
    <font>
      <b/>
      <sz val="10"/>
      <name val="Calibri"/>
      <family val="2"/>
    </font>
    <font>
      <i/>
      <sz val="10"/>
      <color rgb="FF999999"/>
      <name val="Calibri"/>
      <family val="2"/>
    </font>
    <font>
      <b/>
      <sz val="12"/>
      <color rgb="FF1F3864"/>
      <name val="Calibri"/>
      <family val="2"/>
    </font>
    <font>
      <i/>
      <sz val="10"/>
      <color rgb="FF666666"/>
      <name val="Calibri"/>
      <family val="2"/>
    </font>
    <font>
      <b/>
      <sz val="12"/>
      <color rgb="FF006100"/>
      <name val="Calibri"/>
      <family val="2"/>
    </font>
    <font>
      <b/>
      <sz val="10"/>
      <color rgb="FF1B365D"/>
      <name val="Calibri"/>
      <family val="2"/>
    </font>
    <font>
      <sz val="11"/>
      <color theme="1"/>
      <name val="Calibri"/>
      <family val="2"/>
      <charset val="1"/>
    </font>
    <font>
      <b/>
      <sz val="12"/>
      <color rgb="FF000000"/>
      <name val="Arial"/>
      <family val="2"/>
    </font>
    <font>
      <sz val="10"/>
      <color rgb="FF000000"/>
      <name val="Arial"/>
      <family val="2"/>
    </font>
    <font>
      <sz val="11"/>
      <color rgb="FF000000"/>
      <name val="Calibri"/>
      <family val="2"/>
    </font>
    <font>
      <sz val="8"/>
      <name val="Helvetica"/>
      <family val="2"/>
    </font>
    <font>
      <b/>
      <sz val="10"/>
      <color rgb="FF000000"/>
      <name val="Arial"/>
      <family val="2"/>
    </font>
    <font>
      <sz val="6"/>
      <name val="Helvetica"/>
      <family val="2"/>
    </font>
    <font>
      <b/>
      <sz val="9"/>
      <color indexed="81"/>
      <name val="Tahoma"/>
      <family val="2"/>
    </font>
    <font>
      <sz val="9"/>
      <color indexed="81"/>
      <name val="Tahoma"/>
      <family val="2"/>
    </font>
    <font>
      <sz val="5"/>
      <color theme="0"/>
      <name val="Calibri"/>
      <family val="2"/>
      <charset val="1"/>
    </font>
    <font>
      <sz val="6"/>
      <color theme="1"/>
      <name val="Calibri"/>
      <family val="2"/>
      <charset val="1"/>
    </font>
    <font>
      <sz val="11"/>
      <color rgb="FF000000"/>
      <name val="Aptos Narrow"/>
      <family val="2"/>
    </font>
    <font>
      <sz val="11"/>
      <color rgb="FF000000"/>
      <name val="Calibri"/>
      <family val="2"/>
    </font>
    <font>
      <b/>
      <sz val="8"/>
      <color rgb="FF0000FF"/>
      <name val="Calibri"/>
      <family val="2"/>
    </font>
    <font>
      <i/>
      <sz val="7"/>
      <color rgb="FF666666"/>
      <name val="Calibri"/>
      <family val="2"/>
    </font>
    <font>
      <b/>
      <sz val="9"/>
      <color rgb="FF1B365D"/>
      <name val="Calibri"/>
      <family val="2"/>
    </font>
    <font>
      <b/>
      <sz val="8"/>
      <color rgb="FF1B365D"/>
      <name val="Calibri"/>
      <family val="2"/>
    </font>
    <font>
      <sz val="8"/>
      <color rgb="FF000000"/>
      <name val="Calibri"/>
      <family val="2"/>
    </font>
    <font>
      <b/>
      <sz val="8"/>
      <color rgb="FFFFFFFF"/>
      <name val="Calibri"/>
      <family val="2"/>
    </font>
    <font>
      <b/>
      <sz val="8"/>
      <color rgb="FF000000"/>
      <name val="Calibri"/>
      <family val="2"/>
    </font>
    <font>
      <b/>
      <sz val="22"/>
      <color rgb="FFFFFFFF"/>
      <name val="Calibri"/>
      <family val="2"/>
    </font>
    <font>
      <sz val="13"/>
      <color rgb="FFA8C4E0"/>
      <name val="Calibri"/>
      <family val="2"/>
    </font>
    <font>
      <i/>
      <sz val="9"/>
      <color rgb="FF7BA0C9"/>
      <name val="Calibri"/>
      <family val="2"/>
    </font>
    <font>
      <b/>
      <sz val="11"/>
      <color rgb="FFFFFFFF"/>
      <name val="Calibri"/>
      <family val="2"/>
    </font>
    <font>
      <sz val="10"/>
      <color rgb="FF333333"/>
      <name val="Calibri"/>
      <family val="2"/>
    </font>
    <font>
      <sz val="9"/>
      <color rgb="FF333333"/>
      <name val="Calibri"/>
      <family val="2"/>
    </font>
    <font>
      <sz val="9"/>
      <color rgb="FF666666"/>
      <name val="Calibri"/>
      <family val="2"/>
    </font>
    <font>
      <b/>
      <sz val="10"/>
      <color rgb="FF333333"/>
      <name val="Calibri"/>
      <family val="2"/>
    </font>
    <font>
      <sz val="7"/>
      <color rgb="FFFF0000"/>
      <name val="Calibri"/>
      <family val="2"/>
    </font>
    <font>
      <sz val="11"/>
      <color rgb="FF000000"/>
      <name val="Calibri"/>
      <family val="2"/>
      <charset val="1"/>
    </font>
    <font>
      <sz val="9"/>
      <color theme="1"/>
      <name val="Calibri"/>
      <family val="2"/>
    </font>
    <font>
      <b/>
      <sz val="9"/>
      <color rgb="FF525252"/>
      <name val="Inter"/>
    </font>
    <font>
      <sz val="8"/>
      <color theme="1"/>
      <name val="Calibri"/>
      <family val="2"/>
    </font>
    <font>
      <sz val="8"/>
      <color rgb="FF006100"/>
      <name val="Calibri"/>
      <family val="2"/>
    </font>
    <font>
      <b/>
      <sz val="8"/>
      <color rgb="FF006100"/>
      <name val="Calibri"/>
      <family val="2"/>
    </font>
    <font>
      <sz val="8"/>
      <color rgb="FF9C0006"/>
      <name val="Calibri"/>
      <family val="2"/>
    </font>
    <font>
      <b/>
      <sz val="8"/>
      <color rgb="FF9C0006"/>
      <name val="Calibri"/>
      <family val="2"/>
    </font>
    <font>
      <sz val="8"/>
      <color rgb="FFBF8F00"/>
      <name val="Calibri"/>
      <family val="2"/>
    </font>
    <font>
      <b/>
      <sz val="8"/>
      <color rgb="FFBF8F00"/>
      <name val="Calibri"/>
      <family val="2"/>
    </font>
    <font>
      <sz val="8"/>
      <color rgb="FFC00000"/>
      <name val="Calibri"/>
      <family val="2"/>
    </font>
    <font>
      <b/>
      <sz val="8"/>
      <color rgb="FFC00000"/>
      <name val="Calibri"/>
      <family val="2"/>
    </font>
    <font>
      <sz val="7"/>
      <color rgb="FF006100"/>
      <name val="Calibri"/>
      <family val="2"/>
    </font>
    <font>
      <b/>
      <sz val="8"/>
      <color theme="1"/>
      <name val="Calibri"/>
      <family val="2"/>
    </font>
    <font>
      <sz val="8"/>
      <color theme="1"/>
      <name val="Calibri"/>
      <family val="2"/>
      <charset val="1"/>
    </font>
    <font>
      <sz val="8"/>
      <color rgb="FF006100"/>
      <name val="Calibri"/>
      <family val="2"/>
      <charset val="1"/>
    </font>
    <font>
      <sz val="8"/>
      <color rgb="FF9C0006"/>
      <name val="Calibri"/>
      <family val="2"/>
      <charset val="1"/>
    </font>
    <font>
      <sz val="7"/>
      <color rgb="FFFF0000"/>
      <name val="Calibri"/>
      <family val="2"/>
      <charset val="1"/>
    </font>
    <font>
      <sz val="7"/>
      <color rgb="FF006100"/>
      <name val="Calibri"/>
      <family val="2"/>
      <charset val="1"/>
    </font>
    <font>
      <b/>
      <sz val="8"/>
      <color rgb="FF9C0006"/>
      <name val="Calibri"/>
      <family val="2"/>
      <charset val="1"/>
    </font>
    <font>
      <b/>
      <sz val="7"/>
      <color rgb="FFFF0000"/>
      <name val="Calibri"/>
      <family val="2"/>
      <charset val="1"/>
    </font>
    <font>
      <b/>
      <sz val="8"/>
      <color theme="1"/>
      <name val="Calibri"/>
      <family val="2"/>
      <charset val="1"/>
    </font>
    <font>
      <b/>
      <sz val="8"/>
      <color rgb="FF006100"/>
      <name val="Calibri"/>
      <family val="2"/>
      <charset val="1"/>
    </font>
    <font>
      <sz val="8"/>
      <color rgb="FFBF8F00"/>
      <name val="Calibri"/>
      <family val="2"/>
      <charset val="1"/>
    </font>
    <font>
      <b/>
      <sz val="8"/>
      <color rgb="FFFFFFFF"/>
      <name val="Calibri"/>
      <family val="2"/>
      <charset val="1"/>
    </font>
    <font>
      <b/>
      <sz val="8"/>
      <color rgb="FF1B365D"/>
      <name val="Calibri"/>
      <family val="2"/>
      <charset val="1"/>
    </font>
    <font>
      <b/>
      <sz val="8"/>
      <color rgb="FFC00000"/>
      <name val="Calibri"/>
      <family val="2"/>
      <charset val="1"/>
    </font>
    <font>
      <b/>
      <sz val="7"/>
      <color rgb="FFFFFFFF"/>
      <name val="Calibri"/>
      <family val="2"/>
    </font>
    <font>
      <b/>
      <sz val="7"/>
      <color rgb="FFFF0000"/>
      <name val="Calibri"/>
      <family val="2"/>
    </font>
    <font>
      <b/>
      <sz val="9"/>
      <color rgb="FF1B365D"/>
      <name val="Calibri"/>
      <family val="2"/>
      <charset val="1"/>
    </font>
    <font>
      <sz val="8"/>
      <color rgb="FF000000"/>
      <name val="Calibri"/>
      <family val="2"/>
      <charset val="1"/>
    </font>
    <font>
      <sz val="7"/>
      <color rgb="FFC00000"/>
      <name val="Calibri"/>
      <family val="2"/>
      <charset val="1"/>
    </font>
    <font>
      <b/>
      <sz val="8"/>
      <color rgb="FFBF8F00"/>
      <name val="Calibri"/>
      <family val="2"/>
      <charset val="1"/>
    </font>
    <font>
      <sz val="7"/>
      <color rgb="FFFFFFFF"/>
      <name val="Calibri"/>
      <family val="2"/>
      <charset val="1"/>
    </font>
    <font>
      <sz val="7"/>
      <color rgb="FFBF8F00"/>
      <name val="Calibri"/>
      <family val="2"/>
      <charset val="1"/>
    </font>
    <font>
      <sz val="7"/>
      <color rgb="FF000000"/>
      <name val="Calibri"/>
      <family val="2"/>
      <charset val="1"/>
    </font>
    <font>
      <b/>
      <sz val="8"/>
      <color rgb="FF666666"/>
      <name val="Calibri"/>
      <family val="2"/>
      <charset val="1"/>
    </font>
    <font>
      <b/>
      <sz val="8"/>
      <color rgb="FF000000"/>
      <name val="Calibri"/>
      <family val="2"/>
      <charset val="1"/>
    </font>
    <font>
      <b/>
      <sz val="7"/>
      <color rgb="FFC00000"/>
      <name val="Calibri"/>
      <family val="2"/>
      <charset val="1"/>
    </font>
    <font>
      <sz val="11"/>
      <name val="Calibri"/>
      <family val="2"/>
    </font>
    <font>
      <sz val="8"/>
      <name val="Calibri"/>
      <family val="2"/>
      <charset val="1"/>
    </font>
    <font>
      <b/>
      <sz val="9"/>
      <color rgb="FF333333"/>
      <name val="Calibri"/>
      <family val="2"/>
      <charset val="1"/>
    </font>
    <font>
      <b/>
      <sz val="9"/>
      <color rgb="FF8B0000"/>
      <name val="Calibri"/>
      <family val="2"/>
      <charset val="1"/>
    </font>
    <font>
      <sz val="9"/>
      <color rgb="FFCC5500"/>
      <name val="Calibri"/>
      <family val="2"/>
      <charset val="1"/>
    </font>
    <font>
      <sz val="9"/>
      <color rgb="FF806600"/>
      <name val="Calibri"/>
      <family val="2"/>
      <charset val="1"/>
    </font>
    <font>
      <b/>
      <sz val="10"/>
      <color rgb="FF1F3864"/>
      <name val="Calibri"/>
      <family val="2"/>
      <charset val="1"/>
    </font>
    <font>
      <sz val="9"/>
      <color theme="1"/>
      <name val="Calibri"/>
      <family val="2"/>
      <charset val="1"/>
    </font>
    <font>
      <b/>
      <sz val="9"/>
      <color theme="1"/>
      <name val="Calibri"/>
      <family val="2"/>
      <charset val="1"/>
    </font>
    <font>
      <sz val="9"/>
      <color rgb="FF000000"/>
      <name val="Calibri"/>
      <family val="2"/>
      <charset val="1"/>
    </font>
    <font>
      <sz val="11"/>
      <color rgb="FF006100"/>
      <name val="Calibri"/>
      <family val="2"/>
      <scheme val="minor"/>
    </font>
    <font>
      <sz val="11"/>
      <color rgb="FF9C0006"/>
      <name val="Calibri"/>
      <family val="2"/>
      <scheme val="minor"/>
    </font>
    <font>
      <sz val="11"/>
      <color rgb="FF9C5700"/>
      <name val="Calibri"/>
      <family val="2"/>
      <scheme val="minor"/>
    </font>
    <font>
      <b/>
      <sz val="8"/>
      <color rgb="FF8B0000"/>
      <name val="Calibri"/>
      <family val="2"/>
    </font>
    <font>
      <sz val="8"/>
      <color rgb="FFCC5500"/>
      <name val="Calibri"/>
      <family val="2"/>
    </font>
    <font>
      <sz val="8"/>
      <color rgb="FF806600"/>
      <name val="Calibri"/>
      <family val="2"/>
    </font>
    <font>
      <i/>
      <sz val="7"/>
      <color rgb="FF1B365D"/>
      <name val="Calibri"/>
      <family val="2"/>
    </font>
    <font>
      <sz val="8"/>
      <color rgb="FF242424"/>
      <name val="Aptos Narrow"/>
      <family val="2"/>
    </font>
    <font>
      <b/>
      <sz val="9"/>
      <color rgb="FF000000"/>
      <name val="Calibri"/>
      <family val="2"/>
    </font>
    <font>
      <sz val="11"/>
      <color rgb="FF000000"/>
      <name val="Calibri"/>
      <family val="2"/>
    </font>
    <font>
      <sz val="11"/>
      <color rgb="FF00B050"/>
      <name val="Calibri"/>
      <family val="2"/>
    </font>
    <font>
      <sz val="10"/>
      <color rgb="FF00B050"/>
      <name val="Arial"/>
      <family val="2"/>
    </font>
    <font>
      <b/>
      <sz val="9"/>
      <color rgb="FF525252"/>
      <name val="Inter"/>
      <charset val="1"/>
    </font>
    <font>
      <sz val="11"/>
      <color rgb="FF242424"/>
      <name val="Aptos Narrow"/>
      <family val="2"/>
    </font>
    <font>
      <sz val="11"/>
      <color rgb="FF9C5700"/>
      <name val="Calibri"/>
      <family val="2"/>
      <scheme val="minor"/>
    </font>
    <font>
      <sz val="11"/>
      <color rgb="FF9C0006"/>
      <name val="Calibri"/>
      <family val="2"/>
      <scheme val="minor"/>
    </font>
    <font>
      <b/>
      <sz val="12"/>
      <color rgb="FFFF0000"/>
      <name val="Calibri"/>
      <family val="2"/>
    </font>
    <font>
      <sz val="11"/>
      <color rgb="FF006100"/>
      <name val="Calibri"/>
      <family val="2"/>
      <scheme val="minor"/>
    </font>
    <font>
      <sz val="8"/>
      <color rgb="FFFFFFFF"/>
      <name val="Calibri"/>
      <family val="2"/>
    </font>
    <font>
      <b/>
      <sz val="10"/>
      <color rgb="FFFFFFFF"/>
      <name val="Calibri"/>
      <family val="2"/>
      <charset val="1"/>
    </font>
    <font>
      <sz val="9"/>
      <color rgb="FF1F3864"/>
      <name val="Calibri"/>
      <family val="2"/>
    </font>
    <font>
      <b/>
      <sz val="11"/>
      <color rgb="FF000000"/>
      <name val="Calibri"/>
      <family val="2"/>
    </font>
    <font>
      <sz val="8"/>
      <color rgb="FF375623"/>
      <name val="Calibri"/>
      <family val="2"/>
    </font>
    <font>
      <sz val="9"/>
      <color rgb="FF999999"/>
      <name val="Calibri"/>
      <family val="2"/>
    </font>
    <font>
      <i/>
      <sz val="8"/>
      <color rgb="FF999999"/>
      <name val="Calibri"/>
      <family val="2"/>
    </font>
    <font>
      <sz val="9"/>
      <color rgb="FF9C0006"/>
      <name val="Calibri"/>
      <family val="2"/>
    </font>
    <font>
      <sz val="9"/>
      <color rgb="FFBF8F00"/>
      <name val="Calibri"/>
      <family val="2"/>
    </font>
    <font>
      <b/>
      <sz val="9"/>
      <color rgb="FFBF8F00"/>
      <name val="Calibri"/>
      <family val="2"/>
    </font>
    <font>
      <sz val="9"/>
      <color rgb="FF375623"/>
      <name val="Calibri"/>
      <family val="2"/>
    </font>
    <font>
      <b/>
      <sz val="9"/>
      <color rgb="FF375623"/>
      <name val="Calibri"/>
      <family val="2"/>
    </font>
    <font>
      <b/>
      <sz val="8"/>
      <color rgb="FF375623"/>
      <name val="Calibri"/>
      <family val="2"/>
    </font>
    <font>
      <b/>
      <sz val="8"/>
      <color rgb="FF1F3864"/>
      <name val="Calibri"/>
      <family val="2"/>
    </font>
    <font>
      <sz val="8"/>
      <color rgb="FF8B0000"/>
      <name val="Calibri"/>
      <family val="2"/>
    </font>
    <font>
      <b/>
      <sz val="8"/>
      <color rgb="FFCC5500"/>
      <name val="Calibri"/>
      <family val="2"/>
    </font>
    <font>
      <b/>
      <sz val="11"/>
      <color rgb="FFFFFFFF"/>
      <name val="Calibri"/>
      <family val="2"/>
      <charset val="1"/>
    </font>
    <font>
      <sz val="8"/>
      <color rgb="FF808080"/>
      <name val="Calibri"/>
      <family val="2"/>
    </font>
    <font>
      <sz val="8"/>
      <color rgb="FF0000FF"/>
      <name val="Calibri"/>
      <family val="2"/>
    </font>
    <font>
      <i/>
      <sz val="7"/>
      <color rgb="FFC00000"/>
      <name val="Calibri"/>
      <family val="2"/>
    </font>
    <font>
      <b/>
      <i/>
      <sz val="7"/>
      <color rgb="FF1B365D"/>
      <name val="Calibri"/>
      <family val="2"/>
    </font>
    <font>
      <b/>
      <i/>
      <sz val="8"/>
      <color rgb="FF1B365D"/>
      <name val="Calibri"/>
      <family val="2"/>
    </font>
    <font>
      <b/>
      <sz val="11"/>
      <color rgb="FF1B365D"/>
      <name val="Calibri"/>
      <family val="2"/>
      <charset val="1"/>
    </font>
    <font>
      <sz val="8"/>
      <color rgb="FF008000"/>
      <name val="Calibri"/>
      <family val="2"/>
      <charset val="1"/>
    </font>
    <font>
      <b/>
      <u/>
      <sz val="13"/>
      <color rgb="FF000000"/>
      <name val="Calibri"/>
      <family val="2"/>
    </font>
    <font>
      <b/>
      <sz val="14"/>
      <color rgb="FF000000"/>
      <name val="Calibri"/>
      <family val="2"/>
    </font>
    <font>
      <sz val="11"/>
      <name val="Calibri"/>
      <family val="2"/>
    </font>
    <font>
      <sz val="11"/>
      <color rgb="FFFF0000"/>
      <name val="Calibri"/>
      <family val="2"/>
    </font>
    <font>
      <sz val="11"/>
      <color rgb="FFFFC000"/>
      <name val="Calibri"/>
      <family val="2"/>
    </font>
    <font>
      <sz val="10"/>
      <color rgb="FFFFC000"/>
      <name val="Arial"/>
      <family val="2"/>
    </font>
    <font>
      <sz val="11"/>
      <color theme="1"/>
      <name val="Calibri"/>
      <family val="2"/>
    </font>
    <font>
      <sz val="8"/>
      <color rgb="FF9C5700"/>
      <name val="Calibri"/>
      <family val="2"/>
    </font>
    <font>
      <sz val="8"/>
      <color rgb="FF1B365D"/>
      <name val="Calibri"/>
      <family val="2"/>
    </font>
    <font>
      <b/>
      <sz val="8"/>
      <color rgb="FF9C5700"/>
      <name val="Calibri"/>
      <family val="2"/>
    </font>
    <font>
      <b/>
      <sz val="7"/>
      <color rgb="FF000000"/>
      <name val="Calibri"/>
      <family val="2"/>
    </font>
    <font>
      <sz val="7"/>
      <color theme="1"/>
      <name val="Calibri"/>
      <family val="2"/>
    </font>
    <font>
      <i/>
      <sz val="7"/>
      <color rgb="FFC00000"/>
      <name val="Calibri"/>
      <family val="2"/>
      <charset val="1"/>
    </font>
    <font>
      <b/>
      <sz val="8"/>
      <color rgb="FF375623"/>
      <name val="Calibri"/>
      <family val="2"/>
      <charset val="1"/>
    </font>
    <font>
      <b/>
      <i/>
      <sz val="7"/>
      <color rgb="FF375623"/>
      <name val="Calibri"/>
      <family val="2"/>
      <charset val="1"/>
    </font>
    <font>
      <b/>
      <sz val="10"/>
      <color rgb="FFFFFFFF"/>
      <name val="Arial"/>
      <family val="2"/>
    </font>
    <font>
      <sz val="10"/>
      <color rgb="FFF5C431"/>
      <name val="Arial"/>
      <family val="2"/>
    </font>
    <font>
      <sz val="11"/>
      <color rgb="FFF5C431"/>
      <name val="Calibri"/>
      <family val="2"/>
    </font>
    <font>
      <sz val="10"/>
      <color rgb="FFF0C546"/>
      <name val="Arial"/>
      <family val="2"/>
    </font>
    <font>
      <b/>
      <sz val="8"/>
      <color rgb="FF0070C0"/>
      <name val="Calibri"/>
      <family val="2"/>
    </font>
    <font>
      <b/>
      <sz val="9"/>
      <color rgb="FF1F3864"/>
      <name val="Calibri"/>
      <family val="2"/>
      <charset val="1"/>
    </font>
    <font>
      <sz val="8"/>
      <color rgb="FF666666"/>
      <name val="Calibri"/>
      <family val="2"/>
      <charset val="1"/>
    </font>
    <font>
      <i/>
      <sz val="8"/>
      <color rgb="FF666666"/>
      <name val="Calibri"/>
      <family val="2"/>
      <charset val="1"/>
    </font>
    <font>
      <b/>
      <sz val="8"/>
      <color rgb="FF1F3864"/>
      <name val="Calibri"/>
      <family val="2"/>
      <charset val="1"/>
    </font>
    <font>
      <sz val="8"/>
      <color rgb="FFC00000"/>
      <name val="Calibri"/>
      <family val="2"/>
      <charset val="1"/>
    </font>
    <font>
      <sz val="7"/>
      <color rgb="FF666666"/>
      <name val="Calibri"/>
      <family val="2"/>
      <charset val="1"/>
    </font>
    <font>
      <sz val="8"/>
      <color rgb="FFFFC000"/>
      <name val="Calibri"/>
      <family val="2"/>
      <charset val="1"/>
    </font>
    <font>
      <sz val="8"/>
      <color rgb="FF4472C4"/>
      <name val="Calibri"/>
      <family val="2"/>
      <charset val="1"/>
    </font>
    <font>
      <b/>
      <sz val="10"/>
      <color rgb="FF008000"/>
      <name val="Calibri"/>
      <family val="2"/>
      <charset val="1"/>
    </font>
    <font>
      <sz val="9"/>
      <color rgb="FF006100"/>
      <name val="Calibri"/>
      <family val="2"/>
    </font>
    <font>
      <i/>
      <sz val="9"/>
      <color rgb="FF808080"/>
      <name val="Calibri"/>
      <family val="2"/>
    </font>
    <font>
      <b/>
      <sz val="9"/>
      <color theme="1"/>
      <name val="Calibri"/>
      <family val="2"/>
    </font>
    <font>
      <sz val="9"/>
      <color rgb="FF0000FF"/>
      <name val="Calibri"/>
      <family val="2"/>
    </font>
    <font>
      <sz val="10"/>
      <color rgb="FF000000"/>
      <name val="Calibri"/>
      <family val="2"/>
      <charset val="1"/>
    </font>
    <font>
      <sz val="10"/>
      <color rgb="FF000000"/>
      <name val="Arial"/>
    </font>
    <font>
      <b/>
      <sz val="10"/>
      <color rgb="FF000000"/>
      <name val="Arial"/>
    </font>
    <font>
      <sz val="11"/>
      <color rgb="FF000000"/>
      <name val="Calibri"/>
    </font>
    <font>
      <b/>
      <sz val="8"/>
      <color rgb="FFFFFFFF"/>
      <name val="Calibri"/>
    </font>
    <font>
      <sz val="11"/>
      <color rgb="FFFFFFFF"/>
      <name val="Calibri"/>
      <family val="2"/>
      <charset val="1"/>
    </font>
    <font>
      <sz val="8"/>
      <color theme="1"/>
      <name val="Calibri"/>
    </font>
    <font>
      <i/>
      <sz val="7"/>
      <color rgb="FF808080"/>
      <name val="Calibri"/>
      <family val="2"/>
      <charset val="1"/>
    </font>
    <font>
      <sz val="8"/>
      <color rgb="FF000000"/>
      <name val="Calibri"/>
    </font>
    <font>
      <b/>
      <sz val="8"/>
      <color theme="1"/>
      <name val="Calibri"/>
    </font>
    <font>
      <sz val="9"/>
      <color rgb="FF9C0006"/>
      <name val="Calibri"/>
      <family val="2"/>
      <charset val="1"/>
    </font>
    <font>
      <b/>
      <sz val="9"/>
      <color rgb="FF9C0006"/>
      <name val="Calibri"/>
      <family val="2"/>
      <charset val="1"/>
    </font>
    <font>
      <sz val="8"/>
      <color rgb="FFFF0000"/>
      <name val="Calibri"/>
    </font>
    <font>
      <b/>
      <sz val="8"/>
      <color rgb="FFFF0000"/>
      <name val="Calibri"/>
      <family val="2"/>
      <charset val="1"/>
    </font>
    <font>
      <sz val="8"/>
      <color rgb="FFFF0000"/>
      <name val="Calibri"/>
      <family val="2"/>
      <charset val="1"/>
    </font>
    <font>
      <b/>
      <sz val="11"/>
      <name val="Calibri"/>
    </font>
    <font>
      <sz val="8"/>
      <color rgb="FF006100"/>
      <name val="Calibri"/>
    </font>
    <font>
      <b/>
      <sz val="8"/>
      <color rgb="FF8B0000"/>
      <name val="Calibri"/>
    </font>
    <font>
      <sz val="9"/>
      <color rgb="FF000000"/>
      <name val="Calibri"/>
    </font>
    <font>
      <b/>
      <sz val="9"/>
      <color rgb="FFBF8F00"/>
      <name val="Calibri"/>
    </font>
  </fonts>
  <fills count="64">
    <fill>
      <patternFill patternType="none"/>
    </fill>
    <fill>
      <patternFill patternType="gray125"/>
    </fill>
    <fill>
      <patternFill patternType="solid">
        <fgColor rgb="FFDEEAF6"/>
        <bgColor rgb="FFE2EFDA"/>
      </patternFill>
    </fill>
    <fill>
      <patternFill patternType="solid">
        <fgColor rgb="FF1F3864"/>
        <bgColor rgb="FF333333"/>
      </patternFill>
    </fill>
    <fill>
      <patternFill patternType="solid">
        <fgColor rgb="FFF2F2F2"/>
        <bgColor rgb="FFE2EFDA"/>
      </patternFill>
    </fill>
    <fill>
      <patternFill patternType="solid">
        <fgColor rgb="FFC6EFCE"/>
        <bgColor rgb="FFE2EFDA"/>
      </patternFill>
    </fill>
    <fill>
      <patternFill patternType="solid">
        <fgColor rgb="FFFFC7CE"/>
        <bgColor rgb="FFD9D9D9"/>
      </patternFill>
    </fill>
    <fill>
      <patternFill patternType="solid">
        <fgColor rgb="FFE2EFDA"/>
        <bgColor rgb="FFDEEAF6"/>
      </patternFill>
    </fill>
    <fill>
      <patternFill patternType="solid">
        <fgColor rgb="FFF2F2F2"/>
        <bgColor rgb="FFF2F2F2"/>
      </patternFill>
    </fill>
    <fill>
      <patternFill patternType="solid">
        <fgColor rgb="FFFFF2CC"/>
        <bgColor rgb="FFFFF2CC"/>
      </patternFill>
    </fill>
    <fill>
      <patternFill patternType="solid">
        <fgColor rgb="FF1F3864"/>
        <bgColor rgb="FF1F3864"/>
      </patternFill>
    </fill>
    <fill>
      <patternFill patternType="solid">
        <fgColor rgb="FFE2EFDA"/>
        <bgColor rgb="FFE2EFDA"/>
      </patternFill>
    </fill>
    <fill>
      <patternFill patternType="solid">
        <fgColor rgb="FFE8EEF4"/>
        <bgColor rgb="FFE8EEF4"/>
      </patternFill>
    </fill>
    <fill>
      <patternFill patternType="solid">
        <fgColor theme="0" tint="-4.9989318521683403E-2"/>
        <bgColor indexed="64"/>
      </patternFill>
    </fill>
    <fill>
      <patternFill patternType="solid">
        <fgColor theme="0"/>
        <bgColor indexed="64"/>
      </patternFill>
    </fill>
    <fill>
      <patternFill patternType="solid">
        <fgColor rgb="FFC0C0C0"/>
        <bgColor rgb="FF000000"/>
      </patternFill>
    </fill>
    <fill>
      <patternFill patternType="solid">
        <fgColor rgb="FFFFFFFF"/>
        <bgColor indexed="64"/>
      </patternFill>
    </fill>
    <fill>
      <patternFill patternType="solid">
        <fgColor theme="6" tint="0.79998168889431442"/>
        <bgColor indexed="64"/>
      </patternFill>
    </fill>
    <fill>
      <patternFill patternType="solid">
        <fgColor rgb="FFFFFF00"/>
        <bgColor indexed="64"/>
      </patternFill>
    </fill>
    <fill>
      <patternFill patternType="solid">
        <fgColor theme="4" tint="0.79998168889431442"/>
        <bgColor rgb="FFE2EFDA"/>
      </patternFill>
    </fill>
    <fill>
      <patternFill patternType="solid">
        <fgColor rgb="FFDEEAF6"/>
        <bgColor rgb="FFDCE6F2"/>
      </patternFill>
    </fill>
    <fill>
      <patternFill patternType="solid">
        <fgColor rgb="FFE8EEF4"/>
        <bgColor rgb="FFF0F0F0"/>
      </patternFill>
    </fill>
    <fill>
      <patternFill patternType="solid">
        <fgColor rgb="FFFFF2CC"/>
        <bgColor indexed="64"/>
      </patternFill>
    </fill>
    <fill>
      <patternFill patternType="solid">
        <fgColor rgb="FFFFC7CE"/>
        <bgColor indexed="64"/>
      </patternFill>
    </fill>
    <fill>
      <patternFill patternType="solid">
        <fgColor rgb="FF1F3864"/>
        <bgColor indexed="64"/>
      </patternFill>
    </fill>
    <fill>
      <patternFill patternType="solid">
        <fgColor rgb="FF2E5090"/>
        <bgColor indexed="64"/>
      </patternFill>
    </fill>
    <fill>
      <patternFill patternType="solid">
        <fgColor rgb="FFE8EEF4"/>
        <bgColor indexed="64"/>
      </patternFill>
    </fill>
    <fill>
      <patternFill patternType="solid">
        <fgColor rgb="FFDEEAF6"/>
        <bgColor indexed="64"/>
      </patternFill>
    </fill>
    <fill>
      <patternFill patternType="solid">
        <fgColor rgb="FFF2F2F2"/>
        <bgColor indexed="64"/>
      </patternFill>
    </fill>
    <fill>
      <patternFill patternType="solid">
        <fgColor rgb="FFC6EFCE"/>
        <bgColor indexed="64"/>
      </patternFill>
    </fill>
    <fill>
      <patternFill patternType="solid">
        <fgColor rgb="FFEFEFEF"/>
        <bgColor indexed="64"/>
      </patternFill>
    </fill>
    <fill>
      <patternFill patternType="solid">
        <fgColor rgb="FFC00000"/>
        <bgColor indexed="64"/>
      </patternFill>
    </fill>
    <fill>
      <patternFill patternType="solid">
        <fgColor rgb="FFFFEB9C"/>
        <bgColor indexed="64"/>
      </patternFill>
    </fill>
    <fill>
      <patternFill patternType="solid">
        <fgColor rgb="FFFFFCE6"/>
        <bgColor indexed="64"/>
      </patternFill>
    </fill>
    <fill>
      <patternFill patternType="solid">
        <fgColor rgb="FFFFD2D2"/>
        <bgColor indexed="64"/>
      </patternFill>
    </fill>
    <fill>
      <patternFill patternType="solid">
        <fgColor rgb="FFFFE8CC"/>
        <bgColor indexed="64"/>
      </patternFill>
    </fill>
    <fill>
      <patternFill patternType="solid">
        <fgColor rgb="FFFFF9C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rgb="FF000000"/>
      </patternFill>
    </fill>
    <fill>
      <patternFill patternType="solid">
        <fgColor rgb="FFDAEEF3"/>
        <bgColor rgb="FF000000"/>
      </patternFill>
    </fill>
    <fill>
      <patternFill patternType="solid">
        <fgColor rgb="FFD6E4F0"/>
        <bgColor indexed="64"/>
      </patternFill>
    </fill>
    <fill>
      <patternFill patternType="solid">
        <fgColor rgb="FFD9E2F3"/>
        <bgColor indexed="64"/>
      </patternFill>
    </fill>
    <fill>
      <patternFill patternType="solid">
        <fgColor rgb="FF00B0F0"/>
        <bgColor indexed="64"/>
      </patternFill>
    </fill>
    <fill>
      <patternFill patternType="solid">
        <fgColor theme="9"/>
        <bgColor indexed="64"/>
      </patternFill>
    </fill>
    <fill>
      <patternFill patternType="solid">
        <fgColor theme="6" tint="0.59999389629810485"/>
        <bgColor indexed="64"/>
      </patternFill>
    </fill>
    <fill>
      <patternFill patternType="solid">
        <fgColor rgb="FFE2EFDA"/>
        <bgColor indexed="64"/>
      </patternFill>
    </fill>
    <fill>
      <patternFill patternType="solid">
        <fgColor rgb="FFFCE4D6"/>
        <bgColor indexed="64"/>
      </patternFill>
    </fill>
    <fill>
      <patternFill patternType="solid">
        <fgColor rgb="FFD6DCE4"/>
        <bgColor indexed="64"/>
      </patternFill>
    </fill>
    <fill>
      <patternFill patternType="solid">
        <fgColor rgb="FFDAEEF3"/>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rgb="FF102346"/>
        <bgColor rgb="FF003300"/>
      </patternFill>
    </fill>
    <fill>
      <patternFill patternType="solid">
        <fgColor theme="8" tint="0.79998168889431442"/>
        <bgColor indexed="64"/>
      </patternFill>
    </fill>
    <fill>
      <patternFill patternType="solid">
        <fgColor rgb="FFF2F6FA"/>
        <bgColor indexed="64"/>
      </patternFill>
    </fill>
    <fill>
      <patternFill patternType="solid">
        <fgColor rgb="FF4472C4"/>
        <bgColor indexed="64"/>
      </patternFill>
    </fill>
    <fill>
      <patternFill patternType="solid">
        <fgColor rgb="FFDCE6F1"/>
        <bgColor indexed="64"/>
      </patternFill>
    </fill>
    <fill>
      <patternFill patternType="solid">
        <fgColor rgb="FFFFE699"/>
        <bgColor indexed="64"/>
      </patternFill>
    </fill>
    <fill>
      <patternFill patternType="solid">
        <fgColor rgb="FFE7E6E6"/>
        <bgColor indexed="64"/>
      </patternFill>
    </fill>
    <fill>
      <patternFill patternType="solid">
        <fgColor rgb="FF808080"/>
        <bgColor indexed="64"/>
      </patternFill>
    </fill>
    <fill>
      <patternFill patternType="solid">
        <fgColor rgb="FF1F6E6E"/>
        <bgColor indexed="64"/>
      </patternFill>
    </fill>
  </fills>
  <borders count="80">
    <border>
      <left/>
      <right/>
      <top/>
      <bottom/>
      <diagonal/>
    </border>
    <border>
      <left style="thin">
        <color rgb="FFD9D9D9"/>
      </left>
      <right style="thin">
        <color rgb="FFD9D9D9"/>
      </right>
      <top style="thin">
        <color rgb="FFD9D9D9"/>
      </top>
      <bottom style="thin">
        <color rgb="FFD9D9D9"/>
      </bottom>
      <diagonal/>
    </border>
    <border>
      <left/>
      <right/>
      <top/>
      <bottom/>
      <diagonal/>
    </border>
    <border>
      <left/>
      <right/>
      <top/>
      <bottom style="medium">
        <color rgb="FF2E5090"/>
      </bottom>
      <diagonal/>
    </border>
    <border>
      <left/>
      <right/>
      <top style="thin">
        <color auto="1"/>
      </top>
      <bottom/>
      <diagonal/>
    </border>
    <border>
      <left/>
      <right/>
      <top/>
      <bottom style="double">
        <color indexed="64"/>
      </bottom>
      <diagonal/>
    </border>
    <border>
      <left/>
      <right/>
      <top style="thin">
        <color rgb="FF000000"/>
      </top>
      <bottom/>
      <diagonal/>
    </border>
    <border>
      <left/>
      <right/>
      <top style="thin">
        <color rgb="FF000000"/>
      </top>
      <bottom style="double">
        <color rgb="FF000000"/>
      </bottom>
      <diagonal/>
    </border>
    <border>
      <left/>
      <right/>
      <top/>
      <bottom style="thin">
        <color rgb="FFD0D0D0"/>
      </bottom>
      <diagonal/>
    </border>
    <border>
      <left/>
      <right/>
      <top style="thin">
        <color rgb="FFD9D9D9"/>
      </top>
      <bottom/>
      <diagonal/>
    </border>
    <border>
      <left/>
      <right style="thin">
        <color rgb="FFD9D9D9"/>
      </right>
      <top style="medium">
        <color rgb="FF2E5090"/>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style="thin">
        <color rgb="FFD9D9D9"/>
      </right>
      <top style="thin">
        <color rgb="FFD9D9D9"/>
      </top>
      <bottom/>
      <diagonal/>
    </border>
    <border>
      <left/>
      <right/>
      <top/>
      <bottom style="thin">
        <color rgb="FFD9D9D9"/>
      </bottom>
      <diagonal/>
    </border>
    <border>
      <left/>
      <right/>
      <top style="double">
        <color rgb="FFB8B8B8"/>
      </top>
      <bottom style="thin">
        <color rgb="FFEBEBEB"/>
      </bottom>
      <diagonal/>
    </border>
    <border>
      <left style="thin">
        <color rgb="FFD9D9D9"/>
      </left>
      <right/>
      <top style="thin">
        <color rgb="FFD9D9D9"/>
      </top>
      <bottom/>
      <diagonal/>
    </border>
    <border>
      <left style="thin">
        <color rgb="FFD9D9D9"/>
      </left>
      <right/>
      <top style="thin">
        <color rgb="FFD9D9D9"/>
      </top>
      <bottom style="thin">
        <color rgb="FFD9D9D9"/>
      </bottom>
      <diagonal/>
    </border>
    <border>
      <left style="thin">
        <color rgb="FF1F3864"/>
      </left>
      <right style="thin">
        <color rgb="FF1F3864"/>
      </right>
      <top/>
      <bottom/>
      <diagonal/>
    </border>
    <border>
      <left style="thin">
        <color rgb="FF1F3864"/>
      </left>
      <right/>
      <top/>
      <bottom/>
      <diagonal/>
    </border>
    <border>
      <left/>
      <right/>
      <top style="thin">
        <color rgb="FFD0D0D0"/>
      </top>
      <bottom style="thin">
        <color rgb="FFD0D0D0"/>
      </bottom>
      <diagonal/>
    </border>
    <border>
      <left/>
      <right/>
      <top style="thin">
        <color rgb="FFD0D0D0"/>
      </top>
      <bottom/>
      <diagonal/>
    </border>
    <border>
      <left/>
      <right style="thin">
        <color rgb="FFD0D0D0"/>
      </right>
      <top/>
      <bottom style="thin">
        <color rgb="FFD0D0D0"/>
      </bottom>
      <diagonal/>
    </border>
    <border>
      <left style="thin">
        <color rgb="FFD0D0D0"/>
      </left>
      <right style="thin">
        <color rgb="FFD0D0D0"/>
      </right>
      <top/>
      <bottom style="thin">
        <color rgb="FFD0D0D0"/>
      </bottom>
      <diagonal/>
    </border>
    <border>
      <left style="thin">
        <color rgb="FFD0D0D0"/>
      </left>
      <right/>
      <top/>
      <bottom style="thin">
        <color rgb="FFD0D0D0"/>
      </bottom>
      <diagonal/>
    </border>
    <border>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right style="thin">
        <color rgb="FFD0D0D0"/>
      </right>
      <top style="thin">
        <color rgb="FFD0D0D0"/>
      </top>
      <bottom/>
      <diagonal/>
    </border>
    <border>
      <left style="thin">
        <color rgb="FFD0D0D0"/>
      </left>
      <right style="thin">
        <color rgb="FFD0D0D0"/>
      </right>
      <top style="thin">
        <color rgb="FFD0D0D0"/>
      </top>
      <bottom/>
      <diagonal/>
    </border>
    <border>
      <left style="thin">
        <color rgb="FFD0D0D0"/>
      </left>
      <right/>
      <top style="thin">
        <color rgb="FFD0D0D0"/>
      </top>
      <bottom/>
      <diagonal/>
    </border>
    <border>
      <left style="thin">
        <color rgb="FFD0D0D0"/>
      </left>
      <right/>
      <top/>
      <bottom/>
      <diagonal/>
    </border>
    <border>
      <left/>
      <right/>
      <top/>
      <bottom style="medium">
        <color rgb="FF1F3864"/>
      </bottom>
      <diagonal/>
    </border>
    <border>
      <left/>
      <right/>
      <top style="medium">
        <color rgb="FF1F3864"/>
      </top>
      <bottom style="thin">
        <color rgb="FFD0D0D0"/>
      </bottom>
      <diagonal/>
    </border>
    <border>
      <left style="thin">
        <color rgb="FFD0D0D0"/>
      </left>
      <right/>
      <top style="medium">
        <color rgb="FF1F3864"/>
      </top>
      <bottom style="thin">
        <color rgb="FFD0D0D0"/>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right style="thin">
        <color rgb="FFD9D9D9"/>
      </right>
      <top style="hair">
        <color rgb="FF2E5090"/>
      </top>
      <bottom/>
      <diagonal/>
    </border>
    <border>
      <left style="thin">
        <color rgb="FFD9D9D9"/>
      </left>
      <right/>
      <top/>
      <bottom/>
      <diagonal/>
    </border>
    <border>
      <left style="thin">
        <color rgb="FFD9D9D9"/>
      </left>
      <right style="thin">
        <color rgb="FFD9D9D9"/>
      </right>
      <top style="hair">
        <color rgb="FF2E5090"/>
      </top>
      <bottom/>
      <diagonal/>
    </border>
    <border>
      <left style="thin">
        <color rgb="FFD9D9D9"/>
      </left>
      <right/>
      <top style="hair">
        <color rgb="FF2E5090"/>
      </top>
      <bottom/>
      <diagonal/>
    </border>
    <border>
      <left style="thin">
        <color rgb="FFD9D9D9"/>
      </left>
      <right style="thin">
        <color rgb="FFD9D9D9"/>
      </right>
      <top style="medium">
        <color rgb="FF2E5090"/>
      </top>
      <bottom style="thin">
        <color rgb="FFD9D9D9"/>
      </bottom>
      <diagonal/>
    </border>
    <border>
      <left/>
      <right style="thin">
        <color rgb="FFD9D9D9"/>
      </right>
      <top style="medium">
        <color rgb="FF2E5090"/>
      </top>
      <bottom style="thin">
        <color rgb="FFD9D9D9"/>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D9D9D9"/>
      </right>
      <top/>
      <bottom/>
      <diagonal/>
    </border>
    <border>
      <left style="thin">
        <color rgb="FF000000"/>
      </left>
      <right style="thin">
        <color rgb="FF000000"/>
      </right>
      <top style="thin">
        <color rgb="FF000000"/>
      </top>
      <bottom/>
      <diagonal/>
    </border>
    <border>
      <left/>
      <right/>
      <top style="medium">
        <color rgb="FF1F3864"/>
      </top>
      <bottom/>
      <diagonal/>
    </border>
    <border>
      <left/>
      <right/>
      <top style="thin">
        <color rgb="FFE0E0E0"/>
      </top>
      <bottom style="thin">
        <color rgb="FFE0E0E0"/>
      </bottom>
      <diagonal/>
    </border>
    <border>
      <left/>
      <right/>
      <top style="thin">
        <color rgb="FFE0E0E0"/>
      </top>
      <bottom/>
      <diagonal/>
    </border>
    <border>
      <left/>
      <right/>
      <top style="medium">
        <color rgb="FF8B0000"/>
      </top>
      <bottom/>
      <diagonal/>
    </border>
    <border>
      <left/>
      <right/>
      <top style="thin">
        <color rgb="FF000000"/>
      </top>
      <bottom style="thin">
        <color rgb="FF000000"/>
      </bottom>
      <diagonal/>
    </border>
    <border>
      <left/>
      <right/>
      <top/>
      <bottom style="thin">
        <color rgb="FF000000"/>
      </bottom>
      <diagonal/>
    </border>
    <border>
      <left/>
      <right style="thin">
        <color rgb="FFD9D9D9"/>
      </right>
      <top/>
      <bottom style="medium">
        <color rgb="FF2E5090"/>
      </bottom>
      <diagonal/>
    </border>
    <border>
      <left style="thin">
        <color rgb="FF000000"/>
      </left>
      <right style="thin">
        <color rgb="FF000000"/>
      </right>
      <top/>
      <bottom style="thin">
        <color rgb="FF000000"/>
      </bottom>
      <diagonal/>
    </border>
    <border>
      <left/>
      <right/>
      <top/>
      <bottom style="thin">
        <color rgb="FF1F3864"/>
      </bottom>
      <diagonal/>
    </border>
    <border>
      <left/>
      <right/>
      <top style="thin">
        <color rgb="FF1F3864"/>
      </top>
      <bottom/>
      <diagonal/>
    </border>
    <border>
      <left/>
      <right/>
      <top style="thin">
        <color rgb="FF1F3864"/>
      </top>
      <bottom style="thin">
        <color rgb="FF1F3864"/>
      </bottom>
      <diagonal/>
    </border>
    <border>
      <left/>
      <right/>
      <top style="medium">
        <color rgb="FF1F3864"/>
      </top>
      <bottom style="medium">
        <color rgb="FF1F3864"/>
      </bottom>
      <diagonal/>
    </border>
    <border>
      <left/>
      <right/>
      <top style="medium">
        <color rgb="FF2E5090"/>
      </top>
      <bottom/>
      <diagonal/>
    </border>
    <border>
      <left style="thin">
        <color rgb="FFD9D9D9"/>
      </left>
      <right/>
      <top style="thin">
        <color rgb="FF2E5090"/>
      </top>
      <bottom style="thin">
        <color rgb="FFD9D9D9"/>
      </bottom>
      <diagonal/>
    </border>
    <border>
      <left/>
      <right/>
      <top style="thin">
        <color rgb="FF2E5090"/>
      </top>
      <bottom style="thin">
        <color rgb="FFD9D9D9"/>
      </bottom>
      <diagonal/>
    </border>
    <border>
      <left/>
      <right style="thin">
        <color rgb="FFD9D9D9"/>
      </right>
      <top style="thin">
        <color rgb="FF2E5090"/>
      </top>
      <bottom style="thin">
        <color rgb="FFD9D9D9"/>
      </bottom>
      <diagonal/>
    </border>
    <border>
      <left style="thin">
        <color rgb="FFD9D9D9"/>
      </left>
      <right/>
      <top style="thin">
        <color rgb="FF2E5090"/>
      </top>
      <bottom/>
      <diagonal/>
    </border>
    <border>
      <left/>
      <right/>
      <top style="thin">
        <color rgb="FF2E5090"/>
      </top>
      <bottom/>
      <diagonal/>
    </border>
    <border>
      <left/>
      <right style="thin">
        <color rgb="FFD9D9D9"/>
      </right>
      <top style="thin">
        <color rgb="FF2E5090"/>
      </top>
      <bottom/>
      <diagonal/>
    </border>
    <border>
      <left/>
      <right/>
      <top style="thin">
        <color rgb="FFD9D9D9"/>
      </top>
      <bottom style="thin">
        <color rgb="FF2E5090"/>
      </bottom>
      <diagonal/>
    </border>
    <border>
      <left style="medium">
        <color rgb="FF2E5090"/>
      </left>
      <right style="thin">
        <color rgb="FFD9D9D9"/>
      </right>
      <top style="medium">
        <color rgb="FF2E5090"/>
      </top>
      <bottom style="thin">
        <color rgb="FFD9D9D9"/>
      </bottom>
      <diagonal/>
    </border>
    <border>
      <left style="thin">
        <color rgb="FFD9D9D9"/>
      </left>
      <right style="medium">
        <color rgb="FF2E5090"/>
      </right>
      <top style="medium">
        <color rgb="FF2E5090"/>
      </top>
      <bottom style="thin">
        <color rgb="FFD9D9D9"/>
      </bottom>
      <diagonal/>
    </border>
    <border>
      <left style="medium">
        <color rgb="FF2E5090"/>
      </left>
      <right style="thin">
        <color rgb="FFD9D9D9"/>
      </right>
      <top style="thin">
        <color rgb="FFD9D9D9"/>
      </top>
      <bottom style="thin">
        <color rgb="FFD9D9D9"/>
      </bottom>
      <diagonal/>
    </border>
    <border>
      <left style="thin">
        <color rgb="FFD9D9D9"/>
      </left>
      <right style="medium">
        <color rgb="FF2E5090"/>
      </right>
      <top style="thin">
        <color rgb="FFD9D9D9"/>
      </top>
      <bottom style="thin">
        <color rgb="FFD9D9D9"/>
      </bottom>
      <diagonal/>
    </border>
    <border>
      <left style="medium">
        <color rgb="FF2E5090"/>
      </left>
      <right style="thin">
        <color rgb="FFD9D9D9"/>
      </right>
      <top style="thin">
        <color rgb="FFD9D9D9"/>
      </top>
      <bottom style="medium">
        <color rgb="FF2E5090"/>
      </bottom>
      <diagonal/>
    </border>
    <border>
      <left style="thin">
        <color rgb="FFD9D9D9"/>
      </left>
      <right style="thin">
        <color rgb="FFD9D9D9"/>
      </right>
      <top style="thin">
        <color rgb="FFD9D9D9"/>
      </top>
      <bottom style="medium">
        <color rgb="FF2E5090"/>
      </bottom>
      <diagonal/>
    </border>
    <border>
      <left style="thin">
        <color rgb="FFD9D9D9"/>
      </left>
      <right style="medium">
        <color rgb="FF2E5090"/>
      </right>
      <top style="thin">
        <color rgb="FFD9D9D9"/>
      </top>
      <bottom style="medium">
        <color rgb="FF2E5090"/>
      </bottom>
      <diagonal/>
    </border>
    <border>
      <left style="thin">
        <color rgb="FFD9D9D9"/>
      </left>
      <right style="thin">
        <color rgb="FFD9D9D9"/>
      </right>
      <top style="thin">
        <color rgb="FF2E5090"/>
      </top>
      <bottom style="thin">
        <color rgb="FFD9D9D9"/>
      </bottom>
      <diagonal/>
    </border>
  </borders>
  <cellStyleXfs count="19">
    <xf numFmtId="0" fontId="0" fillId="0" borderId="0"/>
    <xf numFmtId="44" fontId="30" fillId="0" borderId="0" applyFont="0" applyFill="0" applyBorder="0" applyAlignment="0" applyProtection="0"/>
    <xf numFmtId="9" fontId="30" fillId="0" borderId="0" applyFont="0" applyFill="0" applyBorder="0" applyAlignment="0" applyProtection="0"/>
    <xf numFmtId="0" fontId="30" fillId="0" borderId="2"/>
    <xf numFmtId="0" fontId="42" fillId="0" borderId="2"/>
    <xf numFmtId="0" fontId="3" fillId="0" borderId="2"/>
    <xf numFmtId="0" fontId="2" fillId="0" borderId="2"/>
    <xf numFmtId="0" fontId="98" fillId="0" borderId="2"/>
    <xf numFmtId="0" fontId="33" fillId="0" borderId="2"/>
    <xf numFmtId="0" fontId="108" fillId="37" borderId="2" applyNumberFormat="0" applyBorder="0" applyAlignment="0" applyProtection="0"/>
    <xf numFmtId="0" fontId="110" fillId="39" borderId="2" applyNumberFormat="0" applyBorder="0" applyAlignment="0" applyProtection="0"/>
    <xf numFmtId="0" fontId="109" fillId="38" borderId="2" applyNumberFormat="0" applyBorder="0" applyAlignment="0" applyProtection="0"/>
    <xf numFmtId="0" fontId="117" fillId="0" borderId="2"/>
    <xf numFmtId="0" fontId="122" fillId="39" borderId="2" applyNumberFormat="0" applyBorder="0" applyAlignment="0" applyProtection="0"/>
    <xf numFmtId="0" fontId="123" fillId="38" borderId="2" applyNumberFormat="0" applyBorder="0" applyAlignment="0" applyProtection="0"/>
    <xf numFmtId="0" fontId="125" fillId="37" borderId="2" applyNumberFormat="0" applyBorder="0" applyAlignment="0" applyProtection="0"/>
    <xf numFmtId="0" fontId="33" fillId="0" borderId="2" applyBorder="0"/>
    <xf numFmtId="0" fontId="152" fillId="0" borderId="2"/>
    <xf numFmtId="0" fontId="1" fillId="0" borderId="2"/>
  </cellStyleXfs>
  <cellXfs count="1235">
    <xf numFmtId="0" fontId="0" fillId="0" borderId="0" xfId="0"/>
    <xf numFmtId="0" fontId="4" fillId="0" borderId="0" xfId="0" applyFont="1"/>
    <xf numFmtId="0" fontId="5" fillId="0" borderId="0" xfId="0" applyFont="1"/>
    <xf numFmtId="0" fontId="6" fillId="0" borderId="0" xfId="0" applyFont="1"/>
    <xf numFmtId="0" fontId="8" fillId="0" borderId="0" xfId="0" applyFont="1"/>
    <xf numFmtId="164" fontId="6" fillId="0" borderId="0" xfId="0" applyNumberFormat="1" applyFont="1"/>
    <xf numFmtId="0" fontId="12" fillId="0" borderId="0" xfId="0" applyFont="1"/>
    <xf numFmtId="0" fontId="13" fillId="5" borderId="0" xfId="0" applyFont="1" applyFill="1"/>
    <xf numFmtId="0" fontId="14" fillId="6" borderId="0" xfId="0" applyFont="1" applyFill="1"/>
    <xf numFmtId="0" fontId="15" fillId="0" borderId="0" xfId="0" applyFont="1"/>
    <xf numFmtId="0" fontId="16" fillId="0" borderId="0" xfId="0" applyFont="1"/>
    <xf numFmtId="0" fontId="17" fillId="0" borderId="0" xfId="0" applyFont="1"/>
    <xf numFmtId="0" fontId="18" fillId="0" borderId="0" xfId="0" applyFont="1" applyAlignment="1">
      <alignment horizontal="center" vertical="center"/>
    </xf>
    <xf numFmtId="0" fontId="19" fillId="3" borderId="0" xfId="0" applyFont="1" applyFill="1"/>
    <xf numFmtId="168" fontId="19" fillId="3" borderId="0" xfId="0" applyNumberFormat="1" applyFont="1" applyFill="1" applyAlignment="1">
      <alignment horizontal="center" vertical="center"/>
    </xf>
    <xf numFmtId="0" fontId="6" fillId="4" borderId="0" xfId="0" applyFont="1" applyFill="1"/>
    <xf numFmtId="0" fontId="0" fillId="4" borderId="0" xfId="0" applyFill="1"/>
    <xf numFmtId="0" fontId="21" fillId="0" borderId="0" xfId="0" applyFont="1"/>
    <xf numFmtId="0" fontId="9" fillId="3" borderId="0" xfId="0" applyFont="1" applyFill="1"/>
    <xf numFmtId="17" fontId="9" fillId="3" borderId="0" xfId="0" applyNumberFormat="1" applyFont="1" applyFill="1" applyAlignment="1">
      <alignment horizontal="center" vertical="center"/>
    </xf>
    <xf numFmtId="0" fontId="12" fillId="4" borderId="0" xfId="0" applyFont="1" applyFill="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0" fillId="8" borderId="0" xfId="0" applyFill="1"/>
    <xf numFmtId="167" fontId="28" fillId="0" borderId="0" xfId="0" applyNumberFormat="1" applyFont="1"/>
    <xf numFmtId="167" fontId="0" fillId="0" borderId="0" xfId="0" applyNumberFormat="1" applyAlignment="1">
      <alignment horizontal="right"/>
    </xf>
    <xf numFmtId="167" fontId="0" fillId="0" borderId="1" xfId="0" applyNumberFormat="1" applyBorder="1" applyAlignment="1">
      <alignment horizontal="center"/>
    </xf>
    <xf numFmtId="167" fontId="0" fillId="11" borderId="1" xfId="0" applyNumberFormat="1" applyFill="1" applyBorder="1" applyAlignment="1">
      <alignment horizontal="center"/>
    </xf>
    <xf numFmtId="0" fontId="0" fillId="0" borderId="2" xfId="0" applyBorder="1"/>
    <xf numFmtId="172" fontId="0" fillId="0" borderId="2" xfId="0" applyNumberFormat="1" applyBorder="1" applyAlignment="1">
      <alignment horizontal="right"/>
    </xf>
    <xf numFmtId="0" fontId="0" fillId="0" borderId="2" xfId="0" applyBorder="1" applyAlignment="1">
      <alignment horizontal="center"/>
    </xf>
    <xf numFmtId="167" fontId="0" fillId="0" borderId="2" xfId="0" applyNumberFormat="1" applyBorder="1" applyAlignment="1">
      <alignment horizontal="center"/>
    </xf>
    <xf numFmtId="0" fontId="29" fillId="12" borderId="3" xfId="0" applyFont="1" applyFill="1" applyBorder="1" applyAlignment="1">
      <alignment horizontal="left" vertical="center"/>
    </xf>
    <xf numFmtId="0" fontId="0" fillId="12" borderId="3" xfId="0" applyFill="1" applyBorder="1"/>
    <xf numFmtId="49" fontId="31" fillId="0" borderId="0" xfId="0" applyNumberFormat="1" applyFont="1" applyAlignment="1">
      <alignment horizontal="left" vertical="center"/>
    </xf>
    <xf numFmtId="49" fontId="32" fillId="0" borderId="0" xfId="0" applyNumberFormat="1" applyFont="1" applyAlignment="1">
      <alignment horizontal="left" vertical="center"/>
    </xf>
    <xf numFmtId="0" fontId="33" fillId="0" borderId="0" xfId="0" applyFont="1"/>
    <xf numFmtId="0" fontId="34" fillId="14" borderId="0" xfId="0" applyFont="1" applyFill="1" applyAlignment="1">
      <alignment horizontal="left"/>
    </xf>
    <xf numFmtId="0" fontId="36" fillId="14" borderId="0" xfId="0" applyFont="1" applyFill="1" applyAlignment="1">
      <alignment horizontal="left"/>
    </xf>
    <xf numFmtId="0" fontId="0" fillId="14" borderId="0" xfId="0" applyFill="1"/>
    <xf numFmtId="0" fontId="34" fillId="17" borderId="0" xfId="0" applyFont="1" applyFill="1" applyAlignment="1">
      <alignment horizontal="center"/>
    </xf>
    <xf numFmtId="10" fontId="34" fillId="17" borderId="0" xfId="2" applyNumberFormat="1" applyFont="1" applyFill="1" applyAlignment="1">
      <alignment horizontal="center" vertical="center"/>
    </xf>
    <xf numFmtId="0" fontId="34" fillId="16" borderId="0" xfId="0" applyFont="1" applyFill="1" applyAlignment="1">
      <alignment horizontal="center"/>
    </xf>
    <xf numFmtId="1" fontId="34" fillId="16" borderId="0" xfId="0" applyNumberFormat="1" applyFont="1" applyFill="1" applyAlignment="1">
      <alignment horizontal="center" vertical="center"/>
    </xf>
    <xf numFmtId="174" fontId="34" fillId="16" borderId="0" xfId="1" applyNumberFormat="1" applyFont="1" applyFill="1" applyAlignment="1">
      <alignment horizontal="center" vertical="center"/>
    </xf>
    <xf numFmtId="1" fontId="34" fillId="16" borderId="5" xfId="0" applyNumberFormat="1" applyFont="1" applyFill="1" applyBorder="1" applyAlignment="1">
      <alignment horizontal="center" vertical="center"/>
    </xf>
    <xf numFmtId="0" fontId="34" fillId="18" borderId="0" xfId="0" applyFont="1" applyFill="1" applyAlignment="1">
      <alignment horizontal="center"/>
    </xf>
    <xf numFmtId="174" fontId="34" fillId="18" borderId="0" xfId="1" applyNumberFormat="1" applyFont="1" applyFill="1" applyAlignment="1">
      <alignment horizontal="center" vertical="center"/>
    </xf>
    <xf numFmtId="10" fontId="34" fillId="16" borderId="0" xfId="2" applyNumberFormat="1" applyFont="1" applyFill="1" applyAlignment="1">
      <alignment horizontal="center" vertical="center"/>
    </xf>
    <xf numFmtId="165" fontId="34" fillId="17" borderId="0" xfId="2" applyNumberFormat="1" applyFont="1" applyFill="1" applyAlignment="1">
      <alignment horizontal="center" vertical="center"/>
    </xf>
    <xf numFmtId="0" fontId="0" fillId="0" borderId="0" xfId="0" applyAlignment="1">
      <alignment horizontal="center"/>
    </xf>
    <xf numFmtId="10" fontId="0" fillId="2" borderId="1" xfId="0" applyNumberFormat="1" applyFill="1" applyBorder="1" applyAlignment="1">
      <alignment horizontal="center" vertical="center"/>
    </xf>
    <xf numFmtId="3" fontId="0" fillId="2" borderId="1" xfId="0" applyNumberFormat="1" applyFill="1" applyBorder="1" applyAlignment="1">
      <alignment horizontal="center" vertical="center"/>
    </xf>
    <xf numFmtId="166" fontId="0" fillId="2" borderId="1" xfId="0" applyNumberFormat="1" applyFill="1" applyBorder="1" applyAlignment="1">
      <alignment horizontal="center" vertical="center"/>
    </xf>
    <xf numFmtId="165" fontId="0" fillId="2" borderId="1" xfId="0" applyNumberFormat="1" applyFill="1" applyBorder="1" applyAlignment="1">
      <alignment horizontal="center" vertical="center"/>
    </xf>
    <xf numFmtId="167" fontId="0" fillId="2" borderId="1" xfId="0" applyNumberFormat="1" applyFill="1" applyBorder="1" applyAlignment="1">
      <alignment horizontal="center" vertical="center"/>
    </xf>
    <xf numFmtId="0" fontId="39" fillId="0" borderId="0" xfId="0" applyFont="1"/>
    <xf numFmtId="0" fontId="40" fillId="0" borderId="0" xfId="0" applyFont="1"/>
    <xf numFmtId="166" fontId="0" fillId="19" borderId="1" xfId="0" applyNumberFormat="1" applyFill="1" applyBorder="1" applyAlignment="1">
      <alignment horizontal="center" vertical="center"/>
    </xf>
    <xf numFmtId="0" fontId="7"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0" borderId="1" xfId="0" applyFont="1" applyBorder="1"/>
    <xf numFmtId="165" fontId="11" fillId="4" borderId="1" xfId="0" applyNumberFormat="1" applyFont="1" applyFill="1" applyBorder="1" applyAlignment="1">
      <alignment horizontal="center" vertical="center"/>
    </xf>
    <xf numFmtId="165"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3" fontId="11" fillId="4" borderId="1" xfId="0" applyNumberFormat="1" applyFont="1" applyFill="1" applyBorder="1" applyAlignment="1">
      <alignment horizontal="center" vertical="center"/>
    </xf>
    <xf numFmtId="3" fontId="11" fillId="0" borderId="1" xfId="0" applyNumberFormat="1" applyFont="1" applyBorder="1" applyAlignment="1">
      <alignment horizontal="center" vertical="center"/>
    </xf>
    <xf numFmtId="166" fontId="11" fillId="4" borderId="1" xfId="0" applyNumberFormat="1" applyFont="1" applyFill="1" applyBorder="1" applyAlignment="1">
      <alignment horizontal="center" vertical="center"/>
    </xf>
    <xf numFmtId="166" fontId="11" fillId="0" borderId="1" xfId="0" applyNumberFormat="1" applyFont="1" applyBorder="1" applyAlignment="1">
      <alignment horizontal="center" vertical="center"/>
    </xf>
    <xf numFmtId="167" fontId="11" fillId="4" borderId="1" xfId="0" applyNumberFormat="1" applyFont="1" applyFill="1" applyBorder="1" applyAlignment="1">
      <alignment horizontal="center"/>
    </xf>
    <xf numFmtId="167" fontId="11" fillId="0" borderId="1" xfId="0" applyNumberFormat="1" applyFont="1" applyBorder="1" applyAlignment="1">
      <alignment horizontal="center"/>
    </xf>
    <xf numFmtId="167" fontId="11" fillId="0" borderId="1" xfId="0" applyNumberFormat="1" applyFont="1" applyBorder="1" applyAlignment="1">
      <alignment horizontal="center" vertical="center"/>
    </xf>
    <xf numFmtId="0" fontId="11" fillId="0" borderId="1" xfId="0" applyFont="1" applyBorder="1" applyAlignment="1">
      <alignment horizontal="center"/>
    </xf>
    <xf numFmtId="0" fontId="19" fillId="10" borderId="1" xfId="0" applyFont="1" applyFill="1" applyBorder="1" applyAlignment="1">
      <alignment horizontal="center" vertical="center" wrapText="1"/>
    </xf>
    <xf numFmtId="0" fontId="24" fillId="0" borderId="1" xfId="0" applyFont="1" applyBorder="1"/>
    <xf numFmtId="171" fontId="0" fillId="0" borderId="1" xfId="0" applyNumberFormat="1" applyBorder="1" applyAlignment="1">
      <alignment horizontal="center"/>
    </xf>
    <xf numFmtId="172" fontId="0" fillId="0" borderId="1" xfId="0" applyNumberFormat="1" applyBorder="1" applyAlignment="1">
      <alignment horizontal="right"/>
    </xf>
    <xf numFmtId="0" fontId="0" fillId="0" borderId="1" xfId="0" applyBorder="1" applyAlignment="1">
      <alignment horizontal="center"/>
    </xf>
    <xf numFmtId="0" fontId="24" fillId="13" borderId="1" xfId="0" applyFont="1" applyFill="1" applyBorder="1"/>
    <xf numFmtId="171" fontId="0" fillId="13" borderId="1" xfId="0" applyNumberFormat="1" applyFill="1" applyBorder="1" applyAlignment="1">
      <alignment horizontal="center"/>
    </xf>
    <xf numFmtId="172" fontId="0" fillId="13" borderId="1" xfId="0" applyNumberFormat="1" applyFill="1" applyBorder="1" applyAlignment="1">
      <alignment horizontal="right"/>
    </xf>
    <xf numFmtId="0" fontId="0" fillId="13" borderId="1" xfId="0" applyFill="1" applyBorder="1" applyAlignment="1">
      <alignment horizontal="center"/>
    </xf>
    <xf numFmtId="167" fontId="0" fillId="13" borderId="1" xfId="0" applyNumberFormat="1" applyFill="1" applyBorder="1" applyAlignment="1">
      <alignment horizontal="center"/>
    </xf>
    <xf numFmtId="0" fontId="23" fillId="0" borderId="0" xfId="0" applyFont="1" applyAlignment="1">
      <alignment horizontal="right"/>
    </xf>
    <xf numFmtId="172" fontId="0" fillId="9" borderId="1" xfId="0" applyNumberFormat="1" applyFill="1" applyBorder="1"/>
    <xf numFmtId="0" fontId="20" fillId="0" borderId="1" xfId="0" applyFont="1" applyBorder="1"/>
    <xf numFmtId="10" fontId="18" fillId="0" borderId="1" xfId="0" applyNumberFormat="1" applyFont="1" applyBorder="1"/>
    <xf numFmtId="10" fontId="0" fillId="19" borderId="1" xfId="0" applyNumberFormat="1" applyFill="1" applyBorder="1" applyAlignment="1">
      <alignment horizontal="center" vertical="center"/>
    </xf>
    <xf numFmtId="0" fontId="18" fillId="0" borderId="1" xfId="0" applyFont="1" applyBorder="1"/>
    <xf numFmtId="3" fontId="0" fillId="19" borderId="1" xfId="0" applyNumberFormat="1" applyFill="1" applyBorder="1" applyAlignment="1">
      <alignment horizontal="center" vertical="center"/>
    </xf>
    <xf numFmtId="165" fontId="0" fillId="19" borderId="1" xfId="0" applyNumberFormat="1" applyFill="1" applyBorder="1" applyAlignment="1">
      <alignment horizontal="center" vertical="center"/>
    </xf>
    <xf numFmtId="169" fontId="0" fillId="19" borderId="1" xfId="0" applyNumberFormat="1" applyFill="1" applyBorder="1" applyAlignment="1">
      <alignment horizontal="center" vertical="center"/>
    </xf>
    <xf numFmtId="169" fontId="0" fillId="2" borderId="1" xfId="0" applyNumberFormat="1" applyFill="1" applyBorder="1" applyAlignment="1">
      <alignment horizontal="center" vertical="center"/>
    </xf>
    <xf numFmtId="167" fontId="0" fillId="19" borderId="1" xfId="0" applyNumberFormat="1" applyFill="1" applyBorder="1" applyAlignment="1">
      <alignment horizontal="center" vertical="center"/>
    </xf>
    <xf numFmtId="0" fontId="6" fillId="0" borderId="2" xfId="0" applyFont="1" applyBorder="1"/>
    <xf numFmtId="0" fontId="19" fillId="0" borderId="2" xfId="0" applyFont="1" applyBorder="1" applyAlignment="1">
      <alignment horizontal="center" vertical="center" wrapText="1"/>
    </xf>
    <xf numFmtId="0" fontId="24" fillId="0" borderId="2" xfId="0" applyFont="1" applyBorder="1"/>
    <xf numFmtId="0" fontId="19" fillId="3" borderId="1" xfId="0" applyFont="1" applyFill="1" applyBorder="1" applyAlignment="1">
      <alignment horizontal="center" vertical="center"/>
    </xf>
    <xf numFmtId="0" fontId="19" fillId="0" borderId="2" xfId="0" applyFont="1" applyBorder="1" applyAlignment="1">
      <alignment horizontal="center" vertical="center"/>
    </xf>
    <xf numFmtId="1" fontId="0" fillId="0" borderId="1" xfId="0" applyNumberFormat="1" applyBorder="1" applyAlignment="1">
      <alignment horizontal="center" vertical="center"/>
    </xf>
    <xf numFmtId="168" fontId="0" fillId="0" borderId="1" xfId="0" applyNumberFormat="1" applyBorder="1" applyAlignment="1">
      <alignment horizontal="center" vertical="center"/>
    </xf>
    <xf numFmtId="165" fontId="0" fillId="0" borderId="1" xfId="0" applyNumberFormat="1" applyBorder="1" applyAlignment="1">
      <alignment horizontal="center" vertical="center"/>
    </xf>
    <xf numFmtId="3" fontId="0" fillId="0" borderId="1" xfId="0" applyNumberFormat="1" applyBorder="1" applyAlignment="1">
      <alignment horizontal="center" vertical="center"/>
    </xf>
    <xf numFmtId="166" fontId="0" fillId="0" borderId="1" xfId="0" applyNumberFormat="1" applyBorder="1" applyAlignment="1">
      <alignment horizontal="center" vertical="center"/>
    </xf>
    <xf numFmtId="1" fontId="0" fillId="7" borderId="1" xfId="0" applyNumberFormat="1" applyFill="1" applyBorder="1" applyAlignment="1">
      <alignment horizontal="center" vertical="center"/>
    </xf>
    <xf numFmtId="168" fontId="0" fillId="7" borderId="1" xfId="0" applyNumberFormat="1" applyFill="1" applyBorder="1" applyAlignment="1">
      <alignment horizontal="center" vertical="center"/>
    </xf>
    <xf numFmtId="165" fontId="0" fillId="7" borderId="1" xfId="0" applyNumberFormat="1" applyFill="1" applyBorder="1" applyAlignment="1">
      <alignment horizontal="center" vertical="center"/>
    </xf>
    <xf numFmtId="3" fontId="0" fillId="7" borderId="1" xfId="0" applyNumberFormat="1" applyFill="1" applyBorder="1" applyAlignment="1">
      <alignment horizontal="center" vertical="center"/>
    </xf>
    <xf numFmtId="166" fontId="0" fillId="7" borderId="1" xfId="0" applyNumberFormat="1" applyFill="1" applyBorder="1" applyAlignment="1">
      <alignment horizontal="center" vertical="center"/>
    </xf>
    <xf numFmtId="0" fontId="23" fillId="0" borderId="2" xfId="0" applyFont="1" applyBorder="1" applyAlignment="1">
      <alignment horizontal="center"/>
    </xf>
    <xf numFmtId="169" fontId="0" fillId="0" borderId="1" xfId="0" applyNumberFormat="1" applyBorder="1" applyAlignment="1">
      <alignment horizontal="center" vertical="center"/>
    </xf>
    <xf numFmtId="0" fontId="6" fillId="8" borderId="0" xfId="0" applyFont="1" applyFill="1"/>
    <xf numFmtId="170" fontId="0" fillId="0" borderId="1" xfId="0" applyNumberFormat="1" applyBorder="1" applyAlignment="1">
      <alignment horizontal="center" vertical="center"/>
    </xf>
    <xf numFmtId="0" fontId="41" fillId="0" borderId="2" xfId="0" applyFont="1" applyBorder="1"/>
    <xf numFmtId="4" fontId="41" fillId="0" borderId="2" xfId="0" applyNumberFormat="1" applyFont="1" applyBorder="1"/>
    <xf numFmtId="14" fontId="41" fillId="0" borderId="2" xfId="0" applyNumberFormat="1" applyFont="1" applyBorder="1"/>
    <xf numFmtId="0" fontId="30" fillId="0" borderId="2" xfId="3"/>
    <xf numFmtId="0" fontId="0" fillId="24" borderId="0" xfId="0" applyFill="1"/>
    <xf numFmtId="0" fontId="50" fillId="24" borderId="0" xfId="0" applyFont="1" applyFill="1"/>
    <xf numFmtId="0" fontId="51" fillId="24" borderId="0" xfId="0" applyFont="1" applyFill="1"/>
    <xf numFmtId="0" fontId="52" fillId="24" borderId="0" xfId="0" applyFont="1" applyFill="1"/>
    <xf numFmtId="0" fontId="0" fillId="25" borderId="0" xfId="0" applyFill="1"/>
    <xf numFmtId="0" fontId="53" fillId="25" borderId="0" xfId="0" applyFont="1" applyFill="1"/>
    <xf numFmtId="0" fontId="54" fillId="0" borderId="0" xfId="0" applyFont="1"/>
    <xf numFmtId="0" fontId="0" fillId="26" borderId="0" xfId="0" applyFill="1"/>
    <xf numFmtId="0" fontId="55" fillId="0" borderId="0" xfId="0" applyFont="1"/>
    <xf numFmtId="0" fontId="56" fillId="0" borderId="0" xfId="0" applyFont="1"/>
    <xf numFmtId="0" fontId="57" fillId="0" borderId="0" xfId="0" applyFont="1"/>
    <xf numFmtId="0" fontId="53" fillId="24" borderId="0" xfId="0" applyFont="1" applyFill="1"/>
    <xf numFmtId="0" fontId="0" fillId="0" borderId="3" xfId="0" applyBorder="1"/>
    <xf numFmtId="0" fontId="59" fillId="0" borderId="0" xfId="0" applyFont="1"/>
    <xf numFmtId="173" fontId="35" fillId="15" borderId="0" xfId="0" applyNumberFormat="1" applyFont="1" applyFill="1" applyAlignment="1">
      <alignment horizontal="center" vertical="center" wrapText="1"/>
    </xf>
    <xf numFmtId="17" fontId="35" fillId="15" borderId="0" xfId="0" applyNumberFormat="1" applyFont="1" applyFill="1" applyAlignment="1">
      <alignment horizontal="center" vertical="center" wrapText="1"/>
    </xf>
    <xf numFmtId="0" fontId="34" fillId="16" borderId="4" xfId="0" applyFont="1" applyFill="1" applyBorder="1" applyAlignment="1">
      <alignment horizontal="center"/>
    </xf>
    <xf numFmtId="0" fontId="0" fillId="16" borderId="0" xfId="0" applyFill="1"/>
    <xf numFmtId="0" fontId="0" fillId="16" borderId="2" xfId="0" applyFill="1" applyBorder="1"/>
    <xf numFmtId="0" fontId="61" fillId="30" borderId="15" xfId="0" applyFont="1" applyFill="1" applyBorder="1" applyAlignment="1">
      <alignment wrapText="1"/>
    </xf>
    <xf numFmtId="0" fontId="0" fillId="16" borderId="9" xfId="0" applyFill="1" applyBorder="1"/>
    <xf numFmtId="0" fontId="0" fillId="26" borderId="9" xfId="0" applyFill="1" applyBorder="1"/>
    <xf numFmtId="0" fontId="0" fillId="0" borderId="0" xfId="0" applyAlignment="1">
      <alignment wrapText="1"/>
    </xf>
    <xf numFmtId="0" fontId="3" fillId="0" borderId="2" xfId="5"/>
    <xf numFmtId="14" fontId="3" fillId="0" borderId="2" xfId="5" applyNumberFormat="1"/>
    <xf numFmtId="0" fontId="62" fillId="16" borderId="0" xfId="0" applyFont="1" applyFill="1"/>
    <xf numFmtId="0" fontId="62" fillId="16" borderId="0" xfId="0" applyFont="1" applyFill="1" applyAlignment="1">
      <alignment horizontal="right"/>
    </xf>
    <xf numFmtId="0" fontId="64" fillId="16" borderId="0" xfId="0" applyFont="1" applyFill="1"/>
    <xf numFmtId="0" fontId="63" fillId="16" borderId="0" xfId="0" applyFont="1" applyFill="1" applyAlignment="1">
      <alignment horizontal="right"/>
    </xf>
    <xf numFmtId="0" fontId="66" fillId="16" borderId="0" xfId="0" applyFont="1" applyFill="1"/>
    <xf numFmtId="0" fontId="65" fillId="16" borderId="0" xfId="0" applyFont="1" applyFill="1" applyAlignment="1">
      <alignment horizontal="right"/>
    </xf>
    <xf numFmtId="0" fontId="68" fillId="16" borderId="0" xfId="0" applyFont="1" applyFill="1"/>
    <xf numFmtId="0" fontId="67" fillId="16" borderId="0" xfId="0" applyFont="1" applyFill="1" applyAlignment="1">
      <alignment horizontal="right"/>
    </xf>
    <xf numFmtId="0" fontId="70" fillId="16" borderId="0" xfId="0" applyFont="1" applyFill="1"/>
    <xf numFmtId="0" fontId="69" fillId="16" borderId="0" xfId="0" applyFont="1" applyFill="1" applyAlignment="1">
      <alignment horizontal="right"/>
    </xf>
    <xf numFmtId="0" fontId="62" fillId="16" borderId="20" xfId="0" applyFont="1" applyFill="1" applyBorder="1"/>
    <xf numFmtId="0" fontId="62" fillId="0" borderId="25" xfId="0" applyFont="1" applyBorder="1"/>
    <xf numFmtId="0" fontId="73" fillId="0" borderId="26" xfId="0" applyFont="1" applyBorder="1" applyAlignment="1">
      <alignment horizontal="center"/>
    </xf>
    <xf numFmtId="0" fontId="74" fillId="0" borderId="26" xfId="0" applyFont="1" applyBorder="1" applyAlignment="1">
      <alignment horizontal="center"/>
    </xf>
    <xf numFmtId="0" fontId="75" fillId="0" borderId="26" xfId="0" applyFont="1" applyBorder="1" applyAlignment="1">
      <alignment horizontal="center"/>
    </xf>
    <xf numFmtId="0" fontId="78" fillId="0" borderId="26" xfId="0" applyFont="1" applyBorder="1" applyAlignment="1">
      <alignment horizontal="center"/>
    </xf>
    <xf numFmtId="0" fontId="72" fillId="26" borderId="28" xfId="0" applyFont="1" applyFill="1" applyBorder="1"/>
    <xf numFmtId="0" fontId="80" fillId="26" borderId="29" xfId="0" applyFont="1" applyFill="1" applyBorder="1" applyAlignment="1">
      <alignment horizontal="center"/>
    </xf>
    <xf numFmtId="0" fontId="81" fillId="26" borderId="29" xfId="0" applyFont="1" applyFill="1" applyBorder="1" applyAlignment="1">
      <alignment horizontal="center"/>
    </xf>
    <xf numFmtId="0" fontId="78" fillId="26" borderId="29" xfId="0" applyFont="1" applyFill="1" applyBorder="1" applyAlignment="1">
      <alignment horizontal="center"/>
    </xf>
    <xf numFmtId="0" fontId="73" fillId="0" borderId="25" xfId="0" applyFont="1" applyBorder="1"/>
    <xf numFmtId="0" fontId="78" fillId="0" borderId="25" xfId="0" applyFont="1" applyBorder="1"/>
    <xf numFmtId="0" fontId="73" fillId="0" borderId="27" xfId="0" applyFont="1" applyBorder="1" applyAlignment="1">
      <alignment horizontal="center"/>
    </xf>
    <xf numFmtId="0" fontId="80" fillId="26" borderId="28" xfId="0" applyFont="1" applyFill="1" applyBorder="1"/>
    <xf numFmtId="0" fontId="80" fillId="26" borderId="30" xfId="0" applyFont="1" applyFill="1" applyBorder="1" applyAlignment="1">
      <alignment horizontal="center"/>
    </xf>
    <xf numFmtId="0" fontId="84" fillId="0" borderId="25" xfId="0" applyFont="1" applyBorder="1"/>
    <xf numFmtId="0" fontId="85" fillId="23" borderId="26" xfId="0" applyFont="1" applyFill="1" applyBorder="1" applyAlignment="1">
      <alignment horizontal="center"/>
    </xf>
    <xf numFmtId="0" fontId="75" fillId="23" borderId="26" xfId="0" applyFont="1" applyFill="1" applyBorder="1" applyAlignment="1">
      <alignment horizontal="center"/>
    </xf>
    <xf numFmtId="0" fontId="85" fillId="0" borderId="26" xfId="0" applyFont="1" applyBorder="1" applyAlignment="1">
      <alignment horizontal="center"/>
    </xf>
    <xf numFmtId="0" fontId="84" fillId="0" borderId="28" xfId="0" applyFont="1" applyBorder="1"/>
    <xf numFmtId="0" fontId="73" fillId="0" borderId="29" xfId="0" applyFont="1" applyBorder="1" applyAlignment="1">
      <alignment horizontal="center"/>
    </xf>
    <xf numFmtId="0" fontId="80" fillId="0" borderId="27" xfId="0" applyFont="1" applyBorder="1" applyAlignment="1">
      <alignment horizontal="center"/>
    </xf>
    <xf numFmtId="0" fontId="85" fillId="0" borderId="27" xfId="0" applyFont="1" applyBorder="1" applyAlignment="1">
      <alignment horizontal="center"/>
    </xf>
    <xf numFmtId="0" fontId="74" fillId="29" borderId="27" xfId="0" applyFont="1" applyFill="1" applyBorder="1" applyAlignment="1">
      <alignment horizontal="center"/>
    </xf>
    <xf numFmtId="0" fontId="62" fillId="26" borderId="32" xfId="0" applyFont="1" applyFill="1" applyBorder="1"/>
    <xf numFmtId="0" fontId="0" fillId="26" borderId="32" xfId="0" applyFill="1" applyBorder="1"/>
    <xf numFmtId="0" fontId="76" fillId="33" borderId="27" xfId="0" applyFont="1" applyFill="1" applyBorder="1" applyAlignment="1">
      <alignment wrapText="1"/>
    </xf>
    <xf numFmtId="0" fontId="77" fillId="29" borderId="27" xfId="0" applyFont="1" applyFill="1" applyBorder="1" applyAlignment="1">
      <alignment wrapText="1"/>
    </xf>
    <xf numFmtId="0" fontId="79" fillId="23" borderId="27" xfId="0" applyFont="1" applyFill="1" applyBorder="1" applyAlignment="1">
      <alignment wrapText="1"/>
    </xf>
    <xf numFmtId="0" fontId="0" fillId="26" borderId="30" xfId="0" applyFill="1" applyBorder="1" applyAlignment="1">
      <alignment wrapText="1"/>
    </xf>
    <xf numFmtId="0" fontId="75" fillId="0" borderId="29" xfId="0" applyFont="1" applyBorder="1" applyAlignment="1">
      <alignment horizontal="center"/>
    </xf>
    <xf numFmtId="0" fontId="74" fillId="0" borderId="30" xfId="0" applyFont="1" applyBorder="1" applyAlignment="1">
      <alignment horizontal="center"/>
    </xf>
    <xf numFmtId="0" fontId="80" fillId="0" borderId="30" xfId="0" applyFont="1" applyBorder="1" applyAlignment="1">
      <alignment horizontal="center"/>
    </xf>
    <xf numFmtId="0" fontId="83" fillId="24" borderId="2" xfId="0" applyFont="1" applyFill="1" applyBorder="1" applyAlignment="1">
      <alignment horizontal="left"/>
    </xf>
    <xf numFmtId="0" fontId="85" fillId="16" borderId="21" xfId="0" applyFont="1" applyFill="1" applyBorder="1"/>
    <xf numFmtId="0" fontId="89" fillId="16" borderId="30" xfId="0" applyFont="1" applyFill="1" applyBorder="1" applyAlignment="1">
      <alignment horizontal="center"/>
    </xf>
    <xf numFmtId="0" fontId="85" fillId="16" borderId="30" xfId="0" applyFont="1" applyFill="1" applyBorder="1" applyAlignment="1">
      <alignment horizontal="center"/>
    </xf>
    <xf numFmtId="0" fontId="83" fillId="31" borderId="30" xfId="0" applyFont="1" applyFill="1" applyBorder="1" applyAlignment="1">
      <alignment horizontal="center"/>
    </xf>
    <xf numFmtId="0" fontId="90" fillId="23" borderId="30" xfId="0" applyFont="1" applyFill="1" applyBorder="1"/>
    <xf numFmtId="0" fontId="90" fillId="23" borderId="21" xfId="0" applyFont="1" applyFill="1" applyBorder="1"/>
    <xf numFmtId="0" fontId="91" fillId="16" borderId="21" xfId="0" applyFont="1" applyFill="1" applyBorder="1"/>
    <xf numFmtId="0" fontId="91" fillId="16" borderId="30" xfId="0" applyFont="1" applyFill="1" applyBorder="1" applyAlignment="1">
      <alignment horizontal="center"/>
    </xf>
    <xf numFmtId="0" fontId="92" fillId="31" borderId="30" xfId="0" applyFont="1" applyFill="1" applyBorder="1"/>
    <xf numFmtId="0" fontId="92" fillId="31" borderId="21" xfId="0" applyFont="1" applyFill="1" applyBorder="1"/>
    <xf numFmtId="0" fontId="91" fillId="33" borderId="30" xfId="0" applyFont="1" applyFill="1" applyBorder="1" applyAlignment="1">
      <alignment horizontal="center"/>
    </xf>
    <xf numFmtId="0" fontId="93" fillId="33" borderId="30" xfId="0" applyFont="1" applyFill="1" applyBorder="1"/>
    <xf numFmtId="0" fontId="93" fillId="33" borderId="21" xfId="0" applyFont="1" applyFill="1" applyBorder="1"/>
    <xf numFmtId="0" fontId="84" fillId="16" borderId="21" xfId="0" applyFont="1" applyFill="1" applyBorder="1"/>
    <xf numFmtId="0" fontId="84" fillId="26" borderId="30" xfId="0" applyFont="1" applyFill="1" applyBorder="1" applyAlignment="1">
      <alignment horizontal="center"/>
    </xf>
    <xf numFmtId="0" fontId="95" fillId="16" borderId="21" xfId="0" applyFont="1" applyFill="1" applyBorder="1"/>
    <xf numFmtId="0" fontId="96" fillId="26" borderId="21" xfId="0" applyFont="1" applyFill="1" applyBorder="1"/>
    <xf numFmtId="0" fontId="96" fillId="26" borderId="30" xfId="0" applyFont="1" applyFill="1" applyBorder="1" applyAlignment="1">
      <alignment horizontal="center"/>
    </xf>
    <xf numFmtId="0" fontId="85" fillId="26" borderId="30" xfId="0" applyFont="1" applyFill="1" applyBorder="1" applyAlignment="1">
      <alignment horizontal="center"/>
    </xf>
    <xf numFmtId="9" fontId="96" fillId="26" borderId="30" xfId="0" applyNumberFormat="1" applyFont="1" applyFill="1" applyBorder="1" applyAlignment="1">
      <alignment horizontal="center"/>
    </xf>
    <xf numFmtId="0" fontId="0" fillId="26" borderId="30" xfId="0" applyFill="1" applyBorder="1"/>
    <xf numFmtId="0" fontId="97" fillId="23" borderId="30" xfId="0" applyFont="1" applyFill="1" applyBorder="1"/>
    <xf numFmtId="0" fontId="97" fillId="23" borderId="21" xfId="0" applyFont="1" applyFill="1" applyBorder="1"/>
    <xf numFmtId="0" fontId="89" fillId="0" borderId="21" xfId="0" applyFont="1" applyBorder="1"/>
    <xf numFmtId="0" fontId="89" fillId="0" borderId="30" xfId="0" applyFont="1" applyBorder="1"/>
    <xf numFmtId="0" fontId="85" fillId="0" borderId="30" xfId="0" applyFont="1" applyBorder="1" applyAlignment="1">
      <alignment horizontal="center"/>
    </xf>
    <xf numFmtId="0" fontId="91" fillId="0" borderId="30" xfId="0" applyFont="1" applyBorder="1" applyAlignment="1">
      <alignment horizontal="center"/>
    </xf>
    <xf numFmtId="0" fontId="94" fillId="0" borderId="30" xfId="0" applyFont="1" applyBorder="1"/>
    <xf numFmtId="0" fontId="94" fillId="0" borderId="21" xfId="0" applyFont="1" applyBorder="1"/>
    <xf numFmtId="0" fontId="89" fillId="0" borderId="30" xfId="0" applyFont="1" applyBorder="1" applyAlignment="1">
      <alignment horizontal="center"/>
    </xf>
    <xf numFmtId="0" fontId="90" fillId="0" borderId="30" xfId="0" applyFont="1" applyBorder="1"/>
    <xf numFmtId="0" fontId="90" fillId="0" borderId="21" xfId="0" applyFont="1" applyBorder="1"/>
    <xf numFmtId="0" fontId="96" fillId="0" borderId="30" xfId="0" applyFont="1" applyBorder="1" applyAlignment="1">
      <alignment horizontal="center"/>
    </xf>
    <xf numFmtId="0" fontId="84" fillId="0" borderId="30" xfId="0" applyFont="1" applyBorder="1" applyAlignment="1">
      <alignment horizontal="center"/>
    </xf>
    <xf numFmtId="0" fontId="81" fillId="0" borderId="30" xfId="0" applyFont="1" applyBorder="1" applyAlignment="1">
      <alignment horizontal="center"/>
    </xf>
    <xf numFmtId="0" fontId="0" fillId="16" borderId="21" xfId="0" applyFill="1" applyBorder="1"/>
    <xf numFmtId="0" fontId="83" fillId="24" borderId="31" xfId="0" applyFont="1" applyFill="1" applyBorder="1" applyAlignment="1">
      <alignment horizontal="center"/>
    </xf>
    <xf numFmtId="0" fontId="83" fillId="24" borderId="31" xfId="0" applyFont="1" applyFill="1" applyBorder="1" applyAlignment="1">
      <alignment horizontal="left"/>
    </xf>
    <xf numFmtId="0" fontId="83" fillId="24" borderId="31" xfId="0" applyFont="1" applyFill="1" applyBorder="1"/>
    <xf numFmtId="0" fontId="88" fillId="26" borderId="32" xfId="0" applyFont="1" applyFill="1" applyBorder="1"/>
    <xf numFmtId="0" fontId="94" fillId="16" borderId="30" xfId="0" applyFont="1" applyFill="1" applyBorder="1" applyAlignment="1">
      <alignment horizontal="left"/>
    </xf>
    <xf numFmtId="0" fontId="94" fillId="16" borderId="21" xfId="0" applyFont="1" applyFill="1" applyBorder="1" applyAlignment="1">
      <alignment horizontal="left"/>
    </xf>
    <xf numFmtId="0" fontId="2" fillId="0" borderId="2" xfId="6"/>
    <xf numFmtId="17" fontId="2" fillId="0" borderId="2" xfId="6" applyNumberFormat="1"/>
    <xf numFmtId="0" fontId="62" fillId="0" borderId="26" xfId="0" applyFont="1" applyBorder="1" applyAlignment="1">
      <alignment horizontal="center"/>
    </xf>
    <xf numFmtId="9" fontId="70" fillId="0" borderId="27" xfId="0" applyNumberFormat="1" applyFont="1" applyBorder="1" applyAlignment="1">
      <alignment horizontal="center"/>
    </xf>
    <xf numFmtId="0" fontId="72" fillId="0" borderId="20" xfId="0" applyFont="1" applyBorder="1"/>
    <xf numFmtId="0" fontId="62" fillId="0" borderId="20" xfId="0" applyFont="1" applyBorder="1"/>
    <xf numFmtId="0" fontId="62" fillId="0" borderId="20" xfId="0" applyFont="1" applyBorder="1" applyAlignment="1">
      <alignment horizontal="center"/>
    </xf>
    <xf numFmtId="175" fontId="62" fillId="0" borderId="20" xfId="0" applyNumberFormat="1" applyFont="1" applyBorder="1" applyAlignment="1">
      <alignment horizontal="center"/>
    </xf>
    <xf numFmtId="165" fontId="85" fillId="23" borderId="30" xfId="0" applyNumberFormat="1" applyFont="1" applyFill="1" applyBorder="1" applyAlignment="1">
      <alignment horizontal="center"/>
    </xf>
    <xf numFmtId="165" fontId="83" fillId="31" borderId="30" xfId="0" applyNumberFormat="1" applyFont="1" applyFill="1" applyBorder="1" applyAlignment="1">
      <alignment horizontal="center"/>
    </xf>
    <xf numFmtId="165" fontId="82" fillId="33" borderId="30" xfId="0" applyNumberFormat="1" applyFont="1" applyFill="1" applyBorder="1" applyAlignment="1">
      <alignment horizontal="center"/>
    </xf>
    <xf numFmtId="165" fontId="89" fillId="16" borderId="30" xfId="0" applyNumberFormat="1" applyFont="1" applyFill="1" applyBorder="1" applyAlignment="1">
      <alignment horizontal="center"/>
    </xf>
    <xf numFmtId="165" fontId="73" fillId="0" borderId="26" xfId="0" applyNumberFormat="1" applyFont="1" applyBorder="1" applyAlignment="1">
      <alignment horizontal="center"/>
    </xf>
    <xf numFmtId="165" fontId="80" fillId="26" borderId="29" xfId="0" applyNumberFormat="1" applyFont="1" applyFill="1" applyBorder="1" applyAlignment="1">
      <alignment horizontal="center"/>
    </xf>
    <xf numFmtId="165" fontId="75" fillId="0" borderId="26" xfId="0" applyNumberFormat="1" applyFont="1" applyBorder="1" applyAlignment="1">
      <alignment horizontal="center"/>
    </xf>
    <xf numFmtId="165" fontId="74" fillId="29" borderId="27" xfId="0" applyNumberFormat="1" applyFont="1" applyFill="1" applyBorder="1" applyAlignment="1">
      <alignment horizontal="center"/>
    </xf>
    <xf numFmtId="165" fontId="75" fillId="23" borderId="27" xfId="0" applyNumberFormat="1" applyFont="1" applyFill="1" applyBorder="1" applyAlignment="1">
      <alignment horizontal="center"/>
    </xf>
    <xf numFmtId="165" fontId="82" fillId="32" borderId="27" xfId="0" applyNumberFormat="1" applyFont="1" applyFill="1" applyBorder="1" applyAlignment="1">
      <alignment horizontal="center"/>
    </xf>
    <xf numFmtId="165" fontId="83" fillId="31" borderId="27" xfId="0" applyNumberFormat="1" applyFont="1" applyFill="1" applyBorder="1" applyAlignment="1">
      <alignment horizontal="center"/>
    </xf>
    <xf numFmtId="165" fontId="73" fillId="0" borderId="27" xfId="0" applyNumberFormat="1" applyFont="1" applyBorder="1" applyAlignment="1">
      <alignment horizontal="center"/>
    </xf>
    <xf numFmtId="0" fontId="99" fillId="0" borderId="30" xfId="0" applyFont="1" applyBorder="1" applyAlignment="1">
      <alignment horizontal="center"/>
    </xf>
    <xf numFmtId="0" fontId="100" fillId="16" borderId="2" xfId="0" applyFont="1" applyFill="1" applyBorder="1"/>
    <xf numFmtId="0" fontId="101" fillId="34" borderId="2" xfId="0" applyFont="1" applyFill="1" applyBorder="1"/>
    <xf numFmtId="0" fontId="102" fillId="35" borderId="2" xfId="0" applyFont="1" applyFill="1" applyBorder="1"/>
    <xf numFmtId="0" fontId="103" fillId="36" borderId="2" xfId="0" applyFont="1" applyFill="1" applyBorder="1"/>
    <xf numFmtId="0" fontId="104" fillId="28" borderId="0" xfId="0" applyFont="1" applyFill="1"/>
    <xf numFmtId="0" fontId="33" fillId="28" borderId="2" xfId="0" applyFont="1" applyFill="1" applyBorder="1"/>
    <xf numFmtId="10" fontId="5" fillId="28" borderId="2" xfId="0" applyNumberFormat="1" applyFont="1" applyFill="1" applyBorder="1"/>
    <xf numFmtId="165" fontId="0" fillId="28" borderId="2" xfId="0" applyNumberFormat="1" applyFill="1" applyBorder="1" applyAlignment="1">
      <alignment horizontal="center" vertical="center"/>
    </xf>
    <xf numFmtId="10" fontId="0" fillId="28" borderId="2" xfId="0" applyNumberFormat="1" applyFill="1" applyBorder="1" applyAlignment="1">
      <alignment horizontal="center" vertical="center"/>
    </xf>
    <xf numFmtId="0" fontId="33" fillId="28" borderId="9" xfId="0" applyFont="1" applyFill="1" applyBorder="1"/>
    <xf numFmtId="0" fontId="20" fillId="0" borderId="35" xfId="0" applyFont="1" applyBorder="1"/>
    <xf numFmtId="10" fontId="18" fillId="0" borderId="35" xfId="0" applyNumberFormat="1" applyFont="1" applyBorder="1"/>
    <xf numFmtId="3" fontId="0" fillId="19" borderId="35" xfId="0" applyNumberFormat="1" applyFill="1" applyBorder="1" applyAlignment="1">
      <alignment horizontal="center" vertical="center"/>
    </xf>
    <xf numFmtId="3" fontId="0" fillId="2" borderId="35" xfId="0" applyNumberFormat="1" applyFill="1" applyBorder="1" applyAlignment="1">
      <alignment horizontal="center" vertical="center"/>
    </xf>
    <xf numFmtId="3" fontId="0" fillId="2" borderId="16" xfId="0" applyNumberFormat="1" applyFill="1" applyBorder="1" applyAlignment="1">
      <alignment horizontal="center" vertical="center"/>
    </xf>
    <xf numFmtId="165" fontId="0" fillId="2" borderId="17" xfId="0" applyNumberFormat="1" applyFill="1" applyBorder="1" applyAlignment="1">
      <alignment horizontal="center" vertical="center"/>
    </xf>
    <xf numFmtId="0" fontId="105" fillId="26" borderId="9" xfId="0" applyFont="1" applyFill="1" applyBorder="1"/>
    <xf numFmtId="0" fontId="0" fillId="16" borderId="37" xfId="0" applyFill="1" applyBorder="1"/>
    <xf numFmtId="0" fontId="0" fillId="0" borderId="38" xfId="0" applyBorder="1"/>
    <xf numFmtId="0" fontId="11" fillId="16" borderId="37" xfId="0" applyFont="1" applyFill="1" applyBorder="1"/>
    <xf numFmtId="0" fontId="105" fillId="28" borderId="39" xfId="0" applyFont="1" applyFill="1" applyBorder="1" applyAlignment="1">
      <alignment horizontal="center"/>
    </xf>
    <xf numFmtId="0" fontId="105" fillId="16" borderId="39" xfId="0" applyFont="1" applyFill="1" applyBorder="1" applyAlignment="1">
      <alignment horizontal="center"/>
    </xf>
    <xf numFmtId="0" fontId="105" fillId="0" borderId="39" xfId="0" applyFont="1" applyBorder="1" applyAlignment="1">
      <alignment horizontal="center"/>
    </xf>
    <xf numFmtId="0" fontId="105" fillId="0" borderId="40" xfId="0" applyFont="1" applyBorder="1" applyAlignment="1">
      <alignment horizontal="center"/>
    </xf>
    <xf numFmtId="0" fontId="107" fillId="16" borderId="1" xfId="0" applyFont="1" applyFill="1" applyBorder="1"/>
    <xf numFmtId="0" fontId="105" fillId="16" borderId="1" xfId="0" applyFont="1" applyFill="1" applyBorder="1" applyAlignment="1">
      <alignment horizontal="center"/>
    </xf>
    <xf numFmtId="0" fontId="107" fillId="16" borderId="35" xfId="0" applyFont="1" applyFill="1" applyBorder="1"/>
    <xf numFmtId="0" fontId="105" fillId="28" borderId="35" xfId="0" applyFont="1" applyFill="1" applyBorder="1" applyAlignment="1">
      <alignment horizontal="center"/>
    </xf>
    <xf numFmtId="0" fontId="105" fillId="16" borderId="35" xfId="0" applyFont="1" applyFill="1" applyBorder="1" applyAlignment="1">
      <alignment horizontal="center"/>
    </xf>
    <xf numFmtId="0" fontId="105" fillId="0" borderId="35" xfId="0" applyFont="1" applyBorder="1" applyAlignment="1">
      <alignment horizontal="center"/>
    </xf>
    <xf numFmtId="0" fontId="105" fillId="0" borderId="16" xfId="0" applyFont="1" applyBorder="1" applyAlignment="1">
      <alignment horizontal="center"/>
    </xf>
    <xf numFmtId="0" fontId="0" fillId="16" borderId="14" xfId="0" applyFill="1" applyBorder="1"/>
    <xf numFmtId="165" fontId="105" fillId="28" borderId="1" xfId="0" applyNumberFormat="1" applyFont="1" applyFill="1" applyBorder="1" applyAlignment="1">
      <alignment horizontal="center"/>
    </xf>
    <xf numFmtId="165" fontId="105" fillId="16" borderId="1" xfId="0" applyNumberFormat="1" applyFont="1" applyFill="1" applyBorder="1" applyAlignment="1">
      <alignment horizontal="center"/>
    </xf>
    <xf numFmtId="165" fontId="105" fillId="0" borderId="1" xfId="0" applyNumberFormat="1" applyFont="1" applyBorder="1" applyAlignment="1">
      <alignment horizontal="center"/>
    </xf>
    <xf numFmtId="0" fontId="106" fillId="0" borderId="17" xfId="0" applyFont="1" applyBorder="1" applyAlignment="1">
      <alignment horizontal="center"/>
    </xf>
    <xf numFmtId="0" fontId="0" fillId="26" borderId="2" xfId="0" applyFill="1" applyBorder="1"/>
    <xf numFmtId="0" fontId="88" fillId="26" borderId="2" xfId="0" applyFont="1" applyFill="1" applyBorder="1" applyAlignment="1">
      <alignment horizontal="left"/>
    </xf>
    <xf numFmtId="0" fontId="105" fillId="26" borderId="2" xfId="0" applyFont="1" applyFill="1" applyBorder="1"/>
    <xf numFmtId="0" fontId="107" fillId="16" borderId="37" xfId="0" applyFont="1" applyFill="1" applyBorder="1"/>
    <xf numFmtId="165" fontId="105" fillId="28" borderId="35" xfId="0" applyNumberFormat="1" applyFont="1" applyFill="1" applyBorder="1" applyAlignment="1">
      <alignment horizontal="center"/>
    </xf>
    <xf numFmtId="165" fontId="105" fillId="16" borderId="35" xfId="0" applyNumberFormat="1" applyFont="1" applyFill="1" applyBorder="1" applyAlignment="1">
      <alignment horizontal="center"/>
    </xf>
    <xf numFmtId="165" fontId="105" fillId="0" borderId="35" xfId="0" applyNumberFormat="1" applyFont="1" applyBorder="1" applyAlignment="1">
      <alignment horizontal="center"/>
    </xf>
    <xf numFmtId="0" fontId="106" fillId="0" borderId="16" xfId="0" applyFont="1" applyBorder="1" applyAlignment="1">
      <alignment horizontal="center"/>
    </xf>
    <xf numFmtId="0" fontId="5" fillId="28" borderId="9" xfId="0" applyFont="1" applyFill="1" applyBorder="1"/>
    <xf numFmtId="3" fontId="0" fillId="28" borderId="9" xfId="0" applyNumberFormat="1" applyFill="1" applyBorder="1" applyAlignment="1">
      <alignment horizontal="center" vertical="center"/>
    </xf>
    <xf numFmtId="0" fontId="18" fillId="0" borderId="35" xfId="0" applyFont="1" applyBorder="1"/>
    <xf numFmtId="0" fontId="5" fillId="16" borderId="1" xfId="0" applyFont="1" applyFill="1" applyBorder="1" applyAlignment="1">
      <alignment horizontal="center"/>
    </xf>
    <xf numFmtId="0" fontId="5" fillId="16" borderId="35" xfId="0" applyFont="1" applyFill="1" applyBorder="1" applyAlignment="1">
      <alignment horizontal="center"/>
    </xf>
    <xf numFmtId="165" fontId="0" fillId="19" borderId="35" xfId="0" applyNumberFormat="1" applyFill="1" applyBorder="1" applyAlignment="1">
      <alignment horizontal="center" vertical="center"/>
    </xf>
    <xf numFmtId="165" fontId="0" fillId="2" borderId="35" xfId="0" applyNumberFormat="1" applyFill="1" applyBorder="1" applyAlignment="1">
      <alignment horizontal="center" vertical="center"/>
    </xf>
    <xf numFmtId="0" fontId="10" fillId="0" borderId="35" xfId="0" applyFont="1" applyBorder="1"/>
    <xf numFmtId="3" fontId="11" fillId="4" borderId="35" xfId="0" applyNumberFormat="1" applyFont="1" applyFill="1" applyBorder="1" applyAlignment="1">
      <alignment horizontal="center" vertical="center"/>
    </xf>
    <xf numFmtId="3" fontId="11" fillId="0" borderId="35" xfId="0" applyNumberFormat="1" applyFont="1" applyBorder="1" applyAlignment="1">
      <alignment horizontal="center" vertical="center"/>
    </xf>
    <xf numFmtId="0" fontId="11" fillId="0" borderId="35" xfId="0" applyFont="1" applyBorder="1" applyAlignment="1">
      <alignment horizontal="center" vertical="center"/>
    </xf>
    <xf numFmtId="0" fontId="29" fillId="26" borderId="35" xfId="0" applyFont="1" applyFill="1" applyBorder="1" applyAlignment="1">
      <alignment horizontal="left"/>
    </xf>
    <xf numFmtId="0" fontId="11" fillId="16" borderId="36" xfId="0" applyFont="1" applyFill="1" applyBorder="1"/>
    <xf numFmtId="0" fontId="0" fillId="16" borderId="10" xfId="0" applyFill="1" applyBorder="1"/>
    <xf numFmtId="0" fontId="105" fillId="16" borderId="41" xfId="0" applyFont="1" applyFill="1" applyBorder="1" applyAlignment="1">
      <alignment horizontal="center"/>
    </xf>
    <xf numFmtId="3" fontId="11" fillId="0" borderId="41" xfId="0" applyNumberFormat="1" applyFont="1" applyBorder="1" applyAlignment="1">
      <alignment horizontal="center" vertical="center"/>
    </xf>
    <xf numFmtId="0" fontId="105" fillId="16" borderId="36" xfId="0" applyFont="1" applyFill="1" applyBorder="1" applyAlignment="1">
      <alignment horizontal="center"/>
    </xf>
    <xf numFmtId="3" fontId="11" fillId="0" borderId="36" xfId="0" applyNumberFormat="1" applyFont="1" applyBorder="1" applyAlignment="1">
      <alignment horizontal="center" vertical="center"/>
    </xf>
    <xf numFmtId="0" fontId="11" fillId="16" borderId="42" xfId="0" applyFont="1" applyFill="1" applyBorder="1"/>
    <xf numFmtId="4" fontId="2" fillId="0" borderId="2" xfId="6" applyNumberFormat="1"/>
    <xf numFmtId="14" fontId="2" fillId="0" borderId="2" xfId="6" applyNumberFormat="1"/>
    <xf numFmtId="0" fontId="47"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12" fillId="0" borderId="0" xfId="0" applyFont="1" applyAlignment="1">
      <alignment vertical="center"/>
    </xf>
    <xf numFmtId="0" fontId="44" fillId="0" borderId="0" xfId="0" applyFont="1" applyAlignment="1">
      <alignment vertical="center"/>
    </xf>
    <xf numFmtId="0" fontId="45" fillId="26" borderId="32" xfId="0" applyFont="1" applyFill="1" applyBorder="1" applyAlignment="1">
      <alignment vertical="center"/>
    </xf>
    <xf numFmtId="0" fontId="47" fillId="26" borderId="32" xfId="0" applyFont="1" applyFill="1" applyBorder="1" applyAlignment="1">
      <alignment vertical="center"/>
    </xf>
    <xf numFmtId="0" fontId="48" fillId="24" borderId="2" xfId="0" applyFont="1" applyFill="1" applyBorder="1" applyAlignment="1">
      <alignment horizontal="left" vertical="center"/>
    </xf>
    <xf numFmtId="0" fontId="48" fillId="24" borderId="2" xfId="0" applyFont="1" applyFill="1" applyBorder="1" applyAlignment="1">
      <alignment horizontal="center" vertical="center"/>
    </xf>
    <xf numFmtId="0" fontId="114" fillId="26" borderId="32" xfId="0" applyFont="1" applyFill="1" applyBorder="1" applyAlignment="1">
      <alignment vertical="center"/>
    </xf>
    <xf numFmtId="0" fontId="0" fillId="0" borderId="0" xfId="0" applyAlignment="1">
      <alignment vertical="center"/>
    </xf>
    <xf numFmtId="0" fontId="111" fillId="34" borderId="32" xfId="0" applyFont="1" applyFill="1" applyBorder="1" applyAlignment="1">
      <alignment vertical="center"/>
    </xf>
    <xf numFmtId="0" fontId="112" fillId="35" borderId="32" xfId="0" applyFont="1" applyFill="1" applyBorder="1" applyAlignment="1">
      <alignment vertical="center"/>
    </xf>
    <xf numFmtId="0" fontId="113" fillId="36" borderId="32" xfId="0" applyFont="1" applyFill="1" applyBorder="1" applyAlignment="1">
      <alignment vertical="center"/>
    </xf>
    <xf numFmtId="0" fontId="0" fillId="26" borderId="0" xfId="0" applyFill="1" applyAlignment="1">
      <alignment vertical="center"/>
    </xf>
    <xf numFmtId="0" fontId="6" fillId="26" borderId="0" xfId="0" applyFont="1" applyFill="1"/>
    <xf numFmtId="0" fontId="14" fillId="0" borderId="0" xfId="0" applyFont="1"/>
    <xf numFmtId="0" fontId="12" fillId="26" borderId="0" xfId="0" applyFont="1" applyFill="1"/>
    <xf numFmtId="0" fontId="45" fillId="26" borderId="9" xfId="0" applyFont="1" applyFill="1" applyBorder="1" applyAlignment="1">
      <alignment horizontal="left"/>
    </xf>
    <xf numFmtId="0" fontId="4" fillId="16" borderId="0" xfId="0" applyFont="1" applyFill="1"/>
    <xf numFmtId="0" fontId="5" fillId="16" borderId="0" xfId="0" applyFont="1" applyFill="1"/>
    <xf numFmtId="0" fontId="12" fillId="16" borderId="0" xfId="0" applyFont="1" applyFill="1"/>
    <xf numFmtId="175" fontId="7" fillId="16" borderId="0" xfId="0" applyNumberFormat="1" applyFont="1" applyFill="1"/>
    <xf numFmtId="0" fontId="44" fillId="16" borderId="0" xfId="0" applyFont="1" applyFill="1"/>
    <xf numFmtId="0" fontId="45" fillId="26" borderId="32" xfId="0" applyFont="1" applyFill="1" applyBorder="1"/>
    <xf numFmtId="0" fontId="46" fillId="16" borderId="0" xfId="0" applyFont="1" applyFill="1"/>
    <xf numFmtId="0" fontId="48" fillId="24" borderId="22" xfId="0" applyFont="1" applyFill="1" applyBorder="1" applyAlignment="1">
      <alignment horizontal="left"/>
    </xf>
    <xf numFmtId="0" fontId="48" fillId="24" borderId="23" xfId="0" applyFont="1" applyFill="1" applyBorder="1" applyAlignment="1">
      <alignment horizontal="center"/>
    </xf>
    <xf numFmtId="0" fontId="48" fillId="24" borderId="24" xfId="0" applyFont="1" applyFill="1" applyBorder="1" applyAlignment="1">
      <alignment horizontal="center"/>
    </xf>
    <xf numFmtId="0" fontId="48" fillId="24" borderId="2" xfId="0" applyFont="1" applyFill="1" applyBorder="1" applyAlignment="1">
      <alignment horizontal="center"/>
    </xf>
    <xf numFmtId="0" fontId="48" fillId="24" borderId="24" xfId="0" applyFont="1" applyFill="1" applyBorder="1" applyAlignment="1">
      <alignment horizontal="left"/>
    </xf>
    <xf numFmtId="0" fontId="48" fillId="24" borderId="2" xfId="0" applyFont="1" applyFill="1" applyBorder="1" applyAlignment="1">
      <alignment horizontal="left"/>
    </xf>
    <xf numFmtId="0" fontId="5" fillId="16" borderId="2" xfId="0" applyFont="1" applyFill="1" applyBorder="1"/>
    <xf numFmtId="0" fontId="6" fillId="16" borderId="9" xfId="0" applyFont="1" applyFill="1" applyBorder="1"/>
    <xf numFmtId="0" fontId="7" fillId="27" borderId="16" xfId="0" applyFont="1" applyFill="1" applyBorder="1" applyAlignment="1">
      <alignment horizontal="center"/>
    </xf>
    <xf numFmtId="0" fontId="8" fillId="16" borderId="0" xfId="0" applyFont="1" applyFill="1"/>
    <xf numFmtId="0" fontId="4" fillId="16" borderId="2" xfId="0" applyFont="1" applyFill="1" applyBorder="1"/>
    <xf numFmtId="0" fontId="5" fillId="16" borderId="14" xfId="0" applyFont="1" applyFill="1" applyBorder="1"/>
    <xf numFmtId="0" fontId="6" fillId="16" borderId="2" xfId="0" applyFont="1" applyFill="1" applyBorder="1"/>
    <xf numFmtId="0" fontId="7" fillId="27" borderId="11" xfId="0" applyFont="1" applyFill="1" applyBorder="1" applyAlignment="1">
      <alignment horizontal="center"/>
    </xf>
    <xf numFmtId="0" fontId="8" fillId="16" borderId="2" xfId="0" applyFont="1" applyFill="1" applyBorder="1"/>
    <xf numFmtId="0" fontId="9" fillId="24" borderId="18" xfId="0" applyFont="1" applyFill="1" applyBorder="1" applyAlignment="1">
      <alignment horizontal="center" vertical="top" wrapText="1"/>
    </xf>
    <xf numFmtId="0" fontId="9" fillId="24" borderId="19" xfId="0" applyFont="1" applyFill="1" applyBorder="1" applyAlignment="1">
      <alignment horizontal="center" vertical="top" wrapText="1"/>
    </xf>
    <xf numFmtId="0" fontId="31" fillId="0" borderId="0" xfId="0" applyFont="1"/>
    <xf numFmtId="0" fontId="32" fillId="0" borderId="0" xfId="0" applyFont="1"/>
    <xf numFmtId="0" fontId="35" fillId="15" borderId="2" xfId="0" applyFont="1" applyFill="1" applyBorder="1" applyAlignment="1">
      <alignment wrapText="1"/>
    </xf>
    <xf numFmtId="4" fontId="32" fillId="0" borderId="2" xfId="0" applyNumberFormat="1" applyFont="1" applyBorder="1"/>
    <xf numFmtId="0" fontId="32" fillId="0" borderId="2" xfId="0" applyFont="1" applyBorder="1"/>
    <xf numFmtId="0" fontId="33" fillId="0" borderId="2" xfId="0" applyFont="1" applyBorder="1"/>
    <xf numFmtId="17" fontId="35" fillId="15" borderId="2" xfId="0" applyNumberFormat="1" applyFont="1" applyFill="1" applyBorder="1" applyAlignment="1">
      <alignment wrapText="1"/>
    </xf>
    <xf numFmtId="0" fontId="35" fillId="0" borderId="2" xfId="0" applyFont="1" applyBorder="1"/>
    <xf numFmtId="4" fontId="35" fillId="0" borderId="6" xfId="0" applyNumberFormat="1" applyFont="1" applyBorder="1"/>
    <xf numFmtId="0" fontId="35" fillId="0" borderId="0" xfId="0" applyFont="1"/>
    <xf numFmtId="10" fontId="0" fillId="28" borderId="0" xfId="0" applyNumberFormat="1" applyFill="1" applyAlignment="1">
      <alignment horizontal="center" vertical="center"/>
    </xf>
    <xf numFmtId="14" fontId="115" fillId="0" borderId="0" xfId="0" applyNumberFormat="1" applyFont="1" applyAlignment="1">
      <alignment horizontal="left"/>
    </xf>
    <xf numFmtId="14" fontId="73" fillId="0" borderId="0" xfId="0" applyNumberFormat="1" applyFont="1" applyAlignment="1">
      <alignment horizontal="left"/>
    </xf>
    <xf numFmtId="0" fontId="0" fillId="28" borderId="0" xfId="0" applyFill="1"/>
    <xf numFmtId="0" fontId="0" fillId="28" borderId="9" xfId="0" applyFill="1" applyBorder="1"/>
    <xf numFmtId="0" fontId="0" fillId="28" borderId="11" xfId="0" applyFill="1" applyBorder="1"/>
    <xf numFmtId="165" fontId="0" fillId="2" borderId="16" xfId="0" applyNumberFormat="1" applyFill="1" applyBorder="1" applyAlignment="1">
      <alignment horizontal="center" vertical="center"/>
    </xf>
    <xf numFmtId="3" fontId="0" fillId="27" borderId="1" xfId="0" applyNumberFormat="1" applyFill="1" applyBorder="1" applyAlignment="1">
      <alignment horizontal="center"/>
    </xf>
    <xf numFmtId="0" fontId="116" fillId="16" borderId="17" xfId="0" applyFont="1" applyFill="1" applyBorder="1"/>
    <xf numFmtId="0" fontId="0" fillId="16" borderId="17" xfId="0" applyFill="1" applyBorder="1"/>
    <xf numFmtId="0" fontId="0" fillId="16" borderId="38" xfId="0" applyFill="1" applyBorder="1"/>
    <xf numFmtId="0" fontId="117" fillId="0" borderId="2" xfId="12"/>
    <xf numFmtId="0" fontId="117" fillId="0" borderId="2" xfId="12" applyAlignment="1">
      <alignment horizontal="center" vertical="center"/>
    </xf>
    <xf numFmtId="0" fontId="117" fillId="0" borderId="2" xfId="12" applyAlignment="1">
      <alignment horizontal="left" vertical="center"/>
    </xf>
    <xf numFmtId="0" fontId="117" fillId="0" borderId="2" xfId="12" applyAlignment="1">
      <alignment horizontal="center"/>
    </xf>
    <xf numFmtId="0" fontId="117" fillId="14" borderId="43" xfId="12" applyFill="1" applyBorder="1"/>
    <xf numFmtId="0" fontId="117" fillId="14" borderId="43" xfId="12" applyFill="1" applyBorder="1" applyAlignment="1">
      <alignment wrapText="1"/>
    </xf>
    <xf numFmtId="0" fontId="117" fillId="44" borderId="43" xfId="12" applyFill="1" applyBorder="1"/>
    <xf numFmtId="0" fontId="117" fillId="0" borderId="43" xfId="12" applyBorder="1"/>
    <xf numFmtId="0" fontId="117" fillId="46" borderId="2" xfId="12" applyFill="1"/>
    <xf numFmtId="0" fontId="117" fillId="44" borderId="2" xfId="12" applyFill="1"/>
    <xf numFmtId="0" fontId="117" fillId="41" borderId="43" xfId="12" applyFill="1" applyBorder="1"/>
    <xf numFmtId="49" fontId="125" fillId="37" borderId="2" xfId="15" applyNumberFormat="1" applyAlignment="1">
      <alignment horizontal="left" vertical="center"/>
    </xf>
    <xf numFmtId="0" fontId="117" fillId="45" borderId="2" xfId="12" applyFill="1"/>
    <xf numFmtId="49" fontId="122" fillId="39" borderId="2" xfId="13" applyNumberFormat="1" applyAlignment="1">
      <alignment horizontal="left" vertical="center"/>
    </xf>
    <xf numFmtId="49" fontId="123" fillId="38" borderId="2" xfId="14" applyNumberFormat="1" applyAlignment="1">
      <alignment horizontal="left" vertical="center"/>
    </xf>
    <xf numFmtId="0" fontId="62" fillId="0" borderId="21" xfId="0" applyFont="1" applyBorder="1"/>
    <xf numFmtId="0" fontId="62" fillId="0" borderId="21" xfId="0" applyFont="1" applyBorder="1" applyAlignment="1">
      <alignment horizontal="center"/>
    </xf>
    <xf numFmtId="175" fontId="62" fillId="0" borderId="21" xfId="0" applyNumberFormat="1" applyFont="1" applyBorder="1" applyAlignment="1">
      <alignment horizontal="center"/>
    </xf>
    <xf numFmtId="0" fontId="126" fillId="31" borderId="0" xfId="0" applyFont="1" applyFill="1" applyAlignment="1">
      <alignment horizontal="right"/>
    </xf>
    <xf numFmtId="3" fontId="0" fillId="2" borderId="2" xfId="0" applyNumberFormat="1" applyFill="1" applyBorder="1" applyAlignment="1">
      <alignment horizontal="center" vertical="center"/>
    </xf>
    <xf numFmtId="0" fontId="0" fillId="0" borderId="1" xfId="0" applyBorder="1"/>
    <xf numFmtId="3" fontId="0" fillId="0" borderId="1" xfId="0" applyNumberFormat="1" applyBorder="1" applyAlignment="1">
      <alignment horizontal="center"/>
    </xf>
    <xf numFmtId="3" fontId="0" fillId="47" borderId="1" xfId="0" applyNumberFormat="1" applyFill="1" applyBorder="1" applyAlignment="1">
      <alignment horizontal="center"/>
    </xf>
    <xf numFmtId="165" fontId="0" fillId="47" borderId="1" xfId="0" applyNumberFormat="1" applyFill="1" applyBorder="1" applyAlignment="1">
      <alignment horizontal="center"/>
    </xf>
    <xf numFmtId="0" fontId="127" fillId="24" borderId="1" xfId="0" applyFont="1" applyFill="1" applyBorder="1" applyAlignment="1">
      <alignment horizontal="center"/>
    </xf>
    <xf numFmtId="0" fontId="19" fillId="24" borderId="1" xfId="0" applyFont="1" applyFill="1" applyBorder="1" applyAlignment="1">
      <alignment horizontal="center" vertical="center"/>
    </xf>
    <xf numFmtId="167" fontId="0" fillId="47" borderId="1" xfId="0" applyNumberFormat="1" applyFill="1" applyBorder="1" applyAlignment="1">
      <alignment horizontal="center"/>
    </xf>
    <xf numFmtId="3" fontId="105" fillId="28" borderId="41" xfId="0" applyNumberFormat="1" applyFont="1" applyFill="1" applyBorder="1" applyAlignment="1">
      <alignment horizontal="center"/>
    </xf>
    <xf numFmtId="3" fontId="105" fillId="28" borderId="36" xfId="0" applyNumberFormat="1" applyFont="1" applyFill="1" applyBorder="1" applyAlignment="1">
      <alignment horizontal="center"/>
    </xf>
    <xf numFmtId="3" fontId="105" fillId="28" borderId="35" xfId="0" applyNumberFormat="1" applyFont="1" applyFill="1" applyBorder="1" applyAlignment="1">
      <alignment horizontal="center"/>
    </xf>
    <xf numFmtId="167" fontId="105" fillId="28" borderId="1" xfId="0" applyNumberFormat="1" applyFont="1" applyFill="1" applyBorder="1" applyAlignment="1">
      <alignment horizontal="center"/>
    </xf>
    <xf numFmtId="3" fontId="105" fillId="16" borderId="41" xfId="0" applyNumberFormat="1" applyFont="1" applyFill="1" applyBorder="1" applyAlignment="1">
      <alignment horizontal="center"/>
    </xf>
    <xf numFmtId="3" fontId="105" fillId="16" borderId="36" xfId="0" applyNumberFormat="1" applyFont="1" applyFill="1" applyBorder="1" applyAlignment="1">
      <alignment horizontal="center"/>
    </xf>
    <xf numFmtId="3" fontId="105" fillId="16" borderId="35" xfId="0" applyNumberFormat="1" applyFont="1" applyFill="1" applyBorder="1" applyAlignment="1">
      <alignment horizontal="center"/>
    </xf>
    <xf numFmtId="167" fontId="105" fillId="16" borderId="1" xfId="0" applyNumberFormat="1" applyFont="1" applyFill="1" applyBorder="1" applyAlignment="1">
      <alignment horizontal="center"/>
    </xf>
    <xf numFmtId="165" fontId="11" fillId="0" borderId="35" xfId="0" applyNumberFormat="1" applyFont="1" applyBorder="1" applyAlignment="1">
      <alignment horizontal="center" vertical="center"/>
    </xf>
    <xf numFmtId="165" fontId="0" fillId="0" borderId="1" xfId="0" applyNumberFormat="1" applyBorder="1" applyAlignment="1">
      <alignment horizontal="center"/>
    </xf>
    <xf numFmtId="0" fontId="19" fillId="3" borderId="17" xfId="0" applyFont="1" applyFill="1" applyBorder="1" applyAlignment="1">
      <alignment horizontal="center" vertical="center"/>
    </xf>
    <xf numFmtId="166" fontId="0" fillId="0" borderId="17" xfId="0" applyNumberFormat="1" applyBorder="1" applyAlignment="1">
      <alignment horizontal="center" vertical="center"/>
    </xf>
    <xf numFmtId="166" fontId="0" fillId="7" borderId="17" xfId="0" applyNumberFormat="1" applyFill="1" applyBorder="1" applyAlignment="1">
      <alignment horizontal="center" vertical="center"/>
    </xf>
    <xf numFmtId="0" fontId="60" fillId="14" borderId="2" xfId="0" applyFont="1" applyFill="1" applyBorder="1" applyAlignment="1">
      <alignment vertical="top" wrapText="1"/>
    </xf>
    <xf numFmtId="0" fontId="0" fillId="23" borderId="0" xfId="0" applyFill="1"/>
    <xf numFmtId="0" fontId="129" fillId="16" borderId="0" xfId="0" applyFont="1" applyFill="1" applyAlignment="1">
      <alignment horizontal="center"/>
    </xf>
    <xf numFmtId="177" fontId="129" fillId="22" borderId="0" xfId="0" applyNumberFormat="1" applyFont="1" applyFill="1" applyAlignment="1">
      <alignment horizontal="center"/>
    </xf>
    <xf numFmtId="0" fontId="128" fillId="16" borderId="0" xfId="0" applyFont="1" applyFill="1"/>
    <xf numFmtId="0" fontId="130" fillId="47" borderId="54" xfId="0" applyFont="1" applyFill="1" applyBorder="1" applyAlignment="1">
      <alignment horizontal="center"/>
    </xf>
    <xf numFmtId="0" fontId="130" fillId="47" borderId="53" xfId="0" applyFont="1" applyFill="1" applyBorder="1" applyAlignment="1">
      <alignment horizontal="center"/>
    </xf>
    <xf numFmtId="0" fontId="132" fillId="16" borderId="0" xfId="0" applyFont="1" applyFill="1"/>
    <xf numFmtId="177" fontId="132" fillId="16" borderId="0" xfId="0" applyNumberFormat="1" applyFont="1" applyFill="1" applyAlignment="1">
      <alignment horizontal="center"/>
    </xf>
    <xf numFmtId="0" fontId="133" fillId="23" borderId="0" xfId="0" applyFont="1" applyFill="1"/>
    <xf numFmtId="177" fontId="134" fillId="48" borderId="0" xfId="0" applyNumberFormat="1" applyFont="1" applyFill="1" applyAlignment="1">
      <alignment horizontal="right"/>
    </xf>
    <xf numFmtId="0" fontId="135" fillId="48" borderId="0" xfId="0" applyFont="1" applyFill="1" applyAlignment="1">
      <alignment horizontal="center"/>
    </xf>
    <xf numFmtId="177" fontId="135" fillId="48" borderId="0" xfId="0" applyNumberFormat="1" applyFont="1" applyFill="1" applyAlignment="1">
      <alignment horizontal="right"/>
    </xf>
    <xf numFmtId="177" fontId="136" fillId="47" borderId="0" xfId="0" applyNumberFormat="1" applyFont="1" applyFill="1" applyAlignment="1">
      <alignment horizontal="right"/>
    </xf>
    <xf numFmtId="0" fontId="137" fillId="47" borderId="0" xfId="0" applyFont="1" applyFill="1" applyAlignment="1">
      <alignment horizontal="center"/>
    </xf>
    <xf numFmtId="177" fontId="137" fillId="47" borderId="0" xfId="0" applyNumberFormat="1" applyFont="1" applyFill="1" applyAlignment="1">
      <alignment horizontal="right"/>
    </xf>
    <xf numFmtId="0" fontId="0" fillId="49" borderId="0" xfId="0" applyFill="1"/>
    <xf numFmtId="0" fontId="0" fillId="48" borderId="0" xfId="0" applyFill="1"/>
    <xf numFmtId="0" fontId="0" fillId="47" borderId="0" xfId="0" applyFill="1"/>
    <xf numFmtId="177" fontId="138" fillId="47" borderId="54" xfId="0" applyNumberFormat="1" applyFont="1" applyFill="1" applyBorder="1" applyAlignment="1">
      <alignment horizontal="center"/>
    </xf>
    <xf numFmtId="0" fontId="138" fillId="47" borderId="54" xfId="0" applyFont="1" applyFill="1" applyBorder="1" applyAlignment="1">
      <alignment horizontal="center"/>
    </xf>
    <xf numFmtId="0" fontId="0" fillId="31" borderId="0" xfId="0" applyFill="1"/>
    <xf numFmtId="0" fontId="116" fillId="27" borderId="0" xfId="0" applyFont="1" applyFill="1" applyAlignment="1">
      <alignment horizontal="center"/>
    </xf>
    <xf numFmtId="0" fontId="0" fillId="25" borderId="32" xfId="0" applyFill="1" applyBorder="1"/>
    <xf numFmtId="0" fontId="116" fillId="16" borderId="0" xfId="0" applyFont="1" applyFill="1"/>
    <xf numFmtId="177" fontId="116" fillId="16" borderId="0" xfId="0" applyNumberFormat="1" applyFont="1" applyFill="1" applyAlignment="1">
      <alignment horizontal="center"/>
    </xf>
    <xf numFmtId="0" fontId="131" fillId="16" borderId="0" xfId="0" applyFont="1" applyFill="1" applyAlignment="1">
      <alignment horizontal="center"/>
    </xf>
    <xf numFmtId="0" fontId="139" fillId="16" borderId="0" xfId="0" applyFont="1" applyFill="1"/>
    <xf numFmtId="0" fontId="0" fillId="16" borderId="56" xfId="0" applyFill="1" applyBorder="1"/>
    <xf numFmtId="0" fontId="140" fillId="34" borderId="21" xfId="0" applyFont="1" applyFill="1" applyBorder="1" applyAlignment="1">
      <alignment horizontal="center"/>
    </xf>
    <xf numFmtId="0" fontId="45" fillId="0" borderId="0" xfId="0" applyFont="1" applyAlignment="1">
      <alignment vertical="center"/>
    </xf>
    <xf numFmtId="0" fontId="49" fillId="0" borderId="0" xfId="0" applyFont="1" applyAlignment="1">
      <alignment horizontal="center" vertical="center"/>
    </xf>
    <xf numFmtId="0" fontId="70" fillId="0" borderId="0" xfId="0" applyFont="1" applyAlignment="1">
      <alignment horizontal="center" vertical="center"/>
    </xf>
    <xf numFmtId="165" fontId="143" fillId="0" borderId="21" xfId="0" applyNumberFormat="1" applyFont="1" applyBorder="1" applyAlignment="1">
      <alignment horizontal="center"/>
    </xf>
    <xf numFmtId="0" fontId="0" fillId="0" borderId="20" xfId="0" applyBorder="1"/>
    <xf numFmtId="0" fontId="0" fillId="0" borderId="21" xfId="0" applyBorder="1"/>
    <xf numFmtId="0" fontId="146" fillId="26" borderId="20" xfId="0" applyFont="1" applyFill="1" applyBorder="1"/>
    <xf numFmtId="0" fontId="148" fillId="26" borderId="20" xfId="0" applyFont="1" applyFill="1" applyBorder="1"/>
    <xf numFmtId="0" fontId="147" fillId="26" borderId="2" xfId="0" applyFont="1" applyFill="1" applyBorder="1"/>
    <xf numFmtId="0" fontId="0" fillId="0" borderId="33" xfId="0" applyBorder="1"/>
    <xf numFmtId="0" fontId="145" fillId="0" borderId="52" xfId="0" applyFont="1" applyBorder="1"/>
    <xf numFmtId="0" fontId="0" fillId="0" borderId="52" xfId="0" applyBorder="1"/>
    <xf numFmtId="0" fontId="142" fillId="24" borderId="2" xfId="0" applyFont="1" applyFill="1" applyBorder="1"/>
    <xf numFmtId="174" fontId="144" fillId="27" borderId="21" xfId="0" applyNumberFormat="1" applyFont="1" applyFill="1" applyBorder="1" applyAlignment="1">
      <alignment horizontal="center"/>
    </xf>
    <xf numFmtId="0" fontId="33" fillId="0" borderId="2" xfId="16"/>
    <xf numFmtId="0" fontId="150" fillId="0" borderId="57" xfId="16" applyFont="1" applyBorder="1"/>
    <xf numFmtId="14" fontId="150" fillId="0" borderId="57" xfId="16" applyNumberFormat="1" applyFont="1" applyBorder="1"/>
    <xf numFmtId="0" fontId="151" fillId="0" borderId="43" xfId="16" applyFont="1" applyBorder="1" applyAlignment="1">
      <alignment horizontal="center"/>
    </xf>
    <xf numFmtId="0" fontId="152" fillId="0" borderId="2" xfId="17"/>
    <xf numFmtId="0" fontId="152" fillId="0" borderId="2" xfId="17" applyAlignment="1">
      <alignment wrapText="1"/>
    </xf>
    <xf numFmtId="22" fontId="152" fillId="0" borderId="2" xfId="17" applyNumberFormat="1"/>
    <xf numFmtId="0" fontId="152" fillId="51" borderId="2" xfId="17" applyFill="1"/>
    <xf numFmtId="2" fontId="0" fillId="0" borderId="0" xfId="0" applyNumberFormat="1"/>
    <xf numFmtId="0" fontId="117" fillId="0" borderId="43" xfId="12" applyBorder="1" applyAlignment="1">
      <alignment wrapText="1"/>
    </xf>
    <xf numFmtId="0" fontId="117" fillId="0" borderId="43" xfId="12" applyBorder="1" applyAlignment="1">
      <alignment horizontal="center" vertical="center"/>
    </xf>
    <xf numFmtId="14" fontId="117" fillId="0" borderId="43" xfId="12" applyNumberFormat="1" applyBorder="1" applyAlignment="1">
      <alignment horizontal="center" vertical="center"/>
    </xf>
    <xf numFmtId="8" fontId="117" fillId="0" borderId="43" xfId="12" applyNumberFormat="1" applyBorder="1" applyAlignment="1">
      <alignment horizontal="center"/>
    </xf>
    <xf numFmtId="0" fontId="117" fillId="0" borderId="43" xfId="12" applyBorder="1">
      <extLst>
        <ext xmlns:xfpb="http://schemas.microsoft.com/office/spreadsheetml/2022/featurepropertybag" uri="{C7286773-470A-42A8-94C5-96B5CB345126}">
          <xfpb:xfComplement i="0"/>
        </ext>
      </extLst>
    </xf>
    <xf numFmtId="0" fontId="153" fillId="0" borderId="43" xfId="12" applyFont="1" applyBorder="1" applyAlignment="1">
      <alignment horizontal="center"/>
    </xf>
    <xf numFmtId="0" fontId="117" fillId="0" borderId="51" xfId="12" applyBorder="1"/>
    <xf numFmtId="0" fontId="117" fillId="0" borderId="51" xfId="12" applyBorder="1" applyAlignment="1">
      <alignment horizontal="center" vertical="center"/>
    </xf>
    <xf numFmtId="14" fontId="117" fillId="0" borderId="51" xfId="12" applyNumberFormat="1" applyBorder="1" applyAlignment="1">
      <alignment horizontal="center" vertical="center"/>
    </xf>
    <xf numFmtId="0" fontId="117" fillId="0" borderId="51" xfId="12" applyBorder="1">
      <extLst>
        <ext xmlns:xfpb="http://schemas.microsoft.com/office/spreadsheetml/2022/featurepropertybag" uri="{C7286773-470A-42A8-94C5-96B5CB345126}">
          <xfpb:xfComplement i="0"/>
        </ext>
      </extLst>
    </xf>
    <xf numFmtId="0" fontId="154" fillId="0" borderId="43" xfId="12" applyFont="1" applyBorder="1" applyAlignment="1">
      <alignment horizontal="center"/>
    </xf>
    <xf numFmtId="0" fontId="117" fillId="0" borderId="51" xfId="12" applyBorder="1" applyAlignment="1">
      <alignment horizontal="center"/>
    </xf>
    <xf numFmtId="0" fontId="118" fillId="0" borderId="51" xfId="12" applyFont="1" applyBorder="1" applyAlignment="1">
      <alignment horizontal="center"/>
    </xf>
    <xf numFmtId="0" fontId="117" fillId="0" borderId="51" xfId="12" applyBorder="1" applyAlignment="1">
      <alignment horizontal="left" vertical="center"/>
    </xf>
    <xf numFmtId="0" fontId="117" fillId="53" borderId="43" xfId="12" applyFill="1" applyBorder="1"/>
    <xf numFmtId="0" fontId="117" fillId="54" borderId="43" xfId="12" applyFill="1" applyBorder="1" applyAlignment="1">
      <alignment wrapText="1"/>
    </xf>
    <xf numFmtId="14" fontId="119" fillId="54" borderId="43" xfId="12" applyNumberFormat="1" applyFont="1" applyFill="1" applyBorder="1" applyAlignment="1">
      <alignment horizontal="center" vertical="center"/>
    </xf>
    <xf numFmtId="14" fontId="155" fillId="14" borderId="43" xfId="12" applyNumberFormat="1" applyFont="1" applyFill="1" applyBorder="1" applyAlignment="1">
      <alignment horizontal="center"/>
    </xf>
    <xf numFmtId="0" fontId="117" fillId="44" borderId="43" xfId="12" applyFill="1" applyBorder="1" applyAlignment="1">
      <alignment wrapText="1"/>
    </xf>
    <xf numFmtId="8" fontId="120" fillId="44" borderId="2" xfId="12" applyNumberFormat="1" applyFont="1" applyFill="1" applyAlignment="1">
      <alignment horizontal="center"/>
    </xf>
    <xf numFmtId="0" fontId="117" fillId="54" borderId="2" xfId="12" applyFill="1"/>
    <xf numFmtId="0" fontId="117" fillId="52" borderId="2" xfId="12" applyFill="1"/>
    <xf numFmtId="0" fontId="156" fillId="26" borderId="0" xfId="0" applyFont="1" applyFill="1"/>
    <xf numFmtId="0" fontId="156" fillId="26" borderId="2" xfId="0" applyFont="1" applyFill="1" applyBorder="1"/>
    <xf numFmtId="0" fontId="140" fillId="34" borderId="21" xfId="0" applyFont="1" applyFill="1" applyBorder="1" applyAlignment="1">
      <alignment horizontal="left"/>
    </xf>
    <xf numFmtId="14" fontId="140" fillId="34" borderId="21" xfId="0" applyNumberFormat="1" applyFont="1" applyFill="1" applyBorder="1" applyAlignment="1">
      <alignment horizontal="center"/>
    </xf>
    <xf numFmtId="0" fontId="141" fillId="35" borderId="21" xfId="0" applyFont="1" applyFill="1" applyBorder="1" applyAlignment="1">
      <alignment horizontal="center"/>
    </xf>
    <xf numFmtId="0" fontId="157" fillId="32" borderId="2" xfId="0" applyFont="1" applyFill="1" applyBorder="1"/>
    <xf numFmtId="0" fontId="158" fillId="42" borderId="2" xfId="0" applyFont="1" applyFill="1" applyBorder="1"/>
    <xf numFmtId="0" fontId="159" fillId="32" borderId="21" xfId="0" applyFont="1" applyFill="1" applyBorder="1" applyAlignment="1">
      <alignment horizontal="center"/>
    </xf>
    <xf numFmtId="0" fontId="160" fillId="43" borderId="0" xfId="0" applyFont="1" applyFill="1" applyAlignment="1">
      <alignment vertical="center"/>
    </xf>
    <xf numFmtId="0" fontId="161" fillId="0" borderId="0" xfId="0" applyFont="1"/>
    <xf numFmtId="0" fontId="162" fillId="22" borderId="0" xfId="0" applyFont="1" applyFill="1"/>
    <xf numFmtId="0" fontId="88" fillId="0" borderId="0" xfId="0" applyFont="1"/>
    <xf numFmtId="0" fontId="80" fillId="0" borderId="0" xfId="0" applyFont="1" applyAlignment="1">
      <alignment horizontal="center"/>
    </xf>
    <xf numFmtId="0" fontId="85" fillId="0" borderId="0" xfId="0" applyFont="1" applyAlignment="1">
      <alignment horizontal="center"/>
    </xf>
    <xf numFmtId="0" fontId="95" fillId="0" borderId="0" xfId="0" applyFont="1" applyAlignment="1">
      <alignment horizontal="center"/>
    </xf>
    <xf numFmtId="0" fontId="88" fillId="47" borderId="0" xfId="0" applyFont="1" applyFill="1"/>
    <xf numFmtId="0" fontId="163" fillId="47" borderId="0" xfId="0" applyFont="1" applyFill="1" applyAlignment="1">
      <alignment horizontal="center"/>
    </xf>
    <xf numFmtId="0" fontId="164" fillId="47" borderId="0" xfId="0" applyFont="1" applyFill="1"/>
    <xf numFmtId="0" fontId="9" fillId="24" borderId="32" xfId="0" applyFont="1" applyFill="1" applyBorder="1" applyAlignment="1">
      <alignment vertical="center"/>
    </xf>
    <xf numFmtId="0" fontId="0" fillId="24" borderId="32" xfId="0" applyFill="1" applyBorder="1"/>
    <xf numFmtId="0" fontId="61" fillId="30" borderId="2" xfId="0" applyFont="1" applyFill="1" applyBorder="1" applyAlignment="1">
      <alignment wrapText="1"/>
    </xf>
    <xf numFmtId="0" fontId="41" fillId="0" borderId="0" xfId="0" applyFont="1"/>
    <xf numFmtId="17" fontId="0" fillId="0" borderId="0" xfId="0" applyNumberFormat="1"/>
    <xf numFmtId="14" fontId="0" fillId="0" borderId="0" xfId="0" applyNumberFormat="1"/>
    <xf numFmtId="4" fontId="0" fillId="0" borderId="0" xfId="0" applyNumberFormat="1"/>
    <xf numFmtId="0" fontId="165" fillId="55" borderId="0" xfId="0" applyFont="1" applyFill="1" applyAlignment="1">
      <alignment horizontal="center" vertical="center"/>
    </xf>
    <xf numFmtId="0" fontId="32" fillId="14" borderId="43" xfId="12" applyFont="1" applyFill="1" applyBorder="1" applyAlignment="1">
      <alignment horizontal="center"/>
    </xf>
    <xf numFmtId="0" fontId="166" fillId="14" borderId="43" xfId="12" applyFont="1" applyFill="1" applyBorder="1"/>
    <xf numFmtId="0" fontId="32" fillId="14" borderId="43" xfId="12" applyFont="1" applyFill="1" applyBorder="1"/>
    <xf numFmtId="0" fontId="32" fillId="18" borderId="43" xfId="12" applyFont="1" applyFill="1" applyBorder="1"/>
    <xf numFmtId="0" fontId="117" fillId="0" borderId="2" xfId="12" applyAlignment="1">
      <alignment vertical="center"/>
    </xf>
    <xf numFmtId="0" fontId="117" fillId="0" borderId="43" xfId="12" applyBorder="1" applyAlignment="1">
      <alignment vertical="center"/>
    </xf>
    <xf numFmtId="0" fontId="117" fillId="0" borderId="43" xfId="12" applyBorder="1" applyAlignment="1">
      <alignment vertical="center" wrapText="1"/>
    </xf>
    <xf numFmtId="8" fontId="117" fillId="0" borderId="43" xfId="12" applyNumberFormat="1" applyBorder="1" applyAlignment="1">
      <alignment horizontal="center" vertical="center"/>
    </xf>
    <xf numFmtId="0" fontId="117" fillId="0" borderId="43" xfId="12" applyBorder="1" applyAlignment="1">
      <alignment vertical="center"/>
      <extLst>
        <ext xmlns:xfpb="http://schemas.microsoft.com/office/spreadsheetml/2022/featurepropertybag" uri="{C7286773-470A-42A8-94C5-96B5CB345126}">
          <xfpb:xfComplement i="0"/>
        </ext>
      </extLst>
    </xf>
    <xf numFmtId="0" fontId="118" fillId="14" borderId="43" xfId="12" applyFont="1" applyFill="1" applyBorder="1" applyAlignment="1">
      <alignment horizontal="center" vertical="center"/>
    </xf>
    <xf numFmtId="0" fontId="33" fillId="0" borderId="43" xfId="12" applyFont="1" applyBorder="1" applyAlignment="1">
      <alignment wrapText="1"/>
    </xf>
    <xf numFmtId="0" fontId="118" fillId="14" borderId="43" xfId="12" applyFont="1" applyFill="1" applyBorder="1" applyAlignment="1">
      <alignment horizontal="center"/>
    </xf>
    <xf numFmtId="0" fontId="117" fillId="0" borderId="59" xfId="12" applyBorder="1"/>
    <xf numFmtId="0" fontId="117" fillId="0" borderId="59" xfId="12" applyBorder="1" applyAlignment="1">
      <alignment wrapText="1"/>
    </xf>
    <xf numFmtId="0" fontId="117" fillId="0" borderId="59" xfId="12" applyBorder="1" applyAlignment="1">
      <alignment horizontal="center" vertical="center"/>
    </xf>
    <xf numFmtId="14" fontId="117" fillId="0" borderId="59" xfId="12" applyNumberFormat="1" applyBorder="1" applyAlignment="1">
      <alignment horizontal="center" vertical="center"/>
    </xf>
    <xf numFmtId="8" fontId="117" fillId="0" borderId="59" xfId="12" applyNumberFormat="1" applyBorder="1" applyAlignment="1">
      <alignment horizontal="center"/>
    </xf>
    <xf numFmtId="0" fontId="117" fillId="0" borderId="59" xfId="12" applyBorder="1">
      <extLst>
        <ext xmlns:xfpb="http://schemas.microsoft.com/office/spreadsheetml/2022/featurepropertybag" uri="{C7286773-470A-42A8-94C5-96B5CB345126}">
          <xfpb:xfComplement i="0"/>
        </ext>
      </extLst>
    </xf>
    <xf numFmtId="0" fontId="167" fillId="14" borderId="51" xfId="12" applyFont="1" applyFill="1" applyBorder="1" applyAlignment="1">
      <alignment horizontal="center"/>
    </xf>
    <xf numFmtId="0" fontId="117" fillId="45" borderId="43" xfId="12" applyFill="1" applyBorder="1"/>
    <xf numFmtId="0" fontId="117" fillId="54" borderId="43" xfId="12" applyFill="1" applyBorder="1"/>
    <xf numFmtId="0" fontId="117" fillId="54" borderId="43" xfId="12" applyFill="1" applyBorder="1" applyAlignment="1">
      <alignment horizontal="center" vertical="center"/>
    </xf>
    <xf numFmtId="14" fontId="117" fillId="54" borderId="43" xfId="12" applyNumberFormat="1" applyFill="1" applyBorder="1" applyAlignment="1">
      <alignment horizontal="center" vertical="center"/>
    </xf>
    <xf numFmtId="0" fontId="117" fillId="54" borderId="43" xfId="12" applyFill="1" applyBorder="1" applyAlignment="1">
      <alignment horizontal="center"/>
    </xf>
    <xf numFmtId="0" fontId="117" fillId="54" borderId="43" xfId="12" applyFill="1" applyBorder="1">
      <extLst>
        <ext xmlns:xfpb="http://schemas.microsoft.com/office/spreadsheetml/2022/featurepropertybag" uri="{C7286773-470A-42A8-94C5-96B5CB345126}">
          <xfpb:xfComplement i="0"/>
        </ext>
      </extLst>
    </xf>
    <xf numFmtId="0" fontId="117" fillId="54" borderId="47" xfId="12" applyFill="1" applyBorder="1">
      <extLst>
        <ext xmlns:xfpb="http://schemas.microsoft.com/office/spreadsheetml/2022/featurepropertybag" uri="{C7286773-470A-42A8-94C5-96B5CB345126}">
          <xfpb:xfComplement i="0"/>
        </ext>
      </extLst>
    </xf>
    <xf numFmtId="0" fontId="117" fillId="54" borderId="48" xfId="12" applyFill="1" applyBorder="1">
      <extLst>
        <ext xmlns:xfpb="http://schemas.microsoft.com/office/spreadsheetml/2022/featurepropertybag" uri="{C7286773-470A-42A8-94C5-96B5CB345126}">
          <xfpb:xfComplement i="0"/>
        </ext>
      </extLst>
    </xf>
    <xf numFmtId="14" fontId="117" fillId="54" borderId="43" xfId="12" applyNumberFormat="1" applyFill="1" applyBorder="1" applyAlignment="1">
      <alignment horizontal="center"/>
    </xf>
    <xf numFmtId="0" fontId="117" fillId="54" borderId="43" xfId="12" applyFill="1" applyBorder="1" applyAlignment="1">
      <alignment horizontal="left" vertical="center"/>
    </xf>
    <xf numFmtId="0" fontId="117" fillId="18" borderId="43" xfId="12" applyFill="1" applyBorder="1"/>
    <xf numFmtId="0" fontId="117" fillId="45" borderId="51" xfId="12" applyFill="1" applyBorder="1"/>
    <xf numFmtId="0" fontId="117" fillId="44" borderId="51" xfId="12" applyFill="1" applyBorder="1"/>
    <xf numFmtId="0" fontId="117" fillId="44" borderId="51" xfId="12" applyFill="1" applyBorder="1" applyAlignment="1">
      <alignment wrapText="1"/>
    </xf>
    <xf numFmtId="0" fontId="117" fillId="44" borderId="51" xfId="12" applyFill="1" applyBorder="1" applyAlignment="1">
      <alignment horizontal="center" vertical="center"/>
    </xf>
    <xf numFmtId="14" fontId="117" fillId="44" borderId="51" xfId="12" applyNumberFormat="1" applyFill="1" applyBorder="1" applyAlignment="1">
      <alignment horizontal="center" vertical="center"/>
    </xf>
    <xf numFmtId="8" fontId="117" fillId="44" borderId="51" xfId="12" applyNumberFormat="1" applyFill="1" applyBorder="1" applyAlignment="1">
      <alignment horizontal="center"/>
    </xf>
    <xf numFmtId="0" fontId="117" fillId="44" borderId="51" xfId="12" applyFill="1" applyBorder="1">
      <extLst>
        <ext xmlns:xfpb="http://schemas.microsoft.com/office/spreadsheetml/2022/featurepropertybag" uri="{C7286773-470A-42A8-94C5-96B5CB345126}">
          <xfpb:xfComplement i="0"/>
        </ext>
      </extLst>
    </xf>
    <xf numFmtId="0" fontId="117" fillId="44" borderId="43" xfId="12" applyFill="1" applyBorder="1">
      <extLst>
        <ext xmlns:xfpb="http://schemas.microsoft.com/office/spreadsheetml/2022/featurepropertybag" uri="{C7286773-470A-42A8-94C5-96B5CB345126}">
          <xfpb:xfComplement i="0"/>
        </ext>
      </extLst>
    </xf>
    <xf numFmtId="0" fontId="167" fillId="44" borderId="51" xfId="12" applyFont="1" applyFill="1" applyBorder="1" applyAlignment="1">
      <alignment horizontal="center"/>
    </xf>
    <xf numFmtId="0" fontId="117" fillId="44" borderId="43" xfId="12" applyFill="1" applyBorder="1" applyAlignment="1">
      <alignment horizontal="center" vertical="center"/>
    </xf>
    <xf numFmtId="14" fontId="117" fillId="44" borderId="43" xfId="12" applyNumberFormat="1" applyFill="1" applyBorder="1" applyAlignment="1">
      <alignment horizontal="center" vertical="center"/>
    </xf>
    <xf numFmtId="8" fontId="117" fillId="44" borderId="43" xfId="12" applyNumberFormat="1" applyFill="1" applyBorder="1" applyAlignment="1">
      <alignment horizontal="center"/>
    </xf>
    <xf numFmtId="0" fontId="167" fillId="44" borderId="43" xfId="12" applyFont="1" applyFill="1" applyBorder="1" applyAlignment="1">
      <alignment horizontal="center"/>
    </xf>
    <xf numFmtId="0" fontId="118" fillId="44" borderId="48" xfId="12" applyFont="1" applyFill="1" applyBorder="1" applyAlignment="1">
      <alignment horizontal="center"/>
    </xf>
    <xf numFmtId="0" fontId="117" fillId="56" borderId="2" xfId="12" applyFill="1"/>
    <xf numFmtId="0" fontId="117" fillId="56" borderId="51" xfId="12" applyFill="1" applyBorder="1"/>
    <xf numFmtId="0" fontId="117" fillId="56" borderId="51" xfId="12" applyFill="1" applyBorder="1" applyAlignment="1">
      <alignment wrapText="1"/>
    </xf>
    <xf numFmtId="0" fontId="117" fillId="56" borderId="51" xfId="12" applyFill="1" applyBorder="1" applyAlignment="1">
      <alignment horizontal="center" vertical="center"/>
    </xf>
    <xf numFmtId="14" fontId="117" fillId="56" borderId="51" xfId="12" applyNumberFormat="1" applyFill="1" applyBorder="1" applyAlignment="1">
      <alignment horizontal="center" vertical="center"/>
    </xf>
    <xf numFmtId="8" fontId="117" fillId="56" borderId="51" xfId="12" applyNumberFormat="1" applyFill="1" applyBorder="1" applyAlignment="1">
      <alignment horizontal="center"/>
    </xf>
    <xf numFmtId="0" fontId="117" fillId="56" borderId="51" xfId="12" applyFill="1" applyBorder="1">
      <extLst>
        <ext xmlns:xfpb="http://schemas.microsoft.com/office/spreadsheetml/2022/featurepropertybag" uri="{C7286773-470A-42A8-94C5-96B5CB345126}">
          <xfpb:xfComplement i="0"/>
        </ext>
      </extLst>
    </xf>
    <xf numFmtId="0" fontId="154" fillId="56" borderId="49" xfId="12" applyFont="1" applyFill="1" applyBorder="1" applyAlignment="1">
      <alignment horizontal="center"/>
    </xf>
    <xf numFmtId="44" fontId="117" fillId="0" borderId="51" xfId="12" applyNumberFormat="1" applyBorder="1" applyAlignment="1">
      <alignment horizontal="center"/>
    </xf>
    <xf numFmtId="0" fontId="117" fillId="18" borderId="51" xfId="12" applyFill="1" applyBorder="1"/>
    <xf numFmtId="49" fontId="32" fillId="18" borderId="43" xfId="12" applyNumberFormat="1" applyFont="1" applyFill="1" applyBorder="1" applyAlignment="1">
      <alignment horizontal="left" vertical="center"/>
    </xf>
    <xf numFmtId="0" fontId="33" fillId="54" borderId="43" xfId="12" applyFont="1" applyFill="1" applyBorder="1" applyAlignment="1">
      <alignment wrapText="1"/>
    </xf>
    <xf numFmtId="14" fontId="119" fillId="54" borderId="43" xfId="12" applyNumberFormat="1" applyFont="1" applyFill="1" applyBorder="1" applyAlignment="1">
      <alignment horizontal="center"/>
    </xf>
    <xf numFmtId="14" fontId="168" fillId="44" borderId="43" xfId="12" applyNumberFormat="1" applyFont="1" applyFill="1" applyBorder="1" applyAlignment="1">
      <alignment horizontal="center"/>
    </xf>
    <xf numFmtId="0" fontId="117" fillId="45" borderId="51" xfId="12" applyFill="1" applyBorder="1" applyAlignment="1">
      <alignment wrapText="1"/>
    </xf>
    <xf numFmtId="14" fontId="119" fillId="45" borderId="51" xfId="12" applyNumberFormat="1" applyFont="1" applyFill="1" applyBorder="1" applyAlignment="1">
      <alignment horizontal="center"/>
    </xf>
    <xf numFmtId="0" fontId="117" fillId="54" borderId="51" xfId="12" applyFill="1" applyBorder="1" applyAlignment="1">
      <alignment wrapText="1"/>
    </xf>
    <xf numFmtId="14" fontId="119" fillId="54" borderId="51" xfId="12" applyNumberFormat="1" applyFont="1" applyFill="1" applyBorder="1" applyAlignment="1">
      <alignment horizontal="center" vertical="center"/>
    </xf>
    <xf numFmtId="49" fontId="32" fillId="54" borderId="51" xfId="12" applyNumberFormat="1" applyFont="1" applyFill="1" applyBorder="1" applyAlignment="1">
      <alignment horizontal="left" vertical="center"/>
    </xf>
    <xf numFmtId="0" fontId="117" fillId="14" borderId="2" xfId="12" applyFill="1"/>
    <xf numFmtId="0" fontId="121" fillId="14" borderId="2" xfId="12" applyFont="1" applyFill="1" applyAlignment="1">
      <alignment wrapText="1"/>
    </xf>
    <xf numFmtId="14" fontId="155" fillId="14" borderId="43" xfId="12" applyNumberFormat="1" applyFont="1" applyFill="1" applyBorder="1" applyAlignment="1">
      <alignment horizontal="center" vertical="center"/>
    </xf>
    <xf numFmtId="0" fontId="32" fillId="14" borderId="48" xfId="12" applyFont="1" applyFill="1" applyBorder="1" applyAlignment="1">
      <alignment horizontal="left" vertical="center"/>
    </xf>
    <xf numFmtId="0" fontId="169" fillId="0" borderId="25" xfId="0" applyFont="1" applyBorder="1"/>
    <xf numFmtId="0" fontId="169" fillId="0" borderId="26" xfId="0" applyFont="1" applyBorder="1" applyAlignment="1">
      <alignment horizontal="center"/>
    </xf>
    <xf numFmtId="165" fontId="169" fillId="0" borderId="26" xfId="0" applyNumberFormat="1" applyFont="1" applyBorder="1" applyAlignment="1">
      <alignment horizontal="center"/>
    </xf>
    <xf numFmtId="0" fontId="33" fillId="16" borderId="2" xfId="0" applyFont="1" applyFill="1" applyBorder="1"/>
    <xf numFmtId="0" fontId="11" fillId="16" borderId="2" xfId="0" applyFont="1" applyFill="1" applyBorder="1"/>
    <xf numFmtId="0" fontId="11" fillId="16" borderId="20" xfId="0" applyFont="1" applyFill="1" applyBorder="1"/>
    <xf numFmtId="0" fontId="170" fillId="26" borderId="0" xfId="0" applyFont="1" applyFill="1"/>
    <xf numFmtId="0" fontId="105" fillId="16" borderId="0" xfId="0" applyFont="1" applyFill="1"/>
    <xf numFmtId="0" fontId="105" fillId="57" borderId="0" xfId="0" applyFont="1" applyFill="1"/>
    <xf numFmtId="0" fontId="105" fillId="16" borderId="2" xfId="0" applyFont="1" applyFill="1" applyBorder="1"/>
    <xf numFmtId="0" fontId="105" fillId="57" borderId="21" xfId="0" applyFont="1" applyFill="1" applyBorder="1"/>
    <xf numFmtId="0" fontId="105" fillId="16" borderId="2" xfId="0" applyFont="1" applyFill="1" applyBorder="1" applyAlignment="1">
      <alignment horizontal="center"/>
    </xf>
    <xf numFmtId="177" fontId="105" fillId="16" borderId="2" xfId="0" applyNumberFormat="1" applyFont="1" applyFill="1" applyBorder="1" applyAlignment="1">
      <alignment horizontal="center"/>
    </xf>
    <xf numFmtId="165" fontId="105" fillId="16" borderId="2" xfId="0" applyNumberFormat="1" applyFont="1" applyFill="1" applyBorder="1" applyAlignment="1">
      <alignment horizontal="center"/>
    </xf>
    <xf numFmtId="0" fontId="105" fillId="57" borderId="21" xfId="0" applyFont="1" applyFill="1" applyBorder="1" applyAlignment="1">
      <alignment horizontal="center"/>
    </xf>
    <xf numFmtId="177" fontId="105" fillId="57" borderId="21" xfId="0" applyNumberFormat="1" applyFont="1" applyFill="1" applyBorder="1" applyAlignment="1">
      <alignment horizontal="center"/>
    </xf>
    <xf numFmtId="165" fontId="105" fillId="57" borderId="21" xfId="0" applyNumberFormat="1" applyFont="1" applyFill="1" applyBorder="1" applyAlignment="1">
      <alignment horizontal="center"/>
    </xf>
    <xf numFmtId="0" fontId="12" fillId="16" borderId="2" xfId="0" applyFont="1" applyFill="1" applyBorder="1" applyAlignment="1">
      <alignment horizontal="center"/>
    </xf>
    <xf numFmtId="0" fontId="7" fillId="16" borderId="2" xfId="0" applyFont="1" applyFill="1" applyBorder="1" applyAlignment="1">
      <alignment horizontal="center"/>
    </xf>
    <xf numFmtId="0" fontId="33" fillId="16" borderId="2" xfId="0" applyFont="1" applyFill="1" applyBorder="1" applyAlignment="1">
      <alignment horizontal="center"/>
    </xf>
    <xf numFmtId="0" fontId="11" fillId="16" borderId="2" xfId="0" applyFont="1" applyFill="1" applyBorder="1" applyAlignment="1">
      <alignment horizontal="center"/>
    </xf>
    <xf numFmtId="0" fontId="173" fillId="0" borderId="0" xfId="0" applyFont="1"/>
    <xf numFmtId="0" fontId="173" fillId="42" borderId="60" xfId="0" applyFont="1" applyFill="1" applyBorder="1"/>
    <xf numFmtId="0" fontId="73" fillId="0" borderId="0" xfId="0" applyFont="1"/>
    <xf numFmtId="0" fontId="149" fillId="0" borderId="0" xfId="0" applyFont="1"/>
    <xf numFmtId="0" fontId="174" fillId="0" borderId="0" xfId="0" applyFont="1"/>
    <xf numFmtId="0" fontId="174" fillId="0" borderId="61" xfId="0" applyFont="1" applyBorder="1"/>
    <xf numFmtId="0" fontId="175" fillId="0" borderId="0" xfId="0" applyFont="1"/>
    <xf numFmtId="0" fontId="176" fillId="0" borderId="0" xfId="0" applyFont="1"/>
    <xf numFmtId="0" fontId="177" fillId="0" borderId="0" xfId="0" applyFont="1"/>
    <xf numFmtId="0" fontId="171" fillId="0" borderId="0" xfId="0" applyFont="1"/>
    <xf numFmtId="0" fontId="80" fillId="0" borderId="61" xfId="0" applyFont="1" applyBorder="1"/>
    <xf numFmtId="0" fontId="0" fillId="0" borderId="61" xfId="0" applyBorder="1"/>
    <xf numFmtId="0" fontId="171" fillId="0" borderId="60" xfId="0" applyFont="1" applyBorder="1"/>
    <xf numFmtId="165" fontId="73" fillId="0" borderId="0" xfId="0" applyNumberFormat="1" applyFont="1"/>
    <xf numFmtId="165" fontId="149" fillId="0" borderId="0" xfId="0" applyNumberFormat="1" applyFont="1"/>
    <xf numFmtId="165" fontId="174" fillId="0" borderId="61" xfId="0" applyNumberFormat="1" applyFont="1" applyBorder="1"/>
    <xf numFmtId="165" fontId="80" fillId="0" borderId="61" xfId="0" applyNumberFormat="1" applyFont="1" applyBorder="1"/>
    <xf numFmtId="165" fontId="177" fillId="0" borderId="0" xfId="0" applyNumberFormat="1" applyFont="1"/>
    <xf numFmtId="165" fontId="174" fillId="0" borderId="0" xfId="0" applyNumberFormat="1" applyFont="1"/>
    <xf numFmtId="165" fontId="171" fillId="0" borderId="60" xfId="0" applyNumberFormat="1" applyFont="1" applyBorder="1"/>
    <xf numFmtId="165" fontId="178" fillId="0" borderId="0" xfId="0" applyNumberFormat="1" applyFont="1"/>
    <xf numFmtId="174" fontId="73" fillId="0" borderId="0" xfId="0" applyNumberFormat="1" applyFont="1"/>
    <xf numFmtId="174" fontId="149" fillId="0" borderId="0" xfId="0" applyNumberFormat="1" applyFont="1"/>
    <xf numFmtId="174" fontId="174" fillId="0" borderId="61" xfId="0" applyNumberFormat="1" applyFont="1" applyBorder="1"/>
    <xf numFmtId="174" fontId="80" fillId="0" borderId="61" xfId="0" applyNumberFormat="1" applyFont="1" applyBorder="1"/>
    <xf numFmtId="174" fontId="177" fillId="0" borderId="0" xfId="0" applyNumberFormat="1" applyFont="1"/>
    <xf numFmtId="174" fontId="174" fillId="0" borderId="0" xfId="0" applyNumberFormat="1" applyFont="1"/>
    <xf numFmtId="174" fontId="171" fillId="0" borderId="60" xfId="0" applyNumberFormat="1" applyFont="1" applyBorder="1"/>
    <xf numFmtId="0" fontId="11" fillId="16" borderId="20" xfId="0" applyFont="1" applyFill="1" applyBorder="1" applyAlignment="1">
      <alignment horizontal="center"/>
    </xf>
    <xf numFmtId="177" fontId="12" fillId="16" borderId="20" xfId="0" applyNumberFormat="1" applyFont="1" applyFill="1" applyBorder="1" applyAlignment="1">
      <alignment horizontal="center"/>
    </xf>
    <xf numFmtId="0" fontId="11" fillId="26" borderId="2" xfId="0" applyFont="1" applyFill="1" applyBorder="1" applyAlignment="1">
      <alignment horizontal="center"/>
    </xf>
    <xf numFmtId="0" fontId="11" fillId="26" borderId="2" xfId="0" applyFont="1" applyFill="1" applyBorder="1"/>
    <xf numFmtId="0" fontId="105" fillId="26" borderId="0" xfId="0" applyFont="1" applyFill="1"/>
    <xf numFmtId="0" fontId="73" fillId="24" borderId="0" xfId="0" applyFont="1" applyFill="1"/>
    <xf numFmtId="0" fontId="83" fillId="24" borderId="60" xfId="0" applyFont="1" applyFill="1" applyBorder="1"/>
    <xf numFmtId="0" fontId="83" fillId="24" borderId="60" xfId="0" applyFont="1" applyFill="1" applyBorder="1" applyAlignment="1">
      <alignment horizontal="center"/>
    </xf>
    <xf numFmtId="0" fontId="106" fillId="26" borderId="62" xfId="0" applyFont="1" applyFill="1" applyBorder="1"/>
    <xf numFmtId="0" fontId="106" fillId="26" borderId="62" xfId="0" applyFont="1" applyFill="1" applyBorder="1" applyAlignment="1">
      <alignment horizontal="center"/>
    </xf>
    <xf numFmtId="177" fontId="106" fillId="26" borderId="62" xfId="0" applyNumberFormat="1" applyFont="1" applyFill="1" applyBorder="1" applyAlignment="1">
      <alignment horizontal="center"/>
    </xf>
    <xf numFmtId="165" fontId="106" fillId="26" borderId="62" xfId="0" applyNumberFormat="1" applyFont="1" applyFill="1" applyBorder="1" applyAlignment="1">
      <alignment horizontal="center"/>
    </xf>
    <xf numFmtId="0" fontId="83" fillId="24" borderId="2" xfId="0" applyFont="1" applyFill="1" applyBorder="1"/>
    <xf numFmtId="0" fontId="62" fillId="16" borderId="54" xfId="0" applyFont="1" applyFill="1" applyBorder="1"/>
    <xf numFmtId="177" fontId="62" fillId="16" borderId="54" xfId="0" applyNumberFormat="1" applyFont="1" applyFill="1" applyBorder="1"/>
    <xf numFmtId="0" fontId="173" fillId="42" borderId="63" xfId="0" applyFont="1" applyFill="1" applyBorder="1"/>
    <xf numFmtId="177" fontId="173" fillId="42" borderId="63" xfId="0" applyNumberFormat="1" applyFont="1" applyFill="1" applyBorder="1"/>
    <xf numFmtId="0" fontId="73" fillId="16" borderId="0" xfId="0" applyFont="1" applyFill="1"/>
    <xf numFmtId="174" fontId="73" fillId="16" borderId="0" xfId="0" applyNumberFormat="1" applyFont="1" applyFill="1"/>
    <xf numFmtId="165" fontId="73" fillId="16" borderId="0" xfId="0" applyNumberFormat="1" applyFont="1" applyFill="1"/>
    <xf numFmtId="0" fontId="80" fillId="0" borderId="62" xfId="0" applyFont="1" applyBorder="1"/>
    <xf numFmtId="174" fontId="80" fillId="0" borderId="62" xfId="0" applyNumberFormat="1" applyFont="1" applyBorder="1"/>
    <xf numFmtId="165" fontId="80" fillId="0" borderId="62" xfId="0" applyNumberFormat="1" applyFont="1" applyBorder="1"/>
    <xf numFmtId="0" fontId="0" fillId="0" borderId="62" xfId="0" applyBorder="1"/>
    <xf numFmtId="0" fontId="62" fillId="16" borderId="61" xfId="0" applyFont="1" applyFill="1" applyBorder="1"/>
    <xf numFmtId="177" fontId="62" fillId="16" borderId="61" xfId="0" applyNumberFormat="1" applyFont="1" applyFill="1" applyBorder="1"/>
    <xf numFmtId="0" fontId="62" fillId="42" borderId="54" xfId="0" applyFont="1" applyFill="1" applyBorder="1"/>
    <xf numFmtId="177" fontId="62" fillId="42" borderId="54" xfId="0" applyNumberFormat="1" applyFont="1" applyFill="1" applyBorder="1"/>
    <xf numFmtId="0" fontId="142" fillId="58" borderId="0" xfId="0" applyFont="1" applyFill="1"/>
    <xf numFmtId="177" fontId="0" fillId="0" borderId="0" xfId="0" applyNumberFormat="1"/>
    <xf numFmtId="165" fontId="0" fillId="0" borderId="0" xfId="0" applyNumberFormat="1"/>
    <xf numFmtId="175" fontId="0" fillId="0" borderId="0" xfId="0" applyNumberFormat="1"/>
    <xf numFmtId="49" fontId="0" fillId="0" borderId="0" xfId="0" applyNumberFormat="1"/>
    <xf numFmtId="0" fontId="142" fillId="24" borderId="0" xfId="0" applyFont="1" applyFill="1"/>
    <xf numFmtId="0" fontId="105" fillId="0" borderId="58" xfId="0" applyFont="1" applyBorder="1" applyAlignment="1">
      <alignment horizontal="left" vertical="top" wrapText="1"/>
    </xf>
    <xf numFmtId="0" fontId="179" fillId="29" borderId="64" xfId="0" applyFont="1" applyFill="1" applyBorder="1" applyAlignment="1">
      <alignment horizontal="center"/>
    </xf>
    <xf numFmtId="174" fontId="179" fillId="29" borderId="3" xfId="0" applyNumberFormat="1" applyFont="1" applyFill="1" applyBorder="1" applyAlignment="1">
      <alignment horizontal="center"/>
    </xf>
    <xf numFmtId="0" fontId="29" fillId="26" borderId="61" xfId="0" applyFont="1" applyFill="1" applyBorder="1" applyAlignment="1">
      <alignment horizontal="left"/>
    </xf>
    <xf numFmtId="0" fontId="33" fillId="26" borderId="61" xfId="0" applyFont="1" applyFill="1" applyBorder="1"/>
    <xf numFmtId="0" fontId="9" fillId="24" borderId="18" xfId="0" applyFont="1" applyFill="1" applyBorder="1" applyAlignment="1">
      <alignment horizontal="center" wrapText="1"/>
    </xf>
    <xf numFmtId="0" fontId="33" fillId="26" borderId="2" xfId="0" applyFont="1" applyFill="1" applyBorder="1"/>
    <xf numFmtId="0" fontId="11" fillId="16" borderId="50" xfId="0" applyFont="1" applyFill="1" applyBorder="1" applyAlignment="1">
      <alignment horizontal="center"/>
    </xf>
    <xf numFmtId="0" fontId="131" fillId="27" borderId="9" xfId="0" applyFont="1" applyFill="1" applyBorder="1" applyAlignment="1">
      <alignment horizontal="center"/>
    </xf>
    <xf numFmtId="0" fontId="13" fillId="29" borderId="9" xfId="0" applyFont="1" applyFill="1" applyBorder="1" applyAlignment="1">
      <alignment horizontal="center"/>
    </xf>
    <xf numFmtId="0" fontId="131" fillId="27" borderId="11" xfId="0" applyFont="1" applyFill="1" applyBorder="1" applyAlignment="1">
      <alignment horizontal="center"/>
    </xf>
    <xf numFmtId="0" fontId="13" fillId="29" borderId="11" xfId="0" applyFont="1" applyFill="1" applyBorder="1" applyAlignment="1">
      <alignment horizontal="center"/>
    </xf>
    <xf numFmtId="0" fontId="131" fillId="27" borderId="12" xfId="0" applyFont="1" applyFill="1" applyBorder="1" applyAlignment="1">
      <alignment horizontal="center"/>
    </xf>
    <xf numFmtId="0" fontId="131" fillId="27" borderId="13" xfId="0" applyFont="1" applyFill="1" applyBorder="1" applyAlignment="1">
      <alignment horizontal="center"/>
    </xf>
    <xf numFmtId="0" fontId="131" fillId="16" borderId="9" xfId="0" applyFont="1" applyFill="1" applyBorder="1" applyAlignment="1">
      <alignment horizontal="center"/>
    </xf>
    <xf numFmtId="0" fontId="131" fillId="16" borderId="13" xfId="0" applyFont="1" applyFill="1" applyBorder="1" applyAlignment="1">
      <alignment horizontal="center"/>
    </xf>
    <xf numFmtId="0" fontId="11" fillId="16" borderId="2" xfId="0" applyFont="1" applyFill="1" applyBorder="1" applyAlignment="1">
      <alignment vertical="top" wrapText="1"/>
    </xf>
    <xf numFmtId="0" fontId="131" fillId="27" borderId="16" xfId="0" applyFont="1" applyFill="1" applyBorder="1" applyAlignment="1">
      <alignment vertical="top" wrapText="1"/>
    </xf>
    <xf numFmtId="0" fontId="131" fillId="27" borderId="9" xfId="0" applyFont="1" applyFill="1" applyBorder="1" applyAlignment="1">
      <alignment vertical="top" wrapText="1"/>
    </xf>
    <xf numFmtId="0" fontId="131" fillId="16" borderId="16" xfId="0" applyFont="1" applyFill="1" applyBorder="1" applyAlignment="1">
      <alignment vertical="top" wrapText="1"/>
    </xf>
    <xf numFmtId="0" fontId="131" fillId="16" borderId="9" xfId="0" applyFont="1" applyFill="1" applyBorder="1" applyAlignment="1">
      <alignment vertical="top" wrapText="1"/>
    </xf>
    <xf numFmtId="0" fontId="131" fillId="27" borderId="17" xfId="0" applyFont="1" applyFill="1" applyBorder="1" applyAlignment="1">
      <alignment vertical="top" wrapText="1"/>
    </xf>
    <xf numFmtId="0" fontId="131" fillId="27" borderId="11" xfId="0" applyFont="1" applyFill="1" applyBorder="1" applyAlignment="1">
      <alignment vertical="top" wrapText="1"/>
    </xf>
    <xf numFmtId="0" fontId="63" fillId="29" borderId="20" xfId="0" applyFont="1" applyFill="1" applyBorder="1"/>
    <xf numFmtId="0" fontId="63" fillId="29" borderId="20" xfId="0" applyFont="1" applyFill="1" applyBorder="1" applyAlignment="1">
      <alignment horizontal="center"/>
    </xf>
    <xf numFmtId="175" fontId="63" fillId="29" borderId="20" xfId="0" applyNumberFormat="1" applyFont="1" applyFill="1" applyBorder="1" applyAlignment="1">
      <alignment horizontal="center"/>
    </xf>
    <xf numFmtId="0" fontId="63" fillId="29" borderId="21" xfId="0" applyFont="1" applyFill="1" applyBorder="1"/>
    <xf numFmtId="0" fontId="63" fillId="29" borderId="21" xfId="0" applyFont="1" applyFill="1" applyBorder="1" applyAlignment="1">
      <alignment horizontal="center"/>
    </xf>
    <xf numFmtId="175" fontId="63" fillId="29" borderId="21" xfId="0" applyNumberFormat="1" applyFont="1" applyFill="1" applyBorder="1" applyAlignment="1">
      <alignment horizontal="center"/>
    </xf>
    <xf numFmtId="0" fontId="111" fillId="34" borderId="20" xfId="0" applyFont="1" applyFill="1" applyBorder="1"/>
    <xf numFmtId="0" fontId="111" fillId="34" borderId="21" xfId="0" applyFont="1" applyFill="1" applyBorder="1"/>
    <xf numFmtId="0" fontId="111" fillId="34" borderId="21" xfId="0" applyFont="1" applyFill="1" applyBorder="1" applyAlignment="1">
      <alignment horizontal="center"/>
    </xf>
    <xf numFmtId="175" fontId="111" fillId="34" borderId="21" xfId="0" applyNumberFormat="1" applyFont="1" applyFill="1" applyBorder="1" applyAlignment="1">
      <alignment horizontal="center"/>
    </xf>
    <xf numFmtId="0" fontId="63" fillId="29" borderId="2" xfId="0" applyFont="1" applyFill="1" applyBorder="1"/>
    <xf numFmtId="0" fontId="11" fillId="28" borderId="17" xfId="0" applyFont="1" applyFill="1" applyBorder="1" applyAlignment="1">
      <alignment horizontal="center"/>
    </xf>
    <xf numFmtId="3" fontId="11" fillId="16" borderId="17" xfId="0" applyNumberFormat="1" applyFont="1" applyFill="1" applyBorder="1" applyAlignment="1">
      <alignment horizontal="center"/>
    </xf>
    <xf numFmtId="0" fontId="11" fillId="16" borderId="17" xfId="0" applyFont="1" applyFill="1" applyBorder="1" applyAlignment="1">
      <alignment horizontal="center"/>
    </xf>
    <xf numFmtId="3" fontId="11" fillId="29" borderId="17" xfId="0" applyNumberFormat="1" applyFont="1" applyFill="1" applyBorder="1" applyAlignment="1">
      <alignment horizontal="center"/>
    </xf>
    <xf numFmtId="0" fontId="6" fillId="28" borderId="0" xfId="0" applyFont="1" applyFill="1"/>
    <xf numFmtId="0" fontId="20" fillId="16" borderId="17" xfId="0" applyFont="1" applyFill="1" applyBorder="1"/>
    <xf numFmtId="10" fontId="18" fillId="16" borderId="1" xfId="0" applyNumberFormat="1" applyFont="1" applyFill="1" applyBorder="1"/>
    <xf numFmtId="0" fontId="48" fillId="31" borderId="0" xfId="0" applyFont="1" applyFill="1"/>
    <xf numFmtId="0" fontId="58" fillId="33" borderId="27" xfId="0" applyFont="1" applyFill="1" applyBorder="1" applyAlignment="1">
      <alignment wrapText="1"/>
    </xf>
    <xf numFmtId="0" fontId="112" fillId="35" borderId="20" xfId="0" applyFont="1" applyFill="1" applyBorder="1"/>
    <xf numFmtId="0" fontId="112" fillId="35" borderId="20" xfId="0" applyFont="1" applyFill="1" applyBorder="1" applyAlignment="1">
      <alignment horizontal="center"/>
    </xf>
    <xf numFmtId="175" fontId="112" fillId="35" borderId="20" xfId="0" applyNumberFormat="1" applyFont="1" applyFill="1" applyBorder="1" applyAlignment="1">
      <alignment horizontal="center"/>
    </xf>
    <xf numFmtId="0" fontId="111" fillId="34" borderId="20" xfId="0" applyFont="1" applyFill="1" applyBorder="1" applyAlignment="1">
      <alignment horizontal="center"/>
    </xf>
    <xf numFmtId="175" fontId="111" fillId="34" borderId="20" xfId="0" applyNumberFormat="1" applyFont="1" applyFill="1" applyBorder="1" applyAlignment="1">
      <alignment horizontal="center"/>
    </xf>
    <xf numFmtId="0" fontId="113" fillId="36" borderId="20" xfId="0" applyFont="1" applyFill="1" applyBorder="1"/>
    <xf numFmtId="0" fontId="113" fillId="36" borderId="20" xfId="0" applyFont="1" applyFill="1" applyBorder="1" applyAlignment="1">
      <alignment horizontal="center"/>
    </xf>
    <xf numFmtId="175" fontId="113" fillId="36" borderId="20" xfId="0" applyNumberFormat="1" applyFont="1" applyFill="1" applyBorder="1" applyAlignment="1">
      <alignment horizontal="center"/>
    </xf>
    <xf numFmtId="0" fontId="47" fillId="16" borderId="20" xfId="0" applyFont="1" applyFill="1" applyBorder="1"/>
    <xf numFmtId="0" fontId="47" fillId="16" borderId="20" xfId="0" applyFont="1" applyFill="1" applyBorder="1" applyAlignment="1">
      <alignment horizontal="center"/>
    </xf>
    <xf numFmtId="175" fontId="47" fillId="16" borderId="20" xfId="0" applyNumberFormat="1" applyFont="1" applyFill="1" applyBorder="1" applyAlignment="1">
      <alignment horizontal="center"/>
    </xf>
    <xf numFmtId="0" fontId="4" fillId="0" borderId="2" xfId="0" applyFont="1" applyBorder="1"/>
    <xf numFmtId="0" fontId="47" fillId="0" borderId="2" xfId="0" applyFont="1" applyBorder="1"/>
    <xf numFmtId="0" fontId="5" fillId="0" borderId="2" xfId="0" applyFont="1" applyBorder="1"/>
    <xf numFmtId="0" fontId="12" fillId="0" borderId="2" xfId="0" applyFont="1" applyBorder="1"/>
    <xf numFmtId="175" fontId="7" fillId="0" borderId="2" xfId="0" applyNumberFormat="1" applyFont="1" applyBorder="1"/>
    <xf numFmtId="0" fontId="44" fillId="0" borderId="2" xfId="0" applyFont="1" applyBorder="1"/>
    <xf numFmtId="0" fontId="47" fillId="26" borderId="32" xfId="0" applyFont="1" applyFill="1" applyBorder="1"/>
    <xf numFmtId="0" fontId="48" fillId="24" borderId="2" xfId="0" applyFont="1" applyFill="1" applyBorder="1"/>
    <xf numFmtId="0" fontId="49" fillId="0" borderId="2" xfId="0" applyFont="1" applyBorder="1"/>
    <xf numFmtId="0" fontId="47" fillId="0" borderId="2" xfId="0" applyFont="1" applyBorder="1" applyAlignment="1">
      <alignment horizontal="center"/>
    </xf>
    <xf numFmtId="0" fontId="70" fillId="0" borderId="2" xfId="0" applyFont="1" applyBorder="1"/>
    <xf numFmtId="165" fontId="70" fillId="0" borderId="2" xfId="0" applyNumberFormat="1" applyFont="1" applyBorder="1" applyAlignment="1">
      <alignment horizontal="center"/>
    </xf>
    <xf numFmtId="0" fontId="47" fillId="0" borderId="21" xfId="0" applyFont="1" applyBorder="1"/>
    <xf numFmtId="0" fontId="47" fillId="0" borderId="21" xfId="0" applyFont="1" applyBorder="1" applyAlignment="1">
      <alignment horizontal="center"/>
    </xf>
    <xf numFmtId="165" fontId="47" fillId="0" borderId="21" xfId="0" applyNumberFormat="1" applyFont="1" applyBorder="1" applyAlignment="1">
      <alignment horizontal="center"/>
    </xf>
    <xf numFmtId="165" fontId="70" fillId="0" borderId="21" xfId="0" applyNumberFormat="1" applyFont="1" applyBorder="1" applyAlignment="1">
      <alignment horizontal="center"/>
    </xf>
    <xf numFmtId="0" fontId="70" fillId="0" borderId="21" xfId="0" applyFont="1" applyBorder="1"/>
    <xf numFmtId="0" fontId="70" fillId="0" borderId="21" xfId="0" applyFont="1" applyBorder="1" applyAlignment="1">
      <alignment horizontal="center"/>
    </xf>
    <xf numFmtId="165" fontId="67" fillId="0" borderId="21" xfId="0" applyNumberFormat="1" applyFont="1" applyBorder="1" applyAlignment="1">
      <alignment horizontal="center"/>
    </xf>
    <xf numFmtId="0" fontId="64" fillId="0" borderId="21" xfId="0" applyFont="1" applyBorder="1"/>
    <xf numFmtId="0" fontId="64" fillId="0" borderId="21" xfId="0" applyFont="1" applyBorder="1" applyAlignment="1">
      <alignment horizontal="center"/>
    </xf>
    <xf numFmtId="165" fontId="64" fillId="0" borderId="21" xfId="0" applyNumberFormat="1" applyFont="1" applyBorder="1" applyAlignment="1">
      <alignment horizontal="center"/>
    </xf>
    <xf numFmtId="0" fontId="49" fillId="0" borderId="21" xfId="0" applyFont="1" applyBorder="1"/>
    <xf numFmtId="0" fontId="49" fillId="0" borderId="20" xfId="0" applyFont="1" applyBorder="1"/>
    <xf numFmtId="165" fontId="47" fillId="0" borderId="20" xfId="0" applyNumberFormat="1" applyFont="1" applyBorder="1" applyAlignment="1">
      <alignment horizontal="center"/>
    </xf>
    <xf numFmtId="0" fontId="47" fillId="0" borderId="20" xfId="0" applyFont="1" applyBorder="1"/>
    <xf numFmtId="0" fontId="70" fillId="0" borderId="20" xfId="0" applyFont="1" applyBorder="1"/>
    <xf numFmtId="0" fontId="47" fillId="0" borderId="20" xfId="0" applyFont="1" applyBorder="1" applyAlignment="1">
      <alignment horizontal="center"/>
    </xf>
    <xf numFmtId="0" fontId="44" fillId="0" borderId="20" xfId="0" applyFont="1" applyBorder="1"/>
    <xf numFmtId="174" fontId="47" fillId="0" borderId="2" xfId="0" applyNumberFormat="1" applyFont="1" applyBorder="1" applyAlignment="1">
      <alignment horizontal="center"/>
    </xf>
    <xf numFmtId="174" fontId="47" fillId="0" borderId="21" xfId="0" applyNumberFormat="1" applyFont="1" applyBorder="1" applyAlignment="1">
      <alignment horizontal="center"/>
    </xf>
    <xf numFmtId="0" fontId="44" fillId="0" borderId="21" xfId="0" applyFont="1" applyBorder="1"/>
    <xf numFmtId="0" fontId="46" fillId="26" borderId="20" xfId="0" applyFont="1" applyFill="1" applyBorder="1"/>
    <xf numFmtId="0" fontId="46" fillId="26" borderId="20" xfId="0" applyFont="1" applyFill="1" applyBorder="1" applyAlignment="1">
      <alignment horizontal="center"/>
    </xf>
    <xf numFmtId="174" fontId="46" fillId="26" borderId="20" xfId="0" applyNumberFormat="1" applyFont="1" applyFill="1" applyBorder="1" applyAlignment="1">
      <alignment horizontal="center"/>
    </xf>
    <xf numFmtId="0" fontId="46" fillId="26" borderId="2" xfId="0" applyFont="1" applyFill="1" applyBorder="1"/>
    <xf numFmtId="174" fontId="46" fillId="26" borderId="2" xfId="0" applyNumberFormat="1" applyFont="1" applyFill="1" applyBorder="1" applyAlignment="1">
      <alignment horizontal="center"/>
    </xf>
    <xf numFmtId="0" fontId="47" fillId="0" borderId="52" xfId="0" applyFont="1" applyBorder="1"/>
    <xf numFmtId="174" fontId="47" fillId="0" borderId="20" xfId="0" applyNumberFormat="1" applyFont="1" applyBorder="1" applyAlignment="1">
      <alignment horizontal="center"/>
    </xf>
    <xf numFmtId="0" fontId="45" fillId="26" borderId="2" xfId="0" applyFont="1" applyFill="1" applyBorder="1"/>
    <xf numFmtId="0" fontId="47" fillId="26" borderId="2" xfId="0" applyFont="1" applyFill="1" applyBorder="1"/>
    <xf numFmtId="0" fontId="44" fillId="0" borderId="33" xfId="0" applyFont="1" applyBorder="1"/>
    <xf numFmtId="0" fontId="47" fillId="0" borderId="33" xfId="0" applyFont="1" applyBorder="1"/>
    <xf numFmtId="0" fontId="47" fillId="24" borderId="2" xfId="0" applyFont="1" applyFill="1" applyBorder="1"/>
    <xf numFmtId="174" fontId="48" fillId="24" borderId="2" xfId="0" applyNumberFormat="1" applyFont="1" applyFill="1" applyBorder="1" applyAlignment="1">
      <alignment horizontal="center"/>
    </xf>
    <xf numFmtId="165" fontId="47" fillId="0" borderId="2" xfId="0" applyNumberFormat="1" applyFont="1" applyBorder="1" applyAlignment="1">
      <alignment horizontal="center"/>
    </xf>
    <xf numFmtId="169" fontId="47" fillId="0" borderId="21" xfId="0" applyNumberFormat="1" applyFont="1" applyBorder="1" applyAlignment="1">
      <alignment horizontal="center"/>
    </xf>
    <xf numFmtId="169" fontId="47" fillId="0" borderId="20" xfId="0" applyNumberFormat="1" applyFont="1" applyBorder="1" applyAlignment="1">
      <alignment horizontal="center"/>
    </xf>
    <xf numFmtId="179" fontId="47" fillId="0" borderId="20" xfId="0" applyNumberFormat="1" applyFont="1" applyBorder="1" applyAlignment="1">
      <alignment horizontal="center"/>
    </xf>
    <xf numFmtId="180" fontId="47" fillId="0" borderId="20" xfId="0" applyNumberFormat="1" applyFont="1" applyBorder="1" applyAlignment="1">
      <alignment horizontal="center"/>
    </xf>
    <xf numFmtId="167" fontId="47" fillId="0" borderId="2" xfId="0" applyNumberFormat="1" applyFont="1" applyBorder="1" applyAlignment="1">
      <alignment horizontal="center"/>
    </xf>
    <xf numFmtId="167" fontId="47" fillId="0" borderId="21" xfId="0" applyNumberFormat="1" applyFont="1" applyBorder="1" applyAlignment="1">
      <alignment horizontal="center"/>
    </xf>
    <xf numFmtId="167" fontId="70" fillId="0" borderId="20" xfId="0" applyNumberFormat="1" applyFont="1" applyBorder="1" applyAlignment="1">
      <alignment horizontal="center"/>
    </xf>
    <xf numFmtId="0" fontId="48" fillId="24" borderId="8" xfId="0" applyFont="1" applyFill="1" applyBorder="1"/>
    <xf numFmtId="0" fontId="128" fillId="16" borderId="2" xfId="0" applyFont="1" applyFill="1" applyBorder="1" applyAlignment="1">
      <alignment horizontal="left"/>
    </xf>
    <xf numFmtId="0" fontId="128" fillId="16" borderId="20" xfId="0" applyFont="1" applyFill="1" applyBorder="1" applyAlignment="1">
      <alignment horizontal="left"/>
    </xf>
    <xf numFmtId="49" fontId="31" fillId="0" borderId="2" xfId="12" applyNumberFormat="1" applyFont="1" applyAlignment="1">
      <alignment horizontal="left" vertical="center"/>
    </xf>
    <xf numFmtId="49" fontId="31" fillId="0" borderId="2" xfId="12" applyNumberFormat="1" applyFont="1" applyAlignment="1">
      <alignment horizontal="center" vertical="center"/>
    </xf>
    <xf numFmtId="49" fontId="32" fillId="0" borderId="2" xfId="12" applyNumberFormat="1" applyFont="1" applyAlignment="1">
      <alignment horizontal="left" vertical="center"/>
    </xf>
    <xf numFmtId="49" fontId="32" fillId="0" borderId="2" xfId="12" applyNumberFormat="1" applyFont="1" applyAlignment="1">
      <alignment horizontal="center" vertical="center"/>
    </xf>
    <xf numFmtId="49" fontId="32" fillId="0" borderId="2" xfId="12" applyNumberFormat="1" applyFont="1" applyAlignment="1">
      <alignment horizontal="left" vertical="center" wrapText="1"/>
    </xf>
    <xf numFmtId="49" fontId="35" fillId="15" borderId="2" xfId="12" applyNumberFormat="1" applyFont="1" applyFill="1" applyAlignment="1">
      <alignment horizontal="center" vertical="center" wrapText="1"/>
    </xf>
    <xf numFmtId="49" fontId="35" fillId="15" borderId="2" xfId="12" applyNumberFormat="1" applyFont="1" applyFill="1" applyAlignment="1">
      <alignment horizontal="left" vertical="center" wrapText="1"/>
    </xf>
    <xf numFmtId="176" fontId="35" fillId="15" borderId="2" xfId="12" applyNumberFormat="1" applyFont="1" applyFill="1" applyAlignment="1">
      <alignment horizontal="center" vertical="center" wrapText="1"/>
    </xf>
    <xf numFmtId="173" fontId="35" fillId="15" borderId="2" xfId="12" applyNumberFormat="1" applyFont="1" applyFill="1" applyAlignment="1">
      <alignment horizontal="center" vertical="center" wrapText="1"/>
    </xf>
    <xf numFmtId="14" fontId="35" fillId="15" borderId="2" xfId="12" applyNumberFormat="1" applyFont="1" applyFill="1" applyAlignment="1">
      <alignment horizontal="center" vertical="center" wrapText="1"/>
    </xf>
    <xf numFmtId="49" fontId="35" fillId="15" borderId="2" xfId="12" applyNumberFormat="1" applyFont="1" applyFill="1" applyAlignment="1">
      <alignment horizontal="left" vertical="center"/>
    </xf>
    <xf numFmtId="176" fontId="35" fillId="15" borderId="2" xfId="12" applyNumberFormat="1" applyFont="1" applyFill="1" applyAlignment="1">
      <alignment horizontal="right" vertical="center"/>
    </xf>
    <xf numFmtId="14" fontId="32" fillId="14" borderId="47" xfId="12" applyNumberFormat="1" applyFont="1" applyFill="1" applyBorder="1" applyAlignment="1">
      <alignment horizontal="center" vertical="center"/>
    </xf>
    <xf numFmtId="49" fontId="32" fillId="14" borderId="46" xfId="12" applyNumberFormat="1" applyFont="1" applyFill="1" applyBorder="1" applyAlignment="1">
      <alignment horizontal="center" vertical="center"/>
      <extLst>
        <ext xmlns:xfpb="http://schemas.microsoft.com/office/spreadsheetml/2022/featurepropertybag" uri="{C7286773-470A-42A8-94C5-96B5CB345126}">
          <xfpb:xfComplement i="0"/>
        </ext>
      </extLst>
    </xf>
    <xf numFmtId="49" fontId="32" fillId="14" borderId="45" xfId="12" applyNumberFormat="1" applyFont="1" applyFill="1" applyBorder="1" applyAlignment="1">
      <alignment horizontal="center" vertical="center"/>
      <extLst>
        <ext xmlns:xfpb="http://schemas.microsoft.com/office/spreadsheetml/2022/featurepropertybag" uri="{C7286773-470A-42A8-94C5-96B5CB345126}">
          <xfpb:xfComplement i="0"/>
        </ext>
      </extLst>
    </xf>
    <xf numFmtId="49" fontId="32" fillId="14" borderId="44" xfId="12" applyNumberFormat="1" applyFont="1" applyFill="1" applyBorder="1" applyAlignment="1">
      <alignment horizontal="center" vertical="center"/>
      <extLst>
        <ext xmlns:xfpb="http://schemas.microsoft.com/office/spreadsheetml/2022/featurepropertybag" uri="{C7286773-470A-42A8-94C5-96B5CB345126}">
          <xfpb:xfComplement i="0"/>
        </ext>
      </extLst>
    </xf>
    <xf numFmtId="177" fontId="32" fillId="14" borderId="43" xfId="12" applyNumberFormat="1" applyFont="1" applyFill="1" applyBorder="1" applyAlignment="1">
      <alignment horizontal="center" vertical="center"/>
    </xf>
    <xf numFmtId="14" fontId="32" fillId="14" borderId="48" xfId="12" applyNumberFormat="1" applyFont="1" applyFill="1" applyBorder="1" applyAlignment="1">
      <alignment horizontal="center" vertical="center"/>
    </xf>
    <xf numFmtId="0" fontId="32" fillId="14" borderId="43" xfId="12" applyFont="1" applyFill="1" applyBorder="1" applyAlignment="1">
      <alignment horizontal="center" vertical="center"/>
    </xf>
    <xf numFmtId="49" fontId="32" fillId="14" borderId="43" xfId="12" applyNumberFormat="1" applyFont="1" applyFill="1" applyBorder="1" applyAlignment="1">
      <alignment horizontal="left" vertical="center"/>
    </xf>
    <xf numFmtId="49" fontId="32" fillId="18" borderId="51" xfId="12" applyNumberFormat="1" applyFont="1" applyFill="1" applyBorder="1" applyAlignment="1">
      <alignment horizontal="left" vertical="center"/>
    </xf>
    <xf numFmtId="14" fontId="32" fillId="54" borderId="51" xfId="12" applyNumberFormat="1" applyFont="1" applyFill="1" applyBorder="1" applyAlignment="1">
      <alignment horizontal="center"/>
    </xf>
    <xf numFmtId="49" fontId="32" fillId="54" borderId="51" xfId="12" applyNumberFormat="1" applyFont="1" applyFill="1" applyBorder="1" applyAlignment="1">
      <alignment horizontal="center" vertical="center"/>
      <extLst>
        <ext xmlns:xfpb="http://schemas.microsoft.com/office/spreadsheetml/2022/featurepropertybag" uri="{C7286773-470A-42A8-94C5-96B5CB345126}">
          <xfpb:xfComplement i="0"/>
        </ext>
      </extLst>
    </xf>
    <xf numFmtId="177" fontId="32" fillId="54" borderId="51" xfId="12" applyNumberFormat="1" applyFont="1" applyFill="1" applyBorder="1" applyAlignment="1">
      <alignment horizontal="center" vertical="center"/>
    </xf>
    <xf numFmtId="49" fontId="32" fillId="54" borderId="51" xfId="12" applyNumberFormat="1" applyFont="1" applyFill="1" applyBorder="1" applyAlignment="1">
      <alignment horizontal="center" vertical="center"/>
    </xf>
    <xf numFmtId="49" fontId="32" fillId="45" borderId="51" xfId="12" applyNumberFormat="1" applyFont="1" applyFill="1" applyBorder="1" applyAlignment="1">
      <alignment horizontal="left" vertical="center"/>
    </xf>
    <xf numFmtId="14" fontId="32" fillId="45" borderId="51" xfId="12" applyNumberFormat="1" applyFont="1" applyFill="1" applyBorder="1" applyAlignment="1">
      <alignment horizontal="center"/>
    </xf>
    <xf numFmtId="49" fontId="32" fillId="45" borderId="51" xfId="12" applyNumberFormat="1" applyFont="1" applyFill="1" applyBorder="1" applyAlignment="1">
      <alignment horizontal="center" vertical="center"/>
      <extLst>
        <ext xmlns:xfpb="http://schemas.microsoft.com/office/spreadsheetml/2022/featurepropertybag" uri="{C7286773-470A-42A8-94C5-96B5CB345126}">
          <xfpb:xfComplement i="0"/>
        </ext>
      </extLst>
    </xf>
    <xf numFmtId="177" fontId="32" fillId="45" borderId="51" xfId="12" applyNumberFormat="1" applyFont="1" applyFill="1" applyBorder="1" applyAlignment="1">
      <alignment horizontal="center" vertical="center"/>
    </xf>
    <xf numFmtId="49" fontId="32" fillId="45" borderId="51" xfId="12" applyNumberFormat="1" applyFont="1" applyFill="1" applyBorder="1" applyAlignment="1">
      <alignment horizontal="center" vertical="center"/>
    </xf>
    <xf numFmtId="49" fontId="32" fillId="44" borderId="43" xfId="12" applyNumberFormat="1" applyFont="1" applyFill="1" applyBorder="1" applyAlignment="1">
      <alignment horizontal="left" vertical="center"/>
    </xf>
    <xf numFmtId="14" fontId="32" fillId="44" borderId="43" xfId="12" applyNumberFormat="1" applyFont="1" applyFill="1" applyBorder="1" applyAlignment="1">
      <alignment horizontal="center"/>
    </xf>
    <xf numFmtId="49" fontId="32" fillId="44" borderId="43" xfId="12" applyNumberFormat="1" applyFont="1" applyFill="1" applyBorder="1" applyAlignment="1">
      <alignment horizontal="center" vertical="center"/>
      <extLst>
        <ext xmlns:xfpb="http://schemas.microsoft.com/office/spreadsheetml/2022/featurepropertybag" uri="{C7286773-470A-42A8-94C5-96B5CB345126}">
          <xfpb:xfComplement i="0"/>
        </ext>
      </extLst>
    </xf>
    <xf numFmtId="49" fontId="32" fillId="44" borderId="43" xfId="12" applyNumberFormat="1" applyFont="1" applyFill="1" applyBorder="1" applyAlignment="1">
      <alignment horizontal="center" vertical="center"/>
    </xf>
    <xf numFmtId="49" fontId="32" fillId="54" borderId="43" xfId="12" applyNumberFormat="1" applyFont="1" applyFill="1" applyBorder="1" applyAlignment="1">
      <alignment horizontal="left" vertical="center"/>
    </xf>
    <xf numFmtId="14" fontId="32" fillId="54" borderId="43" xfId="12" applyNumberFormat="1" applyFont="1" applyFill="1" applyBorder="1" applyAlignment="1">
      <alignment horizontal="center"/>
    </xf>
    <xf numFmtId="49" fontId="32" fillId="54" borderId="43" xfId="12" applyNumberFormat="1" applyFont="1" applyFill="1" applyBorder="1" applyAlignment="1">
      <alignment horizontal="center" vertical="center"/>
      <extLst>
        <ext xmlns:xfpb="http://schemas.microsoft.com/office/spreadsheetml/2022/featurepropertybag" uri="{C7286773-470A-42A8-94C5-96B5CB345126}">
          <xfpb:xfComplement i="0"/>
        </ext>
      </extLst>
    </xf>
    <xf numFmtId="177" fontId="32" fillId="54" borderId="43" xfId="12" applyNumberFormat="1" applyFont="1" applyFill="1" applyBorder="1" applyAlignment="1">
      <alignment horizontal="center" vertical="center"/>
    </xf>
    <xf numFmtId="49" fontId="32" fillId="54" borderId="43" xfId="12" applyNumberFormat="1" applyFont="1" applyFill="1" applyBorder="1" applyAlignment="1">
      <alignment horizontal="center" vertical="center"/>
    </xf>
    <xf numFmtId="14" fontId="32" fillId="14" borderId="43" xfId="12" applyNumberFormat="1" applyFont="1" applyFill="1" applyBorder="1" applyAlignment="1">
      <alignment horizontal="center"/>
    </xf>
    <xf numFmtId="49" fontId="32" fillId="14" borderId="43" xfId="12" applyNumberFormat="1" applyFont="1" applyFill="1" applyBorder="1" applyAlignment="1">
      <alignment horizontal="center" vertical="center"/>
      <extLst>
        <ext xmlns:xfpb="http://schemas.microsoft.com/office/spreadsheetml/2022/featurepropertybag" uri="{C7286773-470A-42A8-94C5-96B5CB345126}">
          <xfpb:xfComplement i="0"/>
        </ext>
      </extLst>
    </xf>
    <xf numFmtId="49" fontId="32" fillId="14" borderId="43" xfId="12" applyNumberFormat="1" applyFont="1" applyFill="1" applyBorder="1" applyAlignment="1">
      <alignment horizontal="center" vertical="center"/>
    </xf>
    <xf numFmtId="14" fontId="32" fillId="54" borderId="43" xfId="12" applyNumberFormat="1" applyFont="1" applyFill="1" applyBorder="1" applyAlignment="1">
      <alignment horizontal="center" vertical="center"/>
    </xf>
    <xf numFmtId="0" fontId="32" fillId="18" borderId="47" xfId="12" applyFont="1" applyFill="1" applyBorder="1"/>
    <xf numFmtId="0" fontId="32" fillId="56" borderId="43" xfId="12" applyFont="1" applyFill="1" applyBorder="1"/>
    <xf numFmtId="14" fontId="32" fillId="56" borderId="48" xfId="12" applyNumberFormat="1" applyFont="1" applyFill="1" applyBorder="1" applyAlignment="1">
      <alignment horizontal="center"/>
    </xf>
    <xf numFmtId="0" fontId="32" fillId="44" borderId="43" xfId="12" applyFont="1" applyFill="1" applyBorder="1"/>
    <xf numFmtId="14" fontId="32" fillId="44" borderId="48" xfId="12" applyNumberFormat="1" applyFont="1" applyFill="1" applyBorder="1" applyAlignment="1">
      <alignment horizontal="center"/>
    </xf>
    <xf numFmtId="0" fontId="32" fillId="0" borderId="43" xfId="12" applyFont="1" applyBorder="1"/>
    <xf numFmtId="14" fontId="32" fillId="0" borderId="43" xfId="12" applyNumberFormat="1" applyFont="1" applyBorder="1" applyAlignment="1">
      <alignment horizontal="center"/>
    </xf>
    <xf numFmtId="0" fontId="32" fillId="18" borderId="51" xfId="12" applyFont="1" applyFill="1" applyBorder="1"/>
    <xf numFmtId="0" fontId="32" fillId="44" borderId="51" xfId="12" applyFont="1" applyFill="1" applyBorder="1"/>
    <xf numFmtId="14" fontId="32" fillId="44" borderId="51" xfId="12" applyNumberFormat="1" applyFont="1" applyFill="1" applyBorder="1" applyAlignment="1">
      <alignment horizontal="center"/>
    </xf>
    <xf numFmtId="0" fontId="32" fillId="18" borderId="59" xfId="12" applyFont="1" applyFill="1" applyBorder="1"/>
    <xf numFmtId="0" fontId="32" fillId="0" borderId="59" xfId="12" applyFont="1" applyBorder="1"/>
    <xf numFmtId="14" fontId="32" fillId="0" borderId="59" xfId="12" applyNumberFormat="1" applyFont="1" applyBorder="1" applyAlignment="1">
      <alignment horizontal="center"/>
    </xf>
    <xf numFmtId="0" fontId="32" fillId="18" borderId="43" xfId="12" applyFont="1" applyFill="1" applyBorder="1" applyAlignment="1">
      <alignment vertical="center"/>
    </xf>
    <xf numFmtId="0" fontId="32" fillId="0" borderId="43" xfId="12" applyFont="1" applyBorder="1" applyAlignment="1">
      <alignment vertical="center"/>
    </xf>
    <xf numFmtId="14" fontId="32" fillId="0" borderId="43" xfId="12" applyNumberFormat="1" applyFont="1" applyBorder="1" applyAlignment="1">
      <alignment horizontal="center" vertical="center"/>
    </xf>
    <xf numFmtId="14" fontId="32" fillId="14" borderId="43" xfId="12" applyNumberFormat="1" applyFont="1" applyFill="1" applyBorder="1" applyAlignment="1">
      <alignment horizontal="center" vertical="center"/>
    </xf>
    <xf numFmtId="0" fontId="32" fillId="0" borderId="2" xfId="12" applyFont="1"/>
    <xf numFmtId="178" fontId="7" fillId="16" borderId="0" xfId="0" applyNumberFormat="1" applyFont="1" applyFill="1"/>
    <xf numFmtId="0" fontId="47" fillId="16" borderId="21" xfId="0" applyFont="1" applyFill="1" applyBorder="1" applyAlignment="1">
      <alignment horizontal="left" vertical="center"/>
    </xf>
    <xf numFmtId="0" fontId="47" fillId="16" borderId="21" xfId="0" applyFont="1" applyFill="1" applyBorder="1" applyAlignment="1">
      <alignment horizontal="center" vertical="center"/>
    </xf>
    <xf numFmtId="0" fontId="47" fillId="16" borderId="21" xfId="0" applyFont="1" applyFill="1" applyBorder="1" applyAlignment="1">
      <alignment vertical="center"/>
    </xf>
    <xf numFmtId="0" fontId="65" fillId="16" borderId="21" xfId="0" applyFont="1" applyFill="1" applyBorder="1" applyAlignment="1">
      <alignment vertical="center" wrapText="1"/>
    </xf>
    <xf numFmtId="0" fontId="47" fillId="16" borderId="20" xfId="0" applyFont="1" applyFill="1" applyBorder="1" applyAlignment="1">
      <alignment horizontal="center" vertical="center"/>
    </xf>
    <xf numFmtId="0" fontId="47" fillId="26" borderId="0" xfId="0" applyFont="1" applyFill="1"/>
    <xf numFmtId="0" fontId="111" fillId="34" borderId="2" xfId="0" applyFont="1" applyFill="1" applyBorder="1"/>
    <xf numFmtId="0" fontId="112" fillId="35" borderId="2" xfId="0" applyFont="1" applyFill="1" applyBorder="1"/>
    <xf numFmtId="0" fontId="113" fillId="36" borderId="2" xfId="0" applyFont="1" applyFill="1" applyBorder="1"/>
    <xf numFmtId="0" fontId="48" fillId="24" borderId="52" xfId="0" applyFont="1" applyFill="1" applyBorder="1" applyAlignment="1">
      <alignment horizontal="center"/>
    </xf>
    <xf numFmtId="0" fontId="112" fillId="35" borderId="21" xfId="0" applyFont="1" applyFill="1" applyBorder="1" applyAlignment="1">
      <alignment horizontal="left"/>
    </xf>
    <xf numFmtId="0" fontId="112" fillId="35" borderId="21" xfId="0" applyFont="1" applyFill="1" applyBorder="1" applyAlignment="1">
      <alignment horizontal="center"/>
    </xf>
    <xf numFmtId="14" fontId="112" fillId="35" borderId="21" xfId="0" applyNumberFormat="1" applyFont="1" applyFill="1" applyBorder="1" applyAlignment="1">
      <alignment horizontal="center"/>
    </xf>
    <xf numFmtId="0" fontId="113" fillId="36" borderId="21" xfId="0" applyFont="1" applyFill="1" applyBorder="1" applyAlignment="1">
      <alignment horizontal="left"/>
    </xf>
    <xf numFmtId="0" fontId="113" fillId="36" borderId="21" xfId="0" applyFont="1" applyFill="1" applyBorder="1" applyAlignment="1">
      <alignment horizontal="center"/>
    </xf>
    <xf numFmtId="14" fontId="113" fillId="36" borderId="21" xfId="0" applyNumberFormat="1" applyFont="1" applyFill="1" applyBorder="1" applyAlignment="1">
      <alignment horizontal="center"/>
    </xf>
    <xf numFmtId="0" fontId="47" fillId="16" borderId="21" xfId="0" applyFont="1" applyFill="1" applyBorder="1" applyAlignment="1">
      <alignment horizontal="left"/>
    </xf>
    <xf numFmtId="0" fontId="47" fillId="16" borderId="21" xfId="0" applyFont="1" applyFill="1" applyBorder="1" applyAlignment="1">
      <alignment horizontal="center"/>
    </xf>
    <xf numFmtId="14" fontId="47" fillId="16" borderId="21" xfId="0" applyNumberFormat="1" applyFont="1" applyFill="1" applyBorder="1" applyAlignment="1">
      <alignment horizontal="center"/>
    </xf>
    <xf numFmtId="0" fontId="47" fillId="16" borderId="20" xfId="0" applyFont="1" applyFill="1" applyBorder="1" applyAlignment="1">
      <alignment horizontal="left"/>
    </xf>
    <xf numFmtId="14" fontId="47" fillId="16" borderId="20" xfId="0" applyNumberFormat="1" applyFont="1" applyFill="1" applyBorder="1" applyAlignment="1">
      <alignment horizontal="center"/>
    </xf>
    <xf numFmtId="0" fontId="47" fillId="16" borderId="2" xfId="0" applyFont="1" applyFill="1" applyBorder="1" applyAlignment="1">
      <alignment horizontal="left"/>
    </xf>
    <xf numFmtId="0" fontId="47" fillId="16" borderId="2" xfId="0" applyFont="1" applyFill="1" applyBorder="1" applyAlignment="1">
      <alignment horizontal="center"/>
    </xf>
    <xf numFmtId="14" fontId="47" fillId="16" borderId="2" xfId="0" applyNumberFormat="1" applyFont="1" applyFill="1" applyBorder="1" applyAlignment="1">
      <alignment horizontal="center"/>
    </xf>
    <xf numFmtId="0" fontId="62" fillId="26" borderId="0" xfId="0" applyFont="1" applyFill="1"/>
    <xf numFmtId="0" fontId="46" fillId="26" borderId="2" xfId="0" applyFont="1" applyFill="1" applyBorder="1" applyAlignment="1">
      <alignment horizontal="left"/>
    </xf>
    <xf numFmtId="0" fontId="62" fillId="26" borderId="2" xfId="0" applyFont="1" applyFill="1" applyBorder="1"/>
    <xf numFmtId="0" fontId="48" fillId="24" borderId="52" xfId="0" applyFont="1" applyFill="1" applyBorder="1" applyAlignment="1">
      <alignment horizontal="left"/>
    </xf>
    <xf numFmtId="0" fontId="112" fillId="35" borderId="20" xfId="0" applyFont="1" applyFill="1" applyBorder="1" applyAlignment="1">
      <alignment horizontal="left"/>
    </xf>
    <xf numFmtId="0" fontId="66" fillId="23" borderId="2" xfId="0" applyFont="1" applyFill="1" applyBorder="1"/>
    <xf numFmtId="0" fontId="66" fillId="23" borderId="21" xfId="0" applyFont="1" applyFill="1" applyBorder="1" applyAlignment="1">
      <alignment horizontal="center"/>
    </xf>
    <xf numFmtId="0" fontId="63" fillId="29" borderId="2" xfId="0" applyFont="1" applyFill="1" applyBorder="1" applyAlignment="1">
      <alignment horizontal="center"/>
    </xf>
    <xf numFmtId="0" fontId="48" fillId="31" borderId="2" xfId="0" applyFont="1" applyFill="1" applyBorder="1"/>
    <xf numFmtId="0" fontId="70" fillId="23" borderId="2" xfId="0" applyFont="1" applyFill="1" applyBorder="1"/>
    <xf numFmtId="0" fontId="70" fillId="23" borderId="21" xfId="0" applyFont="1" applyFill="1" applyBorder="1" applyAlignment="1">
      <alignment horizontal="center"/>
    </xf>
    <xf numFmtId="0" fontId="47" fillId="16" borderId="21" xfId="0" applyFont="1" applyFill="1" applyBorder="1" applyAlignment="1">
      <alignment horizontal="left" wrapText="1"/>
    </xf>
    <xf numFmtId="0" fontId="47" fillId="16" borderId="21" xfId="0" applyFont="1" applyFill="1" applyBorder="1" applyAlignment="1">
      <alignment horizontal="center" wrapText="1"/>
    </xf>
    <xf numFmtId="0" fontId="46" fillId="42" borderId="20" xfId="0" applyFont="1" applyFill="1" applyBorder="1" applyAlignment="1">
      <alignment horizontal="center"/>
    </xf>
    <xf numFmtId="0" fontId="47" fillId="16" borderId="20" xfId="0" applyFont="1" applyFill="1" applyBorder="1" applyAlignment="1">
      <alignment horizontal="center" wrapText="1"/>
    </xf>
    <xf numFmtId="17" fontId="7" fillId="27" borderId="0" xfId="0" applyNumberFormat="1" applyFont="1" applyFill="1" applyAlignment="1">
      <alignment horizontal="center"/>
    </xf>
    <xf numFmtId="178" fontId="7" fillId="27" borderId="0" xfId="0" applyNumberFormat="1" applyFont="1" applyFill="1" applyAlignment="1">
      <alignment horizontal="center"/>
    </xf>
    <xf numFmtId="0" fontId="15" fillId="16" borderId="0" xfId="0" applyFont="1" applyFill="1"/>
    <xf numFmtId="0" fontId="19" fillId="24" borderId="0" xfId="0" applyFont="1" applyFill="1"/>
    <xf numFmtId="0" fontId="9" fillId="24" borderId="0" xfId="0" applyFont="1" applyFill="1"/>
    <xf numFmtId="0" fontId="48" fillId="24" borderId="0" xfId="0" applyFont="1" applyFill="1" applyAlignment="1">
      <alignment horizontal="center"/>
    </xf>
    <xf numFmtId="0" fontId="48" fillId="24" borderId="0" xfId="0" applyFont="1" applyFill="1" applyAlignment="1">
      <alignment horizontal="right"/>
    </xf>
    <xf numFmtId="0" fontId="18" fillId="16" borderId="0" xfId="0" applyFont="1" applyFill="1" applyAlignment="1">
      <alignment horizontal="center"/>
    </xf>
    <xf numFmtId="0" fontId="11" fillId="16" borderId="0" xfId="0" applyFont="1" applyFill="1" applyAlignment="1">
      <alignment horizontal="center"/>
    </xf>
    <xf numFmtId="0" fontId="14" fillId="23" borderId="0" xfId="0" applyFont="1" applyFill="1" applyAlignment="1">
      <alignment horizontal="center"/>
    </xf>
    <xf numFmtId="177" fontId="14" fillId="23" borderId="0" xfId="0" applyNumberFormat="1" applyFont="1" applyFill="1" applyAlignment="1">
      <alignment horizontal="right"/>
    </xf>
    <xf numFmtId="177" fontId="11" fillId="16" borderId="0" xfId="0" applyNumberFormat="1" applyFont="1" applyFill="1" applyAlignment="1">
      <alignment horizontal="center"/>
    </xf>
    <xf numFmtId="177" fontId="12" fillId="49" borderId="0" xfId="0" applyNumberFormat="1" applyFont="1" applyFill="1" applyAlignment="1">
      <alignment horizontal="right"/>
    </xf>
    <xf numFmtId="0" fontId="12" fillId="49" borderId="0" xfId="0" applyFont="1" applyFill="1" applyAlignment="1">
      <alignment horizontal="center"/>
    </xf>
    <xf numFmtId="0" fontId="48" fillId="25" borderId="2" xfId="0" applyFont="1" applyFill="1" applyBorder="1" applyAlignment="1">
      <alignment horizontal="left"/>
    </xf>
    <xf numFmtId="0" fontId="48" fillId="25" borderId="2" xfId="0" applyFont="1" applyFill="1" applyBorder="1" applyAlignment="1">
      <alignment horizontal="center"/>
    </xf>
    <xf numFmtId="0" fontId="48" fillId="25" borderId="2" xfId="0" applyFont="1" applyFill="1" applyBorder="1" applyAlignment="1">
      <alignment horizontal="center" wrapText="1"/>
    </xf>
    <xf numFmtId="0" fontId="48" fillId="31" borderId="2" xfId="0" applyFont="1" applyFill="1" applyBorder="1" applyAlignment="1">
      <alignment horizontal="center" wrapText="1"/>
    </xf>
    <xf numFmtId="0" fontId="62" fillId="16" borderId="52" xfId="0" applyFont="1" applyFill="1" applyBorder="1" applyAlignment="1">
      <alignment horizontal="left"/>
    </xf>
    <xf numFmtId="0" fontId="62" fillId="16" borderId="52" xfId="0" applyFont="1" applyFill="1" applyBorder="1" applyAlignment="1">
      <alignment horizontal="center"/>
    </xf>
    <xf numFmtId="0" fontId="67" fillId="48" borderId="52" xfId="0" applyFont="1" applyFill="1" applyBorder="1" applyAlignment="1">
      <alignment horizontal="center"/>
    </xf>
    <xf numFmtId="175" fontId="62" fillId="16" borderId="52" xfId="0" applyNumberFormat="1" applyFont="1" applyFill="1" applyBorder="1" applyAlignment="1">
      <alignment horizontal="center"/>
    </xf>
    <xf numFmtId="3" fontId="72" fillId="16" borderId="52" xfId="0" applyNumberFormat="1" applyFont="1" applyFill="1" applyBorder="1" applyAlignment="1">
      <alignment horizontal="center"/>
    </xf>
    <xf numFmtId="177" fontId="62" fillId="16" borderId="52" xfId="0" applyNumberFormat="1" applyFont="1" applyFill="1" applyBorder="1" applyAlignment="1">
      <alignment horizontal="center"/>
    </xf>
    <xf numFmtId="177" fontId="72" fillId="22" borderId="52" xfId="0" applyNumberFormat="1" applyFont="1" applyFill="1" applyBorder="1" applyAlignment="1">
      <alignment horizontal="center"/>
    </xf>
    <xf numFmtId="0" fontId="62" fillId="33" borderId="52" xfId="0" applyFont="1" applyFill="1" applyBorder="1" applyAlignment="1">
      <alignment horizontal="left"/>
    </xf>
    <xf numFmtId="0" fontId="62" fillId="33" borderId="52" xfId="0" applyFont="1" applyFill="1" applyBorder="1" applyAlignment="1">
      <alignment horizontal="center"/>
    </xf>
    <xf numFmtId="0" fontId="62" fillId="16" borderId="54" xfId="0" applyFont="1" applyFill="1" applyBorder="1" applyAlignment="1">
      <alignment horizontal="left"/>
    </xf>
    <xf numFmtId="0" fontId="62" fillId="16" borderId="54" xfId="0" applyFont="1" applyFill="1" applyBorder="1" applyAlignment="1">
      <alignment horizontal="center"/>
    </xf>
    <xf numFmtId="0" fontId="65" fillId="23" borderId="54" xfId="0" applyFont="1" applyFill="1" applyBorder="1" applyAlignment="1">
      <alignment horizontal="center"/>
    </xf>
    <xf numFmtId="175" fontId="62" fillId="16" borderId="54" xfId="0" applyNumberFormat="1" applyFont="1" applyFill="1" applyBorder="1" applyAlignment="1">
      <alignment horizontal="center"/>
    </xf>
    <xf numFmtId="3" fontId="72" fillId="16" borderId="54" xfId="0" applyNumberFormat="1" applyFont="1" applyFill="1" applyBorder="1" applyAlignment="1">
      <alignment horizontal="center"/>
    </xf>
    <xf numFmtId="177" fontId="62" fillId="16" borderId="54" xfId="0" applyNumberFormat="1" applyFont="1" applyFill="1" applyBorder="1" applyAlignment="1">
      <alignment horizontal="center"/>
    </xf>
    <xf numFmtId="177" fontId="72" fillId="22" borderId="54" xfId="0" applyNumberFormat="1" applyFont="1" applyFill="1" applyBorder="1" applyAlignment="1">
      <alignment horizontal="center"/>
    </xf>
    <xf numFmtId="0" fontId="62" fillId="33" borderId="54" xfId="0" applyFont="1" applyFill="1" applyBorder="1" applyAlignment="1">
      <alignment horizontal="left"/>
    </xf>
    <xf numFmtId="0" fontId="62" fillId="33" borderId="54" xfId="0" applyFont="1" applyFill="1" applyBorder="1" applyAlignment="1">
      <alignment horizontal="center"/>
    </xf>
    <xf numFmtId="0" fontId="67" fillId="48" borderId="54" xfId="0" applyFont="1" applyFill="1" applyBorder="1" applyAlignment="1">
      <alignment horizontal="center"/>
    </xf>
    <xf numFmtId="0" fontId="62" fillId="50" borderId="54" xfId="0" applyFont="1" applyFill="1" applyBorder="1" applyAlignment="1">
      <alignment horizontal="left"/>
    </xf>
    <xf numFmtId="0" fontId="62" fillId="50" borderId="54" xfId="0" applyFont="1" applyFill="1" applyBorder="1" applyAlignment="1">
      <alignment horizontal="center"/>
    </xf>
    <xf numFmtId="175" fontId="62" fillId="50" borderId="54" xfId="0" applyNumberFormat="1" applyFont="1" applyFill="1" applyBorder="1" applyAlignment="1">
      <alignment horizontal="center"/>
    </xf>
    <xf numFmtId="3" fontId="72" fillId="50" borderId="54" xfId="0" applyNumberFormat="1" applyFont="1" applyFill="1" applyBorder="1" applyAlignment="1">
      <alignment horizontal="center"/>
    </xf>
    <xf numFmtId="177" fontId="62" fillId="50" borderId="54" xfId="0" applyNumberFormat="1" applyFont="1" applyFill="1" applyBorder="1" applyAlignment="1">
      <alignment horizontal="center"/>
    </xf>
    <xf numFmtId="0" fontId="63" fillId="29" borderId="54" xfId="0" applyFont="1" applyFill="1" applyBorder="1" applyAlignment="1">
      <alignment horizontal="center"/>
    </xf>
    <xf numFmtId="0" fontId="62" fillId="16" borderId="53" xfId="0" applyFont="1" applyFill="1" applyBorder="1" applyAlignment="1">
      <alignment horizontal="left"/>
    </xf>
    <xf numFmtId="0" fontId="62" fillId="16" borderId="53" xfId="0" applyFont="1" applyFill="1" applyBorder="1" applyAlignment="1">
      <alignment horizontal="center"/>
    </xf>
    <xf numFmtId="175" fontId="62" fillId="16" borderId="53" xfId="0" applyNumberFormat="1" applyFont="1" applyFill="1" applyBorder="1" applyAlignment="1">
      <alignment horizontal="center"/>
    </xf>
    <xf numFmtId="3" fontId="72" fillId="16" borderId="53" xfId="0" applyNumberFormat="1" applyFont="1" applyFill="1" applyBorder="1" applyAlignment="1">
      <alignment horizontal="center"/>
    </xf>
    <xf numFmtId="177" fontId="62" fillId="16" borderId="53" xfId="0" applyNumberFormat="1" applyFont="1" applyFill="1" applyBorder="1" applyAlignment="1">
      <alignment horizontal="center"/>
    </xf>
    <xf numFmtId="177" fontId="72" fillId="22" borderId="53" xfId="0" applyNumberFormat="1" applyFont="1" applyFill="1" applyBorder="1" applyAlignment="1">
      <alignment horizontal="center"/>
    </xf>
    <xf numFmtId="0" fontId="62" fillId="33" borderId="53" xfId="0" applyFont="1" applyFill="1" applyBorder="1" applyAlignment="1">
      <alignment horizontal="left"/>
    </xf>
    <xf numFmtId="0" fontId="62" fillId="33" borderId="53" xfId="0" applyFont="1" applyFill="1" applyBorder="1" applyAlignment="1">
      <alignment horizontal="center"/>
    </xf>
    <xf numFmtId="0" fontId="53" fillId="31" borderId="2" xfId="0" applyFont="1" applyFill="1" applyBorder="1" applyAlignment="1">
      <alignment horizontal="left"/>
    </xf>
    <xf numFmtId="0" fontId="48" fillId="31" borderId="2" xfId="0" applyFont="1" applyFill="1" applyBorder="1" applyAlignment="1">
      <alignment horizontal="center"/>
    </xf>
    <xf numFmtId="0" fontId="48" fillId="31" borderId="2" xfId="0" applyFont="1" applyFill="1" applyBorder="1" applyAlignment="1">
      <alignment horizontal="left"/>
    </xf>
    <xf numFmtId="0" fontId="62" fillId="16" borderId="55" xfId="0" applyFont="1" applyFill="1" applyBorder="1" applyAlignment="1">
      <alignment horizontal="center"/>
    </xf>
    <xf numFmtId="0" fontId="62" fillId="16" borderId="55" xfId="0" applyFont="1" applyFill="1" applyBorder="1" applyAlignment="1">
      <alignment horizontal="left"/>
    </xf>
    <xf numFmtId="175" fontId="62" fillId="16" borderId="55" xfId="0" applyNumberFormat="1" applyFont="1" applyFill="1" applyBorder="1" applyAlignment="1">
      <alignment horizontal="center"/>
    </xf>
    <xf numFmtId="3" fontId="66" fillId="23" borderId="55" xfId="0" applyNumberFormat="1" applyFont="1" applyFill="1" applyBorder="1" applyAlignment="1">
      <alignment horizontal="center"/>
    </xf>
    <xf numFmtId="177" fontId="62" fillId="16" borderId="55" xfId="0" applyNumberFormat="1" applyFont="1" applyFill="1" applyBorder="1" applyAlignment="1">
      <alignment horizontal="center"/>
    </xf>
    <xf numFmtId="177" fontId="66" fillId="22" borderId="55" xfId="0" applyNumberFormat="1" applyFont="1" applyFill="1" applyBorder="1" applyAlignment="1">
      <alignment horizontal="center"/>
    </xf>
    <xf numFmtId="3" fontId="66" fillId="23" borderId="54" xfId="0" applyNumberFormat="1" applyFont="1" applyFill="1" applyBorder="1" applyAlignment="1">
      <alignment horizontal="center"/>
    </xf>
    <xf numFmtId="177" fontId="66" fillId="22" borderId="54" xfId="0" applyNumberFormat="1" applyFont="1" applyFill="1" applyBorder="1" applyAlignment="1">
      <alignment horizontal="center"/>
    </xf>
    <xf numFmtId="3" fontId="66" fillId="23" borderId="53" xfId="0" applyNumberFormat="1" applyFont="1" applyFill="1" applyBorder="1" applyAlignment="1">
      <alignment horizontal="center"/>
    </xf>
    <xf numFmtId="177" fontId="66" fillId="22" borderId="53" xfId="0" applyNumberFormat="1" applyFont="1" applyFill="1" applyBorder="1" applyAlignment="1">
      <alignment horizontal="center"/>
    </xf>
    <xf numFmtId="0" fontId="9" fillId="31" borderId="0" xfId="0" applyFont="1" applyFill="1" applyAlignment="1">
      <alignment horizontal="center"/>
    </xf>
    <xf numFmtId="177" fontId="9" fillId="31" borderId="0" xfId="0" applyNumberFormat="1" applyFont="1" applyFill="1" applyAlignment="1">
      <alignment horizontal="center"/>
    </xf>
    <xf numFmtId="49" fontId="11" fillId="27" borderId="0" xfId="0" applyNumberFormat="1" applyFont="1" applyFill="1" applyAlignment="1">
      <alignment horizontal="center"/>
    </xf>
    <xf numFmtId="0" fontId="11" fillId="27" borderId="0" xfId="0" applyFont="1" applyFill="1"/>
    <xf numFmtId="0" fontId="48" fillId="25" borderId="32" xfId="0" applyFont="1" applyFill="1" applyBorder="1" applyAlignment="1">
      <alignment horizontal="left"/>
    </xf>
    <xf numFmtId="0" fontId="48" fillId="25" borderId="32" xfId="0" applyFont="1" applyFill="1" applyBorder="1" applyAlignment="1">
      <alignment horizontal="center"/>
    </xf>
    <xf numFmtId="0" fontId="18" fillId="16" borderId="0" xfId="0" applyFont="1" applyFill="1"/>
    <xf numFmtId="0" fontId="12" fillId="49" borderId="0" xfId="0" applyFont="1" applyFill="1" applyAlignment="1">
      <alignment horizontal="right"/>
    </xf>
    <xf numFmtId="177" fontId="12" fillId="49" borderId="52" xfId="0" applyNumberFormat="1" applyFont="1" applyFill="1" applyBorder="1" applyAlignment="1">
      <alignment horizontal="center"/>
    </xf>
    <xf numFmtId="14" fontId="41" fillId="0" borderId="0" xfId="0" applyNumberFormat="1" applyFont="1"/>
    <xf numFmtId="0" fontId="35" fillId="15" borderId="0" xfId="0" applyFont="1" applyFill="1" applyAlignment="1">
      <alignment wrapText="1"/>
    </xf>
    <xf numFmtId="14" fontId="32" fillId="0" borderId="0" xfId="0" applyNumberFormat="1" applyFont="1"/>
    <xf numFmtId="4" fontId="32" fillId="0" borderId="0" xfId="0" applyNumberFormat="1" applyFont="1"/>
    <xf numFmtId="10" fontId="32" fillId="0" borderId="0" xfId="0" applyNumberFormat="1" applyFont="1"/>
    <xf numFmtId="14" fontId="32" fillId="0" borderId="2" xfId="0" applyNumberFormat="1" applyFont="1" applyBorder="1"/>
    <xf numFmtId="10" fontId="32" fillId="0" borderId="2" xfId="0" applyNumberFormat="1" applyFont="1" applyBorder="1"/>
    <xf numFmtId="4" fontId="41" fillId="0" borderId="0" xfId="0" applyNumberFormat="1" applyFont="1"/>
    <xf numFmtId="0" fontId="35" fillId="0" borderId="6" xfId="0" applyFont="1" applyBorder="1"/>
    <xf numFmtId="4" fontId="35" fillId="0" borderId="7" xfId="0" applyNumberFormat="1" applyFont="1" applyBorder="1"/>
    <xf numFmtId="0" fontId="129" fillId="0" borderId="2" xfId="16" applyFont="1"/>
    <xf numFmtId="14" fontId="129" fillId="0" borderId="2" xfId="16" applyNumberFormat="1" applyFont="1"/>
    <xf numFmtId="0" fontId="107" fillId="18" borderId="66" xfId="0" applyFont="1" applyFill="1" applyBorder="1" applyAlignment="1">
      <alignment vertical="top" wrapText="1"/>
    </xf>
    <xf numFmtId="0" fontId="29" fillId="26" borderId="64" xfId="0" applyFont="1" applyFill="1" applyBorder="1" applyAlignment="1">
      <alignment horizontal="left"/>
    </xf>
    <xf numFmtId="0" fontId="33" fillId="26" borderId="64" xfId="0" applyFont="1" applyFill="1" applyBorder="1"/>
    <xf numFmtId="0" fontId="45" fillId="16" borderId="64" xfId="0" applyFont="1" applyFill="1" applyBorder="1" applyAlignment="1">
      <alignment horizontal="left" vertical="top" wrapText="1"/>
    </xf>
    <xf numFmtId="0" fontId="56" fillId="28" borderId="64" xfId="0" applyFont="1" applyFill="1" applyBorder="1" applyAlignment="1">
      <alignment horizontal="left" vertical="top" wrapText="1"/>
    </xf>
    <xf numFmtId="0" fontId="56" fillId="28" borderId="64" xfId="0" applyFont="1" applyFill="1" applyBorder="1" applyAlignment="1">
      <alignment horizontal="center" vertical="top" wrapText="1"/>
    </xf>
    <xf numFmtId="0" fontId="11" fillId="28" borderId="64" xfId="0" applyFont="1" applyFill="1" applyBorder="1" applyAlignment="1">
      <alignment horizontal="center" vertical="top"/>
    </xf>
    <xf numFmtId="0" fontId="14" fillId="23" borderId="64" xfId="0" applyFont="1" applyFill="1" applyBorder="1" applyAlignment="1">
      <alignment horizontal="center"/>
    </xf>
    <xf numFmtId="0" fontId="11" fillId="18" borderId="10" xfId="0" applyFont="1" applyFill="1" applyBorder="1" applyAlignment="1">
      <alignment horizontal="left" vertical="top" wrapText="1"/>
    </xf>
    <xf numFmtId="0" fontId="45" fillId="16" borderId="11" xfId="0" applyFont="1" applyFill="1" applyBorder="1" applyAlignment="1">
      <alignment horizontal="left" vertical="top" wrapText="1"/>
    </xf>
    <xf numFmtId="0" fontId="56" fillId="28" borderId="11" xfId="0" applyFont="1" applyFill="1" applyBorder="1" applyAlignment="1">
      <alignment horizontal="left" vertical="top" wrapText="1"/>
    </xf>
    <xf numFmtId="0" fontId="56" fillId="28" borderId="11" xfId="0" applyFont="1" applyFill="1" applyBorder="1" applyAlignment="1">
      <alignment horizontal="center" vertical="top" wrapText="1"/>
    </xf>
    <xf numFmtId="0" fontId="11" fillId="28" borderId="11" xfId="0" applyFont="1" applyFill="1" applyBorder="1" applyAlignment="1">
      <alignment horizontal="center" vertical="top"/>
    </xf>
    <xf numFmtId="0" fontId="11" fillId="18" borderId="12" xfId="0" applyFont="1" applyFill="1" applyBorder="1" applyAlignment="1">
      <alignment horizontal="left" vertical="top" wrapText="1"/>
    </xf>
    <xf numFmtId="0" fontId="45" fillId="16" borderId="3" xfId="0" applyFont="1" applyFill="1" applyBorder="1" applyAlignment="1">
      <alignment horizontal="left" vertical="top" wrapText="1"/>
    </xf>
    <xf numFmtId="0" fontId="56" fillId="28" borderId="3" xfId="0" applyFont="1" applyFill="1" applyBorder="1" applyAlignment="1">
      <alignment horizontal="left" vertical="top" wrapText="1"/>
    </xf>
    <xf numFmtId="0" fontId="56" fillId="28" borderId="3" xfId="0" applyFont="1" applyFill="1" applyBorder="1" applyAlignment="1">
      <alignment horizontal="center" vertical="top" wrapText="1"/>
    </xf>
    <xf numFmtId="0" fontId="11" fillId="28" borderId="3" xfId="0" applyFont="1" applyFill="1" applyBorder="1" applyAlignment="1">
      <alignment horizontal="center" vertical="top"/>
    </xf>
    <xf numFmtId="0" fontId="14" fillId="23" borderId="3" xfId="0" applyFont="1" applyFill="1" applyBorder="1" applyAlignment="1">
      <alignment horizontal="center"/>
    </xf>
    <xf numFmtId="0" fontId="133" fillId="23" borderId="3" xfId="0" applyFont="1" applyFill="1" applyBorder="1" applyAlignment="1">
      <alignment horizontal="center"/>
    </xf>
    <xf numFmtId="0" fontId="11" fillId="18" borderId="58" xfId="0" applyFont="1" applyFill="1" applyBorder="1" applyAlignment="1">
      <alignment horizontal="left" vertical="top" wrapText="1"/>
    </xf>
    <xf numFmtId="0" fontId="29" fillId="26" borderId="2" xfId="0" applyFont="1" applyFill="1" applyBorder="1" applyAlignment="1">
      <alignment horizontal="left"/>
    </xf>
    <xf numFmtId="0" fontId="133" fillId="23" borderId="11" xfId="0" applyFont="1" applyFill="1" applyBorder="1" applyAlignment="1">
      <alignment horizontal="center"/>
    </xf>
    <xf numFmtId="174" fontId="14" fillId="23" borderId="3" xfId="0" applyNumberFormat="1" applyFont="1" applyFill="1" applyBorder="1" applyAlignment="1">
      <alignment horizontal="center"/>
    </xf>
    <xf numFmtId="165" fontId="14" fillId="23" borderId="64" xfId="0" applyNumberFormat="1" applyFont="1" applyFill="1" applyBorder="1" applyAlignment="1">
      <alignment horizontal="center"/>
    </xf>
    <xf numFmtId="165" fontId="133" fillId="23" borderId="64" xfId="0" applyNumberFormat="1" applyFont="1" applyFill="1" applyBorder="1" applyAlignment="1">
      <alignment horizontal="center"/>
    </xf>
    <xf numFmtId="165" fontId="14" fillId="23" borderId="11" xfId="0" applyNumberFormat="1" applyFont="1" applyFill="1" applyBorder="1" applyAlignment="1">
      <alignment horizontal="center"/>
    </xf>
    <xf numFmtId="165" fontId="133" fillId="23" borderId="11" xfId="0" applyNumberFormat="1" applyFont="1" applyFill="1" applyBorder="1" applyAlignment="1">
      <alignment horizontal="center"/>
    </xf>
    <xf numFmtId="0" fontId="13" fillId="29" borderId="64" xfId="0" applyFont="1" applyFill="1" applyBorder="1" applyAlignment="1">
      <alignment horizontal="center"/>
    </xf>
    <xf numFmtId="0" fontId="131" fillId="27" borderId="38" xfId="0" applyFont="1" applyFill="1" applyBorder="1" applyAlignment="1">
      <alignment vertical="top" wrapText="1"/>
    </xf>
    <xf numFmtId="0" fontId="131" fillId="27" borderId="2" xfId="0" applyFont="1" applyFill="1" applyBorder="1" applyAlignment="1">
      <alignment vertical="top" wrapText="1"/>
    </xf>
    <xf numFmtId="0" fontId="131" fillId="27" borderId="2" xfId="0" applyFont="1" applyFill="1" applyBorder="1" applyAlignment="1">
      <alignment horizontal="center"/>
    </xf>
    <xf numFmtId="0" fontId="13" fillId="29" borderId="2" xfId="0" applyFont="1" applyFill="1" applyBorder="1" applyAlignment="1">
      <alignment horizontal="center"/>
    </xf>
    <xf numFmtId="0" fontId="131" fillId="27" borderId="50" xfId="0" applyFont="1" applyFill="1" applyBorder="1" applyAlignment="1">
      <alignment horizontal="center"/>
    </xf>
    <xf numFmtId="0" fontId="11" fillId="27" borderId="68" xfId="0" applyFont="1" applyFill="1" applyBorder="1" applyAlignment="1">
      <alignment vertical="top" wrapText="1"/>
    </xf>
    <xf numFmtId="0" fontId="11" fillId="27" borderId="69" xfId="0" applyFont="1" applyFill="1" applyBorder="1" applyAlignment="1">
      <alignment vertical="top" wrapText="1"/>
    </xf>
    <xf numFmtId="0" fontId="11" fillId="27" borderId="69" xfId="0" applyFont="1" applyFill="1" applyBorder="1" applyAlignment="1">
      <alignment horizontal="center"/>
    </xf>
    <xf numFmtId="14" fontId="11" fillId="27" borderId="69" xfId="0" applyNumberFormat="1" applyFont="1" applyFill="1" applyBorder="1" applyAlignment="1">
      <alignment horizontal="center"/>
    </xf>
    <xf numFmtId="0" fontId="135" fillId="22" borderId="69" xfId="0" applyFont="1" applyFill="1" applyBorder="1" applyAlignment="1">
      <alignment horizontal="center"/>
    </xf>
    <xf numFmtId="0" fontId="11" fillId="27" borderId="70" xfId="0" applyFont="1" applyFill="1" applyBorder="1" applyAlignment="1">
      <alignment horizontal="center"/>
    </xf>
    <xf numFmtId="0" fontId="29" fillId="26" borderId="9" xfId="0" applyFont="1" applyFill="1" applyBorder="1" applyAlignment="1">
      <alignment horizontal="left" vertical="top" wrapText="1"/>
    </xf>
    <xf numFmtId="0" fontId="33" fillId="26" borderId="9" xfId="0" applyFont="1" applyFill="1" applyBorder="1" applyAlignment="1">
      <alignment vertical="top" wrapText="1"/>
    </xf>
    <xf numFmtId="0" fontId="33" fillId="26" borderId="9" xfId="0" applyFont="1" applyFill="1" applyBorder="1"/>
    <xf numFmtId="0" fontId="29" fillId="26" borderId="71" xfId="0" applyFont="1" applyFill="1" applyBorder="1" applyAlignment="1">
      <alignment horizontal="left" vertical="top" wrapText="1"/>
    </xf>
    <xf numFmtId="0" fontId="33" fillId="26" borderId="71" xfId="0" applyFont="1" applyFill="1" applyBorder="1" applyAlignment="1">
      <alignment vertical="top" wrapText="1"/>
    </xf>
    <xf numFmtId="0" fontId="33" fillId="26" borderId="71" xfId="0" applyFont="1" applyFill="1" applyBorder="1"/>
    <xf numFmtId="0" fontId="11" fillId="14" borderId="68" xfId="0" applyFont="1" applyFill="1" applyBorder="1" applyAlignment="1">
      <alignment vertical="top" wrapText="1"/>
    </xf>
    <xf numFmtId="0" fontId="11" fillId="14" borderId="69" xfId="0" applyFont="1" applyFill="1" applyBorder="1" applyAlignment="1">
      <alignment vertical="top" wrapText="1"/>
    </xf>
    <xf numFmtId="0" fontId="11" fillId="14" borderId="69" xfId="0" applyFont="1" applyFill="1" applyBorder="1" applyAlignment="1">
      <alignment horizontal="center"/>
    </xf>
    <xf numFmtId="0" fontId="11" fillId="14" borderId="70" xfId="0" applyFont="1" applyFill="1" applyBorder="1" applyAlignment="1">
      <alignment horizontal="center"/>
    </xf>
    <xf numFmtId="0" fontId="11" fillId="16" borderId="38" xfId="0" applyFont="1" applyFill="1" applyBorder="1" applyAlignment="1">
      <alignment vertical="top" wrapText="1"/>
    </xf>
    <xf numFmtId="0" fontId="74" fillId="29" borderId="21" xfId="0" applyFont="1" applyFill="1" applyBorder="1"/>
    <xf numFmtId="0" fontId="74" fillId="29" borderId="21" xfId="0" applyFont="1" applyFill="1" applyBorder="1" applyAlignment="1">
      <alignment horizontal="center"/>
    </xf>
    <xf numFmtId="175" fontId="74" fillId="29" borderId="21" xfId="0" applyNumberFormat="1" applyFont="1" applyFill="1" applyBorder="1" applyAlignment="1">
      <alignment horizontal="center"/>
    </xf>
    <xf numFmtId="0" fontId="74" fillId="29" borderId="20" xfId="0" applyFont="1" applyFill="1" applyBorder="1"/>
    <xf numFmtId="0" fontId="59" fillId="18" borderId="0" xfId="0" applyFont="1" applyFill="1"/>
    <xf numFmtId="2" fontId="0" fillId="2" borderId="1" xfId="0" applyNumberFormat="1" applyFill="1" applyBorder="1" applyAlignment="1">
      <alignment horizontal="center" vertical="center"/>
    </xf>
    <xf numFmtId="0" fontId="180" fillId="0" borderId="2" xfId="3" applyFont="1"/>
    <xf numFmtId="0" fontId="30" fillId="24" borderId="36" xfId="3" applyFill="1" applyBorder="1"/>
    <xf numFmtId="0" fontId="30" fillId="24" borderId="38" xfId="3" applyFill="1" applyBorder="1"/>
    <xf numFmtId="0" fontId="30" fillId="49" borderId="73" xfId="3" applyFill="1" applyBorder="1"/>
    <xf numFmtId="0" fontId="181" fillId="0" borderId="74" xfId="3" applyFont="1" applyBorder="1"/>
    <xf numFmtId="174" fontId="181" fillId="0" borderId="1" xfId="3" applyNumberFormat="1" applyFont="1" applyBorder="1" applyAlignment="1">
      <alignment horizontal="center"/>
    </xf>
    <xf numFmtId="0" fontId="30" fillId="0" borderId="75" xfId="3" applyBorder="1"/>
    <xf numFmtId="0" fontId="30" fillId="28" borderId="77" xfId="3" applyFill="1" applyBorder="1"/>
    <xf numFmtId="174" fontId="181" fillId="28" borderId="77" xfId="3" applyNumberFormat="1" applyFont="1" applyFill="1" applyBorder="1" applyAlignment="1">
      <alignment horizontal="center"/>
    </xf>
    <xf numFmtId="0" fontId="30" fillId="28" borderId="78" xfId="3" applyFill="1" applyBorder="1"/>
    <xf numFmtId="165" fontId="182" fillId="59" borderId="79" xfId="3" applyNumberFormat="1" applyFont="1" applyFill="1" applyBorder="1" applyAlignment="1">
      <alignment horizontal="center"/>
    </xf>
    <xf numFmtId="0" fontId="181" fillId="0" borderId="79" xfId="3" applyFont="1" applyBorder="1" applyAlignment="1">
      <alignment horizontal="center"/>
    </xf>
    <xf numFmtId="174" fontId="181" fillId="0" borderId="65" xfId="3" applyNumberFormat="1" applyFont="1" applyBorder="1" applyAlignment="1">
      <alignment horizontal="center"/>
    </xf>
    <xf numFmtId="165" fontId="182" fillId="59" borderId="35" xfId="3" applyNumberFormat="1" applyFont="1" applyFill="1" applyBorder="1" applyAlignment="1">
      <alignment horizontal="center"/>
    </xf>
    <xf numFmtId="0" fontId="181" fillId="0" borderId="35" xfId="3" applyFont="1" applyBorder="1" applyAlignment="1">
      <alignment horizontal="center"/>
    </xf>
    <xf numFmtId="174" fontId="181" fillId="0" borderId="16" xfId="3" applyNumberFormat="1" applyFont="1" applyBorder="1" applyAlignment="1">
      <alignment horizontal="center"/>
    </xf>
    <xf numFmtId="9" fontId="181" fillId="28" borderId="69" xfId="3" applyNumberFormat="1" applyFont="1" applyFill="1" applyBorder="1" applyAlignment="1">
      <alignment horizontal="center"/>
    </xf>
    <xf numFmtId="0" fontId="30" fillId="28" borderId="69" xfId="3" applyFill="1" applyBorder="1"/>
    <xf numFmtId="174" fontId="181" fillId="28" borderId="69" xfId="3" applyNumberFormat="1" applyFont="1" applyFill="1" applyBorder="1" applyAlignment="1">
      <alignment horizontal="center"/>
    </xf>
    <xf numFmtId="0" fontId="60" fillId="0" borderId="79" xfId="3" applyFont="1" applyBorder="1" applyAlignment="1">
      <alignment horizontal="center"/>
    </xf>
    <xf numFmtId="165" fontId="182" fillId="59" borderId="1" xfId="3" applyNumberFormat="1" applyFont="1" applyFill="1" applyBorder="1" applyAlignment="1">
      <alignment horizontal="center"/>
    </xf>
    <xf numFmtId="0" fontId="181" fillId="0" borderId="1" xfId="3" applyFont="1" applyBorder="1" applyAlignment="1">
      <alignment horizontal="center"/>
    </xf>
    <xf numFmtId="174" fontId="181" fillId="0" borderId="17" xfId="3" applyNumberFormat="1" applyFont="1" applyBorder="1" applyAlignment="1">
      <alignment horizontal="center"/>
    </xf>
    <xf numFmtId="174" fontId="182" fillId="59" borderId="79" xfId="3" applyNumberFormat="1" applyFont="1" applyFill="1" applyBorder="1" applyAlignment="1">
      <alignment horizontal="center"/>
    </xf>
    <xf numFmtId="174" fontId="182" fillId="59" borderId="1" xfId="3" applyNumberFormat="1" applyFont="1" applyFill="1" applyBorder="1" applyAlignment="1">
      <alignment horizontal="center"/>
    </xf>
    <xf numFmtId="0" fontId="30" fillId="24" borderId="2" xfId="3" applyFill="1"/>
    <xf numFmtId="0" fontId="0" fillId="0" borderId="0" xfId="0" applyAlignment="1">
      <alignment vertical="top" wrapText="1"/>
    </xf>
    <xf numFmtId="14" fontId="0" fillId="0" borderId="0" xfId="0" applyNumberFormat="1" applyAlignment="1">
      <alignment vertical="top" wrapText="1"/>
    </xf>
    <xf numFmtId="166" fontId="0" fillId="0" borderId="0" xfId="0" applyNumberFormat="1"/>
    <xf numFmtId="0" fontId="26" fillId="16" borderId="2" xfId="3" applyFont="1" applyFill="1"/>
    <xf numFmtId="0" fontId="19" fillId="24" borderId="50" xfId="3" applyFont="1" applyFill="1" applyBorder="1"/>
    <xf numFmtId="0" fontId="12" fillId="49" borderId="72" xfId="3" applyFont="1" applyFill="1" applyBorder="1"/>
    <xf numFmtId="0" fontId="12" fillId="49" borderId="41" xfId="3" applyFont="1" applyFill="1" applyBorder="1"/>
    <xf numFmtId="0" fontId="12" fillId="49" borderId="41" xfId="3" applyFont="1" applyFill="1" applyBorder="1" applyAlignment="1">
      <alignment horizontal="center"/>
    </xf>
    <xf numFmtId="0" fontId="60" fillId="0" borderId="1" xfId="3" applyFont="1" applyBorder="1"/>
    <xf numFmtId="174" fontId="60" fillId="0" borderId="1" xfId="3" applyNumberFormat="1" applyFont="1" applyBorder="1" applyAlignment="1">
      <alignment horizontal="center"/>
    </xf>
    <xf numFmtId="0" fontId="12" fillId="28" borderId="76" xfId="3" applyFont="1" applyFill="1" applyBorder="1"/>
    <xf numFmtId="0" fontId="6" fillId="0" borderId="2" xfId="3" applyFont="1"/>
    <xf numFmtId="0" fontId="12" fillId="0" borderId="2" xfId="3" applyFont="1" applyAlignment="1">
      <alignment horizontal="right"/>
    </xf>
    <xf numFmtId="0" fontId="12" fillId="49" borderId="50" xfId="3" applyFont="1" applyFill="1" applyBorder="1"/>
    <xf numFmtId="0" fontId="12" fillId="49" borderId="36" xfId="3" applyFont="1" applyFill="1" applyBorder="1" applyAlignment="1">
      <alignment horizontal="center"/>
    </xf>
    <xf numFmtId="0" fontId="12" fillId="49" borderId="38" xfId="3" applyFont="1" applyFill="1" applyBorder="1" applyAlignment="1">
      <alignment horizontal="center"/>
    </xf>
    <xf numFmtId="0" fontId="60" fillId="0" borderId="67" xfId="3" applyFont="1" applyBorder="1"/>
    <xf numFmtId="9" fontId="60" fillId="0" borderId="79" xfId="3" applyNumberFormat="1" applyFont="1" applyBorder="1" applyAlignment="1">
      <alignment horizontal="center"/>
    </xf>
    <xf numFmtId="0" fontId="60" fillId="14" borderId="13" xfId="3" applyFont="1" applyFill="1" applyBorder="1"/>
    <xf numFmtId="9" fontId="60" fillId="0" borderId="35" xfId="3" applyNumberFormat="1" applyFont="1" applyBorder="1" applyAlignment="1">
      <alignment horizontal="center"/>
    </xf>
    <xf numFmtId="0" fontId="60" fillId="0" borderId="35" xfId="3" applyFont="1" applyBorder="1" applyAlignment="1">
      <alignment horizontal="center"/>
    </xf>
    <xf numFmtId="0" fontId="60" fillId="28" borderId="69" xfId="3" applyFont="1" applyFill="1" applyBorder="1"/>
    <xf numFmtId="0" fontId="12" fillId="28" borderId="69" xfId="3" applyFont="1" applyFill="1" applyBorder="1" applyAlignment="1">
      <alignment horizontal="right"/>
    </xf>
    <xf numFmtId="165" fontId="7" fillId="59" borderId="79" xfId="3" applyNumberFormat="1" applyFont="1" applyFill="1" applyBorder="1" applyAlignment="1">
      <alignment horizontal="center"/>
    </xf>
    <xf numFmtId="0" fontId="60" fillId="0" borderId="12" xfId="3" applyFont="1" applyBorder="1"/>
    <xf numFmtId="9" fontId="60" fillId="0" borderId="1" xfId="3" applyNumberFormat="1" applyFont="1" applyBorder="1" applyAlignment="1">
      <alignment horizontal="center"/>
    </xf>
    <xf numFmtId="0" fontId="60" fillId="14" borderId="1" xfId="3" applyFont="1" applyFill="1" applyBorder="1" applyAlignment="1">
      <alignment horizontal="center"/>
    </xf>
    <xf numFmtId="0" fontId="60" fillId="0" borderId="1" xfId="3" applyFont="1" applyBorder="1" applyAlignment="1">
      <alignment horizontal="center"/>
    </xf>
    <xf numFmtId="0" fontId="19" fillId="24" borderId="2" xfId="3" applyFont="1" applyFill="1"/>
    <xf numFmtId="0" fontId="55" fillId="0" borderId="2" xfId="3" applyFont="1"/>
    <xf numFmtId="0" fontId="11" fillId="27" borderId="16" xfId="0" applyFont="1" applyFill="1" applyBorder="1" applyAlignment="1">
      <alignment vertical="top" wrapText="1"/>
    </xf>
    <xf numFmtId="0" fontId="11" fillId="27" borderId="9" xfId="0" applyFont="1" applyFill="1" applyBorder="1" applyAlignment="1">
      <alignment vertical="top" wrapText="1"/>
    </xf>
    <xf numFmtId="0" fontId="11" fillId="27" borderId="9" xfId="0" applyFont="1" applyFill="1" applyBorder="1" applyAlignment="1">
      <alignment horizontal="center"/>
    </xf>
    <xf numFmtId="0" fontId="135" fillId="22" borderId="9" xfId="0" applyFont="1" applyFill="1" applyBorder="1" applyAlignment="1">
      <alignment horizontal="center"/>
    </xf>
    <xf numFmtId="0" fontId="11" fillId="27" borderId="13" xfId="0" applyFont="1" applyFill="1" applyBorder="1" applyAlignment="1">
      <alignment horizontal="center"/>
    </xf>
    <xf numFmtId="0" fontId="131" fillId="27" borderId="65" xfId="0" applyFont="1" applyFill="1" applyBorder="1" applyAlignment="1">
      <alignment horizontal="left" vertical="top" wrapText="1"/>
    </xf>
    <xf numFmtId="0" fontId="131" fillId="27" borderId="66" xfId="0" applyFont="1" applyFill="1" applyBorder="1" applyAlignment="1">
      <alignment vertical="top" wrapText="1"/>
    </xf>
    <xf numFmtId="0" fontId="131" fillId="27" borderId="66" xfId="0" applyFont="1" applyFill="1" applyBorder="1" applyAlignment="1">
      <alignment horizontal="center"/>
    </xf>
    <xf numFmtId="0" fontId="13" fillId="29" borderId="66" xfId="0" applyFont="1" applyFill="1" applyBorder="1" applyAlignment="1">
      <alignment horizontal="center"/>
    </xf>
    <xf numFmtId="0" fontId="131" fillId="27" borderId="67" xfId="0" applyFont="1" applyFill="1" applyBorder="1" applyAlignment="1">
      <alignment horizontal="center"/>
    </xf>
    <xf numFmtId="0" fontId="131" fillId="16" borderId="38" xfId="0" applyFont="1" applyFill="1" applyBorder="1" applyAlignment="1">
      <alignment horizontal="left" vertical="top" wrapText="1"/>
    </xf>
    <xf numFmtId="0" fontId="131" fillId="16" borderId="2" xfId="0" applyFont="1" applyFill="1" applyBorder="1" applyAlignment="1">
      <alignment vertical="top" wrapText="1"/>
    </xf>
    <xf numFmtId="0" fontId="131" fillId="16" borderId="2" xfId="0" applyFont="1" applyFill="1" applyBorder="1" applyAlignment="1">
      <alignment horizontal="center"/>
    </xf>
    <xf numFmtId="14" fontId="131" fillId="16" borderId="2" xfId="0" applyNumberFormat="1" applyFont="1" applyFill="1" applyBorder="1" applyAlignment="1">
      <alignment horizontal="center"/>
    </xf>
    <xf numFmtId="0" fontId="131" fillId="16" borderId="50" xfId="0" applyFont="1" applyFill="1" applyBorder="1" applyAlignment="1">
      <alignment horizontal="center"/>
    </xf>
    <xf numFmtId="0" fontId="131" fillId="27" borderId="17" xfId="0" applyFont="1" applyFill="1" applyBorder="1" applyAlignment="1">
      <alignment horizontal="left" vertical="top" wrapText="1"/>
    </xf>
    <xf numFmtId="0" fontId="183" fillId="0" borderId="1" xfId="0" applyFont="1" applyBorder="1"/>
    <xf numFmtId="0" fontId="184" fillId="0" borderId="2" xfId="0" applyFont="1" applyBorder="1"/>
    <xf numFmtId="14" fontId="184" fillId="0" borderId="2" xfId="0" applyNumberFormat="1" applyFont="1" applyBorder="1"/>
    <xf numFmtId="4" fontId="184" fillId="0" borderId="2" xfId="0" applyNumberFormat="1" applyFont="1" applyBorder="1"/>
    <xf numFmtId="10" fontId="184" fillId="0" borderId="2" xfId="0" applyNumberFormat="1" applyFont="1" applyBorder="1"/>
    <xf numFmtId="0" fontId="185" fillId="0" borderId="6" xfId="0" applyFont="1" applyBorder="1"/>
    <xf numFmtId="4" fontId="185" fillId="0" borderId="6" xfId="0" applyNumberFormat="1" applyFont="1" applyBorder="1"/>
    <xf numFmtId="0" fontId="186" fillId="0" borderId="2" xfId="0" applyFont="1" applyBorder="1"/>
    <xf numFmtId="4" fontId="185" fillId="0" borderId="7" xfId="0" applyNumberFormat="1" applyFont="1" applyBorder="1"/>
    <xf numFmtId="0" fontId="41" fillId="0" borderId="2" xfId="0" applyFont="1" applyBorder="1" applyAlignment="1">
      <alignment wrapText="1"/>
    </xf>
    <xf numFmtId="0" fontId="59" fillId="0" borderId="2" xfId="0" applyFont="1" applyBorder="1"/>
    <xf numFmtId="0" fontId="59" fillId="0" borderId="2" xfId="0" applyFont="1" applyBorder="1" applyAlignment="1">
      <alignment wrapText="1"/>
    </xf>
    <xf numFmtId="4" fontId="59" fillId="0" borderId="2" xfId="0" applyNumberFormat="1" applyFont="1" applyBorder="1"/>
    <xf numFmtId="3" fontId="47" fillId="0" borderId="2" xfId="0" applyNumberFormat="1" applyFont="1" applyBorder="1" applyAlignment="1">
      <alignment horizontal="center"/>
    </xf>
    <xf numFmtId="3" fontId="47" fillId="0" borderId="21" xfId="0" applyNumberFormat="1" applyFont="1" applyBorder="1" applyAlignment="1">
      <alignment horizontal="center"/>
    </xf>
    <xf numFmtId="14" fontId="41" fillId="54" borderId="2" xfId="0" applyNumberFormat="1" applyFont="1" applyFill="1" applyBorder="1"/>
    <xf numFmtId="4" fontId="41" fillId="54" borderId="2" xfId="0" applyNumberFormat="1" applyFont="1" applyFill="1" applyBorder="1"/>
    <xf numFmtId="0" fontId="41" fillId="54" borderId="2" xfId="0" applyFont="1" applyFill="1" applyBorder="1"/>
    <xf numFmtId="0" fontId="30" fillId="0" borderId="2" xfId="3" applyProtection="1">
      <protection locked="0"/>
    </xf>
    <xf numFmtId="0" fontId="80" fillId="60" borderId="2" xfId="3" applyFont="1" applyFill="1" applyProtection="1">
      <protection locked="0"/>
    </xf>
    <xf numFmtId="0" fontId="81" fillId="29" borderId="0" xfId="0" applyFont="1" applyFill="1" applyProtection="1">
      <protection locked="0"/>
    </xf>
    <xf numFmtId="0" fontId="190" fillId="0" borderId="2" xfId="3" applyFont="1" applyProtection="1">
      <protection locked="0"/>
    </xf>
    <xf numFmtId="0" fontId="190" fillId="0" borderId="0" xfId="0" applyFont="1" applyProtection="1">
      <protection locked="0"/>
    </xf>
    <xf numFmtId="0" fontId="12" fillId="0" borderId="2" xfId="3" applyFont="1" applyProtection="1">
      <protection locked="0"/>
    </xf>
    <xf numFmtId="164" fontId="7" fillId="0" borderId="2" xfId="3" applyNumberFormat="1" applyFont="1" applyProtection="1">
      <protection locked="0"/>
    </xf>
    <xf numFmtId="0" fontId="18" fillId="0" borderId="2" xfId="3" applyFont="1" applyProtection="1">
      <protection locked="0"/>
    </xf>
    <xf numFmtId="166" fontId="43" fillId="20" borderId="2" xfId="3" applyNumberFormat="1" applyFont="1" applyFill="1" applyAlignment="1" applyProtection="1">
      <alignment horizontal="center" vertical="center"/>
      <protection locked="0"/>
    </xf>
    <xf numFmtId="0" fontId="44" fillId="0" borderId="2" xfId="3" applyFont="1" applyProtection="1">
      <protection locked="0"/>
    </xf>
    <xf numFmtId="0" fontId="73" fillId="22" borderId="2" xfId="3" applyFont="1" applyFill="1" applyProtection="1">
      <protection locked="0"/>
    </xf>
    <xf numFmtId="0" fontId="73" fillId="47" borderId="2" xfId="3" applyFont="1" applyFill="1" applyProtection="1">
      <protection locked="0"/>
    </xf>
    <xf numFmtId="0" fontId="45" fillId="21" borderId="2" xfId="3" applyFont="1" applyFill="1" applyProtection="1">
      <protection locked="0"/>
    </xf>
    <xf numFmtId="0" fontId="30" fillId="21" borderId="2" xfId="3" applyFill="1" applyProtection="1">
      <protection locked="0"/>
    </xf>
    <xf numFmtId="0" fontId="30" fillId="26" borderId="2" xfId="3" applyFill="1" applyProtection="1">
      <protection locked="0"/>
    </xf>
    <xf numFmtId="0" fontId="0" fillId="26" borderId="2" xfId="3" applyFont="1" applyFill="1" applyProtection="1">
      <protection locked="0"/>
    </xf>
    <xf numFmtId="0" fontId="46" fillId="0" borderId="2" xfId="3" applyFont="1" applyAlignment="1" applyProtection="1">
      <alignment horizontal="left" vertical="center"/>
      <protection locked="0"/>
    </xf>
    <xf numFmtId="166" fontId="47" fillId="0" borderId="2" xfId="3" applyNumberFormat="1" applyFont="1" applyAlignment="1" applyProtection="1">
      <alignment horizontal="right" vertical="center"/>
      <protection locked="0"/>
    </xf>
    <xf numFmtId="3" fontId="47" fillId="0" borderId="2" xfId="3" applyNumberFormat="1" applyFont="1" applyAlignment="1" applyProtection="1">
      <alignment horizontal="right" vertical="center"/>
      <protection locked="0"/>
    </xf>
    <xf numFmtId="0" fontId="0" fillId="0" borderId="0" xfId="0" applyProtection="1">
      <protection locked="0"/>
    </xf>
    <xf numFmtId="0" fontId="187" fillId="24" borderId="2" xfId="3" applyFont="1" applyFill="1" applyAlignment="1" applyProtection="1">
      <alignment horizontal="center" vertical="center"/>
      <protection locked="0"/>
    </xf>
    <xf numFmtId="0" fontId="187" fillId="24" borderId="0" xfId="0" applyFont="1" applyFill="1" applyAlignment="1" applyProtection="1">
      <alignment horizontal="center"/>
      <protection locked="0"/>
    </xf>
    <xf numFmtId="0" fontId="187" fillId="24" borderId="2" xfId="3" applyFont="1" applyFill="1" applyAlignment="1" applyProtection="1">
      <alignment horizontal="center"/>
      <protection locked="0"/>
    </xf>
    <xf numFmtId="0" fontId="188" fillId="0" borderId="0" xfId="0" applyFont="1" applyProtection="1">
      <protection locked="0"/>
    </xf>
    <xf numFmtId="0" fontId="189" fillId="0" borderId="0" xfId="0" applyFont="1" applyProtection="1">
      <protection locked="0"/>
    </xf>
    <xf numFmtId="14" fontId="189" fillId="0" borderId="0" xfId="0" applyNumberFormat="1" applyFont="1" applyAlignment="1" applyProtection="1">
      <alignment horizontal="center"/>
      <protection locked="0"/>
    </xf>
    <xf numFmtId="0" fontId="189" fillId="0" borderId="0" xfId="0" applyFont="1" applyAlignment="1" applyProtection="1">
      <alignment horizontal="center"/>
      <protection locked="0"/>
    </xf>
    <xf numFmtId="0" fontId="192" fillId="0" borderId="0" xfId="0" applyFont="1" applyAlignment="1" applyProtection="1">
      <alignment horizontal="center"/>
      <protection locked="0"/>
    </xf>
    <xf numFmtId="181" fontId="189" fillId="0" borderId="0" xfId="0" applyNumberFormat="1" applyFont="1" applyAlignment="1" applyProtection="1">
      <alignment horizontal="center"/>
      <protection locked="0"/>
    </xf>
    <xf numFmtId="0" fontId="191" fillId="22" borderId="2" xfId="3" applyFont="1" applyFill="1" applyAlignment="1" applyProtection="1">
      <alignment vertical="top" wrapText="1"/>
      <protection locked="0"/>
    </xf>
    <xf numFmtId="0" fontId="191" fillId="22" borderId="2" xfId="3" applyFont="1" applyFill="1" applyAlignment="1" applyProtection="1">
      <alignment vertical="top"/>
      <protection locked="0"/>
    </xf>
    <xf numFmtId="0" fontId="89" fillId="22" borderId="0" xfId="3" applyFont="1" applyFill="1" applyBorder="1" applyAlignment="1" applyProtection="1">
      <alignment vertical="top"/>
      <protection locked="0"/>
    </xf>
    <xf numFmtId="0" fontId="0" fillId="0" borderId="2" xfId="0" applyBorder="1" applyProtection="1">
      <protection locked="0"/>
    </xf>
    <xf numFmtId="0" fontId="191" fillId="22" borderId="0" xfId="0" applyFont="1" applyFill="1" applyAlignment="1" applyProtection="1">
      <alignment vertical="top" wrapText="1"/>
      <protection locked="0"/>
    </xf>
    <xf numFmtId="0" fontId="187" fillId="24" borderId="0" xfId="0" applyFont="1" applyFill="1" applyProtection="1">
      <protection locked="0"/>
    </xf>
    <xf numFmtId="0" fontId="83" fillId="24" borderId="0" xfId="0" applyFont="1" applyFill="1" applyProtection="1">
      <protection locked="0"/>
    </xf>
    <xf numFmtId="181" fontId="187" fillId="24" borderId="0" xfId="0" applyNumberFormat="1" applyFont="1" applyFill="1" applyAlignment="1" applyProtection="1">
      <alignment horizontal="center"/>
      <protection locked="0"/>
    </xf>
    <xf numFmtId="0" fontId="142" fillId="24" borderId="0" xfId="0" applyFont="1" applyFill="1" applyProtection="1">
      <protection locked="0"/>
    </xf>
    <xf numFmtId="181" fontId="189" fillId="0" borderId="0" xfId="0" applyNumberFormat="1" applyFont="1" applyProtection="1">
      <protection locked="0"/>
    </xf>
    <xf numFmtId="181" fontId="187" fillId="24" borderId="0" xfId="0" applyNumberFormat="1" applyFont="1" applyFill="1" applyProtection="1">
      <protection locked="0"/>
    </xf>
    <xf numFmtId="0" fontId="106" fillId="0" borderId="0" xfId="0" applyFont="1" applyAlignment="1" applyProtection="1">
      <alignment horizontal="left"/>
      <protection locked="0"/>
    </xf>
    <xf numFmtId="0" fontId="187" fillId="31" borderId="0" xfId="0" applyFont="1" applyFill="1" applyAlignment="1" applyProtection="1">
      <alignment horizontal="center"/>
      <protection locked="0"/>
    </xf>
    <xf numFmtId="0" fontId="191" fillId="0" borderId="0" xfId="0" applyFont="1" applyProtection="1">
      <protection locked="0"/>
    </xf>
    <xf numFmtId="0" fontId="187" fillId="63" borderId="0" xfId="0" applyFont="1" applyFill="1" applyAlignment="1" applyProtection="1">
      <alignment horizontal="center"/>
      <protection locked="0"/>
    </xf>
    <xf numFmtId="0" fontId="187" fillId="62" borderId="0" xfId="0" applyFont="1" applyFill="1" applyAlignment="1" applyProtection="1">
      <alignment horizontal="center"/>
      <protection locked="0"/>
    </xf>
    <xf numFmtId="0" fontId="89" fillId="0" borderId="0" xfId="0" applyFont="1" applyProtection="1">
      <protection locked="0"/>
    </xf>
    <xf numFmtId="0" fontId="89" fillId="0" borderId="54" xfId="0" applyFont="1" applyBorder="1" applyAlignment="1" applyProtection="1">
      <alignment horizontal="left"/>
      <protection locked="0"/>
    </xf>
    <xf numFmtId="0" fontId="89" fillId="0" borderId="53" xfId="0" applyFont="1" applyBorder="1" applyProtection="1">
      <protection locked="0"/>
    </xf>
    <xf numFmtId="0" fontId="195" fillId="61" borderId="0" xfId="0" applyFont="1" applyFill="1" applyAlignment="1">
      <alignment vertical="top" wrapText="1"/>
    </xf>
    <xf numFmtId="0" fontId="45" fillId="26" borderId="2" xfId="3" applyFont="1" applyFill="1" applyAlignment="1" applyProtection="1">
      <alignment horizontal="left" vertical="center"/>
      <protection locked="0"/>
    </xf>
    <xf numFmtId="0" fontId="83" fillId="24" borderId="0" xfId="0" applyFont="1" applyFill="1" applyAlignment="1">
      <alignment vertical="top" wrapText="1"/>
    </xf>
    <xf numFmtId="0" fontId="0" fillId="26" borderId="0" xfId="0" applyFill="1" applyProtection="1">
      <protection locked="0"/>
    </xf>
    <xf numFmtId="174" fontId="89" fillId="0" borderId="0" xfId="0" applyNumberFormat="1" applyFont="1" applyAlignment="1" applyProtection="1">
      <alignment horizontal="right"/>
      <protection locked="0"/>
    </xf>
    <xf numFmtId="0" fontId="84" fillId="0" borderId="0" xfId="0" applyFont="1" applyAlignment="1" applyProtection="1">
      <alignment horizontal="left"/>
      <protection locked="0"/>
    </xf>
    <xf numFmtId="3" fontId="89" fillId="0" borderId="0" xfId="0" applyNumberFormat="1" applyFont="1" applyAlignment="1" applyProtection="1">
      <alignment horizontal="right"/>
      <protection locked="0"/>
    </xf>
    <xf numFmtId="165" fontId="89" fillId="0" borderId="0" xfId="0" applyNumberFormat="1" applyFont="1" applyAlignment="1" applyProtection="1">
      <alignment horizontal="right"/>
      <protection locked="0"/>
    </xf>
    <xf numFmtId="0" fontId="196" fillId="0" borderId="0" xfId="0" applyFont="1" applyAlignment="1" applyProtection="1">
      <alignment horizontal="left"/>
      <protection locked="0"/>
    </xf>
    <xf numFmtId="3" fontId="197" fillId="0" borderId="0" xfId="0" applyNumberFormat="1" applyFont="1" applyAlignment="1" applyProtection="1">
      <alignment horizontal="right"/>
      <protection locked="0"/>
    </xf>
    <xf numFmtId="174" fontId="197" fillId="0" borderId="0" xfId="0" applyNumberFormat="1" applyFont="1" applyAlignment="1" applyProtection="1">
      <alignment horizontal="right"/>
      <protection locked="0"/>
    </xf>
    <xf numFmtId="0" fontId="89" fillId="0" borderId="0" xfId="0" applyFont="1" applyAlignment="1" applyProtection="1">
      <alignment horizontal="right"/>
      <protection locked="0"/>
    </xf>
    <xf numFmtId="174" fontId="96" fillId="0" borderId="0" xfId="0" applyNumberFormat="1" applyFont="1" applyAlignment="1" applyProtection="1">
      <alignment horizontal="right"/>
      <protection locked="0"/>
    </xf>
    <xf numFmtId="0" fontId="198" fillId="0" borderId="0" xfId="0" applyFont="1"/>
    <xf numFmtId="0" fontId="199" fillId="29" borderId="21" xfId="0" applyFont="1" applyFill="1" applyBorder="1"/>
    <xf numFmtId="0" fontId="199" fillId="29" borderId="21" xfId="0" applyFont="1" applyFill="1" applyBorder="1" applyAlignment="1">
      <alignment horizontal="center"/>
    </xf>
    <xf numFmtId="175" fontId="199" fillId="29" borderId="21" xfId="0" applyNumberFormat="1" applyFont="1" applyFill="1" applyBorder="1" applyAlignment="1">
      <alignment horizontal="center"/>
    </xf>
    <xf numFmtId="0" fontId="200" fillId="34" borderId="21" xfId="0" applyFont="1" applyFill="1" applyBorder="1"/>
    <xf numFmtId="0" fontId="200" fillId="34" borderId="21" xfId="0" applyFont="1" applyFill="1" applyBorder="1" applyAlignment="1">
      <alignment horizontal="center"/>
    </xf>
    <xf numFmtId="175" fontId="200" fillId="34" borderId="21" xfId="0" applyNumberFormat="1" applyFont="1" applyFill="1" applyBorder="1" applyAlignment="1">
      <alignment horizontal="center"/>
    </xf>
    <xf numFmtId="0" fontId="201" fillId="27" borderId="9" xfId="0" applyFont="1" applyFill="1" applyBorder="1" applyAlignment="1">
      <alignment vertical="center" wrapText="1"/>
    </xf>
    <xf numFmtId="0" fontId="201" fillId="27" borderId="9" xfId="0" applyFont="1" applyFill="1" applyBorder="1" applyAlignment="1">
      <alignment horizontal="center" vertical="center"/>
    </xf>
    <xf numFmtId="0" fontId="202" fillId="22" borderId="9" xfId="0" applyFont="1" applyFill="1" applyBorder="1" applyAlignment="1">
      <alignment horizontal="center" vertical="center"/>
    </xf>
    <xf numFmtId="0" fontId="202" fillId="22" borderId="11" xfId="0" applyFont="1" applyFill="1" applyBorder="1" applyAlignment="1">
      <alignment horizontal="center" vertical="center"/>
    </xf>
    <xf numFmtId="0" fontId="29" fillId="26" borderId="2" xfId="0" applyFont="1" applyFill="1" applyBorder="1" applyAlignment="1">
      <alignment horizontal="left" vertical="top" wrapText="1"/>
    </xf>
    <xf numFmtId="0" fontId="33" fillId="26" borderId="2" xfId="0" applyFont="1" applyFill="1" applyBorder="1" applyAlignment="1">
      <alignment vertical="top" wrapText="1"/>
    </xf>
    <xf numFmtId="0" fontId="201" fillId="16" borderId="11" xfId="0" applyFont="1" applyFill="1" applyBorder="1" applyAlignment="1">
      <alignment vertical="center" wrapText="1"/>
    </xf>
    <xf numFmtId="0" fontId="201" fillId="16" borderId="11" xfId="0" applyFont="1" applyFill="1" applyBorder="1" applyAlignment="1">
      <alignment horizontal="center" vertical="center"/>
    </xf>
    <xf numFmtId="165" fontId="193" fillId="23" borderId="64" xfId="0" applyNumberFormat="1" applyFont="1" applyFill="1" applyBorder="1" applyAlignment="1">
      <alignment horizontal="center"/>
    </xf>
    <xf numFmtId="165" fontId="194" fillId="23" borderId="64" xfId="0" applyNumberFormat="1" applyFont="1" applyFill="1" applyBorder="1" applyAlignment="1">
      <alignment horizontal="center"/>
    </xf>
    <xf numFmtId="165" fontId="11" fillId="28" borderId="64" xfId="0" applyNumberFormat="1" applyFont="1" applyFill="1" applyBorder="1" applyAlignment="1">
      <alignment horizontal="center" vertical="top"/>
    </xf>
    <xf numFmtId="174" fontId="11" fillId="28" borderId="11" xfId="0" applyNumberFormat="1" applyFont="1" applyFill="1" applyBorder="1" applyAlignment="1">
      <alignment horizontal="center" vertical="top"/>
    </xf>
    <xf numFmtId="174" fontId="14" fillId="23" borderId="11" xfId="0" applyNumberFormat="1" applyFont="1" applyFill="1" applyBorder="1" applyAlignment="1">
      <alignment horizontal="center"/>
    </xf>
    <xf numFmtId="174" fontId="133" fillId="23" borderId="11" xfId="0" applyNumberFormat="1" applyFont="1" applyFill="1" applyBorder="1" applyAlignment="1">
      <alignment horizontal="center"/>
    </xf>
    <xf numFmtId="165" fontId="11" fillId="28" borderId="11" xfId="0" applyNumberFormat="1" applyFont="1" applyFill="1" applyBorder="1" applyAlignment="1">
      <alignment horizontal="center" vertical="top"/>
    </xf>
    <xf numFmtId="165" fontId="11" fillId="28" borderId="3" xfId="0" applyNumberFormat="1" applyFont="1" applyFill="1" applyBorder="1" applyAlignment="1">
      <alignment horizontal="center" vertical="top"/>
    </xf>
    <xf numFmtId="165" fontId="14" fillId="23" borderId="3" xfId="0" applyNumberFormat="1" applyFont="1" applyFill="1" applyBorder="1" applyAlignment="1">
      <alignment horizontal="center"/>
    </xf>
    <xf numFmtId="165" fontId="133" fillId="23" borderId="3" xfId="0" applyNumberFormat="1" applyFont="1" applyFill="1" applyBorder="1" applyAlignment="1">
      <alignment horizontal="center"/>
    </xf>
    <xf numFmtId="0" fontId="4" fillId="0" borderId="0" xfId="0" applyFont="1"/>
    <xf numFmtId="0" fontId="0" fillId="0" borderId="0" xfId="0"/>
    <xf numFmtId="0" fontId="5" fillId="0" borderId="0" xfId="0" applyFont="1"/>
    <xf numFmtId="0" fontId="4" fillId="0" borderId="2" xfId="3" applyFont="1" applyProtection="1">
      <protection locked="0"/>
    </xf>
    <xf numFmtId="0" fontId="5" fillId="0" borderId="2" xfId="3" applyFont="1" applyProtection="1">
      <protection locked="0"/>
    </xf>
    <xf numFmtId="0" fontId="83" fillId="24" borderId="34" xfId="0" applyFont="1" applyFill="1" applyBorder="1" applyAlignment="1">
      <alignment horizontal="center"/>
    </xf>
    <xf numFmtId="0" fontId="83" fillId="24" borderId="33" xfId="0" applyFont="1" applyFill="1" applyBorder="1" applyAlignment="1">
      <alignment horizontal="center"/>
    </xf>
    <xf numFmtId="0" fontId="87" fillId="33" borderId="27" xfId="0" applyFont="1" applyFill="1" applyBorder="1" applyAlignment="1">
      <alignment horizontal="left" wrapText="1"/>
    </xf>
    <xf numFmtId="0" fontId="87" fillId="33" borderId="20" xfId="0" applyFont="1" applyFill="1" applyBorder="1" applyAlignment="1">
      <alignment horizontal="left" wrapText="1"/>
    </xf>
    <xf numFmtId="0" fontId="48" fillId="24" borderId="31" xfId="0" applyFont="1" applyFill="1" applyBorder="1" applyAlignment="1">
      <alignment horizontal="center"/>
    </xf>
    <xf numFmtId="0" fontId="48" fillId="24" borderId="2" xfId="0" applyFont="1" applyFill="1" applyBorder="1" applyAlignment="1">
      <alignment horizontal="center"/>
    </xf>
    <xf numFmtId="0" fontId="71" fillId="29" borderId="30" xfId="0" applyFont="1" applyFill="1" applyBorder="1" applyAlignment="1">
      <alignment horizontal="left" wrapText="1"/>
    </xf>
    <xf numFmtId="0" fontId="71" fillId="29" borderId="21" xfId="0" applyFont="1" applyFill="1" applyBorder="1" applyAlignment="1">
      <alignment horizontal="left" wrapText="1"/>
    </xf>
    <xf numFmtId="0" fontId="86" fillId="31" borderId="30" xfId="0" applyFont="1" applyFill="1" applyBorder="1" applyAlignment="1">
      <alignment horizontal="left" wrapText="1"/>
    </xf>
    <xf numFmtId="0" fontId="86" fillId="31" borderId="21" xfId="0" applyFont="1" applyFill="1" applyBorder="1" applyAlignment="1">
      <alignment horizontal="left" wrapText="1"/>
    </xf>
    <xf numFmtId="0" fontId="58" fillId="33" borderId="30" xfId="0" applyFont="1" applyFill="1" applyBorder="1" applyAlignment="1">
      <alignment horizontal="left" wrapText="1"/>
    </xf>
    <xf numFmtId="0" fontId="58" fillId="33" borderId="21" xfId="0" applyFont="1" applyFill="1" applyBorder="1" applyAlignment="1">
      <alignment horizontal="left" wrapText="1"/>
    </xf>
    <xf numFmtId="0" fontId="4" fillId="16" borderId="2" xfId="0" applyFont="1" applyFill="1" applyBorder="1"/>
    <xf numFmtId="0" fontId="5" fillId="16" borderId="2" xfId="0" applyFont="1" applyFill="1" applyBorder="1"/>
    <xf numFmtId="0" fontId="33" fillId="16" borderId="2" xfId="0" applyFont="1" applyFill="1" applyBorder="1"/>
    <xf numFmtId="0" fontId="12" fillId="26" borderId="2" xfId="0" applyFont="1" applyFill="1" applyBorder="1" applyAlignment="1">
      <alignment horizontal="center"/>
    </xf>
    <xf numFmtId="0" fontId="11" fillId="26" borderId="2" xfId="0" applyFont="1" applyFill="1" applyBorder="1" applyAlignment="1">
      <alignment horizontal="center"/>
    </xf>
    <xf numFmtId="0" fontId="170" fillId="26" borderId="2" xfId="0" applyFont="1" applyFill="1" applyBorder="1"/>
    <xf numFmtId="0" fontId="0" fillId="0" borderId="2" xfId="0" applyBorder="1"/>
    <xf numFmtId="0" fontId="127" fillId="24" borderId="2" xfId="0" applyFont="1" applyFill="1" applyBorder="1" applyAlignment="1">
      <alignment horizontal="left"/>
    </xf>
    <xf numFmtId="0" fontId="172" fillId="0" borderId="2" xfId="0" applyFont="1" applyBorder="1"/>
    <xf numFmtId="0" fontId="127" fillId="24" borderId="2" xfId="0" applyFont="1" applyFill="1" applyBorder="1"/>
    <xf numFmtId="0" fontId="171" fillId="0" borderId="2" xfId="0" applyFont="1" applyBorder="1"/>
    <xf numFmtId="0" fontId="124" fillId="40" borderId="2" xfId="12" applyFont="1" applyFill="1" applyAlignment="1">
      <alignment horizontal="center" vertical="center" wrapText="1"/>
    </xf>
    <xf numFmtId="0" fontId="26" fillId="8" borderId="0" xfId="0" applyFont="1" applyFill="1"/>
    <xf numFmtId="0" fontId="23" fillId="0" borderId="0" xfId="0" applyFont="1"/>
    <xf numFmtId="0" fontId="26" fillId="11" borderId="0" xfId="0" applyFont="1" applyFill="1"/>
    <xf numFmtId="0" fontId="22" fillId="0" borderId="0" xfId="0" applyFont="1"/>
    <xf numFmtId="0" fontId="0" fillId="0" borderId="0" xfId="0" applyAlignment="1">
      <alignment horizontal="center"/>
    </xf>
  </cellXfs>
  <cellStyles count="19">
    <cellStyle name="Bad 2" xfId="11" xr:uid="{CF90C9F9-8DDA-4058-8942-38561CBDC30C}"/>
    <cellStyle name="Bad 3" xfId="14" xr:uid="{257C876C-9652-45AA-BF7D-407ADAEF3037}"/>
    <cellStyle name="Currency" xfId="1" builtinId="4"/>
    <cellStyle name="Good 2" xfId="9" xr:uid="{50848384-319C-472A-A9E0-8920E503B697}"/>
    <cellStyle name="Good 3" xfId="15" xr:uid="{05085FE9-8711-4323-A7B4-88AEB296A79D}"/>
    <cellStyle name="Neutral 2" xfId="10" xr:uid="{BA738AD7-362E-43E4-8A46-290BE75EB6B9}"/>
    <cellStyle name="Neutral 3" xfId="13" xr:uid="{2A931C57-971D-48F7-AA02-4168C9A31CC0}"/>
    <cellStyle name="Normal" xfId="0" builtinId="0"/>
    <cellStyle name="Normal 10" xfId="17" xr:uid="{FED5FCCD-5150-4323-B367-0745C26C9C25}"/>
    <cellStyle name="Normal 11" xfId="18" xr:uid="{2DB776CF-54AA-4726-9EAF-6DE7ABBCF7EA}"/>
    <cellStyle name="Normal 2" xfId="3" xr:uid="{3286682D-F96E-4B13-BA95-B2F4825FA00A}"/>
    <cellStyle name="Normal 3" xfId="4" xr:uid="{2DE30171-1A5C-4547-BD52-E293822E2DA6}"/>
    <cellStyle name="Normal 4" xfId="5" xr:uid="{DBE2CB27-0549-43BC-BAEA-B22723E6F196}"/>
    <cellStyle name="Normal 5" xfId="6" xr:uid="{DF79D2EF-2A48-4FCC-9B6D-94C7F6CBFCBE}"/>
    <cellStyle name="Normal 6" xfId="7" xr:uid="{0EB93240-C315-4551-9E91-20132A86373E}"/>
    <cellStyle name="Normal 7" xfId="8" xr:uid="{FDD1B3D4-F748-4ADE-83D7-E8CF4DEBFB8F}"/>
    <cellStyle name="Normal 8" xfId="12" xr:uid="{10E9A60A-A05C-4370-A970-0360BEFA20ED}"/>
    <cellStyle name="Normal 9" xfId="16" xr:uid="{9E5755E6-740C-4BC0-AE24-D8690D1B5F64}"/>
    <cellStyle name="Percent" xfId="2" builtinId="5"/>
  </cellStyles>
  <dxfs count="82">
    <dxf>
      <font>
        <color rgb="FF9C0006"/>
      </font>
      <fill>
        <patternFill>
          <bgColor rgb="FFFFC7CE"/>
        </patternFill>
      </fill>
    </dxf>
    <dxf>
      <font>
        <color rgb="FF9C5700"/>
      </font>
      <fill>
        <patternFill>
          <bgColor rgb="FFFFEB9C"/>
        </patternFill>
      </fill>
    </dxf>
    <dxf>
      <fill>
        <patternFill>
          <bgColor theme="5" tint="0.79998168889431442"/>
        </patternFill>
      </fill>
    </dxf>
    <dxf>
      <font>
        <color rgb="FFBF8F00"/>
      </font>
      <fill>
        <patternFill patternType="solid">
          <fgColor indexed="64"/>
          <bgColor rgb="FFFCE4D6"/>
        </patternFill>
      </fill>
    </dxf>
    <dxf>
      <font>
        <color rgb="FF9C0006"/>
      </font>
      <fill>
        <patternFill patternType="solid">
          <fgColor indexed="64"/>
          <bgColor rgb="FFFFC7CE"/>
        </patternFill>
      </fill>
    </dxf>
    <dxf>
      <font>
        <color rgb="FF806600"/>
      </font>
      <fill>
        <patternFill patternType="solid">
          <fgColor indexed="64"/>
          <bgColor rgb="FFFFF9CC"/>
        </patternFill>
      </fill>
    </dxf>
    <dxf>
      <font>
        <color rgb="FFCC5500"/>
      </font>
      <fill>
        <patternFill patternType="solid">
          <fgColor indexed="64"/>
          <bgColor rgb="FFFFE8CC"/>
        </patternFill>
      </fill>
    </dxf>
    <dxf>
      <font>
        <color rgb="FF8B0000"/>
      </font>
      <fill>
        <patternFill patternType="solid">
          <fgColor indexed="64"/>
          <bgColor rgb="FFFFD2D2"/>
        </patternFill>
      </fill>
    </dxf>
    <dxf>
      <font>
        <color rgb="FF9C0006"/>
      </font>
      <fill>
        <patternFill>
          <bgColor rgb="FFFFC7CE"/>
        </patternFill>
      </fill>
    </dxf>
    <dxf>
      <font>
        <color rgb="FF9C0006"/>
      </font>
      <fill>
        <patternFill>
          <bgColor rgb="FFFFC7CE"/>
        </patternFill>
      </fill>
    </dxf>
    <dxf>
      <font>
        <color rgb="FF806600"/>
      </font>
      <fill>
        <patternFill patternType="solid">
          <fgColor indexed="64"/>
          <bgColor rgb="FFFFF9CC"/>
        </patternFill>
      </fill>
    </dxf>
    <dxf>
      <font>
        <color rgb="FFCC5500"/>
      </font>
      <fill>
        <patternFill patternType="solid">
          <fgColor indexed="64"/>
          <bgColor rgb="FFFFE8CC"/>
        </patternFill>
      </fill>
    </dxf>
    <dxf>
      <font>
        <b/>
        <i val="0"/>
        <color rgb="FF8B0000"/>
      </font>
      <fill>
        <patternFill patternType="solid">
          <fgColor indexed="64"/>
          <bgColor rgb="FFFFD2D2"/>
        </patternFill>
      </fill>
    </dxf>
    <dxf>
      <font>
        <color rgb="FF806600"/>
      </font>
      <fill>
        <patternFill patternType="solid">
          <fgColor indexed="64"/>
          <bgColor rgb="FFFFF9CC"/>
        </patternFill>
      </fill>
    </dxf>
    <dxf>
      <font>
        <color rgb="FFCC5500"/>
      </font>
      <fill>
        <patternFill patternType="solid">
          <fgColor indexed="64"/>
          <bgColor rgb="FFFFE8CC"/>
        </patternFill>
      </fill>
    </dxf>
    <dxf>
      <font>
        <b/>
        <i val="0"/>
        <color rgb="FF8B0000"/>
      </font>
      <fill>
        <patternFill patternType="solid">
          <fgColor indexed="64"/>
          <bgColor rgb="FFFFD2D2"/>
        </patternFill>
      </fill>
    </dxf>
    <dxf>
      <font>
        <b/>
        <i val="0"/>
        <color rgb="FFFFFFFF"/>
      </font>
      <fill>
        <patternFill patternType="solid">
          <fgColor indexed="64"/>
          <bgColor rgb="FF808080"/>
        </patternFill>
      </fill>
    </dxf>
    <dxf>
      <font>
        <b/>
        <i val="0"/>
        <color rgb="FFFFFFFF"/>
      </font>
      <fill>
        <patternFill patternType="solid">
          <fgColor indexed="64"/>
          <bgColor rgb="FF1F6E6E"/>
        </patternFill>
      </fill>
    </dxf>
    <dxf>
      <font>
        <b/>
        <i val="0"/>
        <color rgb="FFFFFFFF"/>
      </font>
      <fill>
        <patternFill patternType="solid">
          <fgColor indexed="64"/>
          <bgColor rgb="FFC00000"/>
        </patternFill>
      </fill>
    </dxf>
    <dxf>
      <font>
        <b/>
        <i val="0"/>
        <color rgb="FFFFFFFF"/>
      </font>
      <fill>
        <patternFill patternType="solid">
          <fgColor indexed="64"/>
          <bgColor rgb="FF808080"/>
        </patternFill>
      </fill>
    </dxf>
    <dxf>
      <font>
        <b/>
        <i val="0"/>
        <color rgb="FFFFFFFF"/>
      </font>
      <fill>
        <patternFill patternType="solid">
          <fgColor indexed="64"/>
          <bgColor rgb="FF1F6E6E"/>
        </patternFill>
      </fill>
    </dxf>
    <dxf>
      <font>
        <b/>
        <i val="0"/>
        <color rgb="FFFFFFFF"/>
      </font>
      <fill>
        <patternFill patternType="solid">
          <fgColor indexed="64"/>
          <bgColor rgb="FFC00000"/>
        </patternFill>
      </fill>
    </dxf>
    <dxf>
      <font>
        <b/>
        <i val="0"/>
        <color rgb="FF0070C0"/>
      </font>
    </dxf>
    <dxf>
      <font>
        <b/>
        <i val="0"/>
        <color rgb="FFC00000"/>
      </font>
    </dxf>
    <dxf>
      <font>
        <color rgb="FF9C0006"/>
      </font>
      <fill>
        <patternFill>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color rgb="FF9C0006"/>
      </font>
      <fill>
        <patternFill>
          <bgColor rgb="FFFFC7CE"/>
        </patternFill>
      </fill>
    </dxf>
    <dxf>
      <font>
        <b/>
        <color rgb="FF006100"/>
      </font>
      <fill>
        <patternFill>
          <bgColor rgb="FFC6EF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ill>
        <patternFill patternType="solid">
          <fgColor indexed="64"/>
          <bgColor rgb="FFC6EFCE"/>
        </patternFill>
      </fill>
    </dxf>
    <dxf>
      <fill>
        <patternFill patternType="solid">
          <fgColor indexed="64"/>
          <bgColor rgb="FFFFC7CE"/>
        </patternFill>
      </fill>
    </dxf>
    <dxf>
      <fill>
        <patternFill>
          <bgColor rgb="FFFFC7CE"/>
        </patternFill>
      </fill>
    </dxf>
    <dxf>
      <fill>
        <patternFill>
          <bgColor rgb="FFC6EF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FFC7CE"/>
        </patternFill>
      </fill>
    </dxf>
    <dxf>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rgb="FFFFC7CE"/>
        </patternFill>
      </fill>
    </dxf>
    <dxf>
      <fill>
        <patternFill>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ill>
        <patternFill patternType="solid">
          <fgColor rgb="FFFFEB9C"/>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2F2F2"/>
      <rgbColor rgb="FFDEEAF6"/>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FFFF99"/>
      <rgbColor rgb="FF99CCFF"/>
      <rgbColor rgb="FFFF99CC"/>
      <rgbColor rgb="FFCC99FF"/>
      <rgbColor rgb="FFFFC7CE"/>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A96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microsoft.com/office/2017/10/relationships/person" Target="persons/person.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microsoft.com/office/2022/11/relationships/FeaturePropertyBag" Target="featurePropertyBag/featurePropertyBag.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4711700</xdr:colOff>
      <xdr:row>1</xdr:row>
      <xdr:rowOff>196850</xdr:rowOff>
    </xdr:from>
    <xdr:to>
      <xdr:col>2</xdr:col>
      <xdr:colOff>5925659</xdr:colOff>
      <xdr:row>2</xdr:row>
      <xdr:rowOff>190500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blip>
        <a:stretch>
          <a:fillRect/>
        </a:stretch>
      </xdr:blipFill>
      <xdr:spPr>
        <a:xfrm>
          <a:off x="5067300" y="298450"/>
          <a:ext cx="1213959" cy="37465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110016</xdr:colOff>
      <xdr:row>0</xdr:row>
      <xdr:rowOff>50800</xdr:rowOff>
    </xdr:from>
    <xdr:to>
      <xdr:col>8</xdr:col>
      <xdr:colOff>3175</xdr:colOff>
      <xdr:row>1</xdr:row>
      <xdr:rowOff>152400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stretch>
          <a:fillRect/>
        </a:stretch>
      </xdr:blipFill>
      <xdr:spPr>
        <a:xfrm>
          <a:off x="5393216" y="50800"/>
          <a:ext cx="1267934" cy="37465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31749</xdr:colOff>
      <xdr:row>0</xdr:row>
      <xdr:rowOff>133350</xdr:rowOff>
    </xdr:from>
    <xdr:to>
      <xdr:col>0</xdr:col>
      <xdr:colOff>1038623</xdr:colOff>
      <xdr:row>1</xdr:row>
      <xdr:rowOff>123825</xdr:rowOff>
    </xdr:to>
    <xdr:pic>
      <xdr:nvPicPr>
        <xdr:cNvPr id="3" name="Picture 2">
          <a:extLst>
            <a:ext uri="{FF2B5EF4-FFF2-40B4-BE49-F238E27FC236}">
              <a16:creationId xmlns:a16="http://schemas.microsoft.com/office/drawing/2014/main" id="{3AD510C8-ABB8-46F5-85EE-948BF7A805CE}"/>
            </a:ext>
          </a:extLst>
        </xdr:cNvPr>
        <xdr:cNvPicPr>
          <a:picLocks noChangeAspect="1"/>
        </xdr:cNvPicPr>
      </xdr:nvPicPr>
      <xdr:blipFill>
        <a:blip xmlns:r="http://schemas.openxmlformats.org/officeDocument/2006/relationships" r:embed="rId1" cstate="print"/>
        <a:stretch>
          <a:fillRect/>
        </a:stretch>
      </xdr:blipFill>
      <xdr:spPr>
        <a:xfrm>
          <a:off x="31749" y="133350"/>
          <a:ext cx="1010049" cy="29845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2697338</xdr:colOff>
      <xdr:row>0</xdr:row>
      <xdr:rowOff>107244</xdr:rowOff>
    </xdr:from>
    <xdr:to>
      <xdr:col>11</xdr:col>
      <xdr:colOff>1135641</xdr:colOff>
      <xdr:row>2</xdr:row>
      <xdr:rowOff>75141</xdr:rowOff>
    </xdr:to>
    <xdr:pic>
      <xdr:nvPicPr>
        <xdr:cNvPr id="3" name="Picture 1">
          <a:extLst>
            <a:ext uri="{FF2B5EF4-FFF2-40B4-BE49-F238E27FC236}">
              <a16:creationId xmlns:a16="http://schemas.microsoft.com/office/drawing/2014/main" id="{DF927836-4D89-4A06-8394-1FBA088641CD}"/>
            </a:ext>
          </a:extLst>
        </xdr:cNvPr>
        <xdr:cNvPicPr>
          <a:picLocks noChangeAspect="1"/>
        </xdr:cNvPicPr>
      </xdr:nvPicPr>
      <xdr:blipFill>
        <a:blip xmlns:r="http://schemas.openxmlformats.org/officeDocument/2006/relationships" r:embed="rId1" cstate="print"/>
        <a:stretch>
          <a:fillRect/>
        </a:stretch>
      </xdr:blipFill>
      <xdr:spPr>
        <a:xfrm>
          <a:off x="9625894" y="107244"/>
          <a:ext cx="1133879" cy="377472"/>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1623786</xdr:colOff>
      <xdr:row>0</xdr:row>
      <xdr:rowOff>172357</xdr:rowOff>
    </xdr:from>
    <xdr:to>
      <xdr:col>6</xdr:col>
      <xdr:colOff>2918179</xdr:colOff>
      <xdr:row>2</xdr:row>
      <xdr:rowOff>64407</xdr:rowOff>
    </xdr:to>
    <xdr:pic>
      <xdr:nvPicPr>
        <xdr:cNvPr id="3" name="Picture 1">
          <a:extLst>
            <a:ext uri="{FF2B5EF4-FFF2-40B4-BE49-F238E27FC236}">
              <a16:creationId xmlns:a16="http://schemas.microsoft.com/office/drawing/2014/main" id="{444DE8EF-2ABE-4CF9-8D98-CBCC369E2838}"/>
            </a:ext>
          </a:extLst>
        </xdr:cNvPr>
        <xdr:cNvPicPr>
          <a:picLocks noChangeAspect="1"/>
        </xdr:cNvPicPr>
      </xdr:nvPicPr>
      <xdr:blipFill>
        <a:blip xmlns:r="http://schemas.openxmlformats.org/officeDocument/2006/relationships" r:embed="rId1" cstate="print"/>
        <a:stretch>
          <a:fillRect/>
        </a:stretch>
      </xdr:blipFill>
      <xdr:spPr>
        <a:xfrm>
          <a:off x="11647715" y="172357"/>
          <a:ext cx="1294393" cy="36830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1336675</xdr:colOff>
      <xdr:row>0</xdr:row>
      <xdr:rowOff>250825</xdr:rowOff>
    </xdr:from>
    <xdr:to>
      <xdr:col>7</xdr:col>
      <xdr:colOff>2631068</xdr:colOff>
      <xdr:row>2</xdr:row>
      <xdr:rowOff>95250</xdr:rowOff>
    </xdr:to>
    <xdr:pic>
      <xdr:nvPicPr>
        <xdr:cNvPr id="4" name="Picture 1">
          <a:extLst>
            <a:ext uri="{FF2B5EF4-FFF2-40B4-BE49-F238E27FC236}">
              <a16:creationId xmlns:a16="http://schemas.microsoft.com/office/drawing/2014/main" id="{51EEACDA-5D4F-4755-950E-7A754B73C299}"/>
            </a:ext>
          </a:extLst>
        </xdr:cNvPr>
        <xdr:cNvPicPr>
          <a:picLocks noChangeAspect="1"/>
        </xdr:cNvPicPr>
      </xdr:nvPicPr>
      <xdr:blipFill>
        <a:blip xmlns:r="http://schemas.openxmlformats.org/officeDocument/2006/relationships" r:embed="rId1" cstate="print"/>
        <a:stretch>
          <a:fillRect/>
        </a:stretch>
      </xdr:blipFill>
      <xdr:spPr>
        <a:xfrm>
          <a:off x="11591925" y="250825"/>
          <a:ext cx="1294393" cy="368300"/>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819150</xdr:colOff>
      <xdr:row>0</xdr:row>
      <xdr:rowOff>114300</xdr:rowOff>
    </xdr:from>
    <xdr:to>
      <xdr:col>7</xdr:col>
      <xdr:colOff>931384</xdr:colOff>
      <xdr:row>1</xdr:row>
      <xdr:rowOff>190500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7702550" y="114300"/>
          <a:ext cx="1267934" cy="374650"/>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25400</xdr:colOff>
      <xdr:row>0</xdr:row>
      <xdr:rowOff>82550</xdr:rowOff>
    </xdr:from>
    <xdr:to>
      <xdr:col>15</xdr:col>
      <xdr:colOff>1109</xdr:colOff>
      <xdr:row>1</xdr:row>
      <xdr:rowOff>152400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8128000" y="82550"/>
          <a:ext cx="1267934" cy="374650"/>
        </a:xfrm>
        <a:prstGeom prst="rect">
          <a:avLst/>
        </a:prstGeom>
        <a:ln>
          <a:prstDash val="solid"/>
        </a:ln>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Sergio Chidichimo" id="{62D7E5C9-AA3E-4EBC-9482-3743049E4D61}" userId="S::sergio@arlast.com::3b3bb5f9-d888-4b58-a88d-2d4f79871482"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5" dT="2026-03-25T19:21:40.34" personId="{62D7E5C9-AA3E-4EBC-9482-3743049E4D61}" id="{606F71D6-CE33-4881-82AE-6CBD7E723D22}">
    <text>Source: ResMan Aged Receivables CSV, 12/14/2025. Count of all accounts with any balance (Dec/Nov/Oct/Older &gt; 0). External data — update manually if baseline changes.</text>
  </threadedComment>
  <threadedComment ref="B6" dT="2026-03-25T19:21:40.35" personId="{62D7E5C9-AA3E-4EBC-9482-3743049E4D61}" id="{5FD13FFD-3711-4856-9EFB-8089C7A9C816}">
    <text>Source: ResMan Aged Receivables CSV, 12/14/2025. Sum of Total Balance column for all 144 accounts. External data — update manually if baseline changes.</text>
  </threadedComment>
  <threadedComment ref="B128" dT="2026-03-25T19:21:40.37" personId="{62D7E5C9-AA3E-4EBC-9482-3743049E4D61}" id="{FBB46EAC-B627-4802-8EAB-DC906B5E5EA8}">
    <text>Manually classified from Delinquency_Detail_3 RSI Notes &amp; CAF Notes columns. Update when case statuses change.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1DC3BAF-5E64-4F00-AC62-DE7A0C03F937}">
  <we:reference id="WA200009404" version="1.0.0.4" store="Omex" storeType="OMEX"/>
  <we:alternateReferences>
    <we:reference id="WA200009404" version="1.0.0.4" store="WA200009404" storeType="OMEX"/>
  </we:alternateReferences>
  <we:properties>
    <we:property name="claude.fileId" value="&quot;025cb816-43b0-4af6-ab30-61743aef898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 Id="rId4"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BEF29-BD23-4AD7-8E39-65CF3A6E5DD9}">
  <dimension ref="A1:F84"/>
  <sheetViews>
    <sheetView workbookViewId="0"/>
  </sheetViews>
  <sheetFormatPr defaultRowHeight="14.5"/>
  <cols>
    <col min="1" max="1" width="9.1796875" customWidth="1"/>
    <col min="2" max="2" width="14.54296875" customWidth="1"/>
    <col min="3" max="4" width="36.453125" customWidth="1"/>
    <col min="5" max="5" width="45.453125" customWidth="1"/>
    <col min="6" max="6" width="36.453125" customWidth="1"/>
  </cols>
  <sheetData>
    <row r="1" spans="1:6">
      <c r="A1" s="666" t="s">
        <v>0</v>
      </c>
      <c r="B1" s="666" t="s">
        <v>1</v>
      </c>
      <c r="C1" s="666" t="s">
        <v>2</v>
      </c>
      <c r="D1" s="666" t="s">
        <v>3</v>
      </c>
      <c r="E1" s="666" t="s">
        <v>4</v>
      </c>
      <c r="F1" s="666" t="s">
        <v>5</v>
      </c>
    </row>
    <row r="2" spans="1:6">
      <c r="A2">
        <v>1</v>
      </c>
      <c r="B2" s="519">
        <v>46112</v>
      </c>
      <c r="C2" t="s">
        <v>6</v>
      </c>
      <c r="D2" t="s">
        <v>7</v>
      </c>
      <c r="E2" t="s">
        <v>8</v>
      </c>
      <c r="F2" t="s">
        <v>9</v>
      </c>
    </row>
    <row r="3" spans="1:6">
      <c r="A3">
        <v>2</v>
      </c>
      <c r="B3" s="519">
        <v>46112</v>
      </c>
      <c r="C3" t="s">
        <v>10</v>
      </c>
      <c r="D3" t="s">
        <v>11</v>
      </c>
      <c r="E3" t="s">
        <v>12</v>
      </c>
      <c r="F3" t="s">
        <v>13</v>
      </c>
    </row>
    <row r="4" spans="1:6">
      <c r="A4">
        <v>3</v>
      </c>
      <c r="B4" s="519">
        <v>46112</v>
      </c>
      <c r="C4" t="s">
        <v>14</v>
      </c>
      <c r="D4" t="s">
        <v>15</v>
      </c>
      <c r="E4" t="s">
        <v>16</v>
      </c>
      <c r="F4" t="s">
        <v>17</v>
      </c>
    </row>
    <row r="5" spans="1:6">
      <c r="A5">
        <v>4</v>
      </c>
      <c r="B5" s="519">
        <v>46112</v>
      </c>
      <c r="C5" t="s">
        <v>18</v>
      </c>
      <c r="D5" t="s">
        <v>19</v>
      </c>
      <c r="E5" t="s">
        <v>20</v>
      </c>
      <c r="F5" t="s">
        <v>21</v>
      </c>
    </row>
    <row r="6" spans="1:6">
      <c r="A6">
        <v>5</v>
      </c>
      <c r="B6" s="519">
        <v>46131</v>
      </c>
      <c r="C6" t="s">
        <v>22</v>
      </c>
      <c r="D6" t="s">
        <v>23</v>
      </c>
      <c r="E6" t="s">
        <v>24</v>
      </c>
      <c r="F6" t="s">
        <v>25</v>
      </c>
    </row>
    <row r="7" spans="1:6">
      <c r="A7">
        <v>6</v>
      </c>
      <c r="B7" s="519">
        <v>46131</v>
      </c>
      <c r="C7" t="s">
        <v>26</v>
      </c>
      <c r="D7" t="s">
        <v>27</v>
      </c>
      <c r="E7" t="s">
        <v>28</v>
      </c>
      <c r="F7" t="s">
        <v>29</v>
      </c>
    </row>
    <row r="8" spans="1:6">
      <c r="A8">
        <v>7</v>
      </c>
      <c r="B8" s="519">
        <v>46131</v>
      </c>
      <c r="C8" t="s">
        <v>30</v>
      </c>
      <c r="D8" t="s">
        <v>31</v>
      </c>
      <c r="E8" t="s">
        <v>32</v>
      </c>
      <c r="F8" t="s">
        <v>33</v>
      </c>
    </row>
    <row r="9" spans="1:6">
      <c r="A9">
        <v>8</v>
      </c>
      <c r="B9" s="519">
        <v>46131</v>
      </c>
      <c r="C9" t="s">
        <v>34</v>
      </c>
      <c r="D9" t="s">
        <v>35</v>
      </c>
      <c r="E9" t="s">
        <v>36</v>
      </c>
      <c r="F9" t="s">
        <v>37</v>
      </c>
    </row>
    <row r="10" spans="1:6">
      <c r="A10">
        <v>9</v>
      </c>
      <c r="B10" s="519">
        <v>46131</v>
      </c>
      <c r="C10" t="s">
        <v>38</v>
      </c>
      <c r="D10" t="s">
        <v>39</v>
      </c>
      <c r="E10" t="s">
        <v>40</v>
      </c>
      <c r="F10" t="s">
        <v>41</v>
      </c>
    </row>
    <row r="11" spans="1:6">
      <c r="A11">
        <v>10</v>
      </c>
      <c r="B11" s="519">
        <v>46131</v>
      </c>
      <c r="C11" t="s">
        <v>42</v>
      </c>
      <c r="D11" t="s">
        <v>43</v>
      </c>
      <c r="E11" t="s">
        <v>44</v>
      </c>
      <c r="F11" t="s">
        <v>45</v>
      </c>
    </row>
    <row r="12" spans="1:6">
      <c r="A12">
        <v>11</v>
      </c>
      <c r="B12" s="519">
        <v>46131</v>
      </c>
      <c r="C12" t="s">
        <v>46</v>
      </c>
      <c r="D12" t="s">
        <v>47</v>
      </c>
      <c r="E12" t="s">
        <v>48</v>
      </c>
      <c r="F12" t="s">
        <v>49</v>
      </c>
    </row>
    <row r="13" spans="1:6">
      <c r="A13">
        <v>12</v>
      </c>
      <c r="B13" s="519">
        <v>46131</v>
      </c>
      <c r="C13" t="s">
        <v>50</v>
      </c>
      <c r="D13" t="s">
        <v>51</v>
      </c>
      <c r="E13" t="s">
        <v>52</v>
      </c>
      <c r="F13" t="s">
        <v>53</v>
      </c>
    </row>
    <row r="14" spans="1:6">
      <c r="A14">
        <v>13</v>
      </c>
      <c r="B14" s="519">
        <v>46131</v>
      </c>
      <c r="C14" t="s">
        <v>54</v>
      </c>
      <c r="D14" t="s">
        <v>55</v>
      </c>
      <c r="E14" t="s">
        <v>56</v>
      </c>
      <c r="F14" t="s">
        <v>57</v>
      </c>
    </row>
    <row r="15" spans="1:6">
      <c r="A15">
        <v>14</v>
      </c>
      <c r="B15" s="519">
        <v>46131</v>
      </c>
      <c r="C15" t="s">
        <v>58</v>
      </c>
      <c r="D15" t="s">
        <v>59</v>
      </c>
      <c r="E15" t="s">
        <v>60</v>
      </c>
      <c r="F15" t="s">
        <v>61</v>
      </c>
    </row>
    <row r="16" spans="1:6">
      <c r="A16">
        <v>16</v>
      </c>
      <c r="B16" s="519">
        <v>46113</v>
      </c>
      <c r="C16" t="s">
        <v>62</v>
      </c>
      <c r="D16" t="s">
        <v>63</v>
      </c>
      <c r="E16" t="s">
        <v>64</v>
      </c>
      <c r="F16" t="s">
        <v>65</v>
      </c>
    </row>
    <row r="17" spans="1:6">
      <c r="A17">
        <v>16</v>
      </c>
      <c r="B17" s="519">
        <v>46120</v>
      </c>
      <c r="C17" t="s">
        <v>66</v>
      </c>
      <c r="D17" t="s">
        <v>67</v>
      </c>
      <c r="E17" t="s">
        <v>68</v>
      </c>
      <c r="F17" t="s">
        <v>69</v>
      </c>
    </row>
    <row r="18" spans="1:6">
      <c r="A18">
        <v>17</v>
      </c>
      <c r="B18" s="519">
        <v>46120</v>
      </c>
      <c r="C18" t="s">
        <v>70</v>
      </c>
      <c r="D18" t="s">
        <v>71</v>
      </c>
      <c r="E18" t="s">
        <v>72</v>
      </c>
      <c r="F18" t="s">
        <v>73</v>
      </c>
    </row>
    <row r="19" spans="1:6">
      <c r="A19">
        <v>18</v>
      </c>
      <c r="B19" s="519">
        <v>46120</v>
      </c>
      <c r="C19" t="s">
        <v>74</v>
      </c>
      <c r="D19" t="s">
        <v>75</v>
      </c>
      <c r="E19" t="s">
        <v>76</v>
      </c>
      <c r="F19" t="s">
        <v>77</v>
      </c>
    </row>
    <row r="20" spans="1:6">
      <c r="A20">
        <v>19</v>
      </c>
      <c r="B20" s="519">
        <v>46120</v>
      </c>
      <c r="C20" t="s">
        <v>78</v>
      </c>
      <c r="D20" t="s">
        <v>79</v>
      </c>
      <c r="E20" t="s">
        <v>80</v>
      </c>
      <c r="F20" t="s">
        <v>81</v>
      </c>
    </row>
    <row r="21" spans="1:6">
      <c r="A21">
        <v>20</v>
      </c>
      <c r="B21" s="519">
        <v>46120</v>
      </c>
      <c r="C21" t="s">
        <v>82</v>
      </c>
      <c r="D21" t="s">
        <v>83</v>
      </c>
      <c r="E21" t="s">
        <v>84</v>
      </c>
      <c r="F21" t="s">
        <v>85</v>
      </c>
    </row>
    <row r="22" spans="1:6">
      <c r="A22">
        <v>21</v>
      </c>
      <c r="B22" s="519">
        <v>46121</v>
      </c>
      <c r="C22" t="s">
        <v>86</v>
      </c>
      <c r="D22" t="s">
        <v>87</v>
      </c>
      <c r="E22" t="s">
        <v>88</v>
      </c>
      <c r="F22" t="s">
        <v>89</v>
      </c>
    </row>
    <row r="23" spans="1:6">
      <c r="A23">
        <v>22</v>
      </c>
      <c r="B23" s="519">
        <v>46121</v>
      </c>
      <c r="C23" t="s">
        <v>90</v>
      </c>
      <c r="D23" t="s">
        <v>91</v>
      </c>
      <c r="E23" t="s">
        <v>92</v>
      </c>
      <c r="F23" t="s">
        <v>93</v>
      </c>
    </row>
    <row r="24" spans="1:6">
      <c r="A24">
        <v>23</v>
      </c>
      <c r="B24" s="519">
        <v>46121</v>
      </c>
      <c r="C24" t="s">
        <v>94</v>
      </c>
      <c r="D24" t="s">
        <v>95</v>
      </c>
      <c r="E24" t="s">
        <v>96</v>
      </c>
      <c r="F24" t="s">
        <v>97</v>
      </c>
    </row>
    <row r="25" spans="1:6">
      <c r="A25">
        <v>24</v>
      </c>
      <c r="B25" s="519">
        <v>46121</v>
      </c>
      <c r="C25" t="s">
        <v>98</v>
      </c>
      <c r="D25" t="s">
        <v>99</v>
      </c>
      <c r="E25" t="s">
        <v>100</v>
      </c>
      <c r="F25" t="s">
        <v>101</v>
      </c>
    </row>
    <row r="26" spans="1:6">
      <c r="A26">
        <v>25</v>
      </c>
      <c r="B26" s="519">
        <v>46121</v>
      </c>
      <c r="C26" t="s">
        <v>102</v>
      </c>
      <c r="D26" t="s">
        <v>103</v>
      </c>
      <c r="E26" t="s">
        <v>104</v>
      </c>
      <c r="F26" t="s">
        <v>105</v>
      </c>
    </row>
    <row r="27" spans="1:6">
      <c r="A27">
        <v>26</v>
      </c>
      <c r="B27" s="519">
        <v>46121</v>
      </c>
      <c r="C27" t="s">
        <v>106</v>
      </c>
      <c r="D27" t="s">
        <v>107</v>
      </c>
      <c r="E27" t="s">
        <v>108</v>
      </c>
      <c r="F27" t="s">
        <v>109</v>
      </c>
    </row>
    <row r="28" spans="1:6">
      <c r="A28">
        <v>27</v>
      </c>
      <c r="B28" s="519">
        <v>46121</v>
      </c>
      <c r="C28" t="s">
        <v>110</v>
      </c>
      <c r="D28" t="s">
        <v>111</v>
      </c>
      <c r="E28" t="s">
        <v>112</v>
      </c>
      <c r="F28" t="s">
        <v>113</v>
      </c>
    </row>
    <row r="29" spans="1:6">
      <c r="A29">
        <v>28</v>
      </c>
      <c r="B29" s="519">
        <v>46121</v>
      </c>
      <c r="C29" t="s">
        <v>114</v>
      </c>
      <c r="D29" t="s">
        <v>115</v>
      </c>
      <c r="E29" t="s">
        <v>116</v>
      </c>
      <c r="F29" t="s">
        <v>117</v>
      </c>
    </row>
    <row r="30" spans="1:6">
      <c r="A30">
        <v>29</v>
      </c>
      <c r="B30" s="519">
        <v>46121</v>
      </c>
      <c r="C30" t="s">
        <v>118</v>
      </c>
      <c r="D30" t="s">
        <v>119</v>
      </c>
      <c r="E30" t="s">
        <v>120</v>
      </c>
      <c r="F30" t="s">
        <v>121</v>
      </c>
    </row>
    <row r="31" spans="1:6">
      <c r="A31">
        <v>30</v>
      </c>
      <c r="B31" s="519">
        <v>46125</v>
      </c>
      <c r="C31" t="s">
        <v>122</v>
      </c>
      <c r="D31" t="s">
        <v>123</v>
      </c>
      <c r="E31" t="s">
        <v>124</v>
      </c>
      <c r="F31" t="s">
        <v>125</v>
      </c>
    </row>
    <row r="32" spans="1:6">
      <c r="A32">
        <v>31</v>
      </c>
      <c r="B32" s="519">
        <v>46126</v>
      </c>
      <c r="C32" t="s">
        <v>126</v>
      </c>
      <c r="D32" t="s">
        <v>127</v>
      </c>
      <c r="E32" t="s">
        <v>128</v>
      </c>
      <c r="F32" t="s">
        <v>129</v>
      </c>
    </row>
    <row r="33" spans="1:6">
      <c r="A33">
        <v>32</v>
      </c>
      <c r="B33" s="519">
        <v>46126</v>
      </c>
      <c r="C33" t="s">
        <v>130</v>
      </c>
      <c r="D33" t="s">
        <v>131</v>
      </c>
      <c r="E33" t="s">
        <v>132</v>
      </c>
      <c r="F33" t="s">
        <v>133</v>
      </c>
    </row>
    <row r="34" spans="1:6">
      <c r="A34">
        <v>33</v>
      </c>
      <c r="B34" s="519">
        <v>46126</v>
      </c>
      <c r="C34" t="s">
        <v>134</v>
      </c>
      <c r="D34" t="s">
        <v>135</v>
      </c>
      <c r="E34" t="s">
        <v>136</v>
      </c>
      <c r="F34" t="s">
        <v>137</v>
      </c>
    </row>
    <row r="35" spans="1:6">
      <c r="A35">
        <v>34</v>
      </c>
      <c r="B35" s="519">
        <v>46126</v>
      </c>
      <c r="C35" t="s">
        <v>138</v>
      </c>
      <c r="D35" t="s">
        <v>139</v>
      </c>
      <c r="E35" t="s">
        <v>140</v>
      </c>
      <c r="F35" t="s">
        <v>141</v>
      </c>
    </row>
    <row r="36" spans="1:6">
      <c r="A36">
        <v>35</v>
      </c>
      <c r="B36" s="519">
        <v>46126</v>
      </c>
      <c r="C36" t="s">
        <v>142</v>
      </c>
      <c r="D36" t="s">
        <v>143</v>
      </c>
      <c r="E36" t="s">
        <v>144</v>
      </c>
      <c r="F36" t="s">
        <v>145</v>
      </c>
    </row>
    <row r="37" spans="1:6">
      <c r="A37">
        <v>37</v>
      </c>
      <c r="B37" s="519">
        <v>46126</v>
      </c>
      <c r="C37" t="s">
        <v>146</v>
      </c>
      <c r="D37" t="s">
        <v>147</v>
      </c>
      <c r="E37" t="s">
        <v>148</v>
      </c>
      <c r="F37" t="s">
        <v>149</v>
      </c>
    </row>
    <row r="38" spans="1:6">
      <c r="A38">
        <v>38</v>
      </c>
      <c r="B38" s="519">
        <v>46126</v>
      </c>
      <c r="C38" t="s">
        <v>150</v>
      </c>
      <c r="D38" t="s">
        <v>151</v>
      </c>
      <c r="E38" t="s">
        <v>152</v>
      </c>
      <c r="F38" t="s">
        <v>153</v>
      </c>
    </row>
    <row r="39" spans="1:6">
      <c r="A39">
        <v>39</v>
      </c>
      <c r="B39" s="519">
        <v>46126</v>
      </c>
      <c r="C39" t="s">
        <v>154</v>
      </c>
      <c r="D39" t="s">
        <v>155</v>
      </c>
      <c r="E39" t="s">
        <v>156</v>
      </c>
      <c r="F39" t="s">
        <v>157</v>
      </c>
    </row>
    <row r="40" spans="1:6">
      <c r="A40">
        <v>40</v>
      </c>
      <c r="B40" s="519">
        <v>46126</v>
      </c>
      <c r="C40" t="s">
        <v>158</v>
      </c>
      <c r="D40" t="s">
        <v>159</v>
      </c>
      <c r="E40" t="s">
        <v>160</v>
      </c>
      <c r="F40" t="s">
        <v>161</v>
      </c>
    </row>
    <row r="41" spans="1:6">
      <c r="A41">
        <v>41</v>
      </c>
      <c r="B41" s="519">
        <v>46126</v>
      </c>
      <c r="C41" t="s">
        <v>162</v>
      </c>
      <c r="D41" t="s">
        <v>163</v>
      </c>
      <c r="E41" t="s">
        <v>164</v>
      </c>
      <c r="F41" t="s">
        <v>165</v>
      </c>
    </row>
    <row r="42" spans="1:6" ht="101.5">
      <c r="A42" s="1051">
        <v>41</v>
      </c>
      <c r="B42" s="1052">
        <v>46126</v>
      </c>
      <c r="C42" s="1051" t="s">
        <v>166</v>
      </c>
      <c r="D42" s="1051" t="s">
        <v>167</v>
      </c>
      <c r="E42" s="1051" t="s">
        <v>168</v>
      </c>
      <c r="F42" s="1051" t="s">
        <v>169</v>
      </c>
    </row>
    <row r="43" spans="1:6">
      <c r="A43">
        <v>42</v>
      </c>
      <c r="B43" s="519">
        <v>46127</v>
      </c>
      <c r="C43" t="s">
        <v>170</v>
      </c>
      <c r="D43" t="s">
        <v>171</v>
      </c>
      <c r="E43" t="s">
        <v>172</v>
      </c>
      <c r="F43" t="s">
        <v>173</v>
      </c>
    </row>
    <row r="44" spans="1:6">
      <c r="A44">
        <v>43</v>
      </c>
      <c r="B44" s="519">
        <v>46127</v>
      </c>
      <c r="C44" t="s">
        <v>174</v>
      </c>
      <c r="D44" t="s">
        <v>175</v>
      </c>
      <c r="E44" t="s">
        <v>176</v>
      </c>
      <c r="F44" t="s">
        <v>177</v>
      </c>
    </row>
    <row r="45" spans="1:6">
      <c r="A45">
        <v>4</v>
      </c>
      <c r="B45" s="519">
        <v>46132</v>
      </c>
      <c r="C45" t="s">
        <v>178</v>
      </c>
      <c r="D45" t="s">
        <v>179</v>
      </c>
      <c r="E45" t="s">
        <v>180</v>
      </c>
      <c r="F45" t="s">
        <v>181</v>
      </c>
    </row>
    <row r="46" spans="1:6">
      <c r="A46">
        <v>5</v>
      </c>
      <c r="B46" s="519">
        <v>46132</v>
      </c>
      <c r="C46" t="s">
        <v>182</v>
      </c>
      <c r="D46" t="s">
        <v>183</v>
      </c>
      <c r="E46" t="s">
        <v>184</v>
      </c>
      <c r="F46" t="s">
        <v>185</v>
      </c>
    </row>
    <row r="47" spans="1:6">
      <c r="A47">
        <v>46</v>
      </c>
      <c r="B47" s="519">
        <v>46136</v>
      </c>
      <c r="C47" t="s">
        <v>186</v>
      </c>
      <c r="D47" t="s">
        <v>187</v>
      </c>
      <c r="E47" t="s">
        <v>188</v>
      </c>
      <c r="F47" t="s">
        <v>189</v>
      </c>
    </row>
    <row r="48" spans="1:6">
      <c r="A48">
        <v>47</v>
      </c>
      <c r="B48" s="519">
        <v>46136</v>
      </c>
      <c r="C48" t="s">
        <v>190</v>
      </c>
      <c r="D48" t="s">
        <v>191</v>
      </c>
      <c r="E48" t="s">
        <v>192</v>
      </c>
      <c r="F48" t="s">
        <v>193</v>
      </c>
    </row>
    <row r="49" spans="1:6">
      <c r="A49">
        <v>48</v>
      </c>
      <c r="B49" s="519">
        <v>46136</v>
      </c>
      <c r="C49" t="s">
        <v>194</v>
      </c>
      <c r="D49" t="s">
        <v>195</v>
      </c>
      <c r="E49" t="s">
        <v>196</v>
      </c>
      <c r="F49" t="s">
        <v>197</v>
      </c>
    </row>
    <row r="50" spans="1:6">
      <c r="A50">
        <v>49</v>
      </c>
      <c r="B50" s="519">
        <v>46136</v>
      </c>
      <c r="C50" t="s">
        <v>198</v>
      </c>
      <c r="D50" t="s">
        <v>199</v>
      </c>
      <c r="E50" t="s">
        <v>200</v>
      </c>
      <c r="F50" t="s">
        <v>201</v>
      </c>
    </row>
    <row r="51" spans="1:6">
      <c r="A51">
        <v>50</v>
      </c>
      <c r="B51" s="519">
        <v>46136</v>
      </c>
      <c r="C51" t="s">
        <v>202</v>
      </c>
      <c r="D51" t="s">
        <v>203</v>
      </c>
      <c r="E51" t="s">
        <v>204</v>
      </c>
      <c r="F51" t="s">
        <v>205</v>
      </c>
    </row>
    <row r="52" spans="1:6">
      <c r="A52">
        <v>51</v>
      </c>
      <c r="B52" s="519">
        <v>46136</v>
      </c>
      <c r="C52" t="s">
        <v>206</v>
      </c>
      <c r="D52" t="s">
        <v>207</v>
      </c>
      <c r="E52" t="s">
        <v>208</v>
      </c>
      <c r="F52" t="s">
        <v>209</v>
      </c>
    </row>
    <row r="53" spans="1:6">
      <c r="A53">
        <v>52</v>
      </c>
      <c r="B53" s="519">
        <v>46136</v>
      </c>
      <c r="C53" t="s">
        <v>210</v>
      </c>
      <c r="D53" t="s">
        <v>211</v>
      </c>
      <c r="E53" t="s">
        <v>212</v>
      </c>
      <c r="F53" t="s">
        <v>213</v>
      </c>
    </row>
    <row r="54" spans="1:6">
      <c r="A54">
        <v>15</v>
      </c>
      <c r="B54" s="519">
        <v>46136</v>
      </c>
      <c r="C54" t="s">
        <v>214</v>
      </c>
      <c r="D54" t="s">
        <v>215</v>
      </c>
      <c r="E54" t="s">
        <v>216</v>
      </c>
      <c r="F54" t="s">
        <v>217</v>
      </c>
    </row>
    <row r="55" spans="1:6">
      <c r="A55">
        <v>54</v>
      </c>
      <c r="B55" s="519">
        <v>46140</v>
      </c>
      <c r="C55" t="s">
        <v>6745</v>
      </c>
      <c r="D55" t="s">
        <v>6746</v>
      </c>
      <c r="E55" t="s">
        <v>6747</v>
      </c>
      <c r="F55" t="s">
        <v>6748</v>
      </c>
    </row>
    <row r="56" spans="1:6">
      <c r="A56">
        <v>55</v>
      </c>
      <c r="B56" s="519">
        <v>46140</v>
      </c>
      <c r="C56" t="s">
        <v>6749</v>
      </c>
      <c r="D56" t="s">
        <v>6750</v>
      </c>
      <c r="E56" t="s">
        <v>6751</v>
      </c>
      <c r="F56" t="s">
        <v>6752</v>
      </c>
    </row>
    <row r="57" spans="1:6">
      <c r="A57">
        <v>56</v>
      </c>
      <c r="B57" s="519">
        <v>46140</v>
      </c>
      <c r="C57" t="s">
        <v>6754</v>
      </c>
      <c r="D57" t="s">
        <v>6755</v>
      </c>
      <c r="E57" t="s">
        <v>6756</v>
      </c>
      <c r="F57" t="s">
        <v>6757</v>
      </c>
    </row>
    <row r="58" spans="1:6">
      <c r="A58">
        <v>57</v>
      </c>
      <c r="B58" s="519">
        <v>46140</v>
      </c>
      <c r="C58" t="s">
        <v>6763</v>
      </c>
      <c r="D58" t="s">
        <v>6764</v>
      </c>
      <c r="E58" t="s">
        <v>6765</v>
      </c>
      <c r="F58" t="s">
        <v>6766</v>
      </c>
    </row>
    <row r="59" spans="1:6">
      <c r="A59">
        <v>58</v>
      </c>
      <c r="B59" s="519">
        <v>46140</v>
      </c>
      <c r="C59" t="s">
        <v>6769</v>
      </c>
      <c r="D59" t="s">
        <v>6770</v>
      </c>
      <c r="E59" t="s">
        <v>6771</v>
      </c>
      <c r="F59" t="s">
        <v>6772</v>
      </c>
    </row>
    <row r="60" spans="1:6">
      <c r="A60">
        <v>59</v>
      </c>
      <c r="B60" s="519">
        <v>46140</v>
      </c>
      <c r="C60" t="s">
        <v>6773</v>
      </c>
      <c r="D60" t="s">
        <v>6774</v>
      </c>
      <c r="E60" t="s">
        <v>6775</v>
      </c>
      <c r="F60" t="s">
        <v>6776</v>
      </c>
    </row>
    <row r="61" spans="1:6">
      <c r="A61">
        <v>60</v>
      </c>
      <c r="B61" s="519">
        <v>46140</v>
      </c>
      <c r="C61" t="s">
        <v>6777</v>
      </c>
      <c r="D61" t="s">
        <v>6778</v>
      </c>
      <c r="E61" t="s">
        <v>6779</v>
      </c>
      <c r="F61" t="s">
        <v>6780</v>
      </c>
    </row>
    <row r="62" spans="1:6">
      <c r="A62">
        <v>61</v>
      </c>
      <c r="B62" s="519">
        <v>46140</v>
      </c>
      <c r="C62" t="s">
        <v>6810</v>
      </c>
      <c r="D62" t="s">
        <v>6811</v>
      </c>
      <c r="E62" t="s">
        <v>6812</v>
      </c>
      <c r="F62" t="s">
        <v>6813</v>
      </c>
    </row>
    <row r="63" spans="1:6">
      <c r="A63">
        <v>62</v>
      </c>
      <c r="B63" s="519">
        <v>46140</v>
      </c>
      <c r="C63" t="s">
        <v>6838</v>
      </c>
      <c r="D63" t="s">
        <v>6839</v>
      </c>
      <c r="E63" t="s">
        <v>6840</v>
      </c>
      <c r="F63" t="s">
        <v>6841</v>
      </c>
    </row>
    <row r="64" spans="1:6">
      <c r="A64">
        <v>63</v>
      </c>
      <c r="B64" s="519">
        <v>46140</v>
      </c>
      <c r="C64" t="s">
        <v>6842</v>
      </c>
      <c r="D64" t="s">
        <v>6843</v>
      </c>
      <c r="E64" t="s">
        <v>6844</v>
      </c>
      <c r="F64" t="s">
        <v>6845</v>
      </c>
    </row>
    <row r="65" spans="1:6">
      <c r="A65">
        <v>64</v>
      </c>
      <c r="B65" s="519">
        <v>46140</v>
      </c>
      <c r="C65" t="s">
        <v>6851</v>
      </c>
      <c r="D65" t="s">
        <v>6852</v>
      </c>
      <c r="E65" t="s">
        <v>6853</v>
      </c>
      <c r="F65" t="s">
        <v>6854</v>
      </c>
    </row>
    <row r="66" spans="1:6">
      <c r="A66">
        <v>65</v>
      </c>
      <c r="B66" s="519">
        <v>46140</v>
      </c>
      <c r="C66" t="s">
        <v>6856</v>
      </c>
      <c r="D66" t="s">
        <v>6857</v>
      </c>
      <c r="E66" t="s">
        <v>6858</v>
      </c>
      <c r="F66" t="s">
        <v>6859</v>
      </c>
    </row>
    <row r="67" spans="1:6">
      <c r="A67">
        <v>66</v>
      </c>
      <c r="B67" s="519">
        <v>46140</v>
      </c>
      <c r="C67" t="s">
        <v>6862</v>
      </c>
      <c r="D67" t="s">
        <v>6863</v>
      </c>
      <c r="E67" t="s">
        <v>6864</v>
      </c>
      <c r="F67" t="s">
        <v>6865</v>
      </c>
    </row>
    <row r="68" spans="1:6">
      <c r="A68">
        <v>67</v>
      </c>
      <c r="B68" s="519">
        <v>46140</v>
      </c>
      <c r="C68" t="s">
        <v>6868</v>
      </c>
      <c r="D68" t="s">
        <v>6869</v>
      </c>
      <c r="E68" t="s">
        <v>6870</v>
      </c>
      <c r="F68" t="s">
        <v>6871</v>
      </c>
    </row>
    <row r="69" spans="1:6">
      <c r="A69">
        <v>29</v>
      </c>
      <c r="B69" s="519">
        <v>46140</v>
      </c>
      <c r="C69" t="s">
        <v>6872</v>
      </c>
      <c r="D69" t="s">
        <v>6873</v>
      </c>
      <c r="E69" t="s">
        <v>6874</v>
      </c>
      <c r="F69" t="s">
        <v>6875</v>
      </c>
    </row>
    <row r="70" spans="1:6">
      <c r="A70">
        <v>30</v>
      </c>
      <c r="B70" s="519">
        <v>46140</v>
      </c>
      <c r="C70" t="s">
        <v>6876</v>
      </c>
      <c r="D70" t="s">
        <v>6877</v>
      </c>
      <c r="E70" t="s">
        <v>6878</v>
      </c>
      <c r="F70" t="s">
        <v>6879</v>
      </c>
    </row>
    <row r="71" spans="1:6">
      <c r="A71">
        <v>31</v>
      </c>
      <c r="B71" s="519">
        <v>46140</v>
      </c>
      <c r="C71" t="s">
        <v>7287</v>
      </c>
      <c r="D71" t="s">
        <v>7288</v>
      </c>
      <c r="E71" t="s">
        <v>7289</v>
      </c>
      <c r="F71" t="s">
        <v>7290</v>
      </c>
    </row>
    <row r="72" spans="1:6">
      <c r="A72">
        <v>32</v>
      </c>
      <c r="B72" s="519">
        <v>46140</v>
      </c>
      <c r="C72" t="s">
        <v>7445</v>
      </c>
      <c r="D72" t="s">
        <v>7446</v>
      </c>
      <c r="E72" t="s">
        <v>7447</v>
      </c>
      <c r="F72" t="s">
        <v>7448</v>
      </c>
    </row>
    <row r="73" spans="1:6">
      <c r="A73">
        <v>33</v>
      </c>
      <c r="B73" s="519">
        <v>46140</v>
      </c>
      <c r="C73" t="s">
        <v>7449</v>
      </c>
      <c r="D73" t="s">
        <v>7450</v>
      </c>
      <c r="E73" t="s">
        <v>7451</v>
      </c>
      <c r="F73" t="s">
        <v>7452</v>
      </c>
    </row>
    <row r="74" spans="1:6">
      <c r="A74">
        <v>34</v>
      </c>
      <c r="B74" s="519">
        <v>46140</v>
      </c>
      <c r="C74" t="s">
        <v>7453</v>
      </c>
      <c r="D74" t="s">
        <v>7454</v>
      </c>
      <c r="E74" t="s">
        <v>7455</v>
      </c>
      <c r="F74" t="s">
        <v>7456</v>
      </c>
    </row>
    <row r="75" spans="1:6">
      <c r="A75">
        <v>35</v>
      </c>
      <c r="B75" s="519">
        <v>46140</v>
      </c>
      <c r="C75" t="s">
        <v>7457</v>
      </c>
      <c r="D75" t="s">
        <v>7458</v>
      </c>
      <c r="E75" t="s">
        <v>7459</v>
      </c>
      <c r="F75" t="s">
        <v>7460</v>
      </c>
    </row>
    <row r="76" spans="1:6">
      <c r="A76">
        <v>36</v>
      </c>
      <c r="B76" s="519">
        <v>46140</v>
      </c>
      <c r="C76" t="s">
        <v>7461</v>
      </c>
      <c r="D76" t="s">
        <v>7462</v>
      </c>
      <c r="E76" t="s">
        <v>7463</v>
      </c>
      <c r="F76" t="s">
        <v>7464</v>
      </c>
    </row>
    <row r="77" spans="1:6">
      <c r="A77">
        <v>37</v>
      </c>
      <c r="B77" s="519">
        <v>46140</v>
      </c>
      <c r="C77" t="s">
        <v>7467</v>
      </c>
      <c r="D77" t="s">
        <v>7468</v>
      </c>
      <c r="E77" t="s">
        <v>7469</v>
      </c>
      <c r="F77" t="s">
        <v>7470</v>
      </c>
    </row>
    <row r="78" spans="1:6">
      <c r="A78">
        <v>38</v>
      </c>
      <c r="B78" s="519">
        <v>46140</v>
      </c>
      <c r="C78" t="s">
        <v>7479</v>
      </c>
      <c r="D78" t="s">
        <v>7480</v>
      </c>
      <c r="E78" t="s">
        <v>7481</v>
      </c>
      <c r="F78" t="s">
        <v>7482</v>
      </c>
    </row>
    <row r="79" spans="1:6">
      <c r="A79">
        <v>39</v>
      </c>
      <c r="B79" s="519">
        <v>46140</v>
      </c>
      <c r="C79" t="s">
        <v>7483</v>
      </c>
      <c r="D79" t="s">
        <v>7484</v>
      </c>
      <c r="E79" t="s">
        <v>7485</v>
      </c>
      <c r="F79" t="s">
        <v>7486</v>
      </c>
    </row>
    <row r="80" spans="1:6">
      <c r="A80">
        <v>40</v>
      </c>
      <c r="B80" s="519">
        <v>46140</v>
      </c>
      <c r="C80" t="s">
        <v>7487</v>
      </c>
      <c r="D80" t="s">
        <v>7488</v>
      </c>
      <c r="E80" t="s">
        <v>7489</v>
      </c>
      <c r="F80" t="s">
        <v>7490</v>
      </c>
    </row>
    <row r="81" spans="1:6">
      <c r="A81">
        <v>41</v>
      </c>
      <c r="B81" s="519">
        <v>46140</v>
      </c>
      <c r="C81" t="s">
        <v>7491</v>
      </c>
      <c r="D81" t="s">
        <v>7492</v>
      </c>
      <c r="E81" t="s">
        <v>7493</v>
      </c>
      <c r="F81" t="s">
        <v>7494</v>
      </c>
    </row>
    <row r="82" spans="1:6">
      <c r="A82">
        <v>42</v>
      </c>
      <c r="B82" s="519">
        <v>46140</v>
      </c>
      <c r="C82" t="s">
        <v>7495</v>
      </c>
      <c r="D82" t="s">
        <v>7496</v>
      </c>
      <c r="E82" t="s">
        <v>7497</v>
      </c>
      <c r="F82" t="s">
        <v>7498</v>
      </c>
    </row>
    <row r="83" spans="1:6">
      <c r="A83">
        <v>43</v>
      </c>
      <c r="B83" s="519">
        <v>46140</v>
      </c>
      <c r="C83" t="s">
        <v>7499</v>
      </c>
      <c r="D83" t="s">
        <v>7500</v>
      </c>
      <c r="E83" t="s">
        <v>7501</v>
      </c>
      <c r="F83" t="s">
        <v>7502</v>
      </c>
    </row>
    <row r="84" spans="1:6">
      <c r="A84">
        <v>44</v>
      </c>
      <c r="B84" s="519">
        <v>46140</v>
      </c>
      <c r="C84" t="s">
        <v>7545</v>
      </c>
      <c r="D84" t="s">
        <v>7546</v>
      </c>
      <c r="E84" t="s">
        <v>7547</v>
      </c>
      <c r="F84" t="s">
        <v>7548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101"/>
  <sheetViews>
    <sheetView showGridLines="0" topLeftCell="A10" zoomScaleNormal="100" workbookViewId="0">
      <selection activeCell="C36" sqref="C36"/>
    </sheetView>
  </sheetViews>
  <sheetFormatPr defaultColWidth="8.54296875" defaultRowHeight="14.5"/>
  <cols>
    <col min="1" max="1" width="3.26953125" customWidth="1"/>
    <col min="2" max="2" width="1.81640625" customWidth="1"/>
    <col min="3" max="3" width="105.453125" bestFit="1" customWidth="1"/>
    <col min="4" max="6" width="14.54296875" customWidth="1"/>
  </cols>
  <sheetData>
    <row r="1" spans="1:3" ht="8.15" customHeight="1">
      <c r="A1" s="120"/>
      <c r="B1" s="120"/>
      <c r="C1" s="120"/>
    </row>
    <row r="2" spans="1:3" ht="30" customHeight="1">
      <c r="A2" s="120"/>
      <c r="B2" s="120"/>
      <c r="C2" s="121" t="s">
        <v>218</v>
      </c>
    </row>
    <row r="3" spans="1:3" ht="20.149999999999999" customHeight="1">
      <c r="A3" s="120"/>
      <c r="B3" s="120"/>
      <c r="C3" s="122" t="s">
        <v>219</v>
      </c>
    </row>
    <row r="4" spans="1:3" ht="16" customHeight="1">
      <c r="A4" s="120"/>
      <c r="B4" s="120"/>
      <c r="C4" s="123" t="s">
        <v>220</v>
      </c>
    </row>
    <row r="5" spans="1:3" ht="8.15" customHeight="1">
      <c r="A5" s="120"/>
      <c r="B5" s="120"/>
      <c r="C5" s="120"/>
    </row>
    <row r="6" spans="1:3" ht="15" customHeight="1"/>
    <row r="7" spans="1:3" ht="15" customHeight="1">
      <c r="A7" s="124"/>
      <c r="B7" s="124"/>
      <c r="C7" s="125" t="s">
        <v>221</v>
      </c>
    </row>
    <row r="8" spans="1:3" ht="15" customHeight="1"/>
    <row r="9" spans="1:3" ht="15" customHeight="1">
      <c r="C9" s="126" t="s">
        <v>222</v>
      </c>
    </row>
    <row r="10" spans="1:3" ht="15" customHeight="1">
      <c r="C10" s="126" t="s">
        <v>223</v>
      </c>
    </row>
    <row r="11" spans="1:3" ht="15" customHeight="1"/>
    <row r="12" spans="1:3" ht="15" customHeight="1">
      <c r="A12" s="124"/>
      <c r="B12" s="124"/>
      <c r="C12" s="125" t="s">
        <v>224</v>
      </c>
    </row>
    <row r="13" spans="1:3" ht="15" customHeight="1"/>
    <row r="14" spans="1:3" ht="15" customHeight="1">
      <c r="A14" s="127"/>
      <c r="B14" s="127"/>
      <c r="C14" s="332" t="s">
        <v>225</v>
      </c>
    </row>
    <row r="15" spans="1:3" ht="15" customHeight="1">
      <c r="C15" s="128" t="s">
        <v>226</v>
      </c>
    </row>
    <row r="16" spans="1:3" ht="15" customHeight="1">
      <c r="C16" s="129" t="s">
        <v>227</v>
      </c>
    </row>
    <row r="17" spans="1:3" ht="15" customHeight="1"/>
    <row r="18" spans="1:3" ht="15" customHeight="1">
      <c r="A18" s="127"/>
      <c r="B18" s="127"/>
      <c r="C18" s="332" t="s">
        <v>228</v>
      </c>
    </row>
    <row r="19" spans="1:3" ht="15" customHeight="1">
      <c r="C19" s="128" t="s">
        <v>229</v>
      </c>
    </row>
    <row r="20" spans="1:3" ht="15" customHeight="1">
      <c r="C20" s="129" t="s">
        <v>230</v>
      </c>
    </row>
    <row r="21" spans="1:3" ht="15" customHeight="1"/>
    <row r="22" spans="1:3" ht="15" customHeight="1">
      <c r="A22" s="127"/>
      <c r="B22" s="127"/>
      <c r="C22" s="332" t="s">
        <v>231</v>
      </c>
    </row>
    <row r="23" spans="1:3" ht="15" customHeight="1">
      <c r="C23" s="128" t="s">
        <v>232</v>
      </c>
    </row>
    <row r="24" spans="1:3" ht="15" customHeight="1"/>
    <row r="25" spans="1:3" ht="15" customHeight="1">
      <c r="A25" s="127"/>
      <c r="B25" s="127"/>
      <c r="C25" s="332" t="s">
        <v>233</v>
      </c>
    </row>
    <row r="26" spans="1:3" ht="15" customHeight="1">
      <c r="C26" s="128" t="s">
        <v>234</v>
      </c>
    </row>
    <row r="27" spans="1:3" ht="15" customHeight="1"/>
    <row r="28" spans="1:3" ht="15" customHeight="1">
      <c r="A28" s="127"/>
      <c r="B28" s="127"/>
      <c r="C28" s="332" t="s">
        <v>235</v>
      </c>
    </row>
    <row r="29" spans="1:3" ht="15" customHeight="1">
      <c r="C29" s="128" t="s">
        <v>236</v>
      </c>
    </row>
    <row r="30" spans="1:3" ht="15" customHeight="1"/>
    <row r="31" spans="1:3" ht="15" customHeight="1">
      <c r="A31" s="127"/>
      <c r="B31" s="127"/>
      <c r="C31" s="332" t="s">
        <v>237</v>
      </c>
    </row>
    <row r="32" spans="1:3" ht="15" customHeight="1">
      <c r="C32" s="128" t="s">
        <v>238</v>
      </c>
    </row>
    <row r="33" spans="1:3" ht="15" customHeight="1">
      <c r="C33" s="129" t="s">
        <v>239</v>
      </c>
    </row>
    <row r="34" spans="1:3" ht="15" customHeight="1">
      <c r="C34" s="129" t="s">
        <v>240</v>
      </c>
    </row>
    <row r="35" spans="1:3" ht="15" customHeight="1">
      <c r="C35" s="129" t="s">
        <v>241</v>
      </c>
    </row>
    <row r="36" spans="1:3" ht="15" customHeight="1">
      <c r="C36" s="129" t="s">
        <v>242</v>
      </c>
    </row>
    <row r="37" spans="1:3" ht="15" customHeight="1"/>
    <row r="38" spans="1:3" ht="15" customHeight="1"/>
    <row r="39" spans="1:3" ht="15" customHeight="1">
      <c r="A39" s="124"/>
      <c r="B39" s="124"/>
      <c r="C39" s="125" t="s">
        <v>243</v>
      </c>
    </row>
    <row r="40" spans="1:3" ht="15" customHeight="1"/>
    <row r="41" spans="1:3" ht="15" customHeight="1">
      <c r="C41" s="130" t="s">
        <v>244</v>
      </c>
    </row>
    <row r="42" spans="1:3" ht="15" customHeight="1">
      <c r="C42" s="128" t="s">
        <v>245</v>
      </c>
    </row>
    <row r="43" spans="1:3" ht="15" customHeight="1">
      <c r="C43" s="128" t="s">
        <v>246</v>
      </c>
    </row>
    <row r="44" spans="1:3" ht="15" customHeight="1">
      <c r="C44" s="333" t="s">
        <v>247</v>
      </c>
    </row>
    <row r="45" spans="1:3" ht="15" customHeight="1">
      <c r="C45" s="128" t="s">
        <v>248</v>
      </c>
    </row>
    <row r="46" spans="1:3" ht="15" customHeight="1"/>
    <row r="47" spans="1:3" ht="15" customHeight="1"/>
    <row r="48" spans="1:3" ht="15" customHeight="1">
      <c r="A48" s="124"/>
      <c r="B48" s="124"/>
      <c r="C48" s="125" t="s">
        <v>249</v>
      </c>
    </row>
    <row r="49" spans="1:3" ht="15" customHeight="1"/>
    <row r="50" spans="1:3" ht="15" customHeight="1">
      <c r="C50" s="130" t="s">
        <v>250</v>
      </c>
    </row>
    <row r="51" spans="1:3" ht="15" customHeight="1">
      <c r="C51" s="128" t="s">
        <v>251</v>
      </c>
    </row>
    <row r="52" spans="1:3" ht="15" customHeight="1">
      <c r="C52" s="128" t="s">
        <v>252</v>
      </c>
    </row>
    <row r="53" spans="1:3" ht="15" customHeight="1">
      <c r="C53" s="128" t="s">
        <v>253</v>
      </c>
    </row>
    <row r="54" spans="1:3" ht="15" customHeight="1">
      <c r="C54" s="128" t="s">
        <v>254</v>
      </c>
    </row>
    <row r="55" spans="1:3" ht="15" customHeight="1"/>
    <row r="56" spans="1:3" ht="15" customHeight="1"/>
    <row r="57" spans="1:3" ht="15" customHeight="1">
      <c r="A57" s="124"/>
      <c r="B57" s="124"/>
      <c r="C57" s="125" t="s">
        <v>255</v>
      </c>
    </row>
    <row r="58" spans="1:3" ht="15" customHeight="1"/>
    <row r="59" spans="1:3" ht="15" customHeight="1">
      <c r="C59" s="3" t="s">
        <v>256</v>
      </c>
    </row>
    <row r="60" spans="1:3" ht="15" customHeight="1"/>
    <row r="61" spans="1:3" ht="15" customHeight="1">
      <c r="C61" s="4" t="s">
        <v>257</v>
      </c>
    </row>
    <row r="62" spans="1:3" ht="15" customHeight="1"/>
    <row r="63" spans="1:3" ht="15" customHeight="1">
      <c r="A63" s="127"/>
      <c r="B63" s="127"/>
      <c r="C63" s="334" t="s">
        <v>258</v>
      </c>
    </row>
    <row r="64" spans="1:3" ht="15" customHeight="1"/>
    <row r="65" spans="1:3" ht="15" customHeight="1">
      <c r="C65" s="129" t="s">
        <v>259</v>
      </c>
    </row>
    <row r="66" spans="1:3" ht="15" customHeight="1"/>
    <row r="67" spans="1:3" ht="15" customHeight="1"/>
    <row r="68" spans="1:3" ht="15" customHeight="1">
      <c r="A68" s="124"/>
      <c r="B68" s="124"/>
      <c r="C68" s="125" t="s">
        <v>260</v>
      </c>
    </row>
    <row r="69" spans="1:3" ht="15" customHeight="1"/>
    <row r="70" spans="1:3" ht="15" customHeight="1">
      <c r="A70" s="127"/>
      <c r="B70" s="127"/>
      <c r="C70" s="334" t="s">
        <v>261</v>
      </c>
    </row>
    <row r="71" spans="1:3" ht="15" customHeight="1">
      <c r="C71" s="128" t="s">
        <v>262</v>
      </c>
    </row>
    <row r="72" spans="1:3" ht="15" customHeight="1">
      <c r="C72" s="128" t="s">
        <v>263</v>
      </c>
    </row>
    <row r="73" spans="1:3" ht="15" customHeight="1">
      <c r="C73" s="128" t="s">
        <v>264</v>
      </c>
    </row>
    <row r="74" spans="1:3" ht="15" customHeight="1">
      <c r="C74" s="128" t="s">
        <v>265</v>
      </c>
    </row>
    <row r="75" spans="1:3" ht="15" customHeight="1">
      <c r="C75" s="128" t="s">
        <v>266</v>
      </c>
    </row>
    <row r="76" spans="1:3" ht="15" customHeight="1"/>
    <row r="77" spans="1:3" ht="15" customHeight="1"/>
    <row r="78" spans="1:3" ht="15" customHeight="1">
      <c r="A78" s="124"/>
      <c r="B78" s="124"/>
      <c r="C78" s="125" t="s">
        <v>267</v>
      </c>
    </row>
    <row r="79" spans="1:3" ht="15" customHeight="1"/>
    <row r="80" spans="1:3" ht="15" customHeight="1">
      <c r="C80" s="130" t="s">
        <v>268</v>
      </c>
    </row>
    <row r="81" spans="1:3" ht="15" customHeight="1">
      <c r="C81" s="128" t="s">
        <v>269</v>
      </c>
    </row>
    <row r="82" spans="1:3" ht="15" customHeight="1">
      <c r="C82" s="128" t="s">
        <v>270</v>
      </c>
    </row>
    <row r="83" spans="1:3" ht="15" customHeight="1">
      <c r="C83" s="128" t="s">
        <v>271</v>
      </c>
    </row>
    <row r="84" spans="1:3" ht="15" customHeight="1"/>
    <row r="85" spans="1:3" ht="15" customHeight="1"/>
    <row r="86" spans="1:3" ht="15" customHeight="1">
      <c r="A86" s="120"/>
      <c r="B86" s="120"/>
      <c r="C86" s="131" t="s">
        <v>272</v>
      </c>
    </row>
    <row r="87" spans="1:3" ht="15" customHeight="1"/>
    <row r="88" spans="1:3" ht="15" customHeight="1">
      <c r="C88" s="3" t="s">
        <v>273</v>
      </c>
    </row>
    <row r="89" spans="1:3" ht="15" customHeight="1"/>
    <row r="90" spans="1:3" ht="15" customHeight="1" thickBot="1">
      <c r="A90" s="132"/>
      <c r="B90" s="132"/>
      <c r="C90" s="132"/>
    </row>
    <row r="91" spans="1:3" ht="15" customHeight="1"/>
    <row r="92" spans="1:3" ht="15" customHeight="1"/>
    <row r="93" spans="1:3" ht="15" customHeight="1"/>
    <row r="94" spans="1:3" ht="15" customHeight="1"/>
    <row r="95" spans="1:3" ht="15" customHeight="1"/>
    <row r="96" spans="1:3" ht="15" customHeight="1"/>
    <row r="97" ht="15" customHeight="1"/>
    <row r="98" ht="15" customHeight="1"/>
    <row r="99" ht="15" customHeight="1"/>
    <row r="100" ht="15" customHeight="1"/>
    <row r="101" ht="15" customHeight="1"/>
  </sheetData>
  <pageMargins left="0.75" right="0.75" top="1" bottom="1" header="0.511811023622047" footer="0.511811023622047"/>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ADA44-2C61-4879-B07A-F2D3FEA111ED}">
  <sheetPr>
    <tabColor theme="6" tint="-0.499984740745262"/>
  </sheetPr>
  <dimension ref="A1:I44"/>
  <sheetViews>
    <sheetView showGridLines="0" zoomScale="90" zoomScaleNormal="90" workbookViewId="0">
      <pane ySplit="8" topLeftCell="A14" activePane="bottomLeft" state="frozen"/>
      <selection pane="bottomLeft"/>
    </sheetView>
  </sheetViews>
  <sheetFormatPr defaultColWidth="8.7265625" defaultRowHeight="14.5"/>
  <cols>
    <col min="1" max="1" width="36.453125" style="119" customWidth="1"/>
    <col min="2" max="2" width="17.26953125" style="119" customWidth="1"/>
    <col min="3" max="3" width="20" style="119" customWidth="1"/>
    <col min="4" max="6" width="12.7265625" style="119" customWidth="1"/>
    <col min="7" max="7" width="15.453125" style="119" customWidth="1"/>
    <col min="8" max="8" width="12.7265625" style="119" customWidth="1"/>
    <col min="9" max="9" width="14.54296875" style="119" customWidth="1"/>
    <col min="10" max="16384" width="8.7265625" style="119"/>
  </cols>
  <sheetData>
    <row r="1" spans="1:9" ht="15.5">
      <c r="A1" s="1054" t="s">
        <v>274</v>
      </c>
    </row>
    <row r="2" spans="1:9">
      <c r="A2" s="1025" t="s">
        <v>275</v>
      </c>
    </row>
    <row r="4" spans="1:9" ht="15" thickBot="1">
      <c r="A4" s="1055" t="s">
        <v>276</v>
      </c>
      <c r="B4" s="1026"/>
      <c r="C4" s="1026"/>
      <c r="D4" s="1026"/>
      <c r="E4" s="1026"/>
      <c r="F4" s="1026"/>
      <c r="G4" s="1026"/>
      <c r="H4" s="1026"/>
      <c r="I4" s="1027"/>
    </row>
    <row r="5" spans="1:9">
      <c r="A5" s="1056" t="s">
        <v>277</v>
      </c>
      <c r="B5" s="1057" t="s">
        <v>278</v>
      </c>
      <c r="C5" s="1058" t="s">
        <v>279</v>
      </c>
      <c r="D5" s="1058" t="s">
        <v>280</v>
      </c>
      <c r="E5" s="1058" t="s">
        <v>281</v>
      </c>
      <c r="F5" s="1058" t="s">
        <v>282</v>
      </c>
      <c r="G5" s="1058"/>
      <c r="H5" s="1058"/>
      <c r="I5" s="1028"/>
    </row>
    <row r="6" spans="1:9">
      <c r="A6" s="1029" t="s">
        <v>283</v>
      </c>
      <c r="B6" s="1059" t="s">
        <v>284</v>
      </c>
      <c r="C6" s="1060">
        <v>7000</v>
      </c>
      <c r="D6" s="1060">
        <f>I14</f>
        <v>0</v>
      </c>
      <c r="E6" s="1060">
        <f>I15</f>
        <v>0</v>
      </c>
      <c r="F6" s="1030">
        <f>D6+E6</f>
        <v>0</v>
      </c>
      <c r="G6" s="1030"/>
      <c r="H6" s="1030"/>
      <c r="I6" s="1031"/>
    </row>
    <row r="7" spans="1:9">
      <c r="A7" s="1029" t="s">
        <v>285</v>
      </c>
      <c r="B7" s="1059" t="s">
        <v>286</v>
      </c>
      <c r="C7" s="1060">
        <v>10000</v>
      </c>
      <c r="D7" s="1060">
        <f>I20</f>
        <v>0</v>
      </c>
      <c r="E7" s="1060">
        <f>I21</f>
        <v>0</v>
      </c>
      <c r="F7" s="1030">
        <f>D7+E7</f>
        <v>0</v>
      </c>
      <c r="G7" s="1030"/>
      <c r="H7" s="1030"/>
      <c r="I7" s="1031"/>
    </row>
    <row r="8" spans="1:9">
      <c r="A8" s="1029" t="s">
        <v>287</v>
      </c>
      <c r="B8" s="1059" t="s">
        <v>288</v>
      </c>
      <c r="C8" s="1060">
        <v>7000</v>
      </c>
      <c r="D8" s="1060">
        <f>I27</f>
        <v>0</v>
      </c>
      <c r="E8" s="1060">
        <f>I28</f>
        <v>0</v>
      </c>
      <c r="F8" s="1030">
        <f>D8+E8</f>
        <v>0</v>
      </c>
      <c r="G8" s="1030"/>
      <c r="H8" s="1030"/>
      <c r="I8" s="1031"/>
    </row>
    <row r="9" spans="1:9">
      <c r="A9" s="1029" t="s">
        <v>289</v>
      </c>
      <c r="B9" s="1059" t="s">
        <v>290</v>
      </c>
      <c r="C9" s="1060">
        <v>5000</v>
      </c>
      <c r="D9" s="1060">
        <f>I34</f>
        <v>0</v>
      </c>
      <c r="E9" s="1060">
        <f>I35</f>
        <v>0</v>
      </c>
      <c r="F9" s="1030">
        <f>D9+E9</f>
        <v>0</v>
      </c>
      <c r="G9" s="1030"/>
      <c r="H9" s="1030"/>
      <c r="I9" s="1031"/>
    </row>
    <row r="10" spans="1:9" ht="15" thickBot="1">
      <c r="A10" s="1061" t="s">
        <v>291</v>
      </c>
      <c r="B10" s="1032"/>
      <c r="C10" s="1033">
        <f>SUM(C6:C9)</f>
        <v>29000</v>
      </c>
      <c r="D10" s="1033">
        <f>SUM(D6:D9)</f>
        <v>0</v>
      </c>
      <c r="E10" s="1033">
        <f>SUM(E6:E9)</f>
        <v>0</v>
      </c>
      <c r="F10" s="1033">
        <f>SUM(F6:F9)</f>
        <v>0</v>
      </c>
      <c r="G10" s="1033"/>
      <c r="H10" s="1033"/>
      <c r="I10" s="1034"/>
    </row>
    <row r="12" spans="1:9">
      <c r="A12" s="1062" t="s">
        <v>292</v>
      </c>
      <c r="G12" s="1063" t="s">
        <v>293</v>
      </c>
    </row>
    <row r="13" spans="1:9">
      <c r="A13" s="1064" t="s">
        <v>294</v>
      </c>
      <c r="B13" s="1065" t="s">
        <v>295</v>
      </c>
      <c r="C13" s="1065" t="s">
        <v>296</v>
      </c>
      <c r="D13" s="1065" t="s">
        <v>297</v>
      </c>
      <c r="E13" s="1065" t="s">
        <v>298</v>
      </c>
      <c r="F13" s="1065" t="s">
        <v>299</v>
      </c>
      <c r="G13" s="1065" t="s">
        <v>300</v>
      </c>
      <c r="H13" s="1065" t="s">
        <v>301</v>
      </c>
      <c r="I13" s="1066" t="s">
        <v>302</v>
      </c>
    </row>
    <row r="14" spans="1:9">
      <c r="A14" s="1067" t="s">
        <v>303</v>
      </c>
      <c r="B14" s="1068">
        <v>0.6</v>
      </c>
      <c r="C14" s="1044" t="s">
        <v>304</v>
      </c>
      <c r="D14" s="1035"/>
      <c r="E14" s="1035"/>
      <c r="F14" s="1035"/>
      <c r="G14" s="1035" t="str">
        <f>IF(COUNTA(D14:F14)=0,"",AVERAGE(D14:F14))</f>
        <v/>
      </c>
      <c r="H14" s="1036" t="str">
        <f>IF(G14="","—",IF(G14&gt;=0.93,"✓","✗"))</f>
        <v>—</v>
      </c>
      <c r="I14" s="1037">
        <f>IF(H14="✓",B14*$C$6,0)</f>
        <v>0</v>
      </c>
    </row>
    <row r="15" spans="1:9">
      <c r="A15" s="1069" t="s">
        <v>305</v>
      </c>
      <c r="B15" s="1070">
        <v>0.4</v>
      </c>
      <c r="C15" s="1071" t="s">
        <v>306</v>
      </c>
      <c r="D15" s="1038"/>
      <c r="E15" s="1038"/>
      <c r="F15" s="1038"/>
      <c r="G15" s="1038" t="str">
        <f>IF(COUNTA(D15:F15)=0,"",SUM(D15:F15)/COUNTA(D15:F15))</f>
        <v/>
      </c>
      <c r="H15" s="1039" t="str">
        <f>IF(G15="","—",IF(G15&gt;=0.85,"✓","✗"))</f>
        <v>—</v>
      </c>
      <c r="I15" s="1040">
        <f>IF(H15="✓",B15*$C$6,0)</f>
        <v>0</v>
      </c>
    </row>
    <row r="16" spans="1:9">
      <c r="A16" s="1072"/>
      <c r="B16" s="1041">
        <f>SUM(B14:B15)</f>
        <v>1</v>
      </c>
      <c r="C16" s="1042"/>
      <c r="D16" s="1042"/>
      <c r="E16" s="1042"/>
      <c r="F16" s="1042"/>
      <c r="G16" s="1042"/>
      <c r="H16" s="1073" t="s">
        <v>307</v>
      </c>
      <c r="I16" s="1043">
        <f>SUM(I14:I15)</f>
        <v>0</v>
      </c>
    </row>
    <row r="18" spans="1:9">
      <c r="A18" s="1062" t="s">
        <v>308</v>
      </c>
      <c r="G18" s="1063" t="s">
        <v>309</v>
      </c>
    </row>
    <row r="19" spans="1:9">
      <c r="A19" s="1064" t="s">
        <v>294</v>
      </c>
      <c r="B19" s="1065" t="s">
        <v>295</v>
      </c>
      <c r="C19" s="1065" t="s">
        <v>296</v>
      </c>
      <c r="D19" s="1065" t="s">
        <v>297</v>
      </c>
      <c r="E19" s="1065" t="s">
        <v>298</v>
      </c>
      <c r="F19" s="1065" t="s">
        <v>299</v>
      </c>
      <c r="G19" s="1065" t="s">
        <v>300</v>
      </c>
      <c r="H19" s="1065" t="s">
        <v>301</v>
      </c>
      <c r="I19" s="1066" t="s">
        <v>302</v>
      </c>
    </row>
    <row r="20" spans="1:9">
      <c r="A20" s="1067" t="s">
        <v>310</v>
      </c>
      <c r="B20" s="1068">
        <v>0.6</v>
      </c>
      <c r="C20" s="1044" t="s">
        <v>311</v>
      </c>
      <c r="D20" s="1035"/>
      <c r="E20" s="1035"/>
      <c r="F20" s="1035"/>
      <c r="G20" s="1074"/>
      <c r="H20" s="1036" t="str">
        <f>IF(OR(F20="",G20=""),"—",IF(AND(F20&gt;=0.84,G20&gt;=0.77),"✓","✗"))</f>
        <v>—</v>
      </c>
      <c r="I20" s="1037">
        <f>IF(H20="✓",B20*$C$7,0)</f>
        <v>0</v>
      </c>
    </row>
    <row r="21" spans="1:9">
      <c r="A21" s="1075" t="s">
        <v>312</v>
      </c>
      <c r="B21" s="1076">
        <v>0.4</v>
      </c>
      <c r="C21" s="1077" t="s">
        <v>313</v>
      </c>
      <c r="D21" s="1045"/>
      <c r="E21" s="1045"/>
      <c r="F21" s="1045"/>
      <c r="G21" s="1045" t="str">
        <f>IF(COUNTA(D21:F21)=0,"",SUM(D21:F21)/COUNTA(D21:F21))</f>
        <v/>
      </c>
      <c r="H21" s="1046" t="str">
        <f>IF(G21="","—",IF(G21&gt;=0.8,"✓","✗"))</f>
        <v>—</v>
      </c>
      <c r="I21" s="1047">
        <f>IF(H21="✓",B21*$C$7,0)</f>
        <v>0</v>
      </c>
    </row>
    <row r="23" spans="1:9">
      <c r="A23" s="1072"/>
      <c r="B23" s="1041">
        <f>SUM(B20:B21)</f>
        <v>1</v>
      </c>
      <c r="C23" s="1042"/>
      <c r="D23" s="1042"/>
      <c r="E23" s="1042"/>
      <c r="F23" s="1042"/>
      <c r="G23" s="1042"/>
      <c r="H23" s="1073" t="s">
        <v>307</v>
      </c>
      <c r="I23" s="1043">
        <f>SUM(I20:I21)</f>
        <v>0</v>
      </c>
    </row>
    <row r="25" spans="1:9">
      <c r="A25" s="1062" t="s">
        <v>314</v>
      </c>
      <c r="G25" s="1063" t="s">
        <v>293</v>
      </c>
    </row>
    <row r="26" spans="1:9">
      <c r="A26" s="1064" t="s">
        <v>294</v>
      </c>
      <c r="B26" s="1065" t="s">
        <v>295</v>
      </c>
      <c r="C26" s="1065" t="s">
        <v>296</v>
      </c>
      <c r="D26" s="1065" t="s">
        <v>297</v>
      </c>
      <c r="E26" s="1065" t="s">
        <v>298</v>
      </c>
      <c r="F26" s="1065" t="s">
        <v>299</v>
      </c>
      <c r="G26" s="1065" t="s">
        <v>300</v>
      </c>
      <c r="H26" s="1065" t="s">
        <v>301</v>
      </c>
      <c r="I26" s="1066" t="s">
        <v>302</v>
      </c>
    </row>
    <row r="27" spans="1:9">
      <c r="A27" s="1067" t="s">
        <v>315</v>
      </c>
      <c r="B27" s="1068">
        <v>0.6</v>
      </c>
      <c r="C27" s="1044" t="s">
        <v>316</v>
      </c>
      <c r="D27" s="1048"/>
      <c r="E27" s="1048"/>
      <c r="F27" s="1048"/>
      <c r="G27" s="1048" t="str">
        <f>IF(F27="","",F27/258000)</f>
        <v/>
      </c>
      <c r="H27" s="1036" t="str">
        <f>IF(G27="","—",IF(G27&gt;=0.95,"✓","✗"))</f>
        <v>—</v>
      </c>
      <c r="I27" s="1037">
        <f>IF(H27="✓",B27*$C$8,0)</f>
        <v>0</v>
      </c>
    </row>
    <row r="28" spans="1:9">
      <c r="A28" s="1075" t="s">
        <v>317</v>
      </c>
      <c r="B28" s="1076">
        <v>0.4</v>
      </c>
      <c r="C28" s="1078" t="s">
        <v>318</v>
      </c>
      <c r="D28" s="1048"/>
      <c r="E28" s="1048"/>
      <c r="F28" s="1049"/>
      <c r="G28" s="1049" t="str">
        <f>IF(F28="","",F28)</f>
        <v/>
      </c>
      <c r="H28" s="1046" t="str">
        <f>IF(G28="","—",IF(G28&lt;=200000,"✓","✗"))</f>
        <v>—</v>
      </c>
      <c r="I28" s="1047">
        <f>IF(H28="✓",B28*$C$8,0)</f>
        <v>0</v>
      </c>
    </row>
    <row r="30" spans="1:9">
      <c r="A30" s="1072"/>
      <c r="B30" s="1041">
        <f>SUM(B27:B28)</f>
        <v>1</v>
      </c>
      <c r="C30" s="1042"/>
      <c r="D30" s="1042"/>
      <c r="E30" s="1042"/>
      <c r="F30" s="1042"/>
      <c r="G30" s="1042"/>
      <c r="H30" s="1073" t="s">
        <v>307</v>
      </c>
      <c r="I30" s="1043">
        <f>SUM(I27:I28)</f>
        <v>0</v>
      </c>
    </row>
    <row r="32" spans="1:9">
      <c r="A32" s="1062" t="s">
        <v>319</v>
      </c>
      <c r="G32" s="1063" t="s">
        <v>320</v>
      </c>
    </row>
    <row r="33" spans="1:9">
      <c r="A33" s="1064" t="s">
        <v>294</v>
      </c>
      <c r="B33" s="1065" t="s">
        <v>295</v>
      </c>
      <c r="C33" s="1065" t="s">
        <v>296</v>
      </c>
      <c r="D33" s="1065" t="s">
        <v>297</v>
      </c>
      <c r="E33" s="1065" t="s">
        <v>298</v>
      </c>
      <c r="F33" s="1065" t="s">
        <v>299</v>
      </c>
      <c r="G33" s="1065" t="s">
        <v>300</v>
      </c>
      <c r="H33" s="1065" t="s">
        <v>301</v>
      </c>
      <c r="I33" s="1066" t="s">
        <v>302</v>
      </c>
    </row>
    <row r="34" spans="1:9">
      <c r="A34" s="1067" t="s">
        <v>321</v>
      </c>
      <c r="B34" s="1068">
        <v>0.6</v>
      </c>
      <c r="C34" s="1044" t="s">
        <v>322</v>
      </c>
      <c r="D34" s="1035"/>
      <c r="E34" s="1035"/>
      <c r="F34" s="1035"/>
      <c r="G34" s="1035" t="str">
        <f>IF(COUNTA(D34:F34)=0,"",SUM(D34:F34)/COUNTA(D34:F34))</f>
        <v/>
      </c>
      <c r="H34" s="1036" t="str">
        <f>IF(G34="","—",IF(G34&gt;=0.9,"✓","✗"))</f>
        <v>—</v>
      </c>
      <c r="I34" s="1037">
        <f>IF(H34="✓",B34*$C$9,0)</f>
        <v>0</v>
      </c>
    </row>
    <row r="35" spans="1:9">
      <c r="A35" s="1075" t="s">
        <v>323</v>
      </c>
      <c r="B35" s="1076">
        <v>0.4</v>
      </c>
      <c r="C35" s="1078" t="s">
        <v>324</v>
      </c>
      <c r="D35" s="1045"/>
      <c r="E35" s="1045"/>
      <c r="F35" s="1045"/>
      <c r="G35" s="1045" t="str">
        <f>IF(COUNTA(D35:F35)=0,"",AVERAGE(D35:F35))</f>
        <v/>
      </c>
      <c r="H35" s="1046" t="str">
        <f>IF(G35="","—",IF(G35&gt;=0.6,"✓","✗"))</f>
        <v>—</v>
      </c>
      <c r="I35" s="1047">
        <f>IF(H35="✓",B35*$C$9,0)</f>
        <v>0</v>
      </c>
    </row>
    <row r="37" spans="1:9">
      <c r="A37" s="1072"/>
      <c r="B37" s="1041">
        <f>SUM(B34:B35)</f>
        <v>1</v>
      </c>
      <c r="C37" s="1042"/>
      <c r="D37" s="1042"/>
      <c r="E37" s="1042"/>
      <c r="F37" s="1042"/>
      <c r="G37" s="1042"/>
      <c r="H37" s="1073" t="s">
        <v>307</v>
      </c>
      <c r="I37" s="1043">
        <f>SUM(I34:I35)</f>
        <v>0</v>
      </c>
    </row>
    <row r="39" spans="1:9">
      <c r="A39" s="1079" t="s">
        <v>325</v>
      </c>
      <c r="B39" s="1050"/>
      <c r="C39" s="1050"/>
      <c r="D39" s="1050"/>
      <c r="E39" s="1050"/>
      <c r="F39" s="1050"/>
      <c r="G39" s="1050"/>
      <c r="H39" s="1050"/>
      <c r="I39" s="1050"/>
    </row>
    <row r="40" spans="1:9">
      <c r="A40" s="1080" t="s">
        <v>326</v>
      </c>
    </row>
    <row r="41" spans="1:9">
      <c r="A41" s="1080" t="s">
        <v>327</v>
      </c>
    </row>
    <row r="42" spans="1:9">
      <c r="A42" s="1080" t="s">
        <v>328</v>
      </c>
    </row>
    <row r="43" spans="1:9">
      <c r="A43" s="1080" t="s">
        <v>329</v>
      </c>
    </row>
    <row r="44" spans="1:9">
      <c r="A44" s="1080" t="s">
        <v>330</v>
      </c>
    </row>
  </sheetData>
  <conditionalFormatting sqref="H14:H15">
    <cfRule type="containsText" dxfId="80" priority="1" operator="containsText" text="✓">
      <formula>NOT(ISERROR(SEARCH("✓",H14)))</formula>
    </cfRule>
    <cfRule type="containsText" dxfId="79" priority="2" operator="containsText" text="✗">
      <formula>NOT(ISERROR(SEARCH("✗",H14)))</formula>
    </cfRule>
  </conditionalFormatting>
  <conditionalFormatting sqref="H20:H21">
    <cfRule type="containsText" dxfId="78" priority="3" operator="containsText" text="✓">
      <formula>NOT(ISERROR(SEARCH("✓",H20)))</formula>
    </cfRule>
    <cfRule type="containsText" dxfId="77" priority="4" operator="containsText" text="✗">
      <formula>NOT(ISERROR(SEARCH("✗",H20)))</formula>
    </cfRule>
  </conditionalFormatting>
  <conditionalFormatting sqref="H27:H28">
    <cfRule type="containsText" dxfId="76" priority="5" operator="containsText" text="✓">
      <formula>NOT(ISERROR(SEARCH("✓",H27)))</formula>
    </cfRule>
    <cfRule type="containsText" dxfId="75" priority="6" operator="containsText" text="✗">
      <formula>NOT(ISERROR(SEARCH("✗",H27)))</formula>
    </cfRule>
  </conditionalFormatting>
  <conditionalFormatting sqref="H34:H35">
    <cfRule type="containsText" dxfId="74" priority="7" operator="containsText" text="✓">
      <formula>NOT(ISERROR(SEARCH("✓",H34)))</formula>
    </cfRule>
    <cfRule type="containsText" dxfId="73" priority="8" operator="containsText" text="✗">
      <formula>NOT(ISERROR(SEARCH("✗",H34)))</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2060"/>
  </sheetPr>
  <dimension ref="A1:I69"/>
  <sheetViews>
    <sheetView showGridLines="0" zoomScaleNormal="100" workbookViewId="0">
      <pane xSplit="2" ySplit="5" topLeftCell="C49" activePane="bottomRight" state="frozen"/>
      <selection pane="topRight" activeCell="C6" sqref="C6"/>
      <selection pane="bottomLeft" activeCell="C6" sqref="C6"/>
      <selection pane="bottomRight" activeCell="I49" sqref="I49"/>
    </sheetView>
  </sheetViews>
  <sheetFormatPr defaultColWidth="8.54296875" defaultRowHeight="14.5"/>
  <cols>
    <col min="1" max="1" width="1.453125" customWidth="1"/>
    <col min="2" max="2" width="24" customWidth="1"/>
    <col min="3" max="3" width="12" customWidth="1"/>
    <col min="4" max="4" width="16.1796875" bestFit="1" customWidth="1"/>
    <col min="5" max="5" width="12" customWidth="1"/>
    <col min="6" max="6" width="17.1796875" customWidth="1"/>
    <col min="7" max="8" width="10" customWidth="1"/>
  </cols>
  <sheetData>
    <row r="1" spans="1:9" ht="21.75" customHeight="1">
      <c r="B1" s="1201" t="s">
        <v>218</v>
      </c>
      <c r="C1" s="1202"/>
      <c r="D1" s="1202"/>
      <c r="E1" s="1202"/>
      <c r="F1" s="1202"/>
      <c r="G1" s="1202"/>
      <c r="H1" s="1202"/>
      <c r="I1" s="1202"/>
    </row>
    <row r="2" spans="1:9" ht="15" customHeight="1">
      <c r="B2" s="1203" t="s">
        <v>331</v>
      </c>
      <c r="C2" s="1202"/>
      <c r="D2" s="1202"/>
      <c r="E2" s="1202"/>
      <c r="F2" s="1202"/>
      <c r="G2" s="1202"/>
      <c r="H2" s="1202"/>
      <c r="I2" s="1202"/>
    </row>
    <row r="3" spans="1:9" ht="15" customHeight="1">
      <c r="B3" s="3" t="s">
        <v>332</v>
      </c>
      <c r="C3" s="62">
        <v>17</v>
      </c>
      <c r="D3" s="4" t="s">
        <v>333</v>
      </c>
      <c r="F3" s="5">
        <f>IFERROR(VLOOKUP(C3,Targets!A:B,2,FALSE()),"")</f>
        <v>46139</v>
      </c>
    </row>
    <row r="5" spans="1:9" ht="15" customHeight="1">
      <c r="A5" s="63"/>
      <c r="B5" s="63" t="s">
        <v>334</v>
      </c>
      <c r="C5" s="63" t="s">
        <v>335</v>
      </c>
      <c r="D5" s="63" t="s">
        <v>336</v>
      </c>
      <c r="E5" s="63" t="s">
        <v>337</v>
      </c>
      <c r="F5" s="63" t="s">
        <v>338</v>
      </c>
      <c r="G5" s="63" t="s">
        <v>339</v>
      </c>
      <c r="H5" s="63" t="s">
        <v>340</v>
      </c>
    </row>
    <row r="6" spans="1:9" ht="15" thickBot="1">
      <c r="A6" s="36"/>
      <c r="B6" s="35" t="s">
        <v>341</v>
      </c>
      <c r="C6" s="36"/>
      <c r="D6" s="36"/>
      <c r="E6" s="36"/>
      <c r="F6" s="36"/>
      <c r="G6" s="36"/>
      <c r="H6" s="36"/>
    </row>
    <row r="7" spans="1:9" ht="15" customHeight="1">
      <c r="B7" s="64" t="s">
        <v>342</v>
      </c>
      <c r="C7" s="65">
        <f>IFERROR(INDEX(Targets!$A$5:$O$28,$C$3,3),"—")</f>
        <v>0.87</v>
      </c>
      <c r="D7" s="66" cm="1">
        <f t="array" ref="D7">IFERROR(INDEX(Data_2!$D$6:$AC$6,1,$C$3+2),"")</f>
        <v>0.73112128146453093</v>
      </c>
      <c r="E7" s="66">
        <f>IFERROR(D7-C7,"—")</f>
        <v>-0.13887871853546907</v>
      </c>
      <c r="F7" s="66" cm="1">
        <f t="array" ref="F7">IFERROR(INDEX(Data_2!$D$6:$AC$6,1,$C$3+1),"")</f>
        <v>0.73229999999999995</v>
      </c>
      <c r="G7" s="66">
        <f>IFERROR(D7-F7,"—")</f>
        <v>-1.1787185354690255E-3</v>
      </c>
      <c r="H7" s="67" t="str">
        <f>IF(AND(ISNUMBER(D7),ISNUMBER(C7)),IF(D7&gt;=C7,"✓","✗"),"")</f>
        <v>✗</v>
      </c>
    </row>
    <row r="8" spans="1:9" ht="15" customHeight="1">
      <c r="B8" s="64" t="s">
        <v>343</v>
      </c>
      <c r="C8" s="68">
        <f>IFERROR(INDEX(Targets!$A$5:$O$28,$C$3,4),"—")</f>
        <v>766</v>
      </c>
      <c r="D8" s="69" cm="1">
        <f t="array" ref="D8">IFERROR(INDEX(Data_2!$D$7:$AC$7,1,$C$3+2),"")</f>
        <v>639</v>
      </c>
      <c r="E8" s="69">
        <f>IFERROR(D8-C8,"—")</f>
        <v>-127</v>
      </c>
      <c r="F8" s="69" cm="1">
        <f t="array" ref="F8">IFERROR(INDEX(Data_2!$D$7:$AC$7,1,$C$3+1),"")</f>
        <v>640</v>
      </c>
      <c r="G8" s="69">
        <f>IFERROR(D8-F8,"—")</f>
        <v>-1</v>
      </c>
      <c r="H8" s="67" t="str">
        <f>IF(AND(ISNUMBER(D8),ISNUMBER(C8)),IF(D8&gt;=C8,"✓","✗"),"")</f>
        <v>✗</v>
      </c>
    </row>
    <row r="9" spans="1:9" ht="15" customHeight="1">
      <c r="B9" s="64" t="s">
        <v>344</v>
      </c>
      <c r="C9" s="65" t="s">
        <v>345</v>
      </c>
      <c r="D9" s="66" cm="1">
        <f t="array" ref="D9">IFERROR(INDEX(Data_2!$D$13:$AC$13,1,$C$3+2),"")</f>
        <v>0.28489702517162474</v>
      </c>
      <c r="E9" s="66" t="s">
        <v>345</v>
      </c>
      <c r="F9" s="66" cm="1">
        <f t="array" ref="F9">IFERROR(INDEX(Data_2!$D$13:$AC$13,1,$C$3+1),"")</f>
        <v>0.27689999999999998</v>
      </c>
      <c r="G9" s="66">
        <f>IFERROR(D9-F9,"—")</f>
        <v>7.9970251716247609E-3</v>
      </c>
      <c r="H9" s="67"/>
    </row>
    <row r="10" spans="1:9" ht="15" customHeight="1" thickBot="1">
      <c r="A10" s="36"/>
      <c r="B10" s="35" t="s">
        <v>346</v>
      </c>
      <c r="C10" s="36"/>
      <c r="D10" s="36"/>
      <c r="E10" s="36"/>
      <c r="F10" s="36"/>
      <c r="G10" s="36"/>
      <c r="H10" s="36"/>
    </row>
    <row r="11" spans="1:9" ht="15" customHeight="1">
      <c r="B11" s="64" t="s">
        <v>347</v>
      </c>
      <c r="C11" s="68">
        <f>IFERROR(INDEX(Targets!$A$5:$O$28,$C$3,5),"—")</f>
        <v>120</v>
      </c>
      <c r="D11" s="69" cm="1">
        <f t="array" ref="D11">IFERROR(INDEX(Data_2!$D$15:$AC$15,1,$C$3+2),"")</f>
        <v>246</v>
      </c>
      <c r="E11" s="69">
        <f>IFERROR(D11-C11,"—")</f>
        <v>126</v>
      </c>
      <c r="F11" s="69" cm="1">
        <f t="array" ref="F11">IFERROR(INDEX(Data_2!$D$15:$AC$15,1,$C$3+1),"")</f>
        <v>210</v>
      </c>
      <c r="G11" s="69">
        <f>IFERROR(D11-F11,"—")</f>
        <v>36</v>
      </c>
      <c r="H11" s="67" t="str">
        <f>IF(AND(ISNUMBER(D11),ISNUMBER(C11)),IF(D11&gt;=C11,"✓","✗"),"")</f>
        <v>✓</v>
      </c>
    </row>
    <row r="12" spans="1:9" ht="15" customHeight="1">
      <c r="B12" s="64" t="s">
        <v>348</v>
      </c>
      <c r="C12" s="68">
        <f>IFERROR(INDEX(Targets!$A$5:$O$28,$C$3,6),"—")</f>
        <v>23</v>
      </c>
      <c r="D12" s="69" cm="1">
        <f t="array" ref="D12">IFERROR(INDEX(Data_2!$D$16:$AC$16,1,$C$3+2),"")</f>
        <v>26</v>
      </c>
      <c r="E12" s="69">
        <f>IFERROR(D12-C12,"—")</f>
        <v>3</v>
      </c>
      <c r="F12" s="69" cm="1">
        <f t="array" ref="F12">IFERROR(INDEX(Data_2!$D$16:$AC$16,1,$C$3+1),"")</f>
        <v>19</v>
      </c>
      <c r="G12" s="69">
        <f>IFERROR(D12-F12,"—")</f>
        <v>7</v>
      </c>
      <c r="H12" s="67" t="str">
        <f>IF(AND(ISNUMBER(D12),ISNUMBER(C12)),IF(D12&gt;=C12,"✓","✗"),"")</f>
        <v>✓</v>
      </c>
    </row>
    <row r="13" spans="1:9" ht="15" customHeight="1">
      <c r="B13" s="64" t="s">
        <v>349</v>
      </c>
      <c r="C13" s="68">
        <f>IFERROR(INDEX(Targets!$A$5:$O$28,$C$3,7),"—")</f>
        <v>16</v>
      </c>
      <c r="D13" s="69" cm="1">
        <f t="array" ref="D13">IFERROR(INDEX(Data_2!$D$18:$AC$18,1,$C$3+2),"")</f>
        <v>20</v>
      </c>
      <c r="E13" s="69">
        <f>IFERROR(D13-C13,"—")</f>
        <v>4</v>
      </c>
      <c r="F13" s="69" cm="1">
        <f t="array" ref="F13">IFERROR(INDEX(Data_2!$D$18:$AC$18,1,$C$3+1),"")</f>
        <v>13</v>
      </c>
      <c r="G13" s="69">
        <f>IFERROR(D13-F13,"—")</f>
        <v>7</v>
      </c>
      <c r="H13" s="67" t="str">
        <f>IF(AND(ISNUMBER(D13),ISNUMBER(C13)),IF(D13&gt;=C13,"✓","✗"),"")</f>
        <v>✓</v>
      </c>
    </row>
    <row r="14" spans="1:9" ht="15" customHeight="1">
      <c r="B14" s="64" t="s">
        <v>350</v>
      </c>
      <c r="C14" s="68">
        <f>IFERROR(INDEX(Targets!$A$5:$O$28,$C$3,8),"—")</f>
        <v>12</v>
      </c>
      <c r="D14" s="69" cm="1">
        <f t="array" ref="D14">IFERROR(INDEX(Data_2!$D$23:$AC$23,1,$C$3+2),"")</f>
        <v>10</v>
      </c>
      <c r="E14" s="69">
        <f>IFERROR(D14-C14,"—")</f>
        <v>-2</v>
      </c>
      <c r="F14" s="69" cm="1">
        <f t="array" ref="F14">IFERROR(INDEX(Data_2!$D$23:$AC$23,1,$C$3+1),"")</f>
        <v>4</v>
      </c>
      <c r="G14" s="69">
        <f>IFERROR(D14-F14,"—")</f>
        <v>6</v>
      </c>
      <c r="H14" s="67" t="str">
        <f>IF(AND(ISNUMBER(D14),ISNUMBER(C14)),IF(D14&gt;=C14,"✓","✗"),"")</f>
        <v>✗</v>
      </c>
    </row>
    <row r="15" spans="1:9" ht="15" customHeight="1">
      <c r="A15" s="31"/>
      <c r="B15" s="303" t="s">
        <v>351</v>
      </c>
      <c r="C15" s="304">
        <f>IFERROR(INDEX(Targets!$A$5:$O$28,$C$3,9),"—")</f>
        <v>10</v>
      </c>
      <c r="D15" s="305" cm="1">
        <f t="array" ref="D15">IFERROR(INDEX(Data_2!$D$26:$AC$26,1,$C$3+2),"")</f>
        <v>7</v>
      </c>
      <c r="E15" s="305">
        <f>IFERROR(D15-C15,"—")</f>
        <v>-3</v>
      </c>
      <c r="F15" s="305" cm="1">
        <f t="array" ref="F15">IFERROR(INDEX(Data_2!$D$26:$AC$26,1,$C$3+1),"")</f>
        <v>14</v>
      </c>
      <c r="G15" s="305">
        <f>IFERROR(D15-F15,"—")</f>
        <v>-7</v>
      </c>
      <c r="H15" s="306" t="str">
        <f>IF(AND(ISNUMBER(D15),ISNUMBER(C15)),IF(D15&gt;=C15,"✓","✗"),"")</f>
        <v>✗</v>
      </c>
    </row>
    <row r="16" spans="1:9" ht="15" customHeight="1" thickBot="1">
      <c r="A16" s="141"/>
      <c r="B16" s="307" t="s">
        <v>352</v>
      </c>
      <c r="C16" s="141"/>
      <c r="D16" s="141"/>
      <c r="E16" s="141"/>
      <c r="F16" s="141"/>
      <c r="G16" s="141"/>
      <c r="H16" s="141"/>
    </row>
    <row r="17" spans="1:9" ht="15" customHeight="1">
      <c r="A17" s="309"/>
      <c r="B17" s="314" t="s">
        <v>353</v>
      </c>
      <c r="C17" s="408">
        <f>IFERROR(IF(_xlfn.SINGLE(INDEX(Targets!$A$5:$W$28,$C$3,16))=0,"—",_xlfn.SINGLE(INDEX(Targets!$A$5:$W$28,$C$3,16))),"—")</f>
        <v>70</v>
      </c>
      <c r="D17" s="412" cm="1">
        <f t="array" ref="D17">IFERROR(INDEX(Data_2!$D$28:$AC$28,1,$C$3+2),"")</f>
        <v>168</v>
      </c>
      <c r="E17" s="412">
        <f>IF(OR(C17="—",NOT(ISNUMBER(C17))),"—",IFERROR(C17-D17,"—"))</f>
        <v>-98</v>
      </c>
      <c r="F17" s="412" cm="1">
        <f t="array" ref="F17">IF($C$3&gt;1,IFERROR(INDEX(Data_2!$D$28:$AC$28,1,$C$3+1),""),"")</f>
        <v>145</v>
      </c>
      <c r="G17" s="311">
        <f>IFERROR(F17-D17,"—")</f>
        <v>-23</v>
      </c>
      <c r="H17" s="310" t="str">
        <f>IF(AND(ISNUMBER(D17),ISNUMBER(C17)),IF(D17&lt;=C17,"✓","✗"),"")</f>
        <v>✗</v>
      </c>
      <c r="I17" s="31"/>
    </row>
    <row r="18" spans="1:9" ht="15" customHeight="1">
      <c r="A18" s="138"/>
      <c r="B18" s="308" t="s">
        <v>354</v>
      </c>
      <c r="C18" s="409">
        <f>IFERROR(IF(_xlfn.SINGLE(INDEX(Targets!$A$5:$W$28,$C$3,17))=0,"—",_xlfn.SINGLE(INDEX(Targets!$A$5:$W$28,$C$3,17))),"—")</f>
        <v>35</v>
      </c>
      <c r="D18" s="413" cm="1">
        <f t="array" ref="D18">IFERROR(INDEX(Data_2!$D$29:$AC$29,1,$C$3+2),"")</f>
        <v>46</v>
      </c>
      <c r="E18" s="413">
        <f>IF(OR(C18="—",NOT(ISNUMBER(C18))),"—",IFERROR(C18-D18,"—"))</f>
        <v>-11</v>
      </c>
      <c r="F18" s="413" cm="1">
        <f t="array" ref="F18">IF($C$3&gt;1,IFERROR(INDEX(Data_2!$D$29:$AC$29,1,$C$3+1),""),"")</f>
        <v>36</v>
      </c>
      <c r="G18" s="313">
        <f>IFERROR(F18-D18,"—")</f>
        <v>-10</v>
      </c>
      <c r="H18" s="312" t="str">
        <f>IF(AND(ISNUMBER(D18),ISNUMBER(C18)),IF(D18&lt;=C18,"✓","✗"),"")</f>
        <v>✗</v>
      </c>
      <c r="I18" s="31"/>
    </row>
    <row r="19" spans="1:9" ht="15" customHeight="1">
      <c r="A19" s="138"/>
      <c r="B19" s="278" t="s">
        <v>355</v>
      </c>
      <c r="C19" s="410">
        <f>C15</f>
        <v>10</v>
      </c>
      <c r="D19" s="414" cm="1">
        <f t="array" ref="D19">IFERROR(INDEX(Data_2!$D$30:$AC$30,1,$C$3+2),"")</f>
        <v>7</v>
      </c>
      <c r="E19" s="414">
        <f>IF(OR(C19="—",NOT(ISNUMBER(C19))),"—",IFERROR(D19-C19,"—"))</f>
        <v>-3</v>
      </c>
      <c r="F19" s="414" cm="1">
        <f t="array" ref="F19">IF($C$3&gt;1,IFERROR(INDEX(Data_2!$D$30:$AC$30,1,$C$3+1),""),"")</f>
        <v>14</v>
      </c>
      <c r="G19" s="305">
        <f>IFERROR(D19-F19,"—")</f>
        <v>-7</v>
      </c>
      <c r="H19" s="280" t="str">
        <f>IF(AND(ISNUMBER(D19),ISNUMBER(C19)),IF(D19&gt;=C19,"✓","✗"),"")</f>
        <v>✗</v>
      </c>
      <c r="I19" s="31"/>
    </row>
    <row r="20" spans="1:9" ht="15" customHeight="1">
      <c r="A20" s="138"/>
      <c r="B20" s="278" t="s">
        <v>356</v>
      </c>
      <c r="C20" s="410">
        <f>IFERROR(IF(_xlfn.SINGLE(INDEX(Targets!$A$5:$W$28,$C$3,19))=0,"—",_xlfn.SINGLE(INDEX(Targets!$A$5:$W$28,$C$3,19))),"—")</f>
        <v>20</v>
      </c>
      <c r="D20" s="414" cm="1">
        <f t="array" ref="D20">IFERROR(INDEX(Data_2!$D$31:$AC$31,1,$C$3+2),"")</f>
        <v>80</v>
      </c>
      <c r="E20" s="414">
        <f>IF(OR(C20="—",NOT(ISNUMBER(C20))),"—",IFERROR(C20-D20,"—"))</f>
        <v>-60</v>
      </c>
      <c r="F20" s="414" cm="1">
        <f t="array" ref="F20">IF($C$3&gt;1,IFERROR(INDEX(Data_2!$D$31:$AC$31,1,$C$3+1),""),"")</f>
        <v>74</v>
      </c>
      <c r="G20" s="305">
        <f>IFERROR(F20-D20,"—")</f>
        <v>-6</v>
      </c>
      <c r="H20" s="280" t="str">
        <f>IF(AND(ISNUMBER(D20),ISNUMBER(C20)),IF(D20&lt;=C20,"✓","✗"),"")</f>
        <v>✗</v>
      </c>
      <c r="I20" s="31"/>
    </row>
    <row r="21" spans="1:9" ht="15" customHeight="1">
      <c r="A21" s="138"/>
      <c r="B21" s="278" t="s">
        <v>357</v>
      </c>
      <c r="C21" s="292">
        <f>IFERROR(IF(_xlfn.SINGLE(INDEX(Targets!$A$5:$W$28,$C$3,20))=0,"—",_xlfn.SINGLE(INDEX(Targets!$A$5:$W$28,$C$3,20))),"—")</f>
        <v>0.15</v>
      </c>
      <c r="D21" s="293" cm="1">
        <f t="array" ref="D21">IFERROR(INDEX(Data_2!$D$32:$AC$32,1,$C$3+2),"")</f>
        <v>4.1666666666666664E-2</v>
      </c>
      <c r="E21" s="293">
        <f>IF(OR(C21="—",NOT(ISNUMBER(C21))),"—",IFERROR(D21-C21,"—"))</f>
        <v>-0.10833333333333334</v>
      </c>
      <c r="F21" s="293" cm="1">
        <f t="array" ref="F21">IF($C$3&gt;1,IFERROR(INDEX(Data_2!$D$32:$AC$32,1,$C$3+1),""),"")</f>
        <v>9.7000000000000003E-2</v>
      </c>
      <c r="G21" s="416">
        <f>IFERROR(D21-F21,"—")</f>
        <v>-5.5333333333333339E-2</v>
      </c>
      <c r="H21" s="280" t="str">
        <f>IF(AND(ISNUMBER(D21),ISNUMBER(C21)),IF(D21&gt;=C21,"✓","✗"),"")</f>
        <v>✗</v>
      </c>
      <c r="I21" s="31"/>
    </row>
    <row r="22" spans="1:9" ht="15" customHeight="1">
      <c r="A22" s="138"/>
      <c r="B22" s="278" t="s">
        <v>358</v>
      </c>
      <c r="C22" s="292">
        <f>IFERROR(IF(_xlfn.SINGLE(INDEX(Targets!$A$5:$W$28,$C$3,21))=0,"—",_xlfn.SINGLE(INDEX(Targets!$A$5:$W$28,$C$3,21))),"—")</f>
        <v>0.25</v>
      </c>
      <c r="D22" s="293" cm="1">
        <f t="array" ref="D22">IFERROR(INDEX(Data_2!$D$33:$AC$33,1,$C$3+2),"")</f>
        <v>0.47619047619047616</v>
      </c>
      <c r="E22" s="293">
        <f>IF(OR(C22="—",NOT(ISNUMBER(C22))),"—",IFERROR(C22-D22,"—"))</f>
        <v>-0.22619047619047616</v>
      </c>
      <c r="F22" s="293" cm="1">
        <f t="array" ref="F22">IF($C$3&gt;1,IFERROR(INDEX(Data_2!$D$33:$AC$33,1,$C$3+1),""),"")</f>
        <v>0.51</v>
      </c>
      <c r="G22" s="416">
        <f>IFERROR(F22-D22,"—")</f>
        <v>3.3809523809523845E-2</v>
      </c>
      <c r="H22" s="280" t="str">
        <f>IF(AND(ISNUMBER(D22),ISNUMBER(C22)),IF(D22&lt;=C22,"✓","✗"),"")</f>
        <v>✗</v>
      </c>
      <c r="I22" s="31"/>
    </row>
    <row r="23" spans="1:9" ht="15" customHeight="1">
      <c r="A23" s="138"/>
      <c r="B23" s="278" t="s">
        <v>359</v>
      </c>
      <c r="C23" s="410">
        <f>IFERROR(IF(_xlfn.SINGLE(INDEX(Targets!$A$5:$W$28,$C$3,22))=0,"—",_xlfn.SINGLE(INDEX(Targets!$A$5:$W$28,$C$3,22))),"—")</f>
        <v>8</v>
      </c>
      <c r="D23" s="414" cm="1">
        <f t="array" ref="D23">IFERROR(INDEX(Data_2!$D$34:$AC$34,1,$C$3+2),"")</f>
        <v>21</v>
      </c>
      <c r="E23" s="414">
        <f>IF(OR(C23="—",NOT(ISNUMBER(C23))),"—",IFERROR(C23-D23,"—"))</f>
        <v>-13</v>
      </c>
      <c r="F23" s="414" cm="1">
        <f t="array" ref="F23">IF($C$3&gt;1,IFERROR(INDEX(Data_2!$D$34:$AC$34,1,$C$3+1),""),"")</f>
        <v>18</v>
      </c>
      <c r="G23" s="305">
        <f>IFERROR(F23-D23,"—")</f>
        <v>-3</v>
      </c>
      <c r="H23" s="280" t="str">
        <f>IF(AND(ISNUMBER(D23),ISNUMBER(C23)),IF(D23&lt;=C23,"✓","✗"),"")</f>
        <v>✗</v>
      </c>
      <c r="I23" s="31"/>
    </row>
    <row r="24" spans="1:9" ht="15" customHeight="1">
      <c r="A24" s="138"/>
      <c r="B24" s="276" t="s">
        <v>360</v>
      </c>
      <c r="C24" s="411">
        <f>IFERROR(IF(_xlfn.SINGLE(INDEX(Targets!$A$5:$W$28,$C$3,23))=0,"—",_xlfn.SINGLE(INDEX(Targets!$A$5:$W$28,$C$3,23))),"—")</f>
        <v>7</v>
      </c>
      <c r="D24" s="415" cm="1">
        <f t="array" ref="D24">IFERROR(INDEX(Data_2!$D$35:$AC$35,1,$C$3+2),"")</f>
        <v>15.8</v>
      </c>
      <c r="E24" s="415">
        <f>IF(OR(C24="—",NOT(ISNUMBER(C24))),"—",IFERROR(C24-D24,"—"))</f>
        <v>-8.8000000000000007</v>
      </c>
      <c r="F24" s="415" cm="1">
        <f t="array" ref="F24">IF($C$3&gt;1,IFERROR(INDEX(Data_2!$D$35:$AC$35,1,$C$3+1),""),"")</f>
        <v>18.100000000000001</v>
      </c>
      <c r="G24" s="74">
        <f>IFERROR(F24-D24,"—")</f>
        <v>2.3000000000000007</v>
      </c>
      <c r="H24" s="277" t="str">
        <f>IF(AND(ISNUMBER(D24),ISNUMBER(C24)),IF(D24&lt;=C24,"✓","✗"),"")</f>
        <v>✗</v>
      </c>
      <c r="I24" s="31"/>
    </row>
    <row r="25" spans="1:9" ht="15" customHeight="1" thickBot="1">
      <c r="A25" s="36"/>
      <c r="B25" s="35" t="s">
        <v>361</v>
      </c>
      <c r="C25" s="36"/>
      <c r="D25" s="36"/>
      <c r="E25" s="36"/>
      <c r="F25" s="36"/>
      <c r="G25" s="36"/>
      <c r="H25" s="36"/>
    </row>
    <row r="26" spans="1:9" ht="15" customHeight="1">
      <c r="A26" s="141"/>
      <c r="B26" s="335" t="s">
        <v>362</v>
      </c>
      <c r="C26" s="268"/>
      <c r="D26" s="268"/>
      <c r="E26" s="268"/>
      <c r="F26" s="268"/>
      <c r="G26" s="268"/>
      <c r="H26" s="268"/>
    </row>
    <row r="27" spans="1:9" ht="15" customHeight="1">
      <c r="A27" s="269"/>
      <c r="B27" s="271" t="s">
        <v>363</v>
      </c>
      <c r="C27" s="272" t="s">
        <v>345</v>
      </c>
      <c r="D27" s="273" cm="1">
        <f t="array" aca="1" ref="D27" ca="1">IFERROR(INDEX(Data_2!$D$42:$AC$42,1,$C$3+2),"")</f>
        <v>58</v>
      </c>
      <c r="E27" s="274" t="str">
        <f>IF(OR(C27="—",NOT(ISNUMBER(C27))),"—",IFERROR(D27-C27,"—"))</f>
        <v>—</v>
      </c>
      <c r="F27" s="273" cm="1">
        <f t="array" ref="F27">IF($C$3&gt;1,IFERROR(INDEX(Data_2!$D$42:$AC$42,1,$C$3+1),""),"")</f>
        <v>58</v>
      </c>
      <c r="G27" s="274">
        <f ca="1">IFERROR(D27-F27,"—")</f>
        <v>0</v>
      </c>
      <c r="H27" s="275"/>
      <c r="I27" s="270"/>
    </row>
    <row r="28" spans="1:9" ht="15" customHeight="1">
      <c r="A28" s="138"/>
      <c r="B28" s="278" t="s">
        <v>364</v>
      </c>
      <c r="C28" s="279">
        <f>IFERROR(INDEX(Targets!$A$5:$R$28,$C$3,11),"—")</f>
        <v>7</v>
      </c>
      <c r="D28" s="280" cm="1">
        <f t="array" aca="1" ref="D28" ca="1">IFERROR(INDEX(Data_2!$D$43:$AC$43,1,$C$3+2),"")</f>
        <v>6</v>
      </c>
      <c r="E28" s="281">
        <f ca="1">IF(OR(C28="—",NOT(ISNUMBER(C28))),"—",IFERROR(D28-C28,"—"))</f>
        <v>-1</v>
      </c>
      <c r="F28" s="280" cm="1">
        <f t="array" ref="F28">IF($C$3&gt;1,IFERROR(INDEX(Data_2!$D$43:$AC$43,1,$C$3+1),""),"")</f>
        <v>6</v>
      </c>
      <c r="G28" s="281">
        <f ca="1">IFERROR(D28-F28,"—")</f>
        <v>0</v>
      </c>
      <c r="H28" s="282"/>
      <c r="I28" s="270"/>
    </row>
    <row r="29" spans="1:9" ht="15" customHeight="1">
      <c r="A29" s="138"/>
      <c r="B29" s="278" t="s">
        <v>365</v>
      </c>
      <c r="C29" s="279" t="s">
        <v>345</v>
      </c>
      <c r="D29" s="280" cm="1">
        <f t="array" aca="1" ref="D29" ca="1">IFERROR(INDEX(Data_2!$D$44:$AC$44,1,$C$3+2),"")</f>
        <v>14</v>
      </c>
      <c r="E29" s="281" t="str">
        <f>IF(OR(C29="—",NOT(ISNUMBER(C29))),"—",IFERROR(D29-C29,"—"))</f>
        <v>—</v>
      </c>
      <c r="F29" s="280" cm="1">
        <f t="array" ref="F29">IF($C$3&gt;1,IFERROR(INDEX(Data_2!$D$44:$AC$44,1,$C$3+1),""),"")</f>
        <v>14</v>
      </c>
      <c r="G29" s="281">
        <f ca="1">IFERROR(D29-F29,"—")</f>
        <v>0</v>
      </c>
      <c r="H29" s="282"/>
      <c r="I29" s="270"/>
    </row>
    <row r="30" spans="1:9" ht="15" customHeight="1">
      <c r="A30" s="283"/>
      <c r="B30" s="276" t="s">
        <v>366</v>
      </c>
      <c r="C30" s="284">
        <f>IFERROR(INDEX(Targets!$A$5:$R$28,$C$3,10),"—")</f>
        <v>0.8</v>
      </c>
      <c r="D30" s="285" cm="1">
        <f t="array" aca="1" ref="D30" ca="1">IFERROR(INDEX(Data_2!$D$45:$AC$45,1,$C$3+2),"")</f>
        <v>0.65517241379310343</v>
      </c>
      <c r="E30" s="286">
        <f ca="1">IFERROR(D30-C30,"—")</f>
        <v>-0.14482758620689662</v>
      </c>
      <c r="F30" s="285" cm="1">
        <f t="array" ref="F30">IF($C$3&gt;1,IFERROR(INDEX(Data_2!$D$45:$AC$45,1,$C$3+1),""),"")</f>
        <v>0.65500000000000003</v>
      </c>
      <c r="G30" s="286">
        <f ca="1">IFERROR(D30-F30,"—")</f>
        <v>1.7241379310339866E-4</v>
      </c>
      <c r="H30" s="287" t="str">
        <f ca="1">IF(AND(ISNUMBER(D30),ISNUMBER(C30)),IF(D30&gt;=C30,"✓","✗"),"")</f>
        <v>✗</v>
      </c>
      <c r="I30" s="270"/>
    </row>
    <row r="31" spans="1:9" ht="15" customHeight="1">
      <c r="A31" s="288"/>
      <c r="B31" s="289" t="s">
        <v>297</v>
      </c>
      <c r="C31" s="290"/>
      <c r="D31" s="290"/>
      <c r="E31" s="290"/>
      <c r="F31" s="290"/>
      <c r="G31" s="290"/>
      <c r="H31" s="290"/>
    </row>
    <row r="32" spans="1:9" ht="15" customHeight="1">
      <c r="A32" s="269"/>
      <c r="B32" s="291" t="s">
        <v>363</v>
      </c>
      <c r="C32" s="272" t="s">
        <v>345</v>
      </c>
      <c r="D32" s="273" cm="1">
        <f t="array" aca="1" ref="D32" ca="1">IFERROR(INDEX(Data_2!$D$47:$AC$47,1,$C$3+2),"")</f>
        <v>60</v>
      </c>
      <c r="E32" s="274" t="str">
        <f>IF(OR(C32="—",NOT(ISNUMBER(C32))),"—",IFERROR(D32-C32,"—"))</f>
        <v>—</v>
      </c>
      <c r="F32" s="273" cm="1">
        <f t="array" ref="F32">IF($C$3&gt;1,IFERROR(INDEX(Data_2!$D$47:$AC$47,1,$C$3+1),""),"")</f>
        <v>62</v>
      </c>
      <c r="G32" s="274">
        <f ca="1">IFERROR(D32-F32,"—")</f>
        <v>-2</v>
      </c>
      <c r="H32" s="275"/>
      <c r="I32" s="270"/>
    </row>
    <row r="33" spans="1:9" ht="15" customHeight="1">
      <c r="A33" s="138"/>
      <c r="B33" s="278" t="s">
        <v>364</v>
      </c>
      <c r="C33" s="279">
        <f>IFERROR(INDEX(Targets!$A$5:$R$28,$C$3,11),"—")</f>
        <v>7</v>
      </c>
      <c r="D33" s="280" cm="1">
        <f t="array" aca="1" ref="D33" ca="1">IFERROR(INDEX(Data_2!$D$48:$AC$48,1,$C$3+2),"")</f>
        <v>8</v>
      </c>
      <c r="E33" s="281">
        <f ca="1">IF(OR(C33="—",NOT(ISNUMBER(C33))),"—",IFERROR(D33-C33,"—"))</f>
        <v>1</v>
      </c>
      <c r="F33" s="280" cm="1">
        <f t="array" ref="F33">IF($C$3&gt;1,IFERROR(INDEX(Data_2!$D$48:$AC$48,1,$C$3+1),""),"")</f>
        <v>5</v>
      </c>
      <c r="G33" s="281">
        <f ca="1">IFERROR(D33-F33,"—")</f>
        <v>3</v>
      </c>
      <c r="H33" s="282"/>
      <c r="I33" s="270"/>
    </row>
    <row r="34" spans="1:9" ht="15" customHeight="1">
      <c r="A34" s="138"/>
      <c r="B34" s="278" t="s">
        <v>365</v>
      </c>
      <c r="C34" s="279" t="s">
        <v>345</v>
      </c>
      <c r="D34" s="280" cm="1">
        <f t="array" aca="1" ref="D34" ca="1">IFERROR(INDEX(Data_2!$D$49:$AC$49,1,$C$3+2),"")</f>
        <v>17</v>
      </c>
      <c r="E34" s="281" t="str">
        <f>IF(OR(C34="—",NOT(ISNUMBER(C34))),"—",IFERROR(D34-C34,"—"))</f>
        <v>—</v>
      </c>
      <c r="F34" s="280" cm="1">
        <f t="array" ref="F34">IF($C$3&gt;1,IFERROR(INDEX(Data_2!$D$49:$AC$49,1,$C$3+1),""),"")</f>
        <v>15</v>
      </c>
      <c r="G34" s="281">
        <f ca="1">IFERROR(D34-F34,"—")</f>
        <v>2</v>
      </c>
      <c r="H34" s="282"/>
      <c r="I34" s="270"/>
    </row>
    <row r="35" spans="1:9" ht="15" customHeight="1">
      <c r="A35" s="283"/>
      <c r="B35" s="276" t="s">
        <v>366</v>
      </c>
      <c r="C35" s="284">
        <f>IFERROR(INDEX(Targets!$A$5:$R$28,$C$3,10),"—")</f>
        <v>0.8</v>
      </c>
      <c r="D35" s="285" cm="1">
        <f t="array" aca="1" ref="D35" ca="1">IFERROR(INDEX(Data_2!$D$50:$AC$50,1,$C$3+2),"")</f>
        <v>0.51666666666666672</v>
      </c>
      <c r="E35" s="286">
        <f ca="1">IFERROR(D35-C35,"—")</f>
        <v>-0.28333333333333333</v>
      </c>
      <c r="F35" s="285" cm="1">
        <f t="array" ref="F35">IF($C$3&gt;1,IFERROR(INDEX(Data_2!$D$50:$AC$50,1,$C$3+1),""),"")</f>
        <v>0.40300000000000002</v>
      </c>
      <c r="G35" s="286">
        <f ca="1">IFERROR(D35-F35,"—")</f>
        <v>0.11366666666666669</v>
      </c>
      <c r="H35" s="287" t="str">
        <f ca="1">IF(AND(ISNUMBER(D35),ISNUMBER(C35)),IF(D35&gt;=C35,"✓","✗"),"")</f>
        <v>✗</v>
      </c>
      <c r="I35" s="270"/>
    </row>
    <row r="36" spans="1:9" ht="15" customHeight="1">
      <c r="A36" s="288"/>
      <c r="B36" s="289" t="s">
        <v>298</v>
      </c>
      <c r="C36" s="290"/>
      <c r="D36" s="290"/>
      <c r="E36" s="290"/>
      <c r="F36" s="290"/>
      <c r="G36" s="290"/>
      <c r="H36" s="290"/>
    </row>
    <row r="37" spans="1:9" ht="15" customHeight="1">
      <c r="A37" s="269"/>
      <c r="B37" s="291" t="s">
        <v>363</v>
      </c>
      <c r="C37" s="272" t="s">
        <v>345</v>
      </c>
      <c r="D37" s="273" cm="1">
        <f t="array" aca="1" ref="D37" ca="1">IFERROR(INDEX(Data_2!$D$52:$AC$52,1,$C$3+2),"")</f>
        <v>56</v>
      </c>
      <c r="E37" s="274" t="str">
        <f>IF(OR(C37="—",NOT(ISNUMBER(C37))),"—",IFERROR(D37-C37,"—"))</f>
        <v>—</v>
      </c>
      <c r="F37" s="273" cm="1">
        <f t="array" ref="F37">IF($C$3&gt;1,IFERROR(INDEX(Data_2!$D$52:$AC$52,1,$C$3+1),""),"")</f>
        <v>56</v>
      </c>
      <c r="G37" s="274">
        <f ca="1">IFERROR(D37-F37,"—")</f>
        <v>0</v>
      </c>
      <c r="H37" s="275"/>
      <c r="I37" s="270"/>
    </row>
    <row r="38" spans="1:9" ht="15" customHeight="1">
      <c r="A38" s="138"/>
      <c r="B38" s="278" t="s">
        <v>364</v>
      </c>
      <c r="C38" s="279">
        <f>IFERROR(INDEX(Targets!$A$5:$R$28,$C$3,11),"—")</f>
        <v>7</v>
      </c>
      <c r="D38" s="280" cm="1">
        <f t="array" aca="1" ref="D38" ca="1">IFERROR(INDEX(Data_2!$D$53:$AC$53,1,$C$3+2),"")</f>
        <v>6</v>
      </c>
      <c r="E38" s="281">
        <f ca="1">IF(OR(C38="—",NOT(ISNUMBER(C38))),"—",IFERROR(D38-C38,"—"))</f>
        <v>-1</v>
      </c>
      <c r="F38" s="280" cm="1">
        <f t="array" ref="F38">IF($C$3&gt;1,IFERROR(INDEX(Data_2!$D$53:$AC$53,1,$C$3+1),""),"")</f>
        <v>6</v>
      </c>
      <c r="G38" s="281">
        <f ca="1">IFERROR(D38-F38,"—")</f>
        <v>0</v>
      </c>
      <c r="H38" s="282"/>
      <c r="I38" s="270"/>
    </row>
    <row r="39" spans="1:9" ht="15" customHeight="1">
      <c r="A39" s="138"/>
      <c r="B39" s="278" t="s">
        <v>365</v>
      </c>
      <c r="C39" s="279" t="s">
        <v>345</v>
      </c>
      <c r="D39" s="280" cm="1">
        <f t="array" aca="1" ref="D39" ca="1">IFERROR(INDEX(Data_2!$D$54:$AC$54,1,$C$3+2),"")</f>
        <v>11</v>
      </c>
      <c r="E39" s="281" t="str">
        <f>IF(OR(C39="—",NOT(ISNUMBER(C39))),"—",IFERROR(D39-C39,"—"))</f>
        <v>—</v>
      </c>
      <c r="F39" s="280" cm="1">
        <f t="array" ref="F39">IF($C$3&gt;1,IFERROR(INDEX(Data_2!$D$54:$AC$54,1,$C$3+1),""),"")</f>
        <v>11</v>
      </c>
      <c r="G39" s="281">
        <f ca="1">IFERROR(D39-F39,"—")</f>
        <v>0</v>
      </c>
      <c r="H39" s="282"/>
      <c r="I39" s="270"/>
    </row>
    <row r="40" spans="1:9" ht="15" customHeight="1">
      <c r="A40" s="283"/>
      <c r="B40" s="276" t="s">
        <v>366</v>
      </c>
      <c r="C40" s="284">
        <f>IFERROR(INDEX(Targets!$A$5:$R$28,$C$3,10),"—")</f>
        <v>0.8</v>
      </c>
      <c r="D40" s="285" cm="1">
        <f t="array" aca="1" ref="D40" ca="1">IFERROR(INDEX(Data_2!$D$55:$AC$55,1,$C$3+2),"")</f>
        <v>0.39285714285714285</v>
      </c>
      <c r="E40" s="286">
        <f ca="1">IFERROR(D40-C40,"—")</f>
        <v>-0.4071428571428572</v>
      </c>
      <c r="F40" s="285" cm="1">
        <f t="array" ref="F40">IF($C$3&gt;1,IFERROR(INDEX(Data_2!$D$55:$AC$55,1,$C$3+1),""),"")</f>
        <v>0.30399999999999999</v>
      </c>
      <c r="G40" s="286">
        <f ca="1">IFERROR(D40-F40,"—")</f>
        <v>8.8857142857142857E-2</v>
      </c>
      <c r="H40" s="287" t="str">
        <f ca="1">IF(AND(ISNUMBER(D40),ISNUMBER(C40)),IF(D40&gt;=C40,"✓","✗"),"")</f>
        <v>✗</v>
      </c>
      <c r="I40" s="270"/>
    </row>
    <row r="41" spans="1:9" ht="15" customHeight="1">
      <c r="A41" s="288"/>
      <c r="B41" s="289" t="s">
        <v>299</v>
      </c>
      <c r="C41" s="290"/>
      <c r="D41" s="290"/>
      <c r="E41" s="290"/>
      <c r="F41" s="290"/>
      <c r="G41" s="290"/>
      <c r="H41" s="290"/>
    </row>
    <row r="42" spans="1:9" ht="15" customHeight="1">
      <c r="A42" s="269"/>
      <c r="B42" s="291" t="s">
        <v>363</v>
      </c>
      <c r="C42" s="272" t="s">
        <v>345</v>
      </c>
      <c r="D42" s="273" cm="1">
        <f t="array" aca="1" ref="D42" ca="1">IFERROR(INDEX(Data_2!$D$37:$AC$37,1,$C$3+2),"")</f>
        <v>55</v>
      </c>
      <c r="E42" s="274" t="str">
        <f>IF(OR(C42="—",NOT(ISNUMBER(C42))),"—",IFERROR(D42-C42,"—"))</f>
        <v>—</v>
      </c>
      <c r="F42" s="273" cm="1">
        <f t="array" ref="F42">IF($C$3&gt;1,IFERROR(INDEX(Data_2!$D$37:$AC$37,1,$C$3+1),""),"")</f>
        <v>54</v>
      </c>
      <c r="G42" s="274">
        <f ca="1">IFERROR(D42-F42,"—")</f>
        <v>1</v>
      </c>
      <c r="H42" s="275"/>
      <c r="I42" s="270"/>
    </row>
    <row r="43" spans="1:9" ht="15" customHeight="1">
      <c r="A43" s="138"/>
      <c r="B43" s="278" t="s">
        <v>364</v>
      </c>
      <c r="C43" s="279">
        <f>IFERROR(INDEX(Targets!$A$5:$R$28,$C$3,11),"—")</f>
        <v>7</v>
      </c>
      <c r="D43" s="280" cm="1">
        <f t="array" aca="1" ref="D43" ca="1">IFERROR(INDEX(Data_2!$D$38:$AC$38,1,$C$3+2),"")</f>
        <v>12</v>
      </c>
      <c r="E43" s="281">
        <f ca="1">IF(OR(C43="—",NOT(ISNUMBER(C43))),"—",IFERROR(D43-C43,"—"))</f>
        <v>5</v>
      </c>
      <c r="F43" s="280" cm="1">
        <f t="array" ref="F43">IF($C$3&gt;1,IFERROR(INDEX(Data_2!$D$38:$AC$38,1,$C$3+1),""),"")</f>
        <v>10</v>
      </c>
      <c r="G43" s="281">
        <f ca="1">IFERROR(D43-F43,"—")</f>
        <v>2</v>
      </c>
      <c r="H43" s="282"/>
      <c r="I43" s="270"/>
    </row>
    <row r="44" spans="1:9" ht="15" customHeight="1">
      <c r="A44" s="138"/>
      <c r="B44" s="278" t="s">
        <v>365</v>
      </c>
      <c r="C44" s="279" t="s">
        <v>345</v>
      </c>
      <c r="D44" s="280" cm="1">
        <f t="array" aca="1" ref="D44" ca="1">IFERROR(INDEX(Data_2!$D$39:$AC$39,1,$C$3+2),"")</f>
        <v>7</v>
      </c>
      <c r="E44" s="281" t="str">
        <f>IF(OR(C44="—",NOT(ISNUMBER(C44))),"—",IFERROR(D44-C44,"—"))</f>
        <v>—</v>
      </c>
      <c r="F44" s="280" cm="1">
        <f t="array" ref="F44">IF($C$3&gt;1,IFERROR(INDEX(Data_2!$D$39:$AC$39,1,$C$3+1),""),"")</f>
        <v>6</v>
      </c>
      <c r="G44" s="281">
        <f ca="1">IFERROR(D44-F44,"—")</f>
        <v>1</v>
      </c>
      <c r="H44" s="282"/>
      <c r="I44" s="270"/>
    </row>
    <row r="45" spans="1:9" ht="15" customHeight="1">
      <c r="A45" s="138"/>
      <c r="B45" s="278" t="s">
        <v>366</v>
      </c>
      <c r="C45" s="292">
        <f>IFERROR(INDEX(Targets!$A$5:$R$28,$C$3,10),"—")</f>
        <v>0.8</v>
      </c>
      <c r="D45" s="293" cm="1">
        <f t="array" aca="1" ref="D45" ca="1">IFERROR(INDEX(Data_2!$D$40:$AC$40,1,$C$3+2),"")</f>
        <v>0.29090909090909089</v>
      </c>
      <c r="E45" s="294">
        <f ca="1">IFERROR(D45-C45,"—")</f>
        <v>-0.50909090909090915</v>
      </c>
      <c r="F45" s="293" cm="1">
        <f t="array" ref="F45">IF($C$3&gt;1,IFERROR(INDEX(Data_2!$D$40:$AC$40,1,$C$3+1),""),"")</f>
        <v>0.14799999999999999</v>
      </c>
      <c r="G45" s="294">
        <f ca="1">IFERROR(D45-F45,"—")</f>
        <v>0.1429090909090909</v>
      </c>
      <c r="H45" s="295" t="str">
        <f ca="1">IF(AND(ISNUMBER(D45),ISNUMBER(C45)),IF(D45&gt;=C45,"✓","✗"),"")</f>
        <v>✗</v>
      </c>
      <c r="I45" s="270"/>
    </row>
    <row r="46" spans="1:9" ht="15" customHeight="1">
      <c r="A46" s="138"/>
      <c r="B46" s="378" t="s">
        <v>367</v>
      </c>
      <c r="C46" s="706" t="s">
        <v>345</v>
      </c>
      <c r="D46" s="707" cm="1">
        <f t="array" ref="D46">IFERROR(INDEX(Data_2!$D$57:$AC$57,1,$C$3+2),"")</f>
        <v>65</v>
      </c>
      <c r="E46" s="708" t="s">
        <v>345</v>
      </c>
      <c r="F46" s="707" cm="1">
        <f t="array" ref="F46">IF($C$3&gt;1,IFERROR(INDEX(Data_2!$D$57:$AC$57,1,$C$3+1),""),"")</f>
        <v>79</v>
      </c>
      <c r="G46" s="709">
        <f>IFERROR(D46-F46,"—")</f>
        <v>-14</v>
      </c>
      <c r="H46" s="379"/>
      <c r="I46" s="380"/>
    </row>
    <row r="47" spans="1:9" ht="15" customHeight="1" thickBot="1">
      <c r="A47" s="36"/>
      <c r="B47" s="35" t="s">
        <v>368</v>
      </c>
      <c r="C47" s="36"/>
      <c r="D47" s="36"/>
      <c r="E47" s="36"/>
      <c r="F47" s="36"/>
      <c r="G47" s="36"/>
      <c r="H47" s="36"/>
    </row>
    <row r="48" spans="1:9" ht="15" customHeight="1">
      <c r="B48" s="64" t="s">
        <v>369</v>
      </c>
      <c r="C48" s="70">
        <f>IFERROR(INDEX(Targets!$A$5:$O$28,$C$3,12),"—")</f>
        <v>970000</v>
      </c>
      <c r="D48" s="71" cm="1">
        <f t="array" ref="D48">IFERROR(INDEX(Data_2!$D$65:$AC$65,1,$C$3+2),"")</f>
        <v>890341.69</v>
      </c>
      <c r="E48" s="71">
        <f>IFERROR(D48-C48,"—")</f>
        <v>-79658.310000000056</v>
      </c>
      <c r="F48" s="71" cm="1">
        <f t="array" ref="F48">IF($C$3&gt;1,IFERROR(INDEX(Data_2!$D$65:$AC$65,1,$C$3+1),""),"")</f>
        <v>877250</v>
      </c>
      <c r="G48" s="71">
        <f>IFERROR(D48-F48,"—")</f>
        <v>13091.689999999944</v>
      </c>
      <c r="H48" s="67" t="str">
        <f>IF(AND(ISNUMBER(D48),ISNUMBER(C48)),IF(D48&gt;=C48,"✓","✗"),"")</f>
        <v>✗</v>
      </c>
    </row>
    <row r="49" spans="1:9" ht="15" customHeight="1">
      <c r="B49" s="64" t="s">
        <v>370</v>
      </c>
      <c r="C49" s="70">
        <f>IFERROR(INDEX(Targets!$A$5:$O$28,$C$3,13),"—")</f>
        <v>912000</v>
      </c>
      <c r="D49" s="71" cm="1">
        <f t="array" ref="D49">IFERROR(INDEX(Data_2!$D$69:$AC$69,1,$C$3+2),"")</f>
        <v>774989.18999999983</v>
      </c>
      <c r="E49" s="71">
        <f>IFERROR(D49-C49,"—")</f>
        <v>-137010.81000000017</v>
      </c>
      <c r="F49" s="71" cm="1">
        <f t="array" ref="F49">IF($C$3&gt;1,IFERROR(INDEX(Data_2!$D$69:$AC$69,1,$C$3+1),""),"")</f>
        <v>741187</v>
      </c>
      <c r="G49" s="71">
        <f>IFERROR(D49-F49,"—")</f>
        <v>33802.189999999828</v>
      </c>
      <c r="H49" s="67" t="str">
        <f>IF(AND(ISNUMBER(D49),ISNUMBER(C49)),IF(D49&gt;=C49,"✓","✗"),"")</f>
        <v>✗</v>
      </c>
      <c r="I49" s="1053"/>
    </row>
    <row r="50" spans="1:9" ht="15" customHeight="1">
      <c r="B50" s="64" t="s">
        <v>371</v>
      </c>
      <c r="C50" s="65">
        <f>IFERROR(INDEX(Targets!$A$5:$O$28,$C$3,14),"—")</f>
        <v>0.94</v>
      </c>
      <c r="D50" s="66" cm="1">
        <f t="array" ref="D50">IFERROR(INDEX(Data_2!$D$70:$AC$70,1,$C$3+2),"")</f>
        <v>0.85353536360326199</v>
      </c>
      <c r="E50" s="66">
        <f>IFERROR(D50-C50,"—")</f>
        <v>-8.6464636396737959E-2</v>
      </c>
      <c r="F50" s="66" cm="1">
        <f t="array" ref="F50">IF($C$3&gt;1,IFERROR(INDEX(Data_2!$D$70:$AC$70,1,$C$3+1),""),"")</f>
        <v>0.83040000000000003</v>
      </c>
      <c r="G50" s="66">
        <f>IFERROR(D50-F50,"—")</f>
        <v>2.313536360326196E-2</v>
      </c>
      <c r="H50" s="67" t="str">
        <f>IF(AND(ISNUMBER(D50),ISNUMBER(C50)),IF(D50&gt;=C50,"✓","✗"),"")</f>
        <v>✗</v>
      </c>
    </row>
    <row r="51" spans="1:9" ht="15" customHeight="1" thickBot="1">
      <c r="A51" s="36"/>
      <c r="B51" s="35" t="s">
        <v>372</v>
      </c>
      <c r="C51" s="36"/>
      <c r="D51" s="36"/>
      <c r="E51" s="36"/>
      <c r="F51" s="36"/>
      <c r="G51" s="36"/>
      <c r="H51" s="36"/>
    </row>
    <row r="52" spans="1:9" ht="15" customHeight="1">
      <c r="B52" s="64" t="s">
        <v>373</v>
      </c>
      <c r="C52" s="70">
        <f>-IFERROR(INDEX(Targets!$A$5:$O$28,$C$3,15),"—")</f>
        <v>-125000</v>
      </c>
      <c r="D52" s="71" cm="1">
        <f t="array" ref="D52">-IFERROR(INDEX(Data_2!$D$73:$AC$73,1,$C$3+2),"")</f>
        <v>-810269.66</v>
      </c>
      <c r="E52" s="71">
        <f>IFERROR(D52-C52,"—")</f>
        <v>-685269.66</v>
      </c>
      <c r="F52" s="71" cm="1">
        <f t="array" ref="F52">-IF($C$3&gt;1,IFERROR(INDEX(Data_2!$D$73:$AC$73,1,$C$3+1),""),"")</f>
        <v>-830455</v>
      </c>
      <c r="G52" s="71">
        <f>IFERROR(D52-F52,"—")</f>
        <v>20185.339999999967</v>
      </c>
      <c r="H52" s="67" t="str">
        <f>IF(AND(ISNUMBER(D52),ISNUMBER(C52)),IF(ABS(D52)&lt;=ABS(C52),"✓","✗"),"")</f>
        <v>✗</v>
      </c>
    </row>
    <row r="53" spans="1:9" ht="15" customHeight="1">
      <c r="B53" s="64" t="s">
        <v>374</v>
      </c>
      <c r="C53" s="72">
        <f>IF($C$3&lt;5,12.9,IF($C$3&lt;9,DSO_Calculation!$I$31,IF($C$3&lt;14,DSO_Calculation!$I$32,IF($C$3&lt;18,DSO_Calculation!$I$33,IF($C$3&lt;22,DSO_Calculation!$I$34,DSO_Calculation!$I$35)))))</f>
        <v>9.3000000000000007</v>
      </c>
      <c r="D53" s="73" cm="1">
        <f t="array" ref="D53">IFERROR(INDEX(Data_2!$D$79:$AC$79,1,$C$3+2),"")</f>
        <v>27.097597811510308</v>
      </c>
      <c r="E53" s="73">
        <f>IF(OR(D53="—",NOT(ISNUMBER(D53))),"—",C53-D53)</f>
        <v>-17.797597811510308</v>
      </c>
      <c r="F53" s="74" cm="1">
        <f t="array" ref="F53">IF($C$3&gt;1,IFERROR(INDEX(Data_2!$D$79:$AC$79,1,$C$3+1),""),"")</f>
        <v>27.8</v>
      </c>
      <c r="G53" s="74">
        <f>IFERROR(F53-D53,"—")</f>
        <v>0.70240218848969249</v>
      </c>
      <c r="H53" s="75" t="str">
        <f>IF(OR(D53="—",NOT(ISNUMBER(D53))),"—",IF(D53&lt;=C53,"✓","✗"))</f>
        <v>✗</v>
      </c>
    </row>
    <row r="54" spans="1:9" ht="15" customHeight="1">
      <c r="B54" s="64" t="s">
        <v>375</v>
      </c>
      <c r="C54" s="72">
        <f>IF($C$3&lt;5,11.5,IF($C$3&lt;9,DSO_Calculation!$K$31,IF($C$3&lt;14,DSO_Calculation!$K$32,IF($C$3&lt;18,DSO_Calculation!$K$33,IF($C$3&lt;22,DSO_Calculation!$K$34,DSO_Calculation!$K$35)))))</f>
        <v>8.8000000000000007</v>
      </c>
      <c r="D54" s="73" cm="1">
        <f t="array" ref="D54">IFERROR(INDEX(Data_2!$D$80:$AC$80,1,$C$3+2),"")</f>
        <v>25.664293738307101</v>
      </c>
      <c r="E54" s="73">
        <f>IF(OR(D54="—",NOT(ISNUMBER(D54))),"—",C54-D54)</f>
        <v>-16.864293738307101</v>
      </c>
      <c r="F54" s="74" cm="1">
        <f t="array" ref="F54">IF($C$3&gt;1,IFERROR(INDEX(Data_2!$D$80:$AC$80,1,$C$3+1),""),"")</f>
        <v>26.3</v>
      </c>
      <c r="G54" s="74">
        <f>IFERROR(F54-D54,"—")</f>
        <v>0.63570626169289923</v>
      </c>
      <c r="H54" s="75" t="str">
        <f>IF(OR(D54="—",NOT(ISNUMBER(D54))),"—",IF(D54&lt;=C54,"✓","✗"))</f>
        <v>✗</v>
      </c>
    </row>
    <row r="55" spans="1:9" ht="15" customHeight="1" thickBot="1">
      <c r="A55" s="36"/>
      <c r="B55" s="35" t="s">
        <v>376</v>
      </c>
      <c r="C55" s="36"/>
      <c r="D55" s="36"/>
      <c r="E55" s="36"/>
      <c r="F55" s="36"/>
      <c r="G55" s="36"/>
      <c r="H55" s="36"/>
    </row>
    <row r="56" spans="1:9" ht="15" customHeight="1">
      <c r="B56" s="64" t="s">
        <v>377</v>
      </c>
      <c r="C56" s="68" t="s">
        <v>345</v>
      </c>
      <c r="D56" s="69" cm="1">
        <f t="array" ref="D56">IFERROR(INDEX(Data_2!$D$82:$AC$82,1,$C$3+2),"")</f>
        <v>123</v>
      </c>
      <c r="E56" s="69" t="s">
        <v>345</v>
      </c>
      <c r="F56" s="69" cm="1">
        <f t="array" ref="F56">IF($C$3&gt;1,IFERROR(INDEX(Data_2!$D$82:$AC$82,1,$C$3+1),""),"")</f>
        <v>91</v>
      </c>
      <c r="G56" s="69">
        <f>IFERROR(D56-F56,"—")</f>
        <v>32</v>
      </c>
      <c r="H56" s="67"/>
    </row>
    <row r="57" spans="1:9" ht="15" customHeight="1">
      <c r="B57" s="64" t="s">
        <v>378</v>
      </c>
      <c r="C57" s="68" t="s">
        <v>345</v>
      </c>
      <c r="D57" s="69" cm="1">
        <f t="array" ref="D57">IFERROR(INDEX(Data_2!$D$83:$AC$83,1,$C$3+2),"")</f>
        <v>103</v>
      </c>
      <c r="E57" s="69" t="s">
        <v>345</v>
      </c>
      <c r="F57" s="69" cm="1">
        <f t="array" ref="F57">IF($C$3&gt;1,IFERROR(INDEX(Data_2!$D$83:$AC$83,1,$C$3+1),""),"")</f>
        <v>108</v>
      </c>
      <c r="G57" s="69">
        <f>IFERROR(D57-F57,"—")</f>
        <v>-5</v>
      </c>
      <c r="H57" s="67"/>
    </row>
    <row r="58" spans="1:9" ht="15" customHeight="1">
      <c r="B58" s="64" t="s">
        <v>379</v>
      </c>
      <c r="C58" s="68" t="s">
        <v>345</v>
      </c>
      <c r="D58" s="69" cm="1">
        <f t="array" ref="D58">IFERROR(INDEX(Data_2!$D$84:$AC$84,1,$C$3+2),"")</f>
        <v>101</v>
      </c>
      <c r="E58" s="69" t="s">
        <v>345</v>
      </c>
      <c r="F58" s="69" cm="1">
        <f t="array" ref="F58">IF($C$3&gt;1,IFERROR(INDEX(Data_2!$D$84:$AC$84,1,$C$3+1),""),"")</f>
        <v>82</v>
      </c>
      <c r="G58" s="69">
        <f>IFERROR(F58-D58,"—")</f>
        <v>-19</v>
      </c>
      <c r="H58" s="67"/>
    </row>
    <row r="59" spans="1:9" ht="15" customHeight="1">
      <c r="B59" s="64" t="s">
        <v>380</v>
      </c>
      <c r="C59" s="65" t="s">
        <v>345</v>
      </c>
      <c r="D59" s="66" cm="1">
        <f t="array" ref="D59">IFERROR(INDEX(Data_2!$D$85:$AC$85,1,$C$3+2),"")</f>
        <v>0.83739837398373984</v>
      </c>
      <c r="E59" s="66" t="s">
        <v>345</v>
      </c>
      <c r="F59" s="66" cm="1">
        <f t="array" ref="F59">IF($C$3&gt;1,IFERROR(INDEX(Data_2!$D$85:$AC$85,1,$C$3+1),""),"")</f>
        <v>1.1870000000000001</v>
      </c>
      <c r="G59" s="66">
        <f>IFERROR(D59-F59,"—")</f>
        <v>-0.34960162601626021</v>
      </c>
      <c r="H59" s="67"/>
    </row>
    <row r="60" spans="1:9" ht="15" customHeight="1" thickBot="1">
      <c r="A60" s="36"/>
      <c r="B60" s="35" t="s">
        <v>381</v>
      </c>
      <c r="C60" s="36"/>
      <c r="D60" s="36"/>
      <c r="E60" s="36"/>
      <c r="F60" s="36"/>
      <c r="G60" s="36"/>
      <c r="H60" s="36"/>
    </row>
    <row r="61" spans="1:9" ht="15" customHeight="1">
      <c r="B61" s="64" t="s">
        <v>382</v>
      </c>
      <c r="C61" s="70" t="s">
        <v>345</v>
      </c>
      <c r="D61" s="71" cm="1">
        <f t="array" ref="D61">IFERROR(INDEX(Data_2!$D$88:$AC$88,1,$C$3+2),"")</f>
        <v>990.80486363636351</v>
      </c>
      <c r="E61" s="71" t="s">
        <v>345</v>
      </c>
      <c r="F61" s="71" cm="1">
        <f t="array" ref="F61">IF($C$3&gt;1,IFERROR(INDEX(Data_2!$D$88:$AC$88,1,$C$3+1),""),"")</f>
        <v>983</v>
      </c>
      <c r="G61" s="71">
        <f>IFERROR(D61-F61,"—")</f>
        <v>7.8048636363635069</v>
      </c>
      <c r="H61" s="67"/>
    </row>
    <row r="62" spans="1:9" ht="15" customHeight="1">
      <c r="B62" s="64" t="s">
        <v>383</v>
      </c>
      <c r="C62" s="70" t="s">
        <v>345</v>
      </c>
      <c r="D62" s="71" cm="1">
        <f t="array" ref="D62">IFERROR(INDEX(Data_2!$D$89:$AC$89,1,$C$3+2),"")</f>
        <v>1119.2708391720923</v>
      </c>
      <c r="E62" s="71" t="s">
        <v>345</v>
      </c>
      <c r="F62" s="71" cm="1">
        <f t="array" ref="F62">IF($C$3&gt;1,IFERROR(INDEX(Data_2!$D$89:$AC$89,1,$C$3+1),""),"")</f>
        <v>1119</v>
      </c>
      <c r="G62" s="71">
        <f>IFERROR(D62-F62,"—")</f>
        <v>0.27083917209233732</v>
      </c>
      <c r="H62" s="67"/>
    </row>
    <row r="63" spans="1:9" ht="4.5" customHeight="1"/>
    <row r="64" spans="1:9" hidden="1"/>
    <row r="65" spans="2:2" ht="15" customHeight="1">
      <c r="B65" s="6" t="s">
        <v>384</v>
      </c>
    </row>
    <row r="66" spans="2:2" ht="15" customHeight="1">
      <c r="B66" s="7" t="s">
        <v>385</v>
      </c>
    </row>
    <row r="67" spans="2:2" ht="15" customHeight="1">
      <c r="B67" s="8" t="s">
        <v>386</v>
      </c>
    </row>
    <row r="69" spans="2:2" ht="15" customHeight="1">
      <c r="B69" s="9" t="s">
        <v>387</v>
      </c>
    </row>
  </sheetData>
  <mergeCells count="2">
    <mergeCell ref="B1:I1"/>
    <mergeCell ref="B2:I2"/>
  </mergeCells>
  <conditionalFormatting sqref="E7:E9 E11:E15 E48:E50 E52:E54 E56:E59 E61:E62">
    <cfRule type="cellIs" dxfId="72" priority="2" operator="greaterThan">
      <formula>0</formula>
    </cfRule>
    <cfRule type="cellIs" dxfId="71" priority="3" operator="lessThan">
      <formula>0</formula>
    </cfRule>
  </conditionalFormatting>
  <conditionalFormatting sqref="E17:E24">
    <cfRule type="cellIs" dxfId="70" priority="55" operator="lessThan">
      <formula>0</formula>
    </cfRule>
    <cfRule type="cellIs" dxfId="69" priority="54" operator="greaterThanOrEqual">
      <formula>0</formula>
    </cfRule>
  </conditionalFormatting>
  <conditionalFormatting sqref="E30">
    <cfRule type="expression" dxfId="68" priority="18">
      <formula>AND(ISNUMBER(E30),E30&gt;=0)</formula>
    </cfRule>
    <cfRule type="expression" dxfId="67" priority="19">
      <formula>AND(ISNUMBER(E30),E30&lt;0)</formula>
    </cfRule>
  </conditionalFormatting>
  <conditionalFormatting sqref="E35">
    <cfRule type="expression" dxfId="66" priority="20">
      <formula>AND(ISNUMBER(E35),E35&gt;=0)</formula>
    </cfRule>
    <cfRule type="expression" dxfId="65" priority="21">
      <formula>AND(ISNUMBER(E35),E35&lt;0)</formula>
    </cfRule>
  </conditionalFormatting>
  <conditionalFormatting sqref="E40">
    <cfRule type="expression" dxfId="64" priority="22">
      <formula>AND(ISNUMBER(E40),E40&gt;=0)</formula>
    </cfRule>
    <cfRule type="expression" dxfId="63" priority="23">
      <formula>AND(ISNUMBER(E40),E40&lt;0)</formula>
    </cfRule>
  </conditionalFormatting>
  <conditionalFormatting sqref="E45">
    <cfRule type="expression" dxfId="62" priority="24">
      <formula>AND(ISNUMBER(E45),E45&gt;=0)</formula>
    </cfRule>
    <cfRule type="expression" dxfId="61" priority="25">
      <formula>AND(ISNUMBER(E45),E45&lt;0)</formula>
    </cfRule>
  </conditionalFormatting>
  <conditionalFormatting sqref="G7:G9 G11:G15 G17:G24 G48:G50 G52:G54 G56:G59 G61:G62">
    <cfRule type="cellIs" dxfId="60" priority="6" operator="greaterThan">
      <formula>0</formula>
    </cfRule>
    <cfRule type="cellIs" dxfId="59" priority="7" operator="lessThan">
      <formula>0</formula>
    </cfRule>
  </conditionalFormatting>
  <conditionalFormatting sqref="G17">
    <cfRule type="expression" dxfId="58" priority="51">
      <formula>AND(ISNUMBER(G17),G17&lt;0)</formula>
    </cfRule>
    <cfRule type="expression" dxfId="57" priority="50">
      <formula>AND(ISNUMBER(G17),G17&gt;0)</formula>
    </cfRule>
  </conditionalFormatting>
  <conditionalFormatting sqref="G17:G24">
    <cfRule type="cellIs" dxfId="56" priority="57" operator="lessThan">
      <formula>0</formula>
    </cfRule>
    <cfRule type="cellIs" dxfId="55" priority="56" operator="greaterThanOrEqual">
      <formula>0</formula>
    </cfRule>
  </conditionalFormatting>
  <conditionalFormatting sqref="G18">
    <cfRule type="expression" dxfId="54" priority="40">
      <formula>AND(ISNUMBER(G18),G18&lt;0)</formula>
    </cfRule>
    <cfRule type="expression" dxfId="53" priority="41">
      <formula>AND(ISNUMBER(G18),G18&gt;0)</formula>
    </cfRule>
  </conditionalFormatting>
  <conditionalFormatting sqref="G19">
    <cfRule type="expression" dxfId="52" priority="36">
      <formula>AND(ISNUMBER(G19),G19&gt;0)</formula>
    </cfRule>
    <cfRule type="expression" dxfId="51" priority="37">
      <formula>AND(ISNUMBER(G19),G19&lt;0)</formula>
    </cfRule>
  </conditionalFormatting>
  <conditionalFormatting sqref="G20">
    <cfRule type="expression" dxfId="50" priority="42">
      <formula>AND(ISNUMBER(G20),G20&lt;0)</formula>
    </cfRule>
    <cfRule type="expression" dxfId="49" priority="43">
      <formula>AND(ISNUMBER(G20),G20&gt;0)</formula>
    </cfRule>
  </conditionalFormatting>
  <conditionalFormatting sqref="G21">
    <cfRule type="expression" dxfId="48" priority="38">
      <formula>AND(ISNUMBER(G21),G21&gt;0)</formula>
    </cfRule>
    <cfRule type="expression" dxfId="47" priority="39">
      <formula>AND(ISNUMBER(G21),G21&lt;0)</formula>
    </cfRule>
  </conditionalFormatting>
  <conditionalFormatting sqref="G22:G24">
    <cfRule type="expression" dxfId="46" priority="44">
      <formula>AND(ISNUMBER(G22),G22&lt;0)</formula>
    </cfRule>
    <cfRule type="expression" dxfId="45" priority="45">
      <formula>AND(ISNUMBER(G22),G22&gt;0)</formula>
    </cfRule>
  </conditionalFormatting>
  <conditionalFormatting sqref="G30">
    <cfRule type="expression" dxfId="44" priority="29">
      <formula>AND(ISNUMBER(G30),G30&lt;0)</formula>
    </cfRule>
    <cfRule type="expression" dxfId="43" priority="28">
      <formula>AND(ISNUMBER(G30),G30&gt;=0)</formula>
    </cfRule>
  </conditionalFormatting>
  <conditionalFormatting sqref="G35">
    <cfRule type="expression" dxfId="42" priority="30">
      <formula>AND(ISNUMBER(G35),G35&gt;=0)</formula>
    </cfRule>
    <cfRule type="expression" dxfId="41" priority="31">
      <formula>AND(ISNUMBER(G35),G35&lt;0)</formula>
    </cfRule>
  </conditionalFormatting>
  <conditionalFormatting sqref="G40">
    <cfRule type="expression" dxfId="40" priority="32">
      <formula>AND(ISNUMBER(G40),G40&gt;=0)</formula>
    </cfRule>
    <cfRule type="expression" dxfId="39" priority="33">
      <formula>AND(ISNUMBER(G40),G40&lt;0)</formula>
    </cfRule>
  </conditionalFormatting>
  <conditionalFormatting sqref="G45">
    <cfRule type="expression" dxfId="38" priority="34">
      <formula>AND(ISNUMBER(G45),G45&gt;=0)</formula>
    </cfRule>
    <cfRule type="expression" dxfId="37" priority="35">
      <formula>AND(ISNUMBER(G45),G45&lt;0)</formula>
    </cfRule>
  </conditionalFormatting>
  <conditionalFormatting sqref="H7:H9 H11:H15 H48:H50 H52:H54 H56:H59 H61:H62">
    <cfRule type="expression" dxfId="36" priority="4">
      <formula>$H7="✓"</formula>
    </cfRule>
    <cfRule type="expression" dxfId="35" priority="5">
      <formula>$H7="✗"</formula>
    </cfRule>
  </conditionalFormatting>
  <conditionalFormatting sqref="H17:H24">
    <cfRule type="containsText" dxfId="34" priority="52" operator="containsText" text="✓">
      <formula>NOT(ISERROR(SEARCH("✓",H17)))</formula>
    </cfRule>
    <cfRule type="containsText" dxfId="33" priority="53" operator="containsText" text="✗">
      <formula>NOT(ISERROR(SEARCH("✗",H17)))</formula>
    </cfRule>
  </conditionalFormatting>
  <conditionalFormatting sqref="H30">
    <cfRule type="expression" dxfId="32" priority="9">
      <formula>H30="✗"</formula>
    </cfRule>
    <cfRule type="expression" dxfId="31" priority="8">
      <formula>H30="✓"</formula>
    </cfRule>
  </conditionalFormatting>
  <conditionalFormatting sqref="H35">
    <cfRule type="expression" dxfId="30" priority="10">
      <formula>H35="✓"</formula>
    </cfRule>
    <cfRule type="expression" dxfId="29" priority="11">
      <formula>H35="✗"</formula>
    </cfRule>
  </conditionalFormatting>
  <conditionalFormatting sqref="H40">
    <cfRule type="expression" dxfId="28" priority="13">
      <formula>H40="✗"</formula>
    </cfRule>
    <cfRule type="expression" dxfId="27" priority="12">
      <formula>H40="✓"</formula>
    </cfRule>
  </conditionalFormatting>
  <conditionalFormatting sqref="H45">
    <cfRule type="expression" dxfId="26" priority="15">
      <formula>H45="✗"</formula>
    </cfRule>
    <cfRule type="expression" dxfId="25" priority="14">
      <formula>H45="✓"</formula>
    </cfRule>
  </conditionalFormatting>
  <pageMargins left="0.75" right="0.75" top="1" bottom="1" header="0.511811023622047" footer="0.511811023622047"/>
  <pageSetup scale="65" fitToWidth="0" fitToHeight="0" orientation="portrait" horizontalDpi="300" verticalDpi="300" r:id="rId1"/>
  <colBreaks count="1" manualBreakCount="1">
    <brk id="8" max="1048575" man="1"/>
  </colBreaks>
  <ignoredErrors>
    <ignoredError sqref="G58 G53" 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2060"/>
    <pageSetUpPr fitToPage="1"/>
  </sheetPr>
  <dimension ref="A1:AC104"/>
  <sheetViews>
    <sheetView showGridLines="0" zoomScaleNormal="100" workbookViewId="0">
      <pane xSplit="3" ySplit="4" topLeftCell="U33" activePane="bottomRight" state="frozen"/>
      <selection pane="topRight" activeCell="D1" sqref="D1"/>
      <selection pane="bottomLeft" activeCell="A5" sqref="A5"/>
      <selection pane="bottomRight" activeCell="V34" sqref="V34"/>
    </sheetView>
  </sheetViews>
  <sheetFormatPr defaultColWidth="8.54296875" defaultRowHeight="14.5"/>
  <cols>
    <col min="1" max="1" width="44.81640625" customWidth="1"/>
    <col min="2" max="2" width="30.1796875" bestFit="1" customWidth="1"/>
    <col min="3" max="29" width="10" customWidth="1"/>
  </cols>
  <sheetData>
    <row r="1" spans="1:29" ht="24" customHeight="1">
      <c r="B1" s="10" t="s">
        <v>218</v>
      </c>
    </row>
    <row r="2" spans="1:29" ht="15" customHeight="1">
      <c r="B2" s="11" t="s">
        <v>388</v>
      </c>
    </row>
    <row r="3" spans="1:29" ht="15" customHeight="1">
      <c r="D3" s="12" t="s">
        <v>389</v>
      </c>
      <c r="E3" s="12" t="s">
        <v>390</v>
      </c>
      <c r="F3" s="12" t="s">
        <v>391</v>
      </c>
      <c r="G3" s="12" t="s">
        <v>392</v>
      </c>
      <c r="H3" s="12" t="s">
        <v>393</v>
      </c>
      <c r="I3" s="12" t="s">
        <v>394</v>
      </c>
      <c r="J3" s="12" t="s">
        <v>395</v>
      </c>
      <c r="K3" s="12" t="s">
        <v>396</v>
      </c>
      <c r="L3" s="12" t="s">
        <v>397</v>
      </c>
      <c r="M3" s="12" t="s">
        <v>398</v>
      </c>
      <c r="N3" s="12" t="s">
        <v>399</v>
      </c>
      <c r="O3" s="12" t="s">
        <v>400</v>
      </c>
      <c r="P3" s="12" t="s">
        <v>401</v>
      </c>
      <c r="Q3" s="12" t="s">
        <v>402</v>
      </c>
      <c r="R3" s="12" t="s">
        <v>403</v>
      </c>
      <c r="S3" s="12" t="s">
        <v>404</v>
      </c>
      <c r="T3" s="12" t="s">
        <v>405</v>
      </c>
      <c r="U3" s="12" t="s">
        <v>406</v>
      </c>
      <c r="V3" s="12" t="s">
        <v>407</v>
      </c>
      <c r="W3" s="12" t="s">
        <v>408</v>
      </c>
      <c r="X3" s="12" t="s">
        <v>409</v>
      </c>
      <c r="Y3" s="12" t="s">
        <v>410</v>
      </c>
      <c r="Z3" s="12" t="s">
        <v>411</v>
      </c>
      <c r="AA3" s="12" t="s">
        <v>412</v>
      </c>
      <c r="AB3" s="12" t="s">
        <v>413</v>
      </c>
      <c r="AC3" s="12" t="s">
        <v>414</v>
      </c>
    </row>
    <row r="4" spans="1:29" ht="15" customHeight="1">
      <c r="A4" s="13" t="s">
        <v>415</v>
      </c>
      <c r="B4" s="13" t="s">
        <v>334</v>
      </c>
      <c r="C4" s="13" t="s">
        <v>416</v>
      </c>
      <c r="D4" s="14">
        <v>46013</v>
      </c>
      <c r="E4" s="14">
        <v>46020</v>
      </c>
      <c r="F4" s="14">
        <v>46027</v>
      </c>
      <c r="G4" s="14">
        <v>46034</v>
      </c>
      <c r="H4" s="14">
        <v>46041</v>
      </c>
      <c r="I4" s="14">
        <v>46048</v>
      </c>
      <c r="J4" s="14">
        <v>46055</v>
      </c>
      <c r="K4" s="14">
        <v>46062</v>
      </c>
      <c r="L4" s="14">
        <v>46069</v>
      </c>
      <c r="M4" s="14">
        <v>46076</v>
      </c>
      <c r="N4" s="14">
        <v>46083</v>
      </c>
      <c r="O4" s="14">
        <v>46090</v>
      </c>
      <c r="P4" s="14">
        <v>46097</v>
      </c>
      <c r="Q4" s="14">
        <v>46104</v>
      </c>
      <c r="R4" s="14">
        <v>46111</v>
      </c>
      <c r="S4" s="14">
        <v>46118</v>
      </c>
      <c r="T4" s="14">
        <v>46125</v>
      </c>
      <c r="U4" s="14">
        <v>46132</v>
      </c>
      <c r="V4" s="14">
        <v>46139</v>
      </c>
      <c r="W4" s="14">
        <v>46146</v>
      </c>
      <c r="X4" s="14">
        <v>46153</v>
      </c>
      <c r="Y4" s="14">
        <v>46160</v>
      </c>
      <c r="Z4" s="14">
        <v>46167</v>
      </c>
      <c r="AA4" s="14">
        <v>46174</v>
      </c>
      <c r="AB4" s="14">
        <v>46181</v>
      </c>
      <c r="AC4" s="14">
        <v>46188</v>
      </c>
    </row>
    <row r="5" spans="1:29" ht="15" customHeight="1">
      <c r="A5" s="15" t="s">
        <v>341</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row>
    <row r="6" spans="1:29" ht="15" customHeight="1">
      <c r="B6" s="88" t="s">
        <v>342</v>
      </c>
      <c r="C6" s="89">
        <v>0</v>
      </c>
      <c r="D6" s="90">
        <v>0.79659999999999997</v>
      </c>
      <c r="E6" s="90">
        <v>0.8</v>
      </c>
      <c r="F6" s="90">
        <v>0.8</v>
      </c>
      <c r="G6" s="54">
        <v>0.8</v>
      </c>
      <c r="H6" s="54">
        <v>0.81142857142857139</v>
      </c>
      <c r="I6" s="54">
        <v>0.77828571428571425</v>
      </c>
      <c r="J6" s="54">
        <v>0.77829999999999999</v>
      </c>
      <c r="K6" s="54">
        <v>0.76773455377574373</v>
      </c>
      <c r="L6" s="54">
        <v>0.75629290617848965</v>
      </c>
      <c r="M6" s="54">
        <v>0.75171624713958807</v>
      </c>
      <c r="N6" s="54">
        <v>0.74828375286041193</v>
      </c>
      <c r="O6" s="54">
        <v>0.74141876430205955</v>
      </c>
      <c r="P6" s="54">
        <v>0.73913043478260865</v>
      </c>
      <c r="Q6" s="54">
        <v>0.73913043478260865</v>
      </c>
      <c r="R6" s="54">
        <v>0.74141876430205955</v>
      </c>
      <c r="S6" s="54">
        <v>0.72883295194508013</v>
      </c>
      <c r="T6" s="54">
        <v>0.72311212814645309</v>
      </c>
      <c r="U6" s="54">
        <v>0.73229999999999995</v>
      </c>
      <c r="V6" s="54">
        <f>SUM('Boxscore MMR -Availability'!$M:$M)/(SUM('Boxscore MMR -Availability'!$C:$C)-SUM('Boxscore MMR -Availability'!$F:$F))</f>
        <v>0.73112128146453093</v>
      </c>
      <c r="W6" s="57"/>
      <c r="X6" s="57"/>
      <c r="Y6" s="57"/>
      <c r="Z6" s="57"/>
      <c r="AA6" s="57"/>
      <c r="AB6" s="57"/>
      <c r="AC6" s="57"/>
    </row>
    <row r="7" spans="1:29" ht="15" customHeight="1">
      <c r="B7" s="88" t="s">
        <v>343</v>
      </c>
      <c r="C7" s="91" t="s">
        <v>417</v>
      </c>
      <c r="D7" s="92">
        <v>701</v>
      </c>
      <c r="E7" s="92">
        <v>701</v>
      </c>
      <c r="F7" s="92">
        <v>704</v>
      </c>
      <c r="G7" s="55">
        <v>704</v>
      </c>
      <c r="H7" s="55">
        <v>710</v>
      </c>
      <c r="I7" s="55">
        <v>681</v>
      </c>
      <c r="J7" s="55">
        <v>681</v>
      </c>
      <c r="K7" s="55">
        <v>671</v>
      </c>
      <c r="L7" s="55">
        <v>661</v>
      </c>
      <c r="M7" s="55">
        <v>657</v>
      </c>
      <c r="N7" s="55">
        <v>654</v>
      </c>
      <c r="O7" s="55">
        <v>648</v>
      </c>
      <c r="P7" s="55">
        <v>646</v>
      </c>
      <c r="Q7" s="55">
        <v>646</v>
      </c>
      <c r="R7" s="55">
        <v>648</v>
      </c>
      <c r="S7" s="55">
        <v>637</v>
      </c>
      <c r="T7" s="55">
        <v>632</v>
      </c>
      <c r="U7" s="55">
        <v>640</v>
      </c>
      <c r="V7" s="55">
        <f>SUM('Boxscore MMR -Availability'!$M:$M)</f>
        <v>639</v>
      </c>
      <c r="W7" s="55"/>
      <c r="X7" s="55"/>
      <c r="Y7" s="55"/>
      <c r="Z7" s="55"/>
      <c r="AA7" s="55"/>
      <c r="AB7" s="55"/>
      <c r="AC7" s="55"/>
    </row>
    <row r="8" spans="1:29" ht="15" customHeight="1">
      <c r="B8" s="88" t="s">
        <v>418</v>
      </c>
      <c r="C8" s="91" t="s">
        <v>417</v>
      </c>
      <c r="D8" s="92">
        <v>880</v>
      </c>
      <c r="E8" s="92">
        <v>880</v>
      </c>
      <c r="F8" s="92">
        <v>880</v>
      </c>
      <c r="G8" s="55">
        <v>880</v>
      </c>
      <c r="H8" s="55">
        <v>880</v>
      </c>
      <c r="I8" s="55">
        <v>880</v>
      </c>
      <c r="J8" s="55">
        <v>880</v>
      </c>
      <c r="K8" s="55">
        <v>880</v>
      </c>
      <c r="L8" s="55">
        <v>880</v>
      </c>
      <c r="M8" s="55">
        <v>880</v>
      </c>
      <c r="N8" s="55">
        <v>880</v>
      </c>
      <c r="O8" s="55">
        <v>880</v>
      </c>
      <c r="P8" s="55">
        <v>880</v>
      </c>
      <c r="Q8" s="55">
        <v>880</v>
      </c>
      <c r="R8" s="55">
        <v>880</v>
      </c>
      <c r="S8" s="55">
        <v>880</v>
      </c>
      <c r="T8" s="55">
        <v>880</v>
      </c>
      <c r="U8" s="55">
        <v>880</v>
      </c>
      <c r="V8" s="55">
        <v>880</v>
      </c>
      <c r="W8" s="55"/>
      <c r="X8" s="55"/>
      <c r="Y8" s="55"/>
      <c r="Z8" s="55"/>
      <c r="AA8" s="55"/>
      <c r="AB8" s="55"/>
      <c r="AC8" s="55"/>
    </row>
    <row r="9" spans="1:29" ht="15" customHeight="1">
      <c r="A9" s="59" t="s">
        <v>419</v>
      </c>
      <c r="B9" s="88" t="s">
        <v>420</v>
      </c>
      <c r="C9" s="89">
        <v>0</v>
      </c>
      <c r="D9" s="90">
        <v>0.75</v>
      </c>
      <c r="E9" s="90">
        <v>0.80559999999999998</v>
      </c>
      <c r="F9" s="90">
        <v>0.80559999999999998</v>
      </c>
      <c r="G9" s="54">
        <v>0.80555555555555558</v>
      </c>
      <c r="H9" s="54">
        <v>0.80555555555555558</v>
      </c>
      <c r="I9" s="54">
        <v>0.77777777777777779</v>
      </c>
      <c r="J9" s="54">
        <v>0.77780000000000005</v>
      </c>
      <c r="K9" s="54">
        <v>0.77777777777777779</v>
      </c>
      <c r="L9" s="54">
        <v>0.77777777777777779</v>
      </c>
      <c r="M9" s="54">
        <v>0.75</v>
      </c>
      <c r="N9" s="54">
        <v>0.75</v>
      </c>
      <c r="O9" s="54">
        <v>0.69444444444444442</v>
      </c>
      <c r="P9" s="54">
        <v>0.72222222222222221</v>
      </c>
      <c r="Q9" s="54">
        <v>0.72222222222222221</v>
      </c>
      <c r="R9" s="54">
        <v>0.69444444444444442</v>
      </c>
      <c r="S9" s="54">
        <v>0.61111111111111116</v>
      </c>
      <c r="T9" s="54">
        <v>0.55555555555555558</v>
      </c>
      <c r="U9" s="54">
        <v>0.55559999999999998</v>
      </c>
      <c r="V9" s="54">
        <f ca="1">SUMIF('Boxscore MMR -Availability'!$A:$M,Data_2!$A9,'Boxscore MMR -Availability'!$M:$M)/(SUMIF('Boxscore MMR -Availability'!$A:$M,Data_2!$A9,'Boxscore MMR -Availability'!$C:$C)-SUMIF('Boxscore MMR -Availability'!$A:$M,Data_2!$A9,'Boxscore MMR -Availability'!$F:$F))</f>
        <v>0.55555555555555558</v>
      </c>
      <c r="W9" s="57"/>
      <c r="X9" s="57"/>
      <c r="Y9" s="57"/>
      <c r="Z9" s="57"/>
      <c r="AA9" s="57"/>
      <c r="AB9" s="57"/>
      <c r="AC9" s="57"/>
    </row>
    <row r="10" spans="1:29" ht="15" customHeight="1">
      <c r="A10" s="59" t="s">
        <v>421</v>
      </c>
      <c r="B10" s="88" t="s">
        <v>422</v>
      </c>
      <c r="C10" s="89">
        <v>0</v>
      </c>
      <c r="D10" s="90">
        <v>0.8165</v>
      </c>
      <c r="E10" s="90">
        <v>0.83389999999999997</v>
      </c>
      <c r="F10" s="90">
        <v>0.83389999999999997</v>
      </c>
      <c r="G10" s="54">
        <v>0.84469696969696972</v>
      </c>
      <c r="H10" s="54">
        <v>0.85199240986717273</v>
      </c>
      <c r="I10" s="54">
        <v>0.81214421252371916</v>
      </c>
      <c r="J10" s="54">
        <v>0.81020000000000003</v>
      </c>
      <c r="K10" s="54">
        <v>0.79506641366223907</v>
      </c>
      <c r="L10" s="54">
        <v>0.78747628083491461</v>
      </c>
      <c r="M10" s="54">
        <v>0.78557874762808344</v>
      </c>
      <c r="N10" s="54">
        <v>0.77798861480075898</v>
      </c>
      <c r="O10" s="54">
        <v>0.77229601518026569</v>
      </c>
      <c r="P10" s="54">
        <v>0.76280834914611007</v>
      </c>
      <c r="Q10" s="54">
        <v>0.7609108159392789</v>
      </c>
      <c r="R10" s="54">
        <v>0.7609108159392789</v>
      </c>
      <c r="S10" s="54">
        <v>0.74383301707779881</v>
      </c>
      <c r="T10" s="54">
        <v>0.73624288425047435</v>
      </c>
      <c r="U10" s="54">
        <v>0.74</v>
      </c>
      <c r="V10" s="54" cm="1">
        <f t="array" ref="V10">_xlfn.LET(
  _xlpm.list, TRIM(_xlfn.TEXTSPLIT(Data_2!$A10,",")),
  SUM(SUMIF('Boxscore MMR -Availability'!$A:$A, _xlpm.list, 'Boxscore MMR -Availability'!$M:$M)) /
  (
    SUM(SUMIF('Boxscore MMR -Availability'!$A:$A, _xlpm.list, 'Boxscore MMR -Availability'!$C:$C)) -
    SUM(SUMIF('Boxscore MMR -Availability'!$A:$A, _xlpm.list, 'Boxscore MMR -Availability'!$F:$F))
  )
)</f>
        <v>0.73814041745730552</v>
      </c>
      <c r="W10" s="57"/>
      <c r="X10" s="57"/>
      <c r="Y10" s="57"/>
      <c r="Z10" s="57"/>
      <c r="AA10" s="57"/>
      <c r="AB10" s="57"/>
      <c r="AC10" s="57"/>
    </row>
    <row r="11" spans="1:29" ht="15" customHeight="1">
      <c r="A11" s="59" t="s">
        <v>423</v>
      </c>
      <c r="B11" s="88" t="s">
        <v>424</v>
      </c>
      <c r="C11" s="89">
        <v>0</v>
      </c>
      <c r="D11" s="90">
        <v>0.70420000000000005</v>
      </c>
      <c r="E11" s="90">
        <v>0.71309999999999996</v>
      </c>
      <c r="F11" s="90">
        <v>0.71309999999999996</v>
      </c>
      <c r="G11" s="54">
        <v>0.71311475409836067</v>
      </c>
      <c r="H11" s="54">
        <v>0.73333333333333328</v>
      </c>
      <c r="I11" s="54">
        <v>0.71250000000000002</v>
      </c>
      <c r="J11" s="54">
        <v>0.7167</v>
      </c>
      <c r="K11" s="54">
        <v>0.71966527196652719</v>
      </c>
      <c r="L11" s="54">
        <v>0.69456066945606698</v>
      </c>
      <c r="M11" s="54">
        <v>0.68619246861924688</v>
      </c>
      <c r="N11" s="54">
        <v>0.69037656903765687</v>
      </c>
      <c r="O11" s="54">
        <v>0.68200836820083677</v>
      </c>
      <c r="P11" s="54">
        <v>0.69874476987447698</v>
      </c>
      <c r="Q11" s="54">
        <v>0.70292887029288698</v>
      </c>
      <c r="R11" s="54">
        <v>0.71548117154811719</v>
      </c>
      <c r="S11" s="54">
        <v>0.72384937238493718</v>
      </c>
      <c r="T11" s="54">
        <v>0.72803347280334729</v>
      </c>
      <c r="U11" s="54">
        <v>0.75729999999999997</v>
      </c>
      <c r="V11" s="54" cm="1">
        <f t="array" ref="V11">_xlfn.LET(
  _xlpm.list, TRIM(_xlfn.TEXTSPLIT(Data_2!$A11,",")),
  SUM(SUMIF('Boxscore MMR -Availability'!$A:$A, _xlpm.list, 'Boxscore MMR -Availability'!$M:$M)) /
  (
    SUM(SUMIF('Boxscore MMR -Availability'!$A:$A, _xlpm.list, 'Boxscore MMR -Availability'!$C:$C)) -
    SUM(SUMIF('Boxscore MMR -Availability'!$A:$A, _xlpm.list, 'Boxscore MMR -Availability'!$F:$F))
  )
)</f>
        <v>0.75732217573221761</v>
      </c>
      <c r="W11" s="57"/>
      <c r="X11" s="57"/>
      <c r="Y11" s="57"/>
      <c r="Z11" s="57"/>
      <c r="AA11" s="57"/>
      <c r="AB11" s="57"/>
      <c r="AC11" s="57"/>
    </row>
    <row r="12" spans="1:29" ht="15" customHeight="1">
      <c r="A12" s="59" t="s">
        <v>425</v>
      </c>
      <c r="B12" s="88" t="s">
        <v>426</v>
      </c>
      <c r="C12" s="89">
        <v>0</v>
      </c>
      <c r="D12" s="90">
        <v>0.875</v>
      </c>
      <c r="E12" s="90">
        <v>0.875</v>
      </c>
      <c r="F12" s="90">
        <v>0.875</v>
      </c>
      <c r="G12" s="54">
        <v>0.875</v>
      </c>
      <c r="H12" s="54">
        <v>0.875</v>
      </c>
      <c r="I12" s="54">
        <v>0.875</v>
      </c>
      <c r="J12" s="54">
        <v>0.875</v>
      </c>
      <c r="K12" s="54">
        <v>0.875</v>
      </c>
      <c r="L12" s="54">
        <v>0.875</v>
      </c>
      <c r="M12" s="54">
        <v>0.875</v>
      </c>
      <c r="N12" s="54">
        <v>0.875</v>
      </c>
      <c r="O12" s="54">
        <v>0.875</v>
      </c>
      <c r="P12" s="54">
        <v>0.875</v>
      </c>
      <c r="Q12" s="54">
        <v>0.875</v>
      </c>
      <c r="R12" s="54">
        <v>0.875</v>
      </c>
      <c r="S12" s="54">
        <v>0.8125</v>
      </c>
      <c r="T12" s="54">
        <v>0.8125</v>
      </c>
      <c r="U12" s="54">
        <v>0.8125</v>
      </c>
      <c r="V12" s="54">
        <f ca="1">SUMIF('Boxscore MMR -Availability'!$A:$M,Data_2!$A12,'Boxscore MMR -Availability'!$M:$M)/(SUMIF('Boxscore MMR -Availability'!$A:$M,Data_2!$A12,'Boxscore MMR -Availability'!$C:$C)-SUMIF('Boxscore MMR -Availability'!$A:$M,Data_2!$A12,'Boxscore MMR -Availability'!$F:$F))</f>
        <v>0.8125</v>
      </c>
      <c r="W12" s="57"/>
      <c r="X12" s="57"/>
      <c r="Y12" s="57"/>
      <c r="Z12" s="57"/>
      <c r="AA12" s="57"/>
      <c r="AB12" s="57"/>
      <c r="AC12" s="57"/>
    </row>
    <row r="13" spans="1:29" ht="15" customHeight="1">
      <c r="B13" s="88" t="s">
        <v>344</v>
      </c>
      <c r="C13" s="89">
        <v>0</v>
      </c>
      <c r="D13" s="90">
        <v>0.22950000000000001</v>
      </c>
      <c r="E13" s="90">
        <v>0.2205</v>
      </c>
      <c r="F13" s="90">
        <v>0.21249999999999999</v>
      </c>
      <c r="G13" s="54">
        <v>0.21249999999999999</v>
      </c>
      <c r="H13" s="54">
        <v>0.20571428571428571</v>
      </c>
      <c r="I13" s="54">
        <v>0.2422857142857143</v>
      </c>
      <c r="J13" s="54">
        <v>0.23200000000000001</v>
      </c>
      <c r="K13" s="54">
        <v>0.2116704805491991</v>
      </c>
      <c r="L13" s="54">
        <v>0.20480549199084669</v>
      </c>
      <c r="M13" s="54">
        <v>0.22425629290617849</v>
      </c>
      <c r="N13" s="54">
        <v>0.24713958810068651</v>
      </c>
      <c r="O13" s="54">
        <v>0.2494279176201373</v>
      </c>
      <c r="P13" s="54">
        <v>0.25171624713958812</v>
      </c>
      <c r="Q13" s="54">
        <v>0.26887871853546913</v>
      </c>
      <c r="R13" s="54">
        <v>0.26773455377574373</v>
      </c>
      <c r="S13" s="54">
        <v>0.27688787185354691</v>
      </c>
      <c r="T13" s="54">
        <v>0.2780320366132723</v>
      </c>
      <c r="U13" s="54">
        <v>0.27689999999999998</v>
      </c>
      <c r="V13" s="54" cm="1">
        <f t="array" ref="V13">_xlfn.LET(
  _xlpm.num, SUM('Boxscore MMR -Availability'!$G:$G) + SUM('Boxscore MMR -Availability'!$K:$K),
  _xlpm.den, SUM('Boxscore MMR -Availability'!$C:$C) - SUM('Boxscore MMR -Availability'!$F:$F),
  _xlpm.num/_xlpm.den
)</f>
        <v>0.28489702517162474</v>
      </c>
      <c r="W13" s="57"/>
      <c r="X13" s="57"/>
      <c r="Y13" s="57"/>
      <c r="Z13" s="57"/>
      <c r="AA13" s="57"/>
      <c r="AB13" s="57"/>
      <c r="AC13" s="57"/>
    </row>
    <row r="14" spans="1:29" ht="15" customHeight="1">
      <c r="A14" s="15" t="s">
        <v>427</v>
      </c>
      <c r="B14" s="16"/>
      <c r="C14" s="16"/>
      <c r="D14" s="16"/>
      <c r="E14" s="16"/>
      <c r="F14" s="16"/>
      <c r="G14" s="16"/>
      <c r="H14" s="16"/>
      <c r="I14" s="16"/>
      <c r="J14" s="16" t="s">
        <v>428</v>
      </c>
      <c r="K14" s="16"/>
      <c r="L14" s="16"/>
      <c r="M14" s="16"/>
      <c r="N14" s="16"/>
      <c r="O14" s="16"/>
      <c r="P14" s="16"/>
      <c r="Q14" s="16"/>
      <c r="R14" s="16"/>
      <c r="S14" s="16"/>
      <c r="T14" s="16"/>
      <c r="U14" s="16" t="s">
        <v>428</v>
      </c>
      <c r="V14" s="16"/>
      <c r="W14" s="16"/>
      <c r="X14" s="16"/>
      <c r="Y14" s="16"/>
      <c r="Z14" s="16"/>
      <c r="AA14" s="16"/>
      <c r="AB14" s="16"/>
      <c r="AC14" s="16"/>
    </row>
    <row r="15" spans="1:29" ht="15" customHeight="1">
      <c r="B15" s="88" t="s">
        <v>347</v>
      </c>
      <c r="C15" s="91" t="s">
        <v>417</v>
      </c>
      <c r="D15" s="92">
        <v>36</v>
      </c>
      <c r="E15" s="92">
        <v>86</v>
      </c>
      <c r="F15" s="92">
        <v>141</v>
      </c>
      <c r="G15" s="55">
        <v>141</v>
      </c>
      <c r="H15" s="55">
        <v>88</v>
      </c>
      <c r="I15" s="55">
        <v>52</v>
      </c>
      <c r="J15" s="55">
        <v>83</v>
      </c>
      <c r="K15" s="55">
        <v>140</v>
      </c>
      <c r="L15" s="55">
        <v>149</v>
      </c>
      <c r="M15" s="55">
        <v>123</v>
      </c>
      <c r="N15" s="55">
        <v>103</v>
      </c>
      <c r="O15" s="55">
        <v>114</v>
      </c>
      <c r="P15" s="55">
        <v>124</v>
      </c>
      <c r="Q15" s="55">
        <v>147</v>
      </c>
      <c r="R15" s="55">
        <v>129</v>
      </c>
      <c r="S15" s="55">
        <v>119</v>
      </c>
      <c r="T15" s="55">
        <v>186</v>
      </c>
      <c r="U15" s="55">
        <v>210</v>
      </c>
      <c r="V15" s="55">
        <f>SUM('Boxscore MMR -Lead Activity'!$B:$B)</f>
        <v>246</v>
      </c>
      <c r="W15" s="55"/>
      <c r="X15" s="55"/>
      <c r="Y15" s="55"/>
      <c r="Z15" s="55"/>
      <c r="AA15" s="55"/>
      <c r="AB15" s="55"/>
      <c r="AC15" s="55"/>
    </row>
    <row r="16" spans="1:29" ht="15" customHeight="1">
      <c r="B16" s="88" t="s">
        <v>348</v>
      </c>
      <c r="C16" s="91" t="s">
        <v>417</v>
      </c>
      <c r="D16" s="92">
        <v>13</v>
      </c>
      <c r="E16" s="92">
        <v>5</v>
      </c>
      <c r="F16" s="92">
        <v>14</v>
      </c>
      <c r="G16" s="55">
        <v>14</v>
      </c>
      <c r="H16" s="55">
        <v>26</v>
      </c>
      <c r="I16" s="55">
        <v>18</v>
      </c>
      <c r="J16" s="55">
        <v>10</v>
      </c>
      <c r="K16" s="55">
        <v>28</v>
      </c>
      <c r="L16" s="55">
        <v>26</v>
      </c>
      <c r="M16" s="55">
        <v>28</v>
      </c>
      <c r="N16" s="55">
        <v>34</v>
      </c>
      <c r="O16" s="55">
        <v>28</v>
      </c>
      <c r="P16" s="55">
        <v>39</v>
      </c>
      <c r="Q16" s="55">
        <v>38</v>
      </c>
      <c r="R16" s="55">
        <v>24</v>
      </c>
      <c r="S16" s="55">
        <v>26</v>
      </c>
      <c r="T16" s="55">
        <v>25</v>
      </c>
      <c r="U16" s="55">
        <v>19</v>
      </c>
      <c r="V16" s="55">
        <f>SUM('Boxscore MMR -Lead Activity'!$N:$N)</f>
        <v>26</v>
      </c>
      <c r="W16" s="55"/>
      <c r="X16" s="55"/>
      <c r="Y16" s="55"/>
      <c r="Z16" s="55"/>
      <c r="AA16" s="55"/>
      <c r="AB16" s="55"/>
      <c r="AC16" s="55"/>
    </row>
    <row r="17" spans="1:29" ht="15" customHeight="1">
      <c r="B17" s="88" t="s">
        <v>429</v>
      </c>
      <c r="C17" s="89">
        <v>0</v>
      </c>
      <c r="D17" s="54">
        <f t="shared" ref="D17:F17" si="0">D16/D15</f>
        <v>0.3611111111111111</v>
      </c>
      <c r="E17" s="54">
        <f t="shared" si="0"/>
        <v>5.8139534883720929E-2</v>
      </c>
      <c r="F17" s="54">
        <f t="shared" si="0"/>
        <v>9.9290780141843976E-2</v>
      </c>
      <c r="G17" s="54">
        <v>9.9290780141843976E-2</v>
      </c>
      <c r="H17" s="54">
        <v>0.29545454545454547</v>
      </c>
      <c r="I17" s="54">
        <v>0.34615384615384615</v>
      </c>
      <c r="J17" s="54">
        <v>0.1205</v>
      </c>
      <c r="K17" s="54">
        <v>0.2</v>
      </c>
      <c r="L17" s="54">
        <v>0.17449664429530201</v>
      </c>
      <c r="M17" s="54">
        <v>0.22764227642276422</v>
      </c>
      <c r="N17" s="54">
        <v>0.3300970873786408</v>
      </c>
      <c r="O17" s="54">
        <v>0.24561403508771928</v>
      </c>
      <c r="P17" s="54">
        <v>0.31451612903225806</v>
      </c>
      <c r="Q17" s="54">
        <v>0.25850340136054423</v>
      </c>
      <c r="R17" s="54">
        <v>0.18604651162790697</v>
      </c>
      <c r="S17" s="54">
        <v>0.21848739495798319</v>
      </c>
      <c r="T17" s="54">
        <v>0.13440860215053763</v>
      </c>
      <c r="U17" s="54">
        <v>9.0499999999999997E-2</v>
      </c>
      <c r="V17" s="54">
        <f>V16/V15</f>
        <v>0.10569105691056911</v>
      </c>
      <c r="W17" s="57"/>
      <c r="X17" s="57"/>
      <c r="Y17" s="57"/>
      <c r="Z17" s="57"/>
      <c r="AA17" s="57"/>
      <c r="AB17" s="57"/>
      <c r="AC17" s="57"/>
    </row>
    <row r="18" spans="1:29" ht="15" customHeight="1">
      <c r="B18" s="88" t="s">
        <v>349</v>
      </c>
      <c r="C18" s="91" t="s">
        <v>417</v>
      </c>
      <c r="D18" s="92">
        <v>3</v>
      </c>
      <c r="E18" s="92">
        <v>11</v>
      </c>
      <c r="F18" s="92">
        <v>9</v>
      </c>
      <c r="G18" s="55">
        <v>9</v>
      </c>
      <c r="H18" s="55">
        <v>7</v>
      </c>
      <c r="I18" s="55">
        <v>5</v>
      </c>
      <c r="J18" s="55">
        <v>12</v>
      </c>
      <c r="K18" s="55">
        <v>29</v>
      </c>
      <c r="L18" s="55">
        <v>23</v>
      </c>
      <c r="M18" s="55">
        <v>16</v>
      </c>
      <c r="N18" s="55">
        <v>13</v>
      </c>
      <c r="O18" s="55">
        <v>21</v>
      </c>
      <c r="P18" s="55">
        <v>26</v>
      </c>
      <c r="Q18" s="55">
        <v>15</v>
      </c>
      <c r="R18" s="55">
        <v>23</v>
      </c>
      <c r="S18" s="55">
        <v>12</v>
      </c>
      <c r="T18" s="55">
        <v>19</v>
      </c>
      <c r="U18" s="55">
        <v>13</v>
      </c>
      <c r="V18" s="55">
        <f>SUM('Boxscore MMR- Lead Conversion'!$B:$B)</f>
        <v>20</v>
      </c>
      <c r="W18" s="55"/>
      <c r="X18" s="55"/>
      <c r="Y18" s="55"/>
      <c r="Z18" s="55"/>
      <c r="AA18" s="55"/>
      <c r="AB18" s="55"/>
      <c r="AC18" s="55"/>
    </row>
    <row r="19" spans="1:29" ht="15" customHeight="1">
      <c r="B19" s="88" t="s">
        <v>430</v>
      </c>
      <c r="C19" s="91" t="s">
        <v>417</v>
      </c>
      <c r="D19" s="92">
        <v>0</v>
      </c>
      <c r="E19" s="92">
        <v>0</v>
      </c>
      <c r="F19" s="92">
        <v>3</v>
      </c>
      <c r="G19" s="55">
        <v>3</v>
      </c>
      <c r="H19" s="55">
        <v>5</v>
      </c>
      <c r="I19" s="55">
        <v>1</v>
      </c>
      <c r="J19" s="55">
        <v>4</v>
      </c>
      <c r="K19" s="55">
        <v>2</v>
      </c>
      <c r="L19" s="55">
        <v>2</v>
      </c>
      <c r="M19" s="55">
        <v>1</v>
      </c>
      <c r="N19" s="55">
        <v>6</v>
      </c>
      <c r="O19" s="55">
        <v>5</v>
      </c>
      <c r="P19" s="55">
        <v>11</v>
      </c>
      <c r="Q19" s="55">
        <v>8</v>
      </c>
      <c r="R19" s="55">
        <v>8</v>
      </c>
      <c r="S19" s="55">
        <v>8</v>
      </c>
      <c r="T19" s="55">
        <v>6</v>
      </c>
      <c r="U19" s="55">
        <v>13</v>
      </c>
      <c r="V19" s="55">
        <f>SUM('Boxscore MMR- Lead Conversion'!$F:$F)</f>
        <v>7</v>
      </c>
      <c r="W19" s="55"/>
      <c r="X19" s="55"/>
      <c r="Y19" s="55"/>
      <c r="Z19" s="55"/>
      <c r="AA19" s="55"/>
      <c r="AB19" s="55"/>
      <c r="AC19" s="55"/>
    </row>
    <row r="20" spans="1:29" ht="15" customHeight="1">
      <c r="B20" s="88" t="s">
        <v>431</v>
      </c>
      <c r="C20" s="91" t="s">
        <v>417</v>
      </c>
      <c r="D20" s="92">
        <v>3</v>
      </c>
      <c r="E20" s="92">
        <v>9</v>
      </c>
      <c r="F20" s="92">
        <v>5</v>
      </c>
      <c r="G20" s="55">
        <v>5</v>
      </c>
      <c r="H20" s="55">
        <v>-2</v>
      </c>
      <c r="I20" s="55">
        <v>-2</v>
      </c>
      <c r="J20" s="55">
        <v>5</v>
      </c>
      <c r="K20" s="55">
        <v>23</v>
      </c>
      <c r="L20" s="55">
        <v>11</v>
      </c>
      <c r="M20" s="55">
        <v>-3</v>
      </c>
      <c r="N20" s="55">
        <v>-19</v>
      </c>
      <c r="O20" s="55">
        <v>-6</v>
      </c>
      <c r="P20" s="55">
        <v>6</v>
      </c>
      <c r="Q20" s="55">
        <v>-13</v>
      </c>
      <c r="R20" s="55">
        <v>5</v>
      </c>
      <c r="S20" s="55">
        <v>-10</v>
      </c>
      <c r="T20" s="55">
        <v>4</v>
      </c>
      <c r="U20" s="55">
        <v>-9</v>
      </c>
      <c r="V20" s="55">
        <f>V18-V19-V21-V22</f>
        <v>3</v>
      </c>
      <c r="W20" s="55"/>
      <c r="X20" s="55"/>
      <c r="Y20" s="55"/>
      <c r="Z20" s="55"/>
      <c r="AA20" s="55"/>
      <c r="AB20" s="55"/>
      <c r="AC20" s="55"/>
    </row>
    <row r="21" spans="1:29" ht="15" customHeight="1">
      <c r="B21" s="88" t="s">
        <v>432</v>
      </c>
      <c r="C21" s="91" t="s">
        <v>417</v>
      </c>
      <c r="D21" s="92">
        <v>0</v>
      </c>
      <c r="E21" s="92">
        <v>0</v>
      </c>
      <c r="F21" s="92">
        <v>0</v>
      </c>
      <c r="G21" s="55">
        <v>0</v>
      </c>
      <c r="H21" s="55">
        <v>2</v>
      </c>
      <c r="I21" s="55">
        <v>4</v>
      </c>
      <c r="J21" s="55">
        <v>2</v>
      </c>
      <c r="K21" s="55">
        <v>2</v>
      </c>
      <c r="L21" s="55">
        <v>4</v>
      </c>
      <c r="M21" s="55">
        <v>16</v>
      </c>
      <c r="N21" s="55">
        <v>21</v>
      </c>
      <c r="O21" s="55">
        <v>20</v>
      </c>
      <c r="P21" s="55">
        <v>8</v>
      </c>
      <c r="Q21" s="55">
        <v>19</v>
      </c>
      <c r="R21" s="55">
        <v>9</v>
      </c>
      <c r="S21" s="55">
        <v>14</v>
      </c>
      <c r="T21" s="55">
        <v>9</v>
      </c>
      <c r="U21" s="55">
        <v>8</v>
      </c>
      <c r="V21" s="55">
        <f>SUM('Boxscore MMR- Lead Conversion'!$C:$C)+SUM('Boxscore MMR- Lead Conversion'!$G:$G)</f>
        <v>8</v>
      </c>
      <c r="W21" s="55"/>
      <c r="X21" s="55"/>
      <c r="Y21" s="55"/>
      <c r="Z21" s="55"/>
      <c r="AA21" s="55"/>
      <c r="AB21" s="55"/>
      <c r="AC21" s="55"/>
    </row>
    <row r="22" spans="1:29" ht="15" customHeight="1">
      <c r="B22" s="88" t="s">
        <v>433</v>
      </c>
      <c r="C22" s="91" t="s">
        <v>417</v>
      </c>
      <c r="D22" s="92">
        <v>0</v>
      </c>
      <c r="E22" s="92">
        <v>2</v>
      </c>
      <c r="F22" s="92">
        <v>1</v>
      </c>
      <c r="G22" s="55">
        <v>1</v>
      </c>
      <c r="H22" s="55">
        <v>2</v>
      </c>
      <c r="I22" s="55">
        <v>2</v>
      </c>
      <c r="J22" s="55">
        <v>1</v>
      </c>
      <c r="K22" s="55">
        <v>2</v>
      </c>
      <c r="L22" s="55">
        <v>6</v>
      </c>
      <c r="M22" s="55">
        <v>2</v>
      </c>
      <c r="N22" s="55">
        <v>5</v>
      </c>
      <c r="O22" s="55">
        <v>2</v>
      </c>
      <c r="P22" s="55">
        <v>1</v>
      </c>
      <c r="Q22" s="55">
        <v>1</v>
      </c>
      <c r="R22" s="55">
        <v>1</v>
      </c>
      <c r="S22" s="55">
        <v>0</v>
      </c>
      <c r="T22" s="55">
        <v>0</v>
      </c>
      <c r="U22" s="55">
        <v>1</v>
      </c>
      <c r="V22" s="55">
        <f>SUM('Boxscore MMR- Lead Conversion'!$E:$E)</f>
        <v>2</v>
      </c>
      <c r="W22" s="55"/>
      <c r="X22" s="55"/>
      <c r="Y22" s="55"/>
      <c r="Z22" s="55"/>
      <c r="AA22" s="55"/>
      <c r="AB22" s="55"/>
      <c r="AC22" s="55"/>
    </row>
    <row r="23" spans="1:29" ht="15" customHeight="1">
      <c r="B23" s="88" t="s">
        <v>350</v>
      </c>
      <c r="C23" s="91" t="s">
        <v>417</v>
      </c>
      <c r="D23" s="55">
        <f t="shared" ref="D23:F23" si="1">D18-D22-D21</f>
        <v>3</v>
      </c>
      <c r="E23" s="55">
        <f t="shared" si="1"/>
        <v>9</v>
      </c>
      <c r="F23" s="55">
        <f t="shared" si="1"/>
        <v>8</v>
      </c>
      <c r="G23" s="55">
        <v>8</v>
      </c>
      <c r="H23" s="55">
        <v>3</v>
      </c>
      <c r="I23" s="55">
        <v>-1</v>
      </c>
      <c r="J23" s="55">
        <v>9</v>
      </c>
      <c r="K23" s="55">
        <v>25</v>
      </c>
      <c r="L23" s="55">
        <v>13</v>
      </c>
      <c r="M23" s="55">
        <v>-2</v>
      </c>
      <c r="N23" s="55">
        <v>-13</v>
      </c>
      <c r="O23" s="55">
        <v>-1</v>
      </c>
      <c r="P23" s="55">
        <v>17</v>
      </c>
      <c r="Q23" s="55">
        <v>-5</v>
      </c>
      <c r="R23" s="55">
        <v>13</v>
      </c>
      <c r="S23" s="55">
        <v>-2</v>
      </c>
      <c r="T23" s="55">
        <v>10</v>
      </c>
      <c r="U23" s="55">
        <v>4</v>
      </c>
      <c r="V23" s="55">
        <f>V18-V22-V21</f>
        <v>10</v>
      </c>
      <c r="W23" s="55"/>
      <c r="X23" s="55"/>
      <c r="Y23" s="55"/>
      <c r="Z23" s="55"/>
      <c r="AA23" s="55"/>
      <c r="AB23" s="55"/>
      <c r="AC23" s="55"/>
    </row>
    <row r="24" spans="1:29" ht="15" customHeight="1">
      <c r="B24" s="88" t="s">
        <v>434</v>
      </c>
      <c r="C24" s="89">
        <v>0</v>
      </c>
      <c r="D24" s="54">
        <f t="shared" ref="D24:F24" si="2">D23/D18</f>
        <v>1</v>
      </c>
      <c r="E24" s="54">
        <f t="shared" si="2"/>
        <v>0.81818181818181823</v>
      </c>
      <c r="F24" s="54">
        <f t="shared" si="2"/>
        <v>0.88888888888888884</v>
      </c>
      <c r="G24" s="54">
        <v>0.88888888888888884</v>
      </c>
      <c r="H24" s="54">
        <v>0.42857142857142855</v>
      </c>
      <c r="I24" s="54">
        <v>-0.2</v>
      </c>
      <c r="J24" s="54">
        <v>0.75</v>
      </c>
      <c r="K24" s="54">
        <v>0.86206896551724133</v>
      </c>
      <c r="L24" s="54">
        <v>0.56521739130434778</v>
      </c>
      <c r="M24" s="54">
        <v>-0.125</v>
      </c>
      <c r="N24" s="54">
        <v>-1</v>
      </c>
      <c r="O24" s="54">
        <v>-4.7619047619047616E-2</v>
      </c>
      <c r="P24" s="54">
        <v>0.65384615384615385</v>
      </c>
      <c r="Q24" s="54">
        <v>-0.33333333333333331</v>
      </c>
      <c r="R24" s="54">
        <v>0.56521739130434778</v>
      </c>
      <c r="S24" s="54">
        <v>-0.16666666666666666</v>
      </c>
      <c r="T24" s="54">
        <v>0.52631578947368418</v>
      </c>
      <c r="U24" s="54">
        <v>0.30769999999999997</v>
      </c>
      <c r="V24" s="54">
        <f>V23/V18</f>
        <v>0.5</v>
      </c>
      <c r="W24" s="57"/>
      <c r="X24" s="57"/>
      <c r="Y24" s="57"/>
      <c r="Z24" s="57"/>
      <c r="AA24" s="57"/>
      <c r="AB24" s="57"/>
      <c r="AC24" s="57"/>
    </row>
    <row r="25" spans="1:29" ht="15" customHeight="1">
      <c r="B25" s="88" t="s">
        <v>435</v>
      </c>
      <c r="C25" s="91" t="s">
        <v>417</v>
      </c>
      <c r="D25" s="92">
        <v>0</v>
      </c>
      <c r="E25" s="92">
        <v>0</v>
      </c>
      <c r="F25" s="92">
        <v>0</v>
      </c>
      <c r="G25" s="55">
        <v>3</v>
      </c>
      <c r="H25" s="55">
        <v>5</v>
      </c>
      <c r="I25" s="55">
        <v>2</v>
      </c>
      <c r="J25" s="55">
        <v>5</v>
      </c>
      <c r="K25" s="55">
        <v>2</v>
      </c>
      <c r="L25" s="55">
        <v>1</v>
      </c>
      <c r="M25" s="55">
        <v>1</v>
      </c>
      <c r="N25" s="55">
        <v>3</v>
      </c>
      <c r="O25" s="55">
        <v>7</v>
      </c>
      <c r="P25" s="55">
        <v>11</v>
      </c>
      <c r="Q25" s="55">
        <v>7</v>
      </c>
      <c r="R25" s="55">
        <v>8</v>
      </c>
      <c r="S25" s="55">
        <v>8</v>
      </c>
      <c r="T25" s="55">
        <v>3</v>
      </c>
      <c r="U25" s="55">
        <v>14</v>
      </c>
      <c r="V25" s="55">
        <f>SUM('Boxscore MMR- Lead Conversion'!$H:$H)</f>
        <v>7</v>
      </c>
      <c r="W25" s="55"/>
      <c r="X25" s="55"/>
      <c r="Y25" s="55"/>
      <c r="Z25" s="55"/>
      <c r="AA25" s="55"/>
      <c r="AB25" s="55"/>
      <c r="AC25" s="55"/>
    </row>
    <row r="26" spans="1:29" ht="15" customHeight="1">
      <c r="B26" s="262" t="s">
        <v>351</v>
      </c>
      <c r="C26" s="298" t="s">
        <v>417</v>
      </c>
      <c r="D26" s="264">
        <v>0</v>
      </c>
      <c r="E26" s="264">
        <v>0</v>
      </c>
      <c r="F26" s="264">
        <v>0</v>
      </c>
      <c r="G26" s="265">
        <v>3</v>
      </c>
      <c r="H26" s="265">
        <v>4</v>
      </c>
      <c r="I26" s="265">
        <v>2</v>
      </c>
      <c r="J26" s="265">
        <v>5</v>
      </c>
      <c r="K26" s="265">
        <v>2</v>
      </c>
      <c r="L26" s="265">
        <v>1</v>
      </c>
      <c r="M26" s="265">
        <v>1</v>
      </c>
      <c r="N26" s="265">
        <v>3</v>
      </c>
      <c r="O26" s="265">
        <v>7</v>
      </c>
      <c r="P26" s="265">
        <v>11</v>
      </c>
      <c r="Q26" s="265">
        <v>7</v>
      </c>
      <c r="R26" s="265">
        <v>8</v>
      </c>
      <c r="S26" s="265">
        <v>7</v>
      </c>
      <c r="T26" s="265">
        <v>3</v>
      </c>
      <c r="U26" s="265">
        <v>14</v>
      </c>
      <c r="V26" s="265">
        <f>SUM('Boxscore MMR- Lead Conversion'!$H:$H)-SUM('Boxscore MMR- Lead Conversion'!$I:$I)</f>
        <v>7</v>
      </c>
      <c r="W26" s="265"/>
      <c r="X26" s="265"/>
      <c r="Y26" s="265"/>
      <c r="Z26" s="265"/>
      <c r="AA26" s="265"/>
      <c r="AB26" s="265"/>
      <c r="AC26" s="265"/>
    </row>
    <row r="27" spans="1:29" ht="15" customHeight="1">
      <c r="A27" s="256" t="s">
        <v>352</v>
      </c>
      <c r="B27" s="261"/>
      <c r="C27" s="296"/>
      <c r="D27" s="297"/>
      <c r="E27" s="297"/>
      <c r="F27" s="297"/>
      <c r="G27" s="297"/>
      <c r="H27" s="297"/>
      <c r="I27" s="297"/>
      <c r="J27" s="297"/>
      <c r="K27" s="297"/>
      <c r="L27" s="297"/>
      <c r="M27" s="297"/>
      <c r="N27" s="297"/>
      <c r="O27" s="297"/>
      <c r="P27" s="297"/>
      <c r="Q27" s="297"/>
      <c r="R27" s="297"/>
      <c r="S27" s="297"/>
      <c r="T27" s="297"/>
      <c r="U27" s="297" t="s">
        <v>428</v>
      </c>
      <c r="V27" s="297"/>
      <c r="W27" s="297"/>
      <c r="X27" s="297"/>
      <c r="Y27" s="297"/>
      <c r="Z27" s="297"/>
      <c r="AA27" s="297"/>
      <c r="AB27" s="297"/>
      <c r="AC27" s="297"/>
    </row>
    <row r="28" spans="1:29" ht="15" customHeight="1">
      <c r="A28" s="138"/>
      <c r="B28" s="1097" t="s">
        <v>353</v>
      </c>
      <c r="C28" s="300" t="s">
        <v>417</v>
      </c>
      <c r="D28" s="264"/>
      <c r="E28" s="264"/>
      <c r="F28" s="264"/>
      <c r="G28" s="265"/>
      <c r="H28" s="265"/>
      <c r="I28" s="265"/>
      <c r="J28" s="265"/>
      <c r="K28" s="265"/>
      <c r="L28" s="265"/>
      <c r="M28" s="265"/>
      <c r="N28" s="265">
        <v>90</v>
      </c>
      <c r="O28" s="265">
        <v>103</v>
      </c>
      <c r="P28" s="265">
        <v>113</v>
      </c>
      <c r="Q28" s="265">
        <v>116</v>
      </c>
      <c r="R28" s="265">
        <v>126</v>
      </c>
      <c r="S28" s="265">
        <v>136</v>
      </c>
      <c r="T28" s="265">
        <v>141</v>
      </c>
      <c r="U28" s="265">
        <v>145</v>
      </c>
      <c r="V28" s="265">
        <f>App_Pipeline_Intel_4!$C$5</f>
        <v>168</v>
      </c>
      <c r="W28" s="265"/>
      <c r="X28" s="265"/>
      <c r="Y28" s="265"/>
      <c r="Z28" s="265"/>
      <c r="AA28" s="265"/>
      <c r="AB28" s="265"/>
      <c r="AC28" s="265"/>
    </row>
    <row r="29" spans="1:29" ht="15" customHeight="1">
      <c r="A29" s="138"/>
      <c r="B29" s="1097" t="s">
        <v>354</v>
      </c>
      <c r="C29" s="300" t="s">
        <v>417</v>
      </c>
      <c r="D29" s="264"/>
      <c r="E29" s="264"/>
      <c r="F29" s="264"/>
      <c r="G29" s="265"/>
      <c r="H29" s="265"/>
      <c r="I29" s="265"/>
      <c r="J29" s="265"/>
      <c r="K29" s="265"/>
      <c r="L29" s="265"/>
      <c r="M29" s="265"/>
      <c r="N29" s="265">
        <v>59</v>
      </c>
      <c r="O29" s="265">
        <v>53</v>
      </c>
      <c r="P29" s="265">
        <v>52</v>
      </c>
      <c r="Q29" s="265">
        <v>51</v>
      </c>
      <c r="R29" s="265">
        <v>56</v>
      </c>
      <c r="S29" s="265">
        <v>34</v>
      </c>
      <c r="T29" s="265">
        <v>37</v>
      </c>
      <c r="U29" s="265">
        <v>36</v>
      </c>
      <c r="V29" s="265">
        <f>App_Pipeline_Intel_4!$C$6</f>
        <v>46</v>
      </c>
      <c r="W29" s="265"/>
      <c r="X29" s="265"/>
      <c r="Y29" s="265"/>
      <c r="Z29" s="265"/>
      <c r="AA29" s="265"/>
      <c r="AB29" s="265"/>
      <c r="AC29" s="265"/>
    </row>
    <row r="30" spans="1:29" ht="15" customHeight="1">
      <c r="A30" s="138"/>
      <c r="B30" s="1097" t="s">
        <v>355</v>
      </c>
      <c r="C30" s="300" t="s">
        <v>417</v>
      </c>
      <c r="D30" s="264"/>
      <c r="E30" s="264"/>
      <c r="F30" s="264"/>
      <c r="G30" s="265"/>
      <c r="H30" s="265"/>
      <c r="I30" s="265"/>
      <c r="J30" s="265"/>
      <c r="K30" s="265"/>
      <c r="L30" s="265"/>
      <c r="M30" s="265"/>
      <c r="N30" s="265">
        <v>5</v>
      </c>
      <c r="O30" s="265">
        <v>7</v>
      </c>
      <c r="P30" s="265">
        <v>11</v>
      </c>
      <c r="Q30" s="265">
        <v>7</v>
      </c>
      <c r="R30" s="265">
        <v>8</v>
      </c>
      <c r="S30" s="265">
        <v>7</v>
      </c>
      <c r="T30" s="265">
        <v>3</v>
      </c>
      <c r="U30" s="265">
        <v>14</v>
      </c>
      <c r="V30" s="265">
        <f>SUM('Boxscore MMR- Lead Conversion'!$H:$H)-SUM('Boxscore MMR- Lead Conversion'!$I:$I)</f>
        <v>7</v>
      </c>
      <c r="W30" s="265"/>
      <c r="X30" s="265"/>
      <c r="Y30" s="265"/>
      <c r="Z30" s="265"/>
      <c r="AA30" s="265"/>
      <c r="AB30" s="265"/>
      <c r="AC30" s="265"/>
    </row>
    <row r="31" spans="1:29" ht="15" customHeight="1">
      <c r="A31" s="138"/>
      <c r="B31" s="1097" t="s">
        <v>356</v>
      </c>
      <c r="C31" s="300" t="s">
        <v>417</v>
      </c>
      <c r="D31" s="264"/>
      <c r="E31" s="264"/>
      <c r="F31" s="264"/>
      <c r="G31" s="265"/>
      <c r="H31" s="265"/>
      <c r="I31" s="265"/>
      <c r="J31" s="265"/>
      <c r="K31" s="265"/>
      <c r="L31" s="265"/>
      <c r="M31" s="265"/>
      <c r="N31" s="265">
        <v>26</v>
      </c>
      <c r="O31" s="265">
        <v>38</v>
      </c>
      <c r="P31" s="265">
        <v>42</v>
      </c>
      <c r="Q31" s="265">
        <v>40</v>
      </c>
      <c r="R31" s="265">
        <v>40</v>
      </c>
      <c r="S31" s="265">
        <v>73</v>
      </c>
      <c r="T31" s="265">
        <v>75</v>
      </c>
      <c r="U31" s="265">
        <v>74</v>
      </c>
      <c r="V31" s="265">
        <f>App_Pipeline_Intel_4!$C$7</f>
        <v>80</v>
      </c>
      <c r="W31" s="265"/>
      <c r="X31" s="265"/>
      <c r="Y31" s="265"/>
      <c r="Z31" s="265"/>
      <c r="AA31" s="265"/>
      <c r="AB31" s="265"/>
      <c r="AC31" s="265"/>
    </row>
    <row r="32" spans="1:29" ht="15" customHeight="1">
      <c r="A32" s="138"/>
      <c r="B32" s="1097" t="s">
        <v>357</v>
      </c>
      <c r="C32" s="300">
        <v>0</v>
      </c>
      <c r="D32" s="301"/>
      <c r="E32" s="301"/>
      <c r="F32" s="301"/>
      <c r="G32" s="302"/>
      <c r="H32" s="302"/>
      <c r="I32" s="302"/>
      <c r="J32" s="302"/>
      <c r="K32" s="302"/>
      <c r="L32" s="302"/>
      <c r="M32" s="302"/>
      <c r="N32" s="302">
        <v>5.5555555555555552E-2</v>
      </c>
      <c r="O32" s="302">
        <v>6.7961165048543687E-2</v>
      </c>
      <c r="P32" s="302">
        <v>9.7345132743362831E-2</v>
      </c>
      <c r="Q32" s="302">
        <v>6.0344827586206899E-2</v>
      </c>
      <c r="R32" s="302">
        <v>6.3492063492063489E-2</v>
      </c>
      <c r="S32" s="302">
        <v>5.1470588235294115E-2</v>
      </c>
      <c r="T32" s="302">
        <v>2.1276595744680851E-2</v>
      </c>
      <c r="U32" s="302">
        <v>9.7000000000000003E-2</v>
      </c>
      <c r="V32" s="302">
        <f>IFERROR(V30/V28,0)</f>
        <v>4.1666666666666664E-2</v>
      </c>
      <c r="W32" s="302"/>
      <c r="X32" s="302"/>
      <c r="Y32" s="302"/>
      <c r="Z32" s="302"/>
      <c r="AA32" s="302"/>
      <c r="AB32" s="302"/>
      <c r="AC32" s="302"/>
    </row>
    <row r="33" spans="1:29" ht="15" customHeight="1">
      <c r="A33" s="138"/>
      <c r="B33" s="1097" t="s">
        <v>358</v>
      </c>
      <c r="C33" s="300">
        <v>0</v>
      </c>
      <c r="D33" s="301"/>
      <c r="E33" s="301"/>
      <c r="F33" s="301"/>
      <c r="G33" s="302"/>
      <c r="H33" s="302"/>
      <c r="I33" s="302"/>
      <c r="J33" s="302"/>
      <c r="K33" s="302"/>
      <c r="L33" s="302"/>
      <c r="M33" s="302"/>
      <c r="N33" s="302">
        <v>0.28888888888888886</v>
      </c>
      <c r="O33" s="302">
        <v>0.36893203883495146</v>
      </c>
      <c r="P33" s="302">
        <v>0.37168141592920356</v>
      </c>
      <c r="Q33" s="302">
        <v>0.34482758620689657</v>
      </c>
      <c r="R33" s="302">
        <v>0.31746031746031744</v>
      </c>
      <c r="S33" s="302">
        <v>0.53676470588235292</v>
      </c>
      <c r="T33" s="302">
        <v>0.53191489361702127</v>
      </c>
      <c r="U33" s="302">
        <v>0.51</v>
      </c>
      <c r="V33" s="302">
        <f>IFERROR(V31/V28,0)</f>
        <v>0.47619047619047616</v>
      </c>
      <c r="W33" s="302"/>
      <c r="X33" s="302"/>
      <c r="Y33" s="302"/>
      <c r="Z33" s="302"/>
      <c r="AA33" s="302"/>
      <c r="AB33" s="302"/>
      <c r="AC33" s="302"/>
    </row>
    <row r="34" spans="1:29" ht="15" customHeight="1">
      <c r="A34" s="138"/>
      <c r="B34" s="1097" t="s">
        <v>359</v>
      </c>
      <c r="C34" s="300" t="s">
        <v>417</v>
      </c>
      <c r="D34" s="264"/>
      <c r="E34" s="264"/>
      <c r="F34" s="264"/>
      <c r="G34" s="265"/>
      <c r="H34" s="265"/>
      <c r="I34" s="265"/>
      <c r="J34" s="265"/>
      <c r="K34" s="265"/>
      <c r="L34" s="265"/>
      <c r="M34" s="265"/>
      <c r="N34" s="265">
        <v>21</v>
      </c>
      <c r="O34" s="265">
        <v>25</v>
      </c>
      <c r="P34" s="265">
        <v>20</v>
      </c>
      <c r="Q34" s="265">
        <v>25</v>
      </c>
      <c r="R34" s="265">
        <v>30</v>
      </c>
      <c r="S34" s="265">
        <v>11</v>
      </c>
      <c r="T34" s="265">
        <v>13</v>
      </c>
      <c r="U34" s="265">
        <v>18</v>
      </c>
      <c r="V34" s="265">
        <f>App_Pipeline_Intel_4!$H$7+App_Pipeline_Intel_4!$H$8+App_Pipeline_Intel_4!$H$9</f>
        <v>21</v>
      </c>
      <c r="W34" s="265"/>
      <c r="X34" s="265"/>
      <c r="Y34" s="265"/>
      <c r="Z34" s="265"/>
      <c r="AA34" s="265"/>
      <c r="AB34" s="265"/>
      <c r="AC34" s="265"/>
    </row>
    <row r="35" spans="1:29" ht="15" customHeight="1">
      <c r="A35" s="138"/>
      <c r="B35" s="1097" t="s">
        <v>360</v>
      </c>
      <c r="C35" s="299">
        <v>0</v>
      </c>
      <c r="D35" s="96"/>
      <c r="E35" s="96"/>
      <c r="F35" s="96"/>
      <c r="G35" s="58"/>
      <c r="H35" s="58"/>
      <c r="I35" s="58"/>
      <c r="J35" s="58"/>
      <c r="K35" s="58"/>
      <c r="L35" s="58"/>
      <c r="M35" s="58"/>
      <c r="N35" s="58">
        <v>11</v>
      </c>
      <c r="O35" s="58">
        <v>11.9</v>
      </c>
      <c r="P35" s="58">
        <v>11.2</v>
      </c>
      <c r="Q35" s="58">
        <v>18.100000000000001</v>
      </c>
      <c r="R35" s="58">
        <v>11.8</v>
      </c>
      <c r="S35" s="58">
        <v>9.8000000000000007</v>
      </c>
      <c r="T35" s="58">
        <v>12.8</v>
      </c>
      <c r="U35" s="58">
        <v>18.100000000000001</v>
      </c>
      <c r="V35" s="58">
        <f>IFERROR(VALUE(LEFT(App_Pipeline_Intel_4!$C$16,FIND(" ",App_Pipeline_Intel_4!$C$16)-1)),0)</f>
        <v>15.8</v>
      </c>
      <c r="W35" s="58"/>
      <c r="X35" s="58"/>
      <c r="Y35" s="58"/>
      <c r="Z35" s="58"/>
      <c r="AA35" s="58"/>
      <c r="AB35" s="58"/>
      <c r="AC35" s="58"/>
    </row>
    <row r="36" spans="1:29" ht="15" customHeight="1">
      <c r="A36" s="256" t="s">
        <v>436</v>
      </c>
      <c r="B36" s="257"/>
      <c r="C36" s="258"/>
      <c r="D36" s="259"/>
      <c r="E36" s="259"/>
      <c r="F36" s="260"/>
      <c r="G36" s="260"/>
      <c r="H36" s="260"/>
      <c r="I36" s="260"/>
      <c r="J36" s="260"/>
      <c r="K36" s="260"/>
      <c r="L36" s="260"/>
      <c r="M36" s="260"/>
      <c r="N36" s="260"/>
      <c r="O36" s="370"/>
      <c r="P36" s="370"/>
      <c r="Q36" s="370"/>
      <c r="R36" s="370"/>
      <c r="S36" s="370"/>
      <c r="T36" s="370"/>
      <c r="U36" s="370" t="s">
        <v>428</v>
      </c>
      <c r="V36" s="370"/>
      <c r="W36" s="259"/>
      <c r="X36" s="259"/>
      <c r="Y36" s="259"/>
      <c r="Z36" s="259"/>
      <c r="AA36" s="259"/>
      <c r="AB36" s="259"/>
      <c r="AC36" s="259"/>
    </row>
    <row r="37" spans="1:29" ht="15" customHeight="1">
      <c r="A37" s="371">
        <v>46174</v>
      </c>
      <c r="B37" s="262" t="s">
        <v>363</v>
      </c>
      <c r="C37" s="263" t="s">
        <v>417</v>
      </c>
      <c r="D37" s="264"/>
      <c r="E37" s="264"/>
      <c r="F37" s="265"/>
      <c r="G37" s="265"/>
      <c r="H37" s="265"/>
      <c r="I37" s="265"/>
      <c r="J37" s="265"/>
      <c r="K37" s="265"/>
      <c r="L37" s="265"/>
      <c r="M37" s="265"/>
      <c r="N37" s="266"/>
      <c r="O37" s="266"/>
      <c r="P37" s="266"/>
      <c r="Q37" s="266"/>
      <c r="R37" s="266"/>
      <c r="S37" s="266">
        <v>54</v>
      </c>
      <c r="T37" s="266">
        <v>54</v>
      </c>
      <c r="U37" s="266">
        <v>54</v>
      </c>
      <c r="V37" s="266">
        <f ca="1">SUMIF('Resident Retention -12 months'!$B:$J,Data_2!$A$37,'Resident Retention -12 months'!$C:$C)-SUMIF('Resident Retention -12 months'!$B:$J,Data_2!$A$37,'Resident Retention -12 months'!$J:$J)</f>
        <v>55</v>
      </c>
      <c r="W37" s="265"/>
      <c r="X37" s="265"/>
      <c r="Y37" s="265"/>
      <c r="Z37" s="265"/>
      <c r="AA37" s="265"/>
      <c r="AB37" s="265"/>
      <c r="AC37" s="265"/>
    </row>
    <row r="38" spans="1:29" ht="15" customHeight="1">
      <c r="B38" s="262" t="s">
        <v>364</v>
      </c>
      <c r="C38" s="263" t="s">
        <v>417</v>
      </c>
      <c r="D38" s="264"/>
      <c r="E38" s="264"/>
      <c r="F38" s="265"/>
      <c r="G38" s="265"/>
      <c r="H38" s="265"/>
      <c r="I38" s="265"/>
      <c r="J38" s="265"/>
      <c r="K38" s="265"/>
      <c r="L38" s="265"/>
      <c r="M38" s="265"/>
      <c r="N38" s="266"/>
      <c r="O38" s="266"/>
      <c r="P38" s="266"/>
      <c r="Q38" s="266"/>
      <c r="R38" s="266"/>
      <c r="S38" s="266">
        <v>10</v>
      </c>
      <c r="T38" s="266">
        <v>10</v>
      </c>
      <c r="U38" s="266">
        <v>10</v>
      </c>
      <c r="V38" s="266">
        <f ca="1">SUMIF('Resident Retention -12 months'!$B:$J,Data_2!$A$37,'Resident Retention -12 months'!$D:$D)</f>
        <v>12</v>
      </c>
      <c r="W38" s="265"/>
      <c r="X38" s="265"/>
      <c r="Y38" s="265"/>
      <c r="Z38" s="265"/>
      <c r="AA38" s="265"/>
      <c r="AB38" s="265"/>
      <c r="AC38" s="265"/>
    </row>
    <row r="39" spans="1:29" ht="15" customHeight="1">
      <c r="B39" s="262" t="s">
        <v>365</v>
      </c>
      <c r="C39" s="263" t="s">
        <v>417</v>
      </c>
      <c r="D39" s="264"/>
      <c r="E39" s="264"/>
      <c r="F39" s="265"/>
      <c r="G39" s="265"/>
      <c r="H39" s="265"/>
      <c r="I39" s="265"/>
      <c r="J39" s="265"/>
      <c r="K39" s="265"/>
      <c r="L39" s="265"/>
      <c r="M39" s="265"/>
      <c r="N39" s="266"/>
      <c r="O39" s="266"/>
      <c r="P39" s="266"/>
      <c r="Q39" s="266"/>
      <c r="R39" s="266"/>
      <c r="S39" s="266">
        <v>1</v>
      </c>
      <c r="T39" s="266">
        <v>2</v>
      </c>
      <c r="U39" s="266">
        <v>6</v>
      </c>
      <c r="V39" s="266">
        <f ca="1">SUMIF('Resident Retention -12 months'!$B:$J,Data_2!$A$37,'Resident Retention -12 months'!$E:$E)</f>
        <v>7</v>
      </c>
      <c r="W39" s="265"/>
      <c r="X39" s="265"/>
      <c r="Y39" s="265"/>
      <c r="Z39" s="265"/>
      <c r="AA39" s="265"/>
      <c r="AB39" s="265"/>
      <c r="AC39" s="265"/>
    </row>
    <row r="40" spans="1:29" ht="15" customHeight="1">
      <c r="B40" s="88" t="s">
        <v>366</v>
      </c>
      <c r="C40" s="89">
        <v>0</v>
      </c>
      <c r="D40" s="93"/>
      <c r="E40" s="93"/>
      <c r="F40" s="57"/>
      <c r="G40" s="57"/>
      <c r="H40" s="57"/>
      <c r="I40" s="57"/>
      <c r="J40" s="57"/>
      <c r="K40" s="57"/>
      <c r="L40" s="57"/>
      <c r="M40" s="57"/>
      <c r="N40" s="267"/>
      <c r="O40" s="267"/>
      <c r="P40" s="267"/>
      <c r="Q40" s="267"/>
      <c r="R40" s="267"/>
      <c r="S40" s="267">
        <v>1.8518518518518517E-2</v>
      </c>
      <c r="T40" s="267">
        <v>7.407407407407407E-2</v>
      </c>
      <c r="U40" s="267">
        <v>0.14799999999999999</v>
      </c>
      <c r="V40" s="267">
        <f ca="1">SUMIF('Resident Retention -12 months'!$B:$J,$A$37,'Resident Retention -12 months'!$F:$F)/V37</f>
        <v>0.29090909090909089</v>
      </c>
      <c r="W40" s="57"/>
      <c r="X40" s="57"/>
      <c r="Y40" s="57"/>
      <c r="Z40" s="57"/>
      <c r="AA40" s="57"/>
      <c r="AB40" s="57"/>
      <c r="AC40" s="57"/>
    </row>
    <row r="41" spans="1:29" ht="15" customHeight="1">
      <c r="A41" s="256" t="s">
        <v>437</v>
      </c>
      <c r="B41" s="257"/>
      <c r="C41" s="258"/>
      <c r="D41" s="259"/>
      <c r="E41" s="259"/>
      <c r="F41" s="260"/>
      <c r="G41" s="260"/>
      <c r="H41" s="260"/>
      <c r="I41" s="260"/>
      <c r="J41" s="260"/>
      <c r="K41" s="260"/>
      <c r="L41" s="260"/>
      <c r="M41" s="260"/>
      <c r="N41" s="260"/>
      <c r="O41" s="370"/>
      <c r="P41" s="370"/>
      <c r="Q41" s="370"/>
      <c r="R41" s="370"/>
      <c r="S41" s="370"/>
      <c r="T41" s="370"/>
      <c r="U41" s="370" t="s">
        <v>428</v>
      </c>
      <c r="V41" s="370"/>
      <c r="W41" s="259"/>
      <c r="X41" s="259"/>
      <c r="Y41" s="259"/>
      <c r="Z41" s="259"/>
      <c r="AA41" s="259"/>
      <c r="AB41" s="259"/>
      <c r="AC41" s="259"/>
    </row>
    <row r="42" spans="1:29" ht="15" customHeight="1">
      <c r="A42" s="372">
        <v>46082</v>
      </c>
      <c r="B42" s="262" t="s">
        <v>363</v>
      </c>
      <c r="C42" s="263" t="s">
        <v>417</v>
      </c>
      <c r="D42" s="264"/>
      <c r="E42" s="264"/>
      <c r="F42" s="265"/>
      <c r="G42" s="265"/>
      <c r="H42" s="265"/>
      <c r="I42" s="265"/>
      <c r="J42" s="265"/>
      <c r="K42" s="265"/>
      <c r="L42" s="265"/>
      <c r="M42" s="265"/>
      <c r="N42" s="266">
        <v>68</v>
      </c>
      <c r="O42" s="266">
        <v>65</v>
      </c>
      <c r="P42" s="266">
        <v>66</v>
      </c>
      <c r="Q42" s="266">
        <v>66</v>
      </c>
      <c r="R42" s="266">
        <v>64</v>
      </c>
      <c r="S42" s="266">
        <v>64</v>
      </c>
      <c r="T42" s="266">
        <v>58</v>
      </c>
      <c r="U42" s="266">
        <v>58</v>
      </c>
      <c r="V42" s="266">
        <f ca="1">SUMIF('Resident Retention -12 months'!$B:$J,Data_2!$A$42,'Resident Retention -12 months'!$C:$C)-SUMIF('Resident Retention -12 months'!$B:$J,Data_2!$A$42,'Resident Retention -12 months'!$J:$J)</f>
        <v>58</v>
      </c>
      <c r="W42" s="265"/>
      <c r="X42" s="265"/>
      <c r="Y42" s="265"/>
      <c r="Z42" s="265"/>
      <c r="AA42" s="265"/>
      <c r="AB42" s="265"/>
      <c r="AC42" s="265"/>
    </row>
    <row r="43" spans="1:29" ht="15" customHeight="1">
      <c r="B43" s="262" t="s">
        <v>364</v>
      </c>
      <c r="C43" s="263" t="s">
        <v>417</v>
      </c>
      <c r="D43" s="264"/>
      <c r="E43" s="264"/>
      <c r="F43" s="265"/>
      <c r="G43" s="265"/>
      <c r="H43" s="265"/>
      <c r="I43" s="265"/>
      <c r="J43" s="265"/>
      <c r="K43" s="265"/>
      <c r="L43" s="265"/>
      <c r="M43" s="265"/>
      <c r="N43" s="266">
        <v>6</v>
      </c>
      <c r="O43" s="266">
        <v>6</v>
      </c>
      <c r="P43" s="266">
        <v>6</v>
      </c>
      <c r="Q43" s="266">
        <v>6</v>
      </c>
      <c r="R43" s="266">
        <v>6</v>
      </c>
      <c r="S43" s="266">
        <v>6</v>
      </c>
      <c r="T43" s="266">
        <v>6</v>
      </c>
      <c r="U43" s="266">
        <v>6</v>
      </c>
      <c r="V43" s="266">
        <f ca="1">SUMIF('Resident Retention -12 months'!$B:$J,Data_2!$A$42,'Resident Retention -12 months'!$D:$D)</f>
        <v>6</v>
      </c>
      <c r="W43" s="265"/>
      <c r="X43" s="265"/>
      <c r="Y43" s="265"/>
      <c r="Z43" s="265"/>
      <c r="AA43" s="265"/>
      <c r="AB43" s="265"/>
      <c r="AC43" s="265"/>
    </row>
    <row r="44" spans="1:29" ht="15" customHeight="1">
      <c r="B44" s="262" t="s">
        <v>365</v>
      </c>
      <c r="C44" s="263" t="s">
        <v>417</v>
      </c>
      <c r="D44" s="264"/>
      <c r="E44" s="264"/>
      <c r="F44" s="265"/>
      <c r="G44" s="265"/>
      <c r="H44" s="265"/>
      <c r="I44" s="265"/>
      <c r="J44" s="265"/>
      <c r="K44" s="265"/>
      <c r="L44" s="265"/>
      <c r="M44" s="265"/>
      <c r="N44" s="266">
        <v>8</v>
      </c>
      <c r="O44" s="266">
        <v>7</v>
      </c>
      <c r="P44" s="266">
        <v>9</v>
      </c>
      <c r="Q44" s="266">
        <v>10</v>
      </c>
      <c r="R44" s="266">
        <v>11</v>
      </c>
      <c r="S44" s="266">
        <v>11</v>
      </c>
      <c r="T44" s="266">
        <v>14</v>
      </c>
      <c r="U44" s="266">
        <v>14</v>
      </c>
      <c r="V44" s="266">
        <f ca="1">SUMIF('Resident Retention -12 months'!$B:$J,Data_2!$A$42,'Resident Retention -12 months'!$E:$E)</f>
        <v>14</v>
      </c>
      <c r="W44" s="265"/>
      <c r="X44" s="265"/>
      <c r="Y44" s="265"/>
      <c r="Z44" s="265"/>
      <c r="AA44" s="265"/>
      <c r="AB44" s="265"/>
      <c r="AC44" s="265"/>
    </row>
    <row r="45" spans="1:29" ht="15" customHeight="1">
      <c r="B45" s="88" t="s">
        <v>366</v>
      </c>
      <c r="C45" s="89">
        <v>0</v>
      </c>
      <c r="D45" s="93"/>
      <c r="E45" s="93"/>
      <c r="F45" s="57"/>
      <c r="G45" s="57"/>
      <c r="H45" s="57"/>
      <c r="I45" s="57"/>
      <c r="J45" s="57"/>
      <c r="K45" s="57"/>
      <c r="L45" s="57"/>
      <c r="M45" s="57"/>
      <c r="N45" s="267">
        <v>0.17460000000000001</v>
      </c>
      <c r="O45" s="267">
        <v>0.18461538461538463</v>
      </c>
      <c r="P45" s="267">
        <v>0.2878787878787879</v>
      </c>
      <c r="Q45" s="267">
        <v>0.39393939393939392</v>
      </c>
      <c r="R45" s="267">
        <v>0.453125</v>
      </c>
      <c r="S45" s="267">
        <v>0.453125</v>
      </c>
      <c r="T45" s="267">
        <v>0.65517241379310343</v>
      </c>
      <c r="U45" s="267">
        <v>0.65500000000000003</v>
      </c>
      <c r="V45" s="267">
        <f ca="1">SUMIF('Resident Retention -12 months'!$B:$J,$A$42,'Resident Retention -12 months'!$F:$F)/V42</f>
        <v>0.65517241379310343</v>
      </c>
      <c r="W45" s="57"/>
      <c r="X45" s="57"/>
      <c r="Y45" s="57"/>
      <c r="Z45" s="57"/>
      <c r="AA45" s="57"/>
      <c r="AB45" s="57"/>
      <c r="AC45" s="57"/>
    </row>
    <row r="46" spans="1:29" ht="15" customHeight="1">
      <c r="A46" s="256" t="s">
        <v>438</v>
      </c>
      <c r="B46" s="257"/>
      <c r="C46" s="258"/>
      <c r="D46" s="259"/>
      <c r="E46" s="259"/>
      <c r="F46" s="260"/>
      <c r="G46" s="260"/>
      <c r="H46" s="260"/>
      <c r="I46" s="260"/>
      <c r="J46" s="260"/>
      <c r="K46" s="260"/>
      <c r="L46" s="260"/>
      <c r="M46" s="260"/>
      <c r="N46" s="260"/>
      <c r="O46" s="370"/>
      <c r="P46" s="370"/>
      <c r="Q46" s="370"/>
      <c r="R46" s="370"/>
      <c r="S46" s="370"/>
      <c r="T46" s="370"/>
      <c r="U46" s="370" t="s">
        <v>428</v>
      </c>
      <c r="V46" s="370"/>
      <c r="W46" s="259"/>
      <c r="X46" s="259"/>
      <c r="Y46" s="259"/>
      <c r="Z46" s="259"/>
      <c r="AA46" s="259"/>
      <c r="AB46" s="259"/>
      <c r="AC46" s="259"/>
    </row>
    <row r="47" spans="1:29" ht="15" customHeight="1">
      <c r="A47" s="372">
        <v>46113</v>
      </c>
      <c r="B47" s="262" t="s">
        <v>363</v>
      </c>
      <c r="C47" s="263" t="s">
        <v>417</v>
      </c>
      <c r="D47" s="264"/>
      <c r="E47" s="264"/>
      <c r="F47" s="265"/>
      <c r="G47" s="265"/>
      <c r="H47" s="265"/>
      <c r="I47" s="265"/>
      <c r="J47" s="265"/>
      <c r="K47" s="265"/>
      <c r="L47" s="265"/>
      <c r="M47" s="265"/>
      <c r="N47" s="266">
        <v>62</v>
      </c>
      <c r="O47" s="266">
        <v>62</v>
      </c>
      <c r="P47" s="266">
        <v>62</v>
      </c>
      <c r="Q47" s="266">
        <v>62</v>
      </c>
      <c r="R47" s="266">
        <v>62</v>
      </c>
      <c r="S47" s="266">
        <v>62</v>
      </c>
      <c r="T47" s="266">
        <v>62</v>
      </c>
      <c r="U47" s="266">
        <v>62</v>
      </c>
      <c r="V47" s="266">
        <f ca="1">SUMIF('Resident Retention -12 months'!$B:$J,Data_2!$A$47,'Resident Retention -12 months'!$C:$C)-SUMIF('Resident Retention -12 months'!$B:$J,Data_2!$A$47,'Resident Retention -12 months'!$J:$J)</f>
        <v>60</v>
      </c>
      <c r="W47" s="265"/>
      <c r="X47" s="265"/>
      <c r="Y47" s="265"/>
      <c r="Z47" s="265"/>
      <c r="AA47" s="265"/>
      <c r="AB47" s="265"/>
      <c r="AC47" s="265"/>
    </row>
    <row r="48" spans="1:29" ht="15" customHeight="1">
      <c r="B48" s="262" t="s">
        <v>364</v>
      </c>
      <c r="C48" s="263" t="s">
        <v>417</v>
      </c>
      <c r="D48" s="264"/>
      <c r="E48" s="264"/>
      <c r="F48" s="265"/>
      <c r="G48" s="265"/>
      <c r="H48" s="265"/>
      <c r="I48" s="265"/>
      <c r="J48" s="265"/>
      <c r="K48" s="265"/>
      <c r="L48" s="265"/>
      <c r="M48" s="265"/>
      <c r="N48" s="266">
        <v>3</v>
      </c>
      <c r="O48" s="266">
        <v>4</v>
      </c>
      <c r="P48" s="266">
        <v>4</v>
      </c>
      <c r="Q48" s="266">
        <v>4</v>
      </c>
      <c r="R48" s="266">
        <v>4</v>
      </c>
      <c r="S48" s="266">
        <v>4</v>
      </c>
      <c r="T48" s="266">
        <v>5</v>
      </c>
      <c r="U48" s="266">
        <v>5</v>
      </c>
      <c r="V48" s="266">
        <f ca="1">SUMIF('Resident Retention -12 months'!$B:$J,Data_2!$A$47,'Resident Retention -12 months'!$D:$D)</f>
        <v>8</v>
      </c>
      <c r="W48" s="265"/>
      <c r="X48" s="265"/>
      <c r="Y48" s="265"/>
      <c r="Z48" s="265"/>
      <c r="AA48" s="265"/>
      <c r="AB48" s="265"/>
      <c r="AC48" s="265"/>
    </row>
    <row r="49" spans="1:29" ht="15" customHeight="1">
      <c r="B49" s="262" t="s">
        <v>365</v>
      </c>
      <c r="C49" s="263" t="s">
        <v>417</v>
      </c>
      <c r="D49" s="264"/>
      <c r="E49" s="264"/>
      <c r="F49" s="265"/>
      <c r="G49" s="265"/>
      <c r="H49" s="265"/>
      <c r="I49" s="265"/>
      <c r="J49" s="265"/>
      <c r="K49" s="265"/>
      <c r="L49" s="265"/>
      <c r="M49" s="265"/>
      <c r="N49" s="266">
        <v>7</v>
      </c>
      <c r="O49" s="266">
        <v>7</v>
      </c>
      <c r="P49" s="266">
        <v>10</v>
      </c>
      <c r="Q49" s="266">
        <v>10</v>
      </c>
      <c r="R49" s="266">
        <v>12</v>
      </c>
      <c r="S49" s="266">
        <v>13</v>
      </c>
      <c r="T49" s="266">
        <v>15</v>
      </c>
      <c r="U49" s="266">
        <v>15</v>
      </c>
      <c r="V49" s="266">
        <f ca="1">SUMIF('Resident Retention -12 months'!$B:$J,Data_2!$A$47,'Resident Retention -12 months'!$E:$E)</f>
        <v>17</v>
      </c>
      <c r="W49" s="265"/>
      <c r="X49" s="265"/>
      <c r="Y49" s="265"/>
      <c r="Z49" s="265"/>
      <c r="AA49" s="265"/>
      <c r="AB49" s="265"/>
      <c r="AC49" s="265"/>
    </row>
    <row r="50" spans="1:29" ht="15" customHeight="1">
      <c r="B50" s="88" t="s">
        <v>366</v>
      </c>
      <c r="C50" s="89">
        <v>0</v>
      </c>
      <c r="D50" s="93"/>
      <c r="E50" s="93"/>
      <c r="F50" s="57"/>
      <c r="G50" s="57"/>
      <c r="H50" s="57"/>
      <c r="I50" s="57"/>
      <c r="J50" s="57"/>
      <c r="K50" s="57"/>
      <c r="L50" s="57"/>
      <c r="M50" s="57"/>
      <c r="N50" s="267">
        <v>6.7799999999999999E-2</v>
      </c>
      <c r="O50" s="267">
        <v>9.6774193548387094E-2</v>
      </c>
      <c r="P50" s="267">
        <v>0.24193548387096775</v>
      </c>
      <c r="Q50" s="267">
        <v>0.25806451612903225</v>
      </c>
      <c r="R50" s="267">
        <v>0.29032258064516131</v>
      </c>
      <c r="S50" s="267">
        <v>0.38709677419354838</v>
      </c>
      <c r="T50" s="267">
        <v>0.40322580645161288</v>
      </c>
      <c r="U50" s="267">
        <v>0.40300000000000002</v>
      </c>
      <c r="V50" s="267">
        <f ca="1">SUMIF('Resident Retention -12 months'!$B:$J,$A$47,'Resident Retention -12 months'!$F:$F)/V47</f>
        <v>0.51666666666666672</v>
      </c>
      <c r="W50" s="57"/>
      <c r="X50" s="57"/>
      <c r="Y50" s="57"/>
      <c r="Z50" s="57"/>
      <c r="AA50" s="57"/>
      <c r="AB50" s="57"/>
      <c r="AC50" s="57"/>
    </row>
    <row r="51" spans="1:29" ht="15" customHeight="1">
      <c r="A51" s="256" t="s">
        <v>439</v>
      </c>
      <c r="B51" s="257"/>
      <c r="C51" s="258"/>
      <c r="D51" s="259"/>
      <c r="E51" s="259"/>
      <c r="F51" s="260"/>
      <c r="G51" s="260"/>
      <c r="H51" s="260"/>
      <c r="I51" s="260"/>
      <c r="J51" s="260"/>
      <c r="K51" s="260"/>
      <c r="L51" s="260"/>
      <c r="M51" s="260"/>
      <c r="N51" s="260"/>
      <c r="O51" s="370"/>
      <c r="P51" s="370"/>
      <c r="Q51" s="370"/>
      <c r="R51" s="370"/>
      <c r="S51" s="370"/>
      <c r="T51" s="370"/>
      <c r="U51" s="370" t="s">
        <v>428</v>
      </c>
      <c r="V51" s="370"/>
      <c r="W51" s="259"/>
      <c r="X51" s="259"/>
      <c r="Y51" s="259"/>
      <c r="Z51" s="259"/>
      <c r="AA51" s="259"/>
      <c r="AB51" s="259"/>
      <c r="AC51" s="259"/>
    </row>
    <row r="52" spans="1:29" ht="15" customHeight="1">
      <c r="A52" s="372">
        <v>46143</v>
      </c>
      <c r="B52" s="262" t="s">
        <v>363</v>
      </c>
      <c r="C52" s="263" t="s">
        <v>417</v>
      </c>
      <c r="D52" s="264"/>
      <c r="E52" s="264"/>
      <c r="F52" s="265"/>
      <c r="G52" s="265"/>
      <c r="H52" s="265"/>
      <c r="I52" s="265"/>
      <c r="J52" s="265"/>
      <c r="K52" s="265"/>
      <c r="L52" s="265"/>
      <c r="M52" s="265"/>
      <c r="N52" s="266">
        <v>55</v>
      </c>
      <c r="O52" s="266">
        <v>55</v>
      </c>
      <c r="P52" s="266">
        <v>55</v>
      </c>
      <c r="Q52" s="266">
        <v>55</v>
      </c>
      <c r="R52" s="266">
        <v>55</v>
      </c>
      <c r="S52" s="266">
        <v>55</v>
      </c>
      <c r="T52" s="266">
        <v>56</v>
      </c>
      <c r="U52" s="266">
        <v>56</v>
      </c>
      <c r="V52" s="266">
        <f ca="1">SUMIF('Resident Retention -12 months'!$B:$J,Data_2!$A$52,'Resident Retention -12 months'!$C:$C)-SUMIF('Resident Retention -12 months'!$B:$J,Data_2!$A$52,'Resident Retention -12 months'!$J:$J)</f>
        <v>56</v>
      </c>
      <c r="W52" s="265"/>
      <c r="X52" s="265"/>
      <c r="Y52" s="265"/>
      <c r="Z52" s="265"/>
      <c r="AA52" s="265"/>
      <c r="AB52" s="265"/>
      <c r="AC52" s="265"/>
    </row>
    <row r="53" spans="1:29" ht="15" customHeight="1">
      <c r="B53" s="262" t="s">
        <v>364</v>
      </c>
      <c r="C53" s="263" t="s">
        <v>417</v>
      </c>
      <c r="D53" s="264"/>
      <c r="E53" s="264"/>
      <c r="F53" s="265"/>
      <c r="G53" s="265"/>
      <c r="H53" s="265"/>
      <c r="I53" s="265"/>
      <c r="J53" s="265"/>
      <c r="K53" s="265"/>
      <c r="L53" s="265"/>
      <c r="M53" s="265"/>
      <c r="N53" s="266">
        <v>4</v>
      </c>
      <c r="O53" s="266">
        <v>4</v>
      </c>
      <c r="P53" s="266">
        <v>4</v>
      </c>
      <c r="Q53" s="266">
        <v>4</v>
      </c>
      <c r="R53" s="266">
        <v>4</v>
      </c>
      <c r="S53" s="266">
        <v>6</v>
      </c>
      <c r="T53" s="266">
        <v>6</v>
      </c>
      <c r="U53" s="266">
        <v>6</v>
      </c>
      <c r="V53" s="266">
        <f ca="1">SUMIF('Resident Retention -12 months'!$B:$J,Data_2!$A$52,'Resident Retention -12 months'!$D:$D)</f>
        <v>6</v>
      </c>
      <c r="W53" s="265"/>
      <c r="X53" s="265"/>
      <c r="Y53" s="265"/>
      <c r="Z53" s="265"/>
      <c r="AA53" s="265"/>
      <c r="AB53" s="265"/>
      <c r="AC53" s="265"/>
    </row>
    <row r="54" spans="1:29" ht="15" customHeight="1">
      <c r="B54" s="262" t="s">
        <v>365</v>
      </c>
      <c r="C54" s="263" t="s">
        <v>417</v>
      </c>
      <c r="D54" s="264"/>
      <c r="E54" s="264"/>
      <c r="F54" s="265"/>
      <c r="G54" s="265"/>
      <c r="H54" s="265"/>
      <c r="I54" s="265"/>
      <c r="J54" s="265"/>
      <c r="K54" s="265"/>
      <c r="L54" s="265"/>
      <c r="M54" s="265"/>
      <c r="N54" s="266">
        <v>4</v>
      </c>
      <c r="O54" s="266">
        <v>4</v>
      </c>
      <c r="P54" s="266">
        <v>8</v>
      </c>
      <c r="Q54" s="266">
        <v>9</v>
      </c>
      <c r="R54" s="266">
        <v>9</v>
      </c>
      <c r="S54" s="266">
        <v>10</v>
      </c>
      <c r="T54" s="266">
        <v>11</v>
      </c>
      <c r="U54" s="266">
        <v>11</v>
      </c>
      <c r="V54" s="266">
        <f ca="1">SUMIF('Resident Retention -12 months'!$B:$J,Data_2!$A$52,'Resident Retention -12 months'!$E:$E)</f>
        <v>11</v>
      </c>
      <c r="W54" s="265"/>
      <c r="X54" s="265"/>
      <c r="Y54" s="265"/>
      <c r="Z54" s="265"/>
      <c r="AA54" s="265"/>
      <c r="AB54" s="265"/>
      <c r="AC54" s="265"/>
    </row>
    <row r="55" spans="1:29" ht="15" customHeight="1">
      <c r="B55" s="88" t="s">
        <v>366</v>
      </c>
      <c r="C55" s="89">
        <v>0</v>
      </c>
      <c r="D55" s="301"/>
      <c r="E55" s="301"/>
      <c r="F55" s="302"/>
      <c r="G55" s="302"/>
      <c r="H55" s="302"/>
      <c r="I55" s="302"/>
      <c r="J55" s="302"/>
      <c r="K55" s="302"/>
      <c r="L55" s="302"/>
      <c r="M55" s="302"/>
      <c r="N55" s="376">
        <v>3.9199999999999999E-2</v>
      </c>
      <c r="O55" s="376">
        <v>5.4545454545454543E-2</v>
      </c>
      <c r="P55" s="376">
        <v>0.10909090909090909</v>
      </c>
      <c r="Q55" s="376">
        <v>0.18181818181818182</v>
      </c>
      <c r="R55" s="376">
        <v>0.2</v>
      </c>
      <c r="S55" s="376">
        <v>0.23636363636363636</v>
      </c>
      <c r="T55" s="376">
        <v>0.26785714285714285</v>
      </c>
      <c r="U55" s="376">
        <v>0.30399999999999999</v>
      </c>
      <c r="V55" s="376">
        <f ca="1">SUMIF('Resident Retention -12 months'!$B:$J,$A$52,'Resident Retention -12 months'!$F:$F)/V52</f>
        <v>0.39285714285714285</v>
      </c>
      <c r="W55" s="57"/>
      <c r="X55" s="57"/>
      <c r="Y55" s="57"/>
      <c r="Z55" s="57"/>
      <c r="AA55" s="57"/>
      <c r="AB55" s="57"/>
      <c r="AC55" s="57"/>
    </row>
    <row r="56" spans="1:29" ht="15" customHeight="1">
      <c r="A56" s="710" t="s">
        <v>440</v>
      </c>
      <c r="B56" s="373"/>
      <c r="C56" s="373"/>
      <c r="D56" s="375"/>
      <c r="E56" s="375"/>
      <c r="F56" s="375"/>
      <c r="G56" s="375"/>
      <c r="H56" s="375"/>
      <c r="I56" s="375"/>
      <c r="J56" s="375"/>
      <c r="K56" s="375"/>
      <c r="L56" s="375"/>
      <c r="M56" s="375"/>
      <c r="N56" s="375"/>
      <c r="O56" s="374"/>
      <c r="P56" s="374"/>
      <c r="Q56" s="374"/>
      <c r="R56" s="374"/>
      <c r="S56" s="374"/>
      <c r="T56" s="374"/>
      <c r="U56" s="374" t="s">
        <v>428</v>
      </c>
      <c r="V56" s="374"/>
      <c r="W56" s="374"/>
      <c r="X56" s="374"/>
      <c r="Y56" s="374"/>
      <c r="Z56" s="374"/>
      <c r="AA56" s="374"/>
      <c r="AB56" s="374"/>
      <c r="AC56" s="374"/>
    </row>
    <row r="57" spans="1:29" ht="15" customHeight="1">
      <c r="A57" s="138"/>
      <c r="B57" s="711" t="s">
        <v>441</v>
      </c>
      <c r="C57" s="712" t="s">
        <v>417</v>
      </c>
      <c r="N57" s="400">
        <v>98</v>
      </c>
      <c r="O57" s="377">
        <v>93</v>
      </c>
      <c r="P57" s="377">
        <v>88</v>
      </c>
      <c r="Q57" s="377">
        <v>82</v>
      </c>
      <c r="R57" s="377">
        <v>79</v>
      </c>
      <c r="S57" s="377">
        <v>79</v>
      </c>
      <c r="T57" s="377">
        <v>79</v>
      </c>
      <c r="U57" s="377">
        <v>79</v>
      </c>
      <c r="V57" s="377">
        <f>SUMPRODUCT((Res_Retention!$O$2:$O$14))</f>
        <v>65</v>
      </c>
      <c r="W57" s="55"/>
      <c r="X57" s="55"/>
      <c r="Y57" s="55"/>
      <c r="Z57" s="55"/>
      <c r="AA57" s="55"/>
      <c r="AB57" s="55"/>
      <c r="AC57" s="55"/>
    </row>
    <row r="58" spans="1:29" ht="15" customHeight="1">
      <c r="A58" s="15" t="s">
        <v>442</v>
      </c>
      <c r="B58" s="16"/>
      <c r="C58" s="16"/>
      <c r="D58" s="16"/>
      <c r="E58" s="16"/>
      <c r="F58" s="16"/>
      <c r="G58" s="16"/>
      <c r="H58" s="16"/>
      <c r="I58" s="16"/>
      <c r="J58" s="16" t="s">
        <v>428</v>
      </c>
      <c r="K58" s="16"/>
      <c r="L58" s="16"/>
      <c r="M58" s="16"/>
      <c r="N58" s="16"/>
      <c r="O58" s="16"/>
      <c r="P58" s="16"/>
      <c r="Q58" s="16"/>
      <c r="R58" s="16"/>
      <c r="S58" s="16"/>
      <c r="T58" s="16"/>
      <c r="U58" s="16" t="s">
        <v>428</v>
      </c>
      <c r="V58" s="16"/>
      <c r="W58" s="16"/>
      <c r="X58" s="16"/>
      <c r="Y58" s="16"/>
      <c r="Z58" s="16"/>
      <c r="AA58" s="16"/>
      <c r="AB58" s="16"/>
      <c r="AC58" s="16"/>
    </row>
    <row r="59" spans="1:29" ht="15" customHeight="1">
      <c r="B59" s="88" t="s">
        <v>443</v>
      </c>
      <c r="C59" s="91" t="s">
        <v>417</v>
      </c>
      <c r="D59" s="92">
        <v>0</v>
      </c>
      <c r="E59" s="92">
        <v>0</v>
      </c>
      <c r="F59" s="92">
        <v>3</v>
      </c>
      <c r="G59" s="55">
        <v>3</v>
      </c>
      <c r="H59" s="55">
        <v>4</v>
      </c>
      <c r="I59" s="55">
        <v>2</v>
      </c>
      <c r="J59" s="55">
        <v>3</v>
      </c>
      <c r="K59" s="55">
        <v>2</v>
      </c>
      <c r="L59" s="55">
        <v>0</v>
      </c>
      <c r="M59" s="55">
        <v>1</v>
      </c>
      <c r="N59" s="55">
        <v>3</v>
      </c>
      <c r="O59" s="55">
        <v>7</v>
      </c>
      <c r="P59" s="55">
        <v>8</v>
      </c>
      <c r="Q59" s="55">
        <v>6</v>
      </c>
      <c r="R59" s="55">
        <v>5</v>
      </c>
      <c r="S59" s="55">
        <v>5</v>
      </c>
      <c r="T59" s="55">
        <v>3</v>
      </c>
      <c r="U59" s="55">
        <v>9</v>
      </c>
      <c r="V59" s="55">
        <f>SUM('Boxscore MMR-Property Pulse'!$B:$B)</f>
        <v>5</v>
      </c>
      <c r="W59" s="55"/>
      <c r="X59" s="55"/>
      <c r="Y59" s="55"/>
      <c r="Z59" s="55"/>
      <c r="AA59" s="55"/>
      <c r="AB59" s="55"/>
      <c r="AC59" s="55"/>
    </row>
    <row r="60" spans="1:29" ht="15" customHeight="1">
      <c r="B60" s="88" t="s">
        <v>444</v>
      </c>
      <c r="C60" s="91" t="s">
        <v>417</v>
      </c>
      <c r="D60" s="92">
        <v>4</v>
      </c>
      <c r="E60" s="92">
        <v>1</v>
      </c>
      <c r="F60" s="92">
        <v>7</v>
      </c>
      <c r="G60" s="55">
        <v>0</v>
      </c>
      <c r="H60" s="55">
        <v>0</v>
      </c>
      <c r="I60" s="55">
        <v>14</v>
      </c>
      <c r="J60" s="55">
        <v>1</v>
      </c>
      <c r="K60" s="55">
        <v>2</v>
      </c>
      <c r="L60" s="55">
        <v>5</v>
      </c>
      <c r="M60" s="55">
        <v>4</v>
      </c>
      <c r="N60" s="55">
        <v>6</v>
      </c>
      <c r="O60" s="55">
        <v>2</v>
      </c>
      <c r="P60" s="55">
        <v>6</v>
      </c>
      <c r="Q60" s="55">
        <v>7</v>
      </c>
      <c r="R60" s="55">
        <v>2</v>
      </c>
      <c r="S60" s="55">
        <v>14</v>
      </c>
      <c r="T60" s="55">
        <v>6</v>
      </c>
      <c r="U60" s="55">
        <v>2</v>
      </c>
      <c r="V60" s="55">
        <f>SUM('Boxscore MMR-Property Pulse'!$G:$G)</f>
        <v>4</v>
      </c>
      <c r="W60" s="55"/>
      <c r="X60" s="55"/>
      <c r="Y60" s="55"/>
      <c r="Z60" s="55"/>
      <c r="AA60" s="55"/>
      <c r="AB60" s="55"/>
      <c r="AC60" s="55"/>
    </row>
    <row r="61" spans="1:29" ht="15" customHeight="1">
      <c r="B61" s="88" t="s">
        <v>445</v>
      </c>
      <c r="C61" s="91" t="s">
        <v>417</v>
      </c>
      <c r="D61" s="55">
        <f t="shared" ref="D61:F61" si="3">D59-D60</f>
        <v>-4</v>
      </c>
      <c r="E61" s="55">
        <f t="shared" si="3"/>
        <v>-1</v>
      </c>
      <c r="F61" s="55">
        <f t="shared" si="3"/>
        <v>-4</v>
      </c>
      <c r="G61" s="55">
        <v>3</v>
      </c>
      <c r="H61" s="55">
        <v>4</v>
      </c>
      <c r="I61" s="55">
        <v>-12</v>
      </c>
      <c r="J61" s="55">
        <v>2</v>
      </c>
      <c r="K61" s="55">
        <v>0</v>
      </c>
      <c r="L61" s="55">
        <v>-5</v>
      </c>
      <c r="M61" s="55">
        <v>-3</v>
      </c>
      <c r="N61" s="55">
        <v>-3</v>
      </c>
      <c r="O61" s="55">
        <v>5</v>
      </c>
      <c r="P61" s="55">
        <v>2</v>
      </c>
      <c r="Q61" s="55">
        <v>-1</v>
      </c>
      <c r="R61" s="55">
        <v>3</v>
      </c>
      <c r="S61" s="55">
        <v>-9</v>
      </c>
      <c r="T61" s="55">
        <v>-3</v>
      </c>
      <c r="U61" s="55">
        <v>7</v>
      </c>
      <c r="V61" s="55">
        <f>V59-V60</f>
        <v>1</v>
      </c>
      <c r="W61" s="55"/>
      <c r="X61" s="55"/>
      <c r="Y61" s="55"/>
      <c r="Z61" s="55"/>
      <c r="AA61" s="55"/>
      <c r="AB61" s="55"/>
      <c r="AC61" s="55"/>
    </row>
    <row r="62" spans="1:29" ht="15" customHeight="1">
      <c r="B62" s="88" t="s">
        <v>446</v>
      </c>
      <c r="C62" s="91" t="s">
        <v>417</v>
      </c>
      <c r="D62" s="92">
        <v>2</v>
      </c>
      <c r="E62" s="92">
        <v>1</v>
      </c>
      <c r="F62" s="92">
        <v>4</v>
      </c>
      <c r="G62" s="55">
        <v>0</v>
      </c>
      <c r="H62" s="55">
        <v>1</v>
      </c>
      <c r="I62" s="55">
        <v>7</v>
      </c>
      <c r="J62" s="55">
        <v>3</v>
      </c>
      <c r="K62" s="55">
        <v>2</v>
      </c>
      <c r="L62" s="55">
        <v>1</v>
      </c>
      <c r="M62" s="55">
        <v>2</v>
      </c>
      <c r="N62" s="55">
        <v>2</v>
      </c>
      <c r="O62" s="55">
        <v>1</v>
      </c>
      <c r="P62" s="55">
        <v>2</v>
      </c>
      <c r="Q62" s="55">
        <v>0</v>
      </c>
      <c r="R62" s="55">
        <v>2</v>
      </c>
      <c r="S62" s="55">
        <v>5</v>
      </c>
      <c r="T62" s="55">
        <v>1</v>
      </c>
      <c r="U62" s="55">
        <v>1</v>
      </c>
      <c r="V62" s="55">
        <f>SUM('Boxscore MMR-Property Pulse'!$G:$G)-SUM('Boxscore MMR-Property Pulse'!$H:$H)</f>
        <v>2</v>
      </c>
      <c r="W62" s="55"/>
      <c r="X62" s="55"/>
      <c r="Y62" s="55"/>
      <c r="Z62" s="55"/>
      <c r="AA62" s="55"/>
      <c r="AB62" s="55"/>
      <c r="AC62" s="55"/>
    </row>
    <row r="63" spans="1:29" ht="15" customHeight="1">
      <c r="B63" s="88" t="s">
        <v>447</v>
      </c>
      <c r="C63" s="91" t="s">
        <v>417</v>
      </c>
      <c r="D63" s="92">
        <v>2</v>
      </c>
      <c r="E63" s="92">
        <v>0</v>
      </c>
      <c r="F63" s="92">
        <v>3</v>
      </c>
      <c r="G63" s="55">
        <v>0</v>
      </c>
      <c r="H63" s="55">
        <v>-1</v>
      </c>
      <c r="I63" s="55">
        <v>7</v>
      </c>
      <c r="J63" s="55">
        <v>-2</v>
      </c>
      <c r="K63" s="55">
        <v>0</v>
      </c>
      <c r="L63" s="55">
        <v>4</v>
      </c>
      <c r="M63" s="55">
        <v>2</v>
      </c>
      <c r="N63" s="55">
        <v>4</v>
      </c>
      <c r="O63" s="55">
        <v>1</v>
      </c>
      <c r="P63" s="55">
        <v>4</v>
      </c>
      <c r="Q63" s="55">
        <v>7</v>
      </c>
      <c r="R63" s="55">
        <v>0</v>
      </c>
      <c r="S63" s="55">
        <v>9</v>
      </c>
      <c r="T63" s="55">
        <v>5</v>
      </c>
      <c r="U63" s="55">
        <v>1</v>
      </c>
      <c r="V63" s="55">
        <f>SUM('Boxscore MMR-Property Pulse'!$H:$H)</f>
        <v>2</v>
      </c>
      <c r="W63" s="55"/>
      <c r="X63" s="55"/>
      <c r="Y63" s="55"/>
      <c r="Z63" s="55"/>
      <c r="AA63" s="55"/>
      <c r="AB63" s="55"/>
      <c r="AC63" s="55"/>
    </row>
    <row r="64" spans="1:29" ht="15" customHeight="1">
      <c r="A64" s="15" t="s">
        <v>368</v>
      </c>
      <c r="B64" s="16"/>
      <c r="C64" s="16"/>
      <c r="D64" s="16"/>
      <c r="E64" s="16"/>
      <c r="F64" s="16"/>
      <c r="G64" s="16"/>
      <c r="H64" s="16"/>
      <c r="I64" s="16"/>
      <c r="J64" s="16" t="s">
        <v>428</v>
      </c>
      <c r="K64" s="16"/>
      <c r="L64" s="16"/>
      <c r="M64" s="16"/>
      <c r="N64" s="16"/>
      <c r="O64" s="16"/>
      <c r="P64" s="16"/>
      <c r="Q64" s="16"/>
      <c r="R64" s="16"/>
      <c r="S64" s="16"/>
      <c r="T64" s="16"/>
      <c r="U64" s="16" t="s">
        <v>428</v>
      </c>
      <c r="V64" s="16"/>
      <c r="W64" s="16"/>
      <c r="X64" s="16"/>
      <c r="Y64" s="16"/>
      <c r="Z64" s="16"/>
      <c r="AA64" s="16"/>
      <c r="AB64" s="16"/>
      <c r="AC64" s="16"/>
    </row>
    <row r="65" spans="1:29" ht="15" customHeight="1">
      <c r="A65" s="60" t="s">
        <v>448</v>
      </c>
      <c r="B65" s="88" t="s">
        <v>369</v>
      </c>
      <c r="C65" s="91" t="s">
        <v>449</v>
      </c>
      <c r="D65" s="61">
        <v>815386.07</v>
      </c>
      <c r="E65" s="61">
        <v>815386.07</v>
      </c>
      <c r="F65" s="61">
        <v>816812.07</v>
      </c>
      <c r="G65" s="56">
        <v>933650.76</v>
      </c>
      <c r="H65" s="56">
        <v>938719.71000000008</v>
      </c>
      <c r="I65" s="56">
        <v>921538.96000000008</v>
      </c>
      <c r="J65" s="56">
        <v>794136</v>
      </c>
      <c r="K65" s="56">
        <v>877767.02</v>
      </c>
      <c r="L65" s="56">
        <v>866547.02</v>
      </c>
      <c r="M65" s="56">
        <v>863028.1</v>
      </c>
      <c r="N65" s="56">
        <v>755822</v>
      </c>
      <c r="O65" s="56">
        <v>849001.95000000007</v>
      </c>
      <c r="P65" s="56">
        <v>862037.95</v>
      </c>
      <c r="Q65" s="56">
        <v>896996.30999999994</v>
      </c>
      <c r="R65" s="56">
        <v>919957.46</v>
      </c>
      <c r="S65" s="56">
        <v>801098.4</v>
      </c>
      <c r="T65" s="56">
        <v>859616.05</v>
      </c>
      <c r="U65" s="56">
        <v>877250</v>
      </c>
      <c r="V65" s="56">
        <f>SUM('receipts by charge code-AVA'!$C:$C)</f>
        <v>890341.69</v>
      </c>
      <c r="W65" s="56"/>
      <c r="X65" s="56"/>
      <c r="Y65" s="56"/>
      <c r="Z65" s="56"/>
      <c r="AA65" s="56"/>
      <c r="AB65" s="56"/>
      <c r="AC65" s="56"/>
    </row>
    <row r="66" spans="1:29" ht="15" customHeight="1">
      <c r="B66" s="88" t="s">
        <v>450</v>
      </c>
      <c r="C66" s="91" t="s">
        <v>449</v>
      </c>
      <c r="D66" s="61">
        <v>-13618.19</v>
      </c>
      <c r="E66" s="61">
        <v>-10377</v>
      </c>
      <c r="F66" s="61">
        <v>-1750.26</v>
      </c>
      <c r="G66" s="56">
        <v>-16513</v>
      </c>
      <c r="H66" s="56">
        <v>-17183</v>
      </c>
      <c r="I66" s="56">
        <v>-17023</v>
      </c>
      <c r="J66" s="56">
        <v>-4625</v>
      </c>
      <c r="K66" s="56">
        <v>-7749</v>
      </c>
      <c r="L66" s="56">
        <v>-9579</v>
      </c>
      <c r="M66" s="56">
        <v>-12426.42</v>
      </c>
      <c r="N66" s="56">
        <v>-15171.74</v>
      </c>
      <c r="O66" s="56">
        <v>-15446.74</v>
      </c>
      <c r="P66" s="56">
        <v>-15303.42</v>
      </c>
      <c r="Q66" s="56">
        <v>-18575.739999999998</v>
      </c>
      <c r="R66" s="56">
        <v>-19371.739999999998</v>
      </c>
      <c r="S66" s="56">
        <v>-23309.879999999997</v>
      </c>
      <c r="T66" s="56">
        <v>-25409.879999999997</v>
      </c>
      <c r="U66" s="56">
        <v>-25481</v>
      </c>
      <c r="V66" s="56">
        <f>SUMIF('receipts by charge code-AVA'!$G:$G,"&lt;0")</f>
        <v>-27839.47</v>
      </c>
      <c r="W66" s="56"/>
      <c r="X66" s="56"/>
      <c r="Y66" s="56"/>
      <c r="Z66" s="56"/>
      <c r="AA66" s="56"/>
      <c r="AB66" s="56"/>
      <c r="AC66" s="56"/>
    </row>
    <row r="67" spans="1:29" ht="15" customHeight="1">
      <c r="B67" s="88" t="s">
        <v>451</v>
      </c>
      <c r="C67" s="91" t="s">
        <v>449</v>
      </c>
      <c r="D67" s="61">
        <v>0</v>
      </c>
      <c r="E67" s="61">
        <v>0</v>
      </c>
      <c r="F67" s="61">
        <v>0</v>
      </c>
      <c r="G67" s="61">
        <v>5882.0599999999995</v>
      </c>
      <c r="H67" s="61">
        <v>5882.0599999999995</v>
      </c>
      <c r="I67" s="61">
        <v>6056.82</v>
      </c>
      <c r="J67" s="61">
        <v>0</v>
      </c>
      <c r="K67" s="61">
        <v>9637.42</v>
      </c>
      <c r="L67" s="61">
        <v>14287.210000000001</v>
      </c>
      <c r="M67" s="61">
        <v>14287.210000000001</v>
      </c>
      <c r="N67" s="61">
        <v>0</v>
      </c>
      <c r="O67" s="61">
        <v>5708.5599999999995</v>
      </c>
      <c r="P67" s="61">
        <v>8679.76</v>
      </c>
      <c r="Q67" s="61">
        <v>8960.8100000000013</v>
      </c>
      <c r="R67" s="61">
        <v>9210.8100000000013</v>
      </c>
      <c r="S67" s="61">
        <v>4126.88</v>
      </c>
      <c r="T67" s="61">
        <v>10205.67</v>
      </c>
      <c r="U67" s="61">
        <v>10206</v>
      </c>
      <c r="V67" s="61">
        <f>SUM('NSF -AVA'!$F:$F)</f>
        <v>10205.67</v>
      </c>
      <c r="W67" s="56"/>
      <c r="X67" s="56"/>
      <c r="Y67" s="56"/>
      <c r="Z67" s="56"/>
      <c r="AA67" s="56"/>
      <c r="AB67" s="56"/>
      <c r="AC67" s="56"/>
    </row>
    <row r="68" spans="1:29" ht="15" customHeight="1">
      <c r="B68" s="88" t="s">
        <v>452</v>
      </c>
      <c r="C68" s="91" t="s">
        <v>449</v>
      </c>
      <c r="D68" s="61">
        <f>D65-D66</f>
        <v>829004.25999999989</v>
      </c>
      <c r="E68" s="61">
        <f>E65-E66</f>
        <v>825763.07</v>
      </c>
      <c r="F68" s="61">
        <f>F65-F66</f>
        <v>818562.33</v>
      </c>
      <c r="G68" s="56">
        <v>944281.7</v>
      </c>
      <c r="H68" s="56">
        <v>950020.65</v>
      </c>
      <c r="I68" s="56">
        <v>932505.14000000013</v>
      </c>
      <c r="J68" s="56">
        <v>798761</v>
      </c>
      <c r="K68" s="56">
        <v>875878.6</v>
      </c>
      <c r="L68" s="56">
        <v>861838.81</v>
      </c>
      <c r="M68" s="56">
        <v>861167.31</v>
      </c>
      <c r="N68" s="56">
        <v>770993.74</v>
      </c>
      <c r="O68" s="56">
        <v>858740.13</v>
      </c>
      <c r="P68" s="56">
        <v>868661.61</v>
      </c>
      <c r="Q68" s="56">
        <v>906611.23999999987</v>
      </c>
      <c r="R68" s="56">
        <v>930118.3899999999</v>
      </c>
      <c r="S68" s="56">
        <v>820281.4</v>
      </c>
      <c r="T68" s="56">
        <v>874820.26</v>
      </c>
      <c r="U68" s="56">
        <v>892526</v>
      </c>
      <c r="V68" s="56">
        <f>V65-V66-V67</f>
        <v>907975.48999999987</v>
      </c>
      <c r="W68" s="56"/>
      <c r="X68" s="56"/>
      <c r="Y68" s="56"/>
      <c r="Z68" s="56"/>
      <c r="AA68" s="56"/>
      <c r="AB68" s="56"/>
      <c r="AC68" s="56"/>
    </row>
    <row r="69" spans="1:29" ht="15" customHeight="1">
      <c r="B69" s="88" t="s">
        <v>370</v>
      </c>
      <c r="C69" s="91" t="s">
        <v>449</v>
      </c>
      <c r="D69" s="61">
        <v>24590</v>
      </c>
      <c r="E69" s="61">
        <v>24590</v>
      </c>
      <c r="F69" s="61">
        <v>724567</v>
      </c>
      <c r="G69" s="56">
        <v>724567.37</v>
      </c>
      <c r="H69" s="56">
        <v>768825.71</v>
      </c>
      <c r="I69" s="56">
        <v>801238.67</v>
      </c>
      <c r="J69" s="56">
        <v>275431</v>
      </c>
      <c r="K69" s="56">
        <v>725838.79999999993</v>
      </c>
      <c r="L69" s="56">
        <v>761770.10999999987</v>
      </c>
      <c r="M69" s="56">
        <v>778544.86</v>
      </c>
      <c r="N69" s="56">
        <v>227734.40999999997</v>
      </c>
      <c r="O69" s="56">
        <v>695088.89</v>
      </c>
      <c r="P69" s="56">
        <v>727598.04</v>
      </c>
      <c r="Q69" s="56">
        <v>764159.89</v>
      </c>
      <c r="R69" s="56">
        <v>776197.84000000008</v>
      </c>
      <c r="S69" s="56">
        <v>671381.07</v>
      </c>
      <c r="T69" s="56">
        <v>700705.62999999989</v>
      </c>
      <c r="U69" s="56">
        <v>741187</v>
      </c>
      <c r="V69" s="56">
        <f>SUM('receipts by charge code-AVA'!$F:$F)</f>
        <v>774989.18999999983</v>
      </c>
      <c r="W69" s="56"/>
      <c r="X69" s="56"/>
      <c r="Y69" s="56"/>
      <c r="Z69" s="56"/>
      <c r="AA69" s="56"/>
      <c r="AB69" s="56"/>
      <c r="AC69" s="56"/>
    </row>
    <row r="70" spans="1:29" ht="15" customHeight="1">
      <c r="B70" s="88" t="s">
        <v>371</v>
      </c>
      <c r="C70" s="89">
        <v>0</v>
      </c>
      <c r="D70" s="54">
        <f t="shared" ref="D70:F70" si="4">D69/D68</f>
        <v>2.9662091241847179E-2</v>
      </c>
      <c r="E70" s="54">
        <f t="shared" si="4"/>
        <v>2.9778517462642162E-2</v>
      </c>
      <c r="F70" s="54">
        <f t="shared" si="4"/>
        <v>0.88517022277338375</v>
      </c>
      <c r="G70" s="54">
        <v>0.76732120298423667</v>
      </c>
      <c r="H70" s="54">
        <v>0.8092726300212526</v>
      </c>
      <c r="I70" s="54">
        <v>0.8592324434801506</v>
      </c>
      <c r="J70" s="54">
        <v>0.3448</v>
      </c>
      <c r="K70" s="54">
        <v>0.82869794969302812</v>
      </c>
      <c r="L70" s="54">
        <v>0.88388930872119786</v>
      </c>
      <c r="M70" s="54">
        <v>0.90405760989696637</v>
      </c>
      <c r="N70" s="54">
        <v>0.29537776791806375</v>
      </c>
      <c r="O70" s="54">
        <v>0.80942868012934255</v>
      </c>
      <c r="P70" s="54">
        <v>0.83760814524772198</v>
      </c>
      <c r="Q70" s="54">
        <v>0.84287493501624811</v>
      </c>
      <c r="R70" s="54">
        <v>0.83451509866394558</v>
      </c>
      <c r="S70" s="54">
        <v>0.8184765252509687</v>
      </c>
      <c r="T70" s="54">
        <v>0.80097096745335994</v>
      </c>
      <c r="U70" s="54">
        <v>0.83040000000000003</v>
      </c>
      <c r="V70" s="54">
        <f>V69/V68</f>
        <v>0.85353536360326199</v>
      </c>
      <c r="W70" s="57"/>
      <c r="X70" s="57"/>
      <c r="Y70" s="57"/>
      <c r="Z70" s="57"/>
      <c r="AA70" s="57"/>
      <c r="AB70" s="57"/>
      <c r="AC70" s="57"/>
    </row>
    <row r="71" spans="1:29" ht="15" customHeight="1">
      <c r="B71" s="88" t="s">
        <v>453</v>
      </c>
      <c r="C71" s="89">
        <v>0</v>
      </c>
      <c r="D71" s="54">
        <f>(SUM(D69)-SUM('receipts by charge code-AVA'!A:A))/Data_2!D68</f>
        <v>2.9662091241847179E-2</v>
      </c>
      <c r="E71" s="54">
        <f>(SUM(E69)-SUM('receipts by charge code-AVA'!B:B))/Data_2!E68</f>
        <v>2.9778517462642162E-2</v>
      </c>
      <c r="F71" s="54">
        <f>(SUM(F69)/(Data_2!F68))</f>
        <v>0.88517022277338375</v>
      </c>
      <c r="G71" s="54">
        <v>0.76692371566662798</v>
      </c>
      <c r="H71" s="54">
        <v>0.80887754387233579</v>
      </c>
      <c r="I71" s="54">
        <v>0.85882993631541804</v>
      </c>
      <c r="J71" s="54">
        <v>0.32050000000000001</v>
      </c>
      <c r="K71" s="54">
        <v>0.80002995848968095</v>
      </c>
      <c r="L71" s="54">
        <v>0.85479545763319698</v>
      </c>
      <c r="M71" s="54">
        <v>0.87560780726802079</v>
      </c>
      <c r="N71" s="54">
        <v>0.26897857821776866</v>
      </c>
      <c r="O71" s="54">
        <v>0.78341556018815606</v>
      </c>
      <c r="P71" s="54">
        <v>0.81189213599528132</v>
      </c>
      <c r="Q71" s="54">
        <v>0.81823536624143345</v>
      </c>
      <c r="R71" s="54">
        <v>0.81049825280844101</v>
      </c>
      <c r="S71" s="54">
        <v>0.78734609854618176</v>
      </c>
      <c r="T71" s="54">
        <v>0.7717357734719128</v>
      </c>
      <c r="U71" s="54">
        <v>0.80100000000000005</v>
      </c>
      <c r="V71" s="54">
        <f>(SUM(V69)-SUM('receipts by charge code-AVA'!$D:$D))/Data_2!V68</f>
        <v>0.82459896577164205</v>
      </c>
      <c r="W71" s="57"/>
      <c r="X71" s="57"/>
      <c r="Y71" s="57"/>
      <c r="Z71" s="57"/>
      <c r="AA71" s="57"/>
      <c r="AB71" s="57"/>
      <c r="AC71" s="57"/>
    </row>
    <row r="72" spans="1:29" ht="15" customHeight="1">
      <c r="A72" s="15" t="s">
        <v>372</v>
      </c>
      <c r="B72" s="16"/>
      <c r="C72" s="16"/>
      <c r="D72" s="16"/>
      <c r="E72" s="16"/>
      <c r="F72" s="16"/>
      <c r="G72" s="16"/>
      <c r="H72" s="16"/>
      <c r="I72" s="16"/>
      <c r="J72" s="16" t="s">
        <v>428</v>
      </c>
      <c r="K72" s="16"/>
      <c r="L72" s="16"/>
      <c r="M72" s="16"/>
      <c r="N72" s="16"/>
      <c r="O72" s="16"/>
      <c r="P72" s="16"/>
      <c r="Q72" s="16"/>
      <c r="R72" s="16"/>
      <c r="S72" s="16"/>
      <c r="T72" s="16"/>
      <c r="U72" s="16" t="s">
        <v>428</v>
      </c>
      <c r="V72" s="16"/>
      <c r="W72" s="16"/>
      <c r="X72" s="16"/>
      <c r="Y72" s="16"/>
      <c r="Z72" s="16"/>
      <c r="AA72" s="16"/>
      <c r="AB72" s="16"/>
      <c r="AC72" s="16"/>
    </row>
    <row r="73" spans="1:29" ht="15" customHeight="1">
      <c r="B73" s="88" t="s">
        <v>373</v>
      </c>
      <c r="C73" s="91" t="s">
        <v>449</v>
      </c>
      <c r="D73" s="61">
        <v>417869.49</v>
      </c>
      <c r="E73" s="61">
        <v>417869.49</v>
      </c>
      <c r="F73" s="61">
        <v>871131.37</v>
      </c>
      <c r="G73" s="56">
        <v>577717.95999999961</v>
      </c>
      <c r="H73" s="56">
        <v>543166.30999999982</v>
      </c>
      <c r="I73" s="56">
        <v>496527.82000000007</v>
      </c>
      <c r="J73" s="56">
        <v>856635.52</v>
      </c>
      <c r="K73" s="56">
        <f>'trending delinquency'!D14</f>
        <v>628862.97</v>
      </c>
      <c r="L73" s="56">
        <f>'trending delinquency'!D21</f>
        <v>594834.71</v>
      </c>
      <c r="M73" s="56">
        <v>571153.44999999995</v>
      </c>
      <c r="N73" s="56">
        <v>1021329.94</v>
      </c>
      <c r="O73" s="56">
        <v>711072.26</v>
      </c>
      <c r="P73" s="56">
        <v>687575.66</v>
      </c>
      <c r="Q73" s="56">
        <v>698186.29</v>
      </c>
      <c r="R73" s="56">
        <v>692937.99</v>
      </c>
      <c r="S73" s="56">
        <v>819291.5</v>
      </c>
      <c r="T73" s="56">
        <v>853079.77</v>
      </c>
      <c r="U73" s="56">
        <v>830455</v>
      </c>
      <c r="V73" s="56">
        <f>'trending delinquency'!$D$91</f>
        <v>810269.66</v>
      </c>
      <c r="W73" s="56"/>
      <c r="X73" s="56"/>
      <c r="Y73" s="56"/>
      <c r="Z73" s="56"/>
      <c r="AA73" s="56"/>
      <c r="AB73" s="56"/>
      <c r="AC73" s="56"/>
    </row>
    <row r="74" spans="1:29" ht="15" customHeight="1">
      <c r="A74" s="60" t="s">
        <v>454</v>
      </c>
      <c r="B74" s="88" t="s">
        <v>455</v>
      </c>
      <c r="C74" s="91" t="s">
        <v>417</v>
      </c>
      <c r="D74" s="92">
        <v>156</v>
      </c>
      <c r="E74" s="92">
        <v>156</v>
      </c>
      <c r="F74" s="92">
        <v>471</v>
      </c>
      <c r="G74" s="55">
        <v>464</v>
      </c>
      <c r="H74" s="55">
        <v>355</v>
      </c>
      <c r="I74" s="55">
        <v>255</v>
      </c>
      <c r="J74" s="55">
        <v>222</v>
      </c>
      <c r="K74" s="55">
        <v>222</v>
      </c>
      <c r="L74" s="55">
        <v>222</v>
      </c>
      <c r="M74" s="55">
        <v>121</v>
      </c>
      <c r="N74" s="55">
        <v>427</v>
      </c>
      <c r="O74" s="55">
        <v>181</v>
      </c>
      <c r="P74" s="55">
        <v>130</v>
      </c>
      <c r="Q74" s="55">
        <v>108</v>
      </c>
      <c r="R74" s="55">
        <v>93</v>
      </c>
      <c r="S74" s="55">
        <v>112</v>
      </c>
      <c r="T74" s="55">
        <v>98</v>
      </c>
      <c r="U74" s="55">
        <v>87</v>
      </c>
      <c r="V74" s="55">
        <f>COUNTIF('resident aged receivable'!$E:$E,"Current*")</f>
        <v>69</v>
      </c>
      <c r="W74" s="55"/>
      <c r="X74" s="55"/>
      <c r="Y74" s="55"/>
      <c r="Z74" s="55"/>
      <c r="AA74" s="55"/>
      <c r="AB74" s="55"/>
      <c r="AC74" s="55"/>
    </row>
    <row r="75" spans="1:29" ht="15" customHeight="1">
      <c r="B75" s="88" t="s">
        <v>456</v>
      </c>
      <c r="C75" s="91" t="s">
        <v>417</v>
      </c>
      <c r="D75" s="92">
        <v>0</v>
      </c>
      <c r="E75" s="92">
        <v>0</v>
      </c>
      <c r="F75" s="92">
        <v>0</v>
      </c>
      <c r="G75" s="55">
        <v>27</v>
      </c>
      <c r="H75" s="55">
        <v>23</v>
      </c>
      <c r="I75" s="55">
        <v>13</v>
      </c>
      <c r="J75" s="55">
        <v>9</v>
      </c>
      <c r="K75" s="55">
        <v>9</v>
      </c>
      <c r="L75" s="55">
        <v>9</v>
      </c>
      <c r="M75" s="55">
        <v>13</v>
      </c>
      <c r="N75" s="55">
        <v>26</v>
      </c>
      <c r="O75" s="55">
        <v>8</v>
      </c>
      <c r="P75" s="55">
        <v>7</v>
      </c>
      <c r="Q75" s="55">
        <v>6</v>
      </c>
      <c r="R75" s="55">
        <v>12</v>
      </c>
      <c r="S75" s="55">
        <v>14</v>
      </c>
      <c r="T75" s="55">
        <v>9</v>
      </c>
      <c r="U75" s="55">
        <v>8</v>
      </c>
      <c r="V75" s="55">
        <f>COUNTIF('resident aged receivable'!$E:$E,"Notice*")</f>
        <v>7</v>
      </c>
      <c r="W75" s="55"/>
      <c r="X75" s="55"/>
      <c r="Y75" s="55"/>
      <c r="Z75" s="55"/>
      <c r="AA75" s="55"/>
      <c r="AB75" s="55"/>
      <c r="AC75" s="55"/>
    </row>
    <row r="76" spans="1:29" ht="15" customHeight="1">
      <c r="B76" s="88" t="s">
        <v>457</v>
      </c>
      <c r="C76" s="91" t="s">
        <v>417</v>
      </c>
      <c r="D76" s="92">
        <v>0</v>
      </c>
      <c r="E76" s="92">
        <v>0</v>
      </c>
      <c r="F76" s="92">
        <v>0</v>
      </c>
      <c r="G76" s="55">
        <v>0</v>
      </c>
      <c r="H76" s="55">
        <v>0</v>
      </c>
      <c r="I76" s="55">
        <v>30</v>
      </c>
      <c r="J76" s="55">
        <v>30</v>
      </c>
      <c r="K76" s="55">
        <v>30</v>
      </c>
      <c r="L76" s="55">
        <v>30</v>
      </c>
      <c r="M76" s="55">
        <v>51</v>
      </c>
      <c r="N76" s="55">
        <v>55</v>
      </c>
      <c r="O76" s="55">
        <v>79</v>
      </c>
      <c r="P76" s="55">
        <v>86</v>
      </c>
      <c r="Q76" s="55">
        <v>91</v>
      </c>
      <c r="R76" s="55">
        <v>94</v>
      </c>
      <c r="S76" s="55">
        <v>102</v>
      </c>
      <c r="T76" s="55">
        <v>111</v>
      </c>
      <c r="U76" s="55">
        <v>111</v>
      </c>
      <c r="V76" s="55">
        <f>COUNTIF('resident aged receivable'!$E:$E,"Past*")</f>
        <v>117</v>
      </c>
      <c r="W76" s="55"/>
      <c r="X76" s="55"/>
      <c r="Y76" s="55"/>
      <c r="Z76" s="55"/>
      <c r="AA76" s="55"/>
      <c r="AB76" s="55"/>
      <c r="AC76" s="55"/>
    </row>
    <row r="77" spans="1:29" ht="15" customHeight="1">
      <c r="B77" s="88" t="s">
        <v>458</v>
      </c>
      <c r="C77" s="91" t="s">
        <v>449</v>
      </c>
      <c r="D77" s="61">
        <v>0</v>
      </c>
      <c r="E77" s="61">
        <v>0</v>
      </c>
      <c r="F77" s="61">
        <v>0</v>
      </c>
      <c r="G77" s="56">
        <v>0</v>
      </c>
      <c r="H77" s="56">
        <v>0</v>
      </c>
      <c r="I77" s="56">
        <v>0</v>
      </c>
      <c r="J77" s="56">
        <v>0</v>
      </c>
      <c r="K77" s="56">
        <v>0</v>
      </c>
      <c r="L77" s="56">
        <v>0</v>
      </c>
      <c r="M77" s="56">
        <v>356590.97000000009</v>
      </c>
      <c r="N77" s="56">
        <v>452589.40000000014</v>
      </c>
      <c r="O77" s="56">
        <v>452512.32000000012</v>
      </c>
      <c r="P77" s="56">
        <v>451412.32000000012</v>
      </c>
      <c r="Q77" s="56">
        <v>447149.93000000011</v>
      </c>
      <c r="R77" s="56">
        <v>447149.93000000011</v>
      </c>
      <c r="S77" s="56">
        <v>530840.34000000008</v>
      </c>
      <c r="T77" s="56">
        <v>530640.34000000008</v>
      </c>
      <c r="U77" s="56">
        <v>526401</v>
      </c>
      <c r="V77" s="56">
        <f>SUM('resident aged receivable'!$L:$L)+SUM('resident aged receivable'!$M:$M)</f>
        <v>517095.84000000014</v>
      </c>
      <c r="W77" s="56"/>
      <c r="X77" s="56"/>
      <c r="Y77" s="56"/>
      <c r="Z77" s="56"/>
      <c r="AA77" s="56"/>
      <c r="AB77" s="56"/>
      <c r="AC77" s="56"/>
    </row>
    <row r="78" spans="1:29" ht="15" customHeight="1">
      <c r="A78" s="60" t="s">
        <v>459</v>
      </c>
      <c r="B78" s="88" t="s">
        <v>460</v>
      </c>
      <c r="C78" s="91" t="s">
        <v>461</v>
      </c>
      <c r="D78" s="94">
        <f t="shared" ref="D78" si="5">D73/D65*30</f>
        <v>15.374416072621894</v>
      </c>
      <c r="E78" s="94">
        <f>E73/E65*30</f>
        <v>15.374416072621894</v>
      </c>
      <c r="F78" s="94">
        <f>F73/F65*30</f>
        <v>31.995047649087756</v>
      </c>
      <c r="G78" s="94">
        <v>18.563192515368367</v>
      </c>
      <c r="H78" s="94">
        <v>17.358737785531307</v>
      </c>
      <c r="I78" s="94">
        <v>16.164085564000462</v>
      </c>
      <c r="J78" s="94" t="s">
        <v>462</v>
      </c>
      <c r="K78" s="94">
        <v>16.755622010040888</v>
      </c>
      <c r="L78" s="94">
        <v>16.972572821264794</v>
      </c>
      <c r="M78" s="94">
        <v>19.854050522804528</v>
      </c>
      <c r="N78" s="94">
        <v>40.538510654625028</v>
      </c>
      <c r="O78" s="94">
        <v>25.1261705582655</v>
      </c>
      <c r="P78" s="94">
        <v>23.928493867352362</v>
      </c>
      <c r="Q78" s="94">
        <v>22.986887872481887</v>
      </c>
      <c r="R78" s="94">
        <v>22.596848880381927</v>
      </c>
      <c r="S78" s="94">
        <v>30.681305817113106</v>
      </c>
      <c r="T78" s="94">
        <v>29.771888391334713</v>
      </c>
      <c r="U78" s="94" t="s">
        <v>463</v>
      </c>
      <c r="V78" s="94">
        <f>V73/V65*30</f>
        <v>27.301978636988235</v>
      </c>
      <c r="W78" s="95"/>
      <c r="X78" s="95"/>
      <c r="Y78" s="95"/>
      <c r="Z78" s="95"/>
      <c r="AA78" s="95"/>
      <c r="AB78" s="95"/>
      <c r="AC78" s="95"/>
    </row>
    <row r="79" spans="1:29" ht="15" customHeight="1">
      <c r="A79" s="60" t="s">
        <v>464</v>
      </c>
      <c r="B79" s="88" t="s">
        <v>465</v>
      </c>
      <c r="C79" s="91">
        <v>0</v>
      </c>
      <c r="D79" s="96">
        <f>(D73/'T12'!$C$24)*DAY(EOMONTH(D4,0))</f>
        <v>13.486406977975351</v>
      </c>
      <c r="E79" s="96">
        <f>(E73/'T12'!$C$24)*DAY(EOMONTH(E4,0))</f>
        <v>13.486406977975351</v>
      </c>
      <c r="F79" s="96">
        <f>(F73/'T12'!$D$24)*DAY(EOMONTH(F4,0))</f>
        <v>27.079405437927107</v>
      </c>
      <c r="G79" s="96">
        <f>(G73/'T12'!$D$24)*DAY(EOMONTH(G4,0))</f>
        <v>17.958552987951915</v>
      </c>
      <c r="H79" s="96">
        <f>(H73/'T12'!$D$24)*DAY(EOMONTH(H4,0))</f>
        <v>16.884503572305974</v>
      </c>
      <c r="I79" s="96">
        <f>(I73/'T12'!$D$24)*DAY(EOMONTH(I4,0))</f>
        <v>15.434730755925015</v>
      </c>
      <c r="J79" s="96">
        <f>(J73/'T12'!$E$24)*DAY(EOMONTH(J4,0))</f>
        <v>26.738317141497141</v>
      </c>
      <c r="K79" s="96">
        <f>(K73/'T12'!$E$24)*DAY(EOMONTH(K4,0))</f>
        <v>19.628811948404614</v>
      </c>
      <c r="L79" s="96">
        <v>14.104579653524391</v>
      </c>
      <c r="M79" s="96">
        <v>16.435058725572802</v>
      </c>
      <c r="N79" s="96">
        <v>35.294555574506411</v>
      </c>
      <c r="O79" s="96">
        <v>24.572842149384041</v>
      </c>
      <c r="P79" s="96">
        <v>23.760859633222864</v>
      </c>
      <c r="Q79" s="96">
        <v>23.751510461431103</v>
      </c>
      <c r="R79" s="96">
        <v>23.94616806958755</v>
      </c>
      <c r="S79" s="96">
        <v>27.399312418274423</v>
      </c>
      <c r="T79" s="96">
        <v>28.529283089034475</v>
      </c>
      <c r="U79" s="96">
        <v>27.8</v>
      </c>
      <c r="V79" s="96">
        <f>(V73/'T12'!$E$24)*DAY(EOMONTH(V4,0))</f>
        <v>27.097597811510308</v>
      </c>
      <c r="W79" s="58"/>
      <c r="X79" s="58"/>
      <c r="Y79" s="58"/>
      <c r="Z79" s="58"/>
      <c r="AA79" s="58"/>
      <c r="AB79" s="58"/>
      <c r="AC79" s="58"/>
    </row>
    <row r="80" spans="1:29" ht="15" customHeight="1">
      <c r="A80" s="60" t="s">
        <v>466</v>
      </c>
      <c r="B80" s="88" t="s">
        <v>467</v>
      </c>
      <c r="C80" s="91">
        <v>0</v>
      </c>
      <c r="D80" s="96">
        <f>(D73/AVERAGE(DSO_Calculation!$D$20,'T12'!$C$24))*DAY(EOMONTH(D4,0))</f>
        <v>13.209390447544633</v>
      </c>
      <c r="E80" s="96">
        <f>(E73/AVERAGE('T12'!$C$24,'T12'!$C$24))*DAY(EOMONTH(E4,0))</f>
        <v>13.486406977975351</v>
      </c>
      <c r="F80" s="96">
        <f>(F73/AVERAGE('T12'!$C$24,'T12'!$D$24))*DAY(EOMONTH(F4,0))</f>
        <v>27.587523720175504</v>
      </c>
      <c r="G80" s="96">
        <f>(G73/AVERAGE('T12'!$C$24,'T12'!$D$24))*DAY(EOMONTH(G4,0))</f>
        <v>18.295527487514764</v>
      </c>
      <c r="H80" s="96">
        <f>(H73/AVERAGE('T12'!$C$24,'T12'!$D$24))*DAY(EOMONTH(H4,0))</f>
        <v>17.201324595996581</v>
      </c>
      <c r="I80" s="96">
        <f>(I73/AVERAGE('T12'!$C$24,'T12'!$D$24))*DAY(EOMONTH(I4,0))</f>
        <v>15.724348225431298</v>
      </c>
      <c r="J80" s="96">
        <f>(J73/AVERAGE('T12'!$D$24,'T12'!$E$24))*DAY(EOMONTH(J4,0))</f>
        <v>25.324016909569277</v>
      </c>
      <c r="K80" s="96">
        <f>(K73/AVERAGE('T12'!$D$24,'T12'!$E$24))*DAY(EOMONTH(K4,0))</f>
        <v>18.590562863984392</v>
      </c>
      <c r="L80" s="96">
        <v>13.802562555173177</v>
      </c>
      <c r="M80" s="96">
        <v>16.081686008410308</v>
      </c>
      <c r="N80" s="96">
        <v>33.427680487691575</v>
      </c>
      <c r="O80" s="96">
        <v>23.273082850132397</v>
      </c>
      <c r="P80" s="96">
        <v>22.504049449087585</v>
      </c>
      <c r="Q80" s="96">
        <v>22.495194793677072</v>
      </c>
      <c r="R80" s="96">
        <v>22.679556155480196</v>
      </c>
      <c r="S80" s="96">
        <v>25.95004941107906</v>
      </c>
      <c r="T80" s="96">
        <v>27.020251257448614</v>
      </c>
      <c r="U80" s="96">
        <v>26.3</v>
      </c>
      <c r="V80" s="96">
        <f>(V73/AVERAGE('T12'!$D$24,'T12'!$E$24))*DAY(EOMONTH(V4,0))</f>
        <v>25.664293738307101</v>
      </c>
      <c r="W80" s="58"/>
      <c r="X80" s="58"/>
      <c r="Y80" s="58"/>
      <c r="Z80" s="58"/>
      <c r="AA80" s="58"/>
      <c r="AB80" s="58"/>
      <c r="AC80" s="58"/>
    </row>
    <row r="81" spans="1:29" ht="15" customHeight="1">
      <c r="A81" s="15" t="s">
        <v>376</v>
      </c>
      <c r="B81" s="16"/>
      <c r="C81" s="16"/>
      <c r="D81" s="16"/>
      <c r="E81" s="16"/>
      <c r="F81" s="16"/>
      <c r="G81" s="16"/>
      <c r="H81" s="16"/>
      <c r="I81" s="16"/>
      <c r="J81" s="16" t="s">
        <v>428</v>
      </c>
      <c r="K81" s="16"/>
      <c r="L81" s="16"/>
      <c r="M81" s="16"/>
      <c r="N81" s="16"/>
      <c r="O81" s="16"/>
      <c r="P81" s="16"/>
      <c r="Q81" s="16"/>
      <c r="R81" s="16"/>
      <c r="S81" s="16"/>
      <c r="T81" s="16"/>
      <c r="U81" s="16" t="s">
        <v>428</v>
      </c>
      <c r="V81" s="16"/>
      <c r="W81" s="16"/>
      <c r="X81" s="16"/>
      <c r="Y81" s="16"/>
      <c r="Z81" s="16"/>
      <c r="AA81" s="16"/>
      <c r="AB81" s="16"/>
      <c r="AC81" s="16"/>
    </row>
    <row r="82" spans="1:29" ht="15" customHeight="1">
      <c r="B82" s="88" t="s">
        <v>377</v>
      </c>
      <c r="C82" s="91" t="s">
        <v>417</v>
      </c>
      <c r="D82" s="92">
        <v>20</v>
      </c>
      <c r="E82" s="92">
        <v>115</v>
      </c>
      <c r="F82" s="92">
        <v>141</v>
      </c>
      <c r="G82" s="55">
        <v>107</v>
      </c>
      <c r="H82" s="55">
        <v>249</v>
      </c>
      <c r="I82" s="55">
        <v>340</v>
      </c>
      <c r="J82" s="55">
        <v>114</v>
      </c>
      <c r="K82" s="55">
        <v>39</v>
      </c>
      <c r="L82" s="55">
        <v>63</v>
      </c>
      <c r="M82" s="55">
        <v>90</v>
      </c>
      <c r="N82" s="55">
        <v>47</v>
      </c>
      <c r="O82" s="55">
        <v>60</v>
      </c>
      <c r="P82" s="55">
        <v>96</v>
      </c>
      <c r="Q82" s="55">
        <v>77</v>
      </c>
      <c r="R82" s="55">
        <v>89</v>
      </c>
      <c r="S82" s="55">
        <v>102</v>
      </c>
      <c r="T82" s="55">
        <v>102</v>
      </c>
      <c r="U82" s="55">
        <v>91</v>
      </c>
      <c r="V82" s="55">
        <f>'Work order summary-Maintenance '!$B$2</f>
        <v>123</v>
      </c>
      <c r="W82" s="55"/>
      <c r="X82" s="55"/>
      <c r="Y82" s="55"/>
      <c r="Z82" s="55"/>
      <c r="AA82" s="55"/>
      <c r="AB82" s="55"/>
      <c r="AC82" s="55"/>
    </row>
    <row r="83" spans="1:29" ht="15" customHeight="1">
      <c r="B83" s="88" t="s">
        <v>378</v>
      </c>
      <c r="C83" s="91" t="s">
        <v>417</v>
      </c>
      <c r="D83" s="92">
        <v>0</v>
      </c>
      <c r="E83" s="92">
        <v>56</v>
      </c>
      <c r="F83" s="92">
        <v>46</v>
      </c>
      <c r="G83" s="55">
        <v>95</v>
      </c>
      <c r="H83" s="55">
        <v>71</v>
      </c>
      <c r="I83" s="55">
        <v>63</v>
      </c>
      <c r="J83" s="55">
        <v>121</v>
      </c>
      <c r="K83" s="55">
        <v>77</v>
      </c>
      <c r="L83" s="55">
        <v>112</v>
      </c>
      <c r="M83" s="55">
        <v>78</v>
      </c>
      <c r="N83" s="55">
        <v>45</v>
      </c>
      <c r="O83" s="55">
        <v>64</v>
      </c>
      <c r="P83" s="55">
        <v>139</v>
      </c>
      <c r="Q83" s="55">
        <v>75</v>
      </c>
      <c r="R83" s="55">
        <v>91</v>
      </c>
      <c r="S83" s="55">
        <v>80</v>
      </c>
      <c r="T83" s="55">
        <v>88</v>
      </c>
      <c r="U83" s="55">
        <v>108</v>
      </c>
      <c r="V83" s="55">
        <f>'Work order summary-Maintenance '!$D$2</f>
        <v>103</v>
      </c>
      <c r="W83" s="55"/>
      <c r="X83" s="55"/>
      <c r="Y83" s="55"/>
      <c r="Z83" s="55"/>
      <c r="AA83" s="55"/>
      <c r="AB83" s="55"/>
      <c r="AC83" s="55"/>
    </row>
    <row r="84" spans="1:29" ht="15" customHeight="1">
      <c r="B84" s="88" t="s">
        <v>379</v>
      </c>
      <c r="C84" s="91" t="s">
        <v>417</v>
      </c>
      <c r="D84" s="92">
        <v>20</v>
      </c>
      <c r="E84" s="92">
        <f t="shared" ref="E84:L84" si="6">MAX(E82-E83,0)</f>
        <v>59</v>
      </c>
      <c r="F84" s="92">
        <f t="shared" si="6"/>
        <v>95</v>
      </c>
      <c r="G84" s="92">
        <f t="shared" si="6"/>
        <v>12</v>
      </c>
      <c r="H84" s="92">
        <f t="shared" si="6"/>
        <v>178</v>
      </c>
      <c r="I84" s="92">
        <f t="shared" si="6"/>
        <v>277</v>
      </c>
      <c r="J84" s="92">
        <f t="shared" si="6"/>
        <v>0</v>
      </c>
      <c r="K84" s="92">
        <f t="shared" si="6"/>
        <v>0</v>
      </c>
      <c r="L84" s="92">
        <f t="shared" si="6"/>
        <v>0</v>
      </c>
      <c r="M84" s="92">
        <v>12</v>
      </c>
      <c r="N84" s="92">
        <v>2</v>
      </c>
      <c r="O84" s="92">
        <v>0</v>
      </c>
      <c r="P84" s="92">
        <v>58</v>
      </c>
      <c r="Q84" s="92">
        <v>76</v>
      </c>
      <c r="R84" s="92">
        <v>70</v>
      </c>
      <c r="S84" s="92">
        <v>85</v>
      </c>
      <c r="T84" s="92">
        <v>99</v>
      </c>
      <c r="U84" s="92">
        <v>82</v>
      </c>
      <c r="V84" s="92">
        <f>'Work order summary-Maintenance '!$E$2</f>
        <v>101</v>
      </c>
      <c r="W84" s="55"/>
      <c r="X84" s="55"/>
      <c r="Y84" s="55"/>
      <c r="Z84" s="55"/>
      <c r="AA84" s="55"/>
      <c r="AB84" s="55"/>
      <c r="AC84" s="55"/>
    </row>
    <row r="85" spans="1:29" ht="15" customHeight="1">
      <c r="B85" s="88" t="s">
        <v>380</v>
      </c>
      <c r="C85" s="89">
        <v>0</v>
      </c>
      <c r="D85" s="57">
        <f t="shared" ref="D85:F85" si="7">D83/D82</f>
        <v>0</v>
      </c>
      <c r="E85" s="57">
        <f t="shared" si="7"/>
        <v>0.48695652173913045</v>
      </c>
      <c r="F85" s="57">
        <f t="shared" si="7"/>
        <v>0.32624113475177308</v>
      </c>
      <c r="G85" s="57">
        <v>0.88785046728971961</v>
      </c>
      <c r="H85" s="57">
        <v>0.28514056224899598</v>
      </c>
      <c r="I85" s="57">
        <v>0.18529411764705883</v>
      </c>
      <c r="J85" s="57">
        <f>IFERROR(J83/J82,0)</f>
        <v>1.0614035087719298</v>
      </c>
      <c r="K85" s="57">
        <v>1.9743589743589745</v>
      </c>
      <c r="L85" s="57">
        <v>1.7777777777777777</v>
      </c>
      <c r="M85" s="57">
        <v>0.8666666666666667</v>
      </c>
      <c r="N85" s="57">
        <v>0.95744680851063835</v>
      </c>
      <c r="O85" s="57">
        <v>1.0666666666666667</v>
      </c>
      <c r="P85" s="57">
        <v>1.4479166666666667</v>
      </c>
      <c r="Q85" s="57">
        <v>0.97402597402597402</v>
      </c>
      <c r="R85" s="57">
        <v>1.0224719101123596</v>
      </c>
      <c r="S85" s="57">
        <v>0.78431372549019607</v>
      </c>
      <c r="T85" s="57">
        <v>0.86274509803921573</v>
      </c>
      <c r="U85" s="57">
        <v>1.1870000000000001</v>
      </c>
      <c r="V85" s="57">
        <f>IFERROR(V83/V82,0)</f>
        <v>0.83739837398373984</v>
      </c>
      <c r="W85" s="57"/>
      <c r="X85" s="57"/>
      <c r="Y85" s="57"/>
      <c r="Z85" s="57"/>
      <c r="AA85" s="57"/>
      <c r="AB85" s="57"/>
      <c r="AC85" s="57"/>
    </row>
    <row r="86" spans="1:29" ht="15" customHeight="1">
      <c r="B86" s="88" t="s">
        <v>468</v>
      </c>
      <c r="C86" s="91">
        <v>0</v>
      </c>
      <c r="D86" s="96">
        <v>0</v>
      </c>
      <c r="E86" s="96">
        <v>0</v>
      </c>
      <c r="F86" s="96">
        <v>3.77</v>
      </c>
      <c r="G86" s="58">
        <v>2.36</v>
      </c>
      <c r="H86" s="58">
        <v>8.17</v>
      </c>
      <c r="I86" s="58">
        <v>11.53</v>
      </c>
      <c r="J86" s="58"/>
      <c r="K86" s="58">
        <v>3.39</v>
      </c>
      <c r="L86" s="58">
        <v>0.62</v>
      </c>
      <c r="M86" s="58">
        <v>1.93</v>
      </c>
      <c r="N86" s="58">
        <v>10.31</v>
      </c>
      <c r="O86" s="58">
        <v>15.42</v>
      </c>
      <c r="P86" s="58">
        <v>0.6</v>
      </c>
      <c r="Q86" s="58">
        <v>0.54</v>
      </c>
      <c r="R86" s="58">
        <v>0.73</v>
      </c>
      <c r="S86" s="58">
        <v>11.9</v>
      </c>
      <c r="T86" s="1024">
        <v>0.62</v>
      </c>
      <c r="U86" s="1024">
        <v>0.76</v>
      </c>
      <c r="V86" s="1024">
        <f>'Work order summary-Maintenance '!$R$5</f>
        <v>0.53</v>
      </c>
      <c r="W86" s="58"/>
      <c r="X86" s="58"/>
      <c r="Y86" s="58"/>
      <c r="Z86" s="58"/>
      <c r="AA86" s="58"/>
      <c r="AB86" s="58"/>
      <c r="AC86" s="58"/>
    </row>
    <row r="87" spans="1:29" ht="15" customHeight="1">
      <c r="A87" s="15" t="s">
        <v>381</v>
      </c>
      <c r="B87" s="16"/>
      <c r="C87" s="16"/>
      <c r="D87" s="16"/>
      <c r="E87" s="16"/>
      <c r="F87" s="16"/>
      <c r="G87" s="16"/>
      <c r="H87" s="16"/>
      <c r="I87" s="16"/>
      <c r="J87" s="16" t="s">
        <v>428</v>
      </c>
      <c r="K87" s="16"/>
      <c r="L87" s="16"/>
      <c r="M87" s="16"/>
      <c r="N87" s="16"/>
      <c r="O87" s="16"/>
      <c r="P87" s="16"/>
      <c r="Q87" s="16"/>
      <c r="R87" s="16"/>
      <c r="S87" s="16"/>
      <c r="T87" s="16"/>
      <c r="U87" s="16" t="s">
        <v>428</v>
      </c>
      <c r="V87" s="16"/>
      <c r="W87" s="16"/>
      <c r="X87" s="16"/>
      <c r="Y87" s="16"/>
      <c r="Z87" s="16"/>
      <c r="AA87" s="16"/>
      <c r="AB87" s="16"/>
      <c r="AC87" s="16"/>
    </row>
    <row r="88" spans="1:29" ht="15" customHeight="1">
      <c r="B88" s="88" t="s">
        <v>382</v>
      </c>
      <c r="C88" s="91" t="s">
        <v>449</v>
      </c>
      <c r="D88" s="61">
        <v>1086</v>
      </c>
      <c r="E88" s="61">
        <v>1086</v>
      </c>
      <c r="F88" s="61">
        <v>1132.8599999999999</v>
      </c>
      <c r="G88" s="56">
        <v>1132.8576363636364</v>
      </c>
      <c r="H88" s="56">
        <v>1133.1664090909089</v>
      </c>
      <c r="I88" s="56">
        <v>1132.7798636363636</v>
      </c>
      <c r="J88" s="56">
        <v>1134</v>
      </c>
      <c r="K88" s="56">
        <v>1018.2983181818181</v>
      </c>
      <c r="L88" s="56">
        <v>1018.2983181818181</v>
      </c>
      <c r="M88" s="56">
        <v>1018.2983181818181</v>
      </c>
      <c r="N88" s="56">
        <v>1019.3172272727272</v>
      </c>
      <c r="O88" s="56">
        <v>1019.3172272727272</v>
      </c>
      <c r="P88" s="56">
        <v>1019.3172272727272</v>
      </c>
      <c r="Q88" s="56">
        <v>1019.3172272727272</v>
      </c>
      <c r="R88" s="56">
        <v>1018.2983181818181</v>
      </c>
      <c r="S88" s="56">
        <v>1017.3914999999998</v>
      </c>
      <c r="T88" s="56">
        <v>1017.3914999999998</v>
      </c>
      <c r="U88" s="56">
        <v>983</v>
      </c>
      <c r="V88" s="56">
        <f>SUMPRODUCT('Boxscore MMR -Availability'!$C:$C,'Boxscore MMR -Availability'!$D:$D)/SUM('Boxscore MMR -Availability'!$C:$C)</f>
        <v>990.80486363636351</v>
      </c>
      <c r="W88" s="56"/>
      <c r="X88" s="56"/>
      <c r="Y88" s="56"/>
      <c r="Z88" s="56"/>
      <c r="AA88" s="56"/>
      <c r="AB88" s="56"/>
      <c r="AC88" s="56"/>
    </row>
    <row r="89" spans="1:29" ht="15" customHeight="1">
      <c r="B89" s="88" t="s">
        <v>383</v>
      </c>
      <c r="C89" s="91" t="s">
        <v>449</v>
      </c>
      <c r="D89" s="61">
        <v>1136</v>
      </c>
      <c r="E89" s="61">
        <v>1041</v>
      </c>
      <c r="F89" s="61">
        <v>1174</v>
      </c>
      <c r="G89" s="56">
        <v>1173.8837015942195</v>
      </c>
      <c r="H89" s="56">
        <v>1173.4649148340584</v>
      </c>
      <c r="I89" s="56">
        <v>1161.0344829833739</v>
      </c>
      <c r="J89" s="56">
        <v>1148</v>
      </c>
      <c r="K89" s="56">
        <v>1147.500554760248</v>
      </c>
      <c r="L89" s="56">
        <v>1104.4610735412643</v>
      </c>
      <c r="M89" s="56">
        <v>1212.3344424376849</v>
      </c>
      <c r="N89" s="56">
        <v>1128</v>
      </c>
      <c r="O89" s="56">
        <v>1119.7213500678811</v>
      </c>
      <c r="P89" s="56">
        <v>1116.7309207034079</v>
      </c>
      <c r="Q89" s="56">
        <v>1118.8471276214691</v>
      </c>
      <c r="R89" s="56">
        <v>1118.4532597685452</v>
      </c>
      <c r="S89" s="56">
        <v>1120.0644186849661</v>
      </c>
      <c r="T89" s="56">
        <v>1119.8958681834042</v>
      </c>
      <c r="U89" s="56">
        <v>1119</v>
      </c>
      <c r="V89" s="56">
        <f>'T12'!$G$15</f>
        <v>1119.2708391720923</v>
      </c>
      <c r="W89" s="56"/>
      <c r="X89" s="56"/>
      <c r="Y89" s="56"/>
      <c r="Z89" s="56"/>
      <c r="AA89" s="56"/>
      <c r="AB89" s="56"/>
      <c r="AC89" s="56"/>
    </row>
    <row r="90" spans="1:29" ht="15" customHeight="1">
      <c r="B90" s="88" t="s">
        <v>469</v>
      </c>
      <c r="C90" s="91" t="s">
        <v>449</v>
      </c>
      <c r="D90" s="61">
        <v>50</v>
      </c>
      <c r="E90" s="61">
        <v>50</v>
      </c>
      <c r="F90" s="61">
        <v>41</v>
      </c>
      <c r="G90" s="56">
        <v>40.446201594219382</v>
      </c>
      <c r="H90" s="56">
        <v>39.670596652240185</v>
      </c>
      <c r="I90" s="56">
        <v>27.98334661973756</v>
      </c>
      <c r="J90" s="56">
        <v>129</v>
      </c>
      <c r="K90" s="56">
        <v>129.12669112388429</v>
      </c>
      <c r="L90" s="56">
        <v>-1.4845400950994878</v>
      </c>
      <c r="M90" s="56">
        <v>106.58455607404855</v>
      </c>
      <c r="N90" s="56">
        <v>105.1636231775707</v>
      </c>
      <c r="O90" s="56">
        <v>110.12973709032825</v>
      </c>
      <c r="P90" s="56">
        <v>105.12887560745938</v>
      </c>
      <c r="Q90" s="56">
        <v>105.12887560745938</v>
      </c>
      <c r="R90" s="56">
        <v>105.12887560745938</v>
      </c>
      <c r="S90" s="56">
        <v>103.91328232132967</v>
      </c>
      <c r="T90" s="56">
        <v>101.06405000158594</v>
      </c>
      <c r="U90" s="56">
        <v>136</v>
      </c>
      <c r="V90" s="56">
        <f>'T12'!$G$14</f>
        <v>135.68333917209236</v>
      </c>
      <c r="W90" s="56"/>
      <c r="X90" s="56"/>
      <c r="Y90" s="56"/>
      <c r="Z90" s="56"/>
      <c r="AA90" s="56"/>
      <c r="AB90" s="56"/>
      <c r="AC90" s="56"/>
    </row>
    <row r="91" spans="1:29" ht="15" customHeight="1">
      <c r="B91" s="88" t="s">
        <v>470</v>
      </c>
      <c r="C91" s="91" t="s">
        <v>417</v>
      </c>
      <c r="D91" s="92">
        <v>2</v>
      </c>
      <c r="E91" s="92">
        <v>11</v>
      </c>
      <c r="F91" s="92">
        <v>34</v>
      </c>
      <c r="G91" s="55">
        <v>36</v>
      </c>
      <c r="H91" s="55">
        <v>43</v>
      </c>
      <c r="I91" s="55">
        <v>22</v>
      </c>
      <c r="J91" s="55">
        <v>57</v>
      </c>
      <c r="K91" s="55">
        <v>61</v>
      </c>
      <c r="L91" s="55">
        <v>72</v>
      </c>
      <c r="M91" s="55">
        <v>68</v>
      </c>
      <c r="N91" s="55">
        <v>67</v>
      </c>
      <c r="O91" s="55">
        <v>65</v>
      </c>
      <c r="P91" s="55">
        <v>53</v>
      </c>
      <c r="Q91" s="55">
        <v>38</v>
      </c>
      <c r="R91" s="55">
        <v>23</v>
      </c>
      <c r="S91" s="55">
        <v>54</v>
      </c>
      <c r="T91" s="55">
        <v>46</v>
      </c>
      <c r="U91" s="55">
        <v>41</v>
      </c>
      <c r="V91" s="55">
        <f ca="1">COUNTIFS(
  'lease trade out NER -AVA'!$F:$F, "&gt;=" &amp; TODAY()-30,
  'lease trade out NER -AVA'!$F:$F, "&lt;=" &amp; TODAY()
)</f>
        <v>9</v>
      </c>
      <c r="W91" s="55"/>
      <c r="X91" s="55"/>
      <c r="Y91" s="55"/>
      <c r="Z91" s="55"/>
      <c r="AA91" s="55"/>
      <c r="AB91" s="55"/>
      <c r="AC91" s="55"/>
    </row>
    <row r="92" spans="1:29" ht="15" customHeight="1"/>
    <row r="93" spans="1:29">
      <c r="A93" s="97"/>
      <c r="B93" s="31"/>
      <c r="C93" s="31"/>
      <c r="D93" s="31"/>
      <c r="E93" s="31"/>
      <c r="F93" s="31"/>
      <c r="G93" s="31"/>
      <c r="H93" s="31"/>
      <c r="I93" s="31"/>
    </row>
    <row r="94" spans="1:29">
      <c r="A94" s="98"/>
      <c r="B94" s="98"/>
      <c r="C94" s="98"/>
      <c r="D94" s="98"/>
      <c r="E94" s="98"/>
      <c r="F94" s="98"/>
      <c r="G94" s="98"/>
      <c r="H94" s="98"/>
      <c r="I94" s="31"/>
    </row>
    <row r="95" spans="1:29">
      <c r="A95" s="99"/>
      <c r="B95" s="32"/>
      <c r="C95" s="32"/>
      <c r="D95" s="33"/>
      <c r="E95" s="34"/>
      <c r="F95" s="34"/>
      <c r="G95" s="34"/>
      <c r="H95" s="34"/>
      <c r="I95" s="31"/>
    </row>
    <row r="96" spans="1:29">
      <c r="A96" s="99"/>
      <c r="B96" s="32"/>
      <c r="C96" s="32"/>
      <c r="D96" s="33"/>
      <c r="E96" s="34"/>
      <c r="F96" s="34"/>
      <c r="G96" s="34"/>
      <c r="H96" s="34"/>
      <c r="I96" s="31"/>
    </row>
    <row r="97" spans="1:9">
      <c r="A97" s="99"/>
      <c r="B97" s="32"/>
      <c r="C97" s="32"/>
      <c r="D97" s="33"/>
      <c r="E97" s="34"/>
      <c r="F97" s="34"/>
      <c r="G97" s="34"/>
      <c r="H97" s="34"/>
      <c r="I97" s="31"/>
    </row>
    <row r="98" spans="1:9">
      <c r="A98" s="99"/>
      <c r="B98" s="32"/>
      <c r="C98" s="32"/>
      <c r="D98" s="33"/>
      <c r="E98" s="34"/>
      <c r="F98" s="34"/>
      <c r="G98" s="34"/>
      <c r="H98" s="34"/>
      <c r="I98" s="31"/>
    </row>
    <row r="99" spans="1:9">
      <c r="A99" s="99"/>
      <c r="B99" s="32"/>
      <c r="C99" s="32"/>
      <c r="D99" s="33"/>
      <c r="E99" s="34"/>
      <c r="F99" s="34"/>
      <c r="G99" s="34"/>
      <c r="H99" s="34"/>
      <c r="I99" s="31"/>
    </row>
    <row r="100" spans="1:9">
      <c r="A100" s="99"/>
      <c r="B100" s="32"/>
      <c r="C100" s="32"/>
      <c r="D100" s="33"/>
      <c r="E100" s="34"/>
      <c r="F100" s="34"/>
      <c r="G100" s="34"/>
      <c r="H100" s="34"/>
      <c r="I100" s="31"/>
    </row>
    <row r="101" spans="1:9">
      <c r="A101" s="99"/>
      <c r="B101" s="32"/>
      <c r="C101" s="32"/>
      <c r="D101" s="33"/>
      <c r="E101" s="34"/>
      <c r="F101" s="34"/>
      <c r="G101" s="34"/>
      <c r="H101" s="34"/>
      <c r="I101" s="31"/>
    </row>
    <row r="102" spans="1:9">
      <c r="A102" s="31"/>
      <c r="B102" s="31"/>
      <c r="C102" s="31"/>
      <c r="D102" s="31"/>
      <c r="E102" s="31"/>
      <c r="F102" s="31"/>
      <c r="G102" s="31"/>
      <c r="H102" s="31"/>
      <c r="I102" s="31"/>
    </row>
    <row r="103" spans="1:9">
      <c r="A103" s="31"/>
      <c r="B103" s="31"/>
      <c r="C103" s="31"/>
      <c r="D103" s="31"/>
      <c r="E103" s="31"/>
      <c r="F103" s="31"/>
      <c r="G103" s="31"/>
      <c r="H103" s="31"/>
      <c r="I103" s="31"/>
    </row>
    <row r="104" spans="1:9">
      <c r="A104" s="31"/>
      <c r="B104" s="31"/>
      <c r="C104" s="31"/>
      <c r="D104" s="31"/>
      <c r="E104" s="31"/>
      <c r="F104" s="31"/>
      <c r="G104" s="31"/>
      <c r="H104" s="31"/>
      <c r="I104" s="31"/>
    </row>
  </sheetData>
  <pageMargins left="1" right="1" top="1" bottom="1" header="0.5" footer="0.5"/>
  <pageSetup paperSize="9" scale="33" orientation="landscape" horizontalDpi="300" verticalDpi="300" r:id="rId1"/>
  <rowBreaks count="2" manualBreakCount="2">
    <brk id="45" max="21" man="1"/>
    <brk id="91" max="16383"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046A-69E6-4C35-BFC1-03CEBAAD4439}">
  <sheetPr>
    <tabColor rgb="FF002060"/>
  </sheetPr>
  <dimension ref="A1:Z193"/>
  <sheetViews>
    <sheetView showGridLines="0" zoomScale="90" zoomScaleNormal="90" workbookViewId="0">
      <pane ySplit="3" topLeftCell="A156" activePane="bottomLeft" state="frozen"/>
      <selection activeCell="C6" sqref="C6"/>
      <selection pane="bottomLeft" activeCell="F172" sqref="F172"/>
    </sheetView>
  </sheetViews>
  <sheetFormatPr defaultColWidth="8.54296875" defaultRowHeight="14.5" outlineLevelRow="1"/>
  <cols>
    <col min="1" max="1" width="3.54296875" style="1115" customWidth="1"/>
    <col min="2" max="2" width="15.453125" style="1115" customWidth="1"/>
    <col min="3" max="3" width="16.81640625" style="1115" customWidth="1"/>
    <col min="4" max="4" width="13.7265625" style="1115" customWidth="1"/>
    <col min="5" max="5" width="12.81640625" style="1115" bestFit="1" customWidth="1"/>
    <col min="6" max="6" width="7.1796875" style="1115" bestFit="1" customWidth="1"/>
    <col min="7" max="7" width="19" style="1115" bestFit="1" customWidth="1"/>
    <col min="8" max="8" width="7.26953125" style="1115" bestFit="1" customWidth="1"/>
    <col min="9" max="9" width="6.26953125" style="1115" bestFit="1" customWidth="1"/>
    <col min="10" max="10" width="7.1796875" style="1115" bestFit="1" customWidth="1"/>
    <col min="11" max="11" width="40.453125" style="119" customWidth="1"/>
    <col min="12" max="12" width="38.1796875" style="1115" customWidth="1"/>
    <col min="13" max="13" width="8.54296875" style="1115"/>
    <col min="14" max="14" width="27.26953125" style="1115" hidden="1" customWidth="1"/>
    <col min="15" max="15" width="8.54296875" style="1115"/>
    <col min="16" max="16" width="0" style="1115" hidden="1" customWidth="1"/>
    <col min="17" max="16384" width="8.54296875" style="119"/>
  </cols>
  <sheetData>
    <row r="1" spans="1:26" ht="19.5" customHeight="1">
      <c r="B1" s="1204" t="s">
        <v>218</v>
      </c>
      <c r="C1" s="1204"/>
      <c r="D1" s="1204"/>
      <c r="E1" s="1204"/>
      <c r="F1" s="1204"/>
      <c r="G1" s="1204"/>
      <c r="H1" s="1204"/>
      <c r="I1" s="1204"/>
      <c r="J1" s="1204"/>
      <c r="K1" s="1115"/>
      <c r="N1" s="1116" t="s">
        <v>471</v>
      </c>
      <c r="P1" s="1117" t="s">
        <v>6767</v>
      </c>
      <c r="Q1" s="1115"/>
      <c r="R1" s="1115"/>
      <c r="S1" s="1115"/>
      <c r="T1" s="1115"/>
      <c r="U1" s="1115"/>
      <c r="V1" s="1115"/>
      <c r="W1" s="1115"/>
      <c r="X1" s="1115"/>
      <c r="Y1" s="1115"/>
      <c r="Z1" s="1115"/>
    </row>
    <row r="2" spans="1:26" ht="12.75" customHeight="1">
      <c r="B2" s="1205" t="s">
        <v>472</v>
      </c>
      <c r="C2" s="1205"/>
      <c r="D2" s="1205"/>
      <c r="E2" s="1205"/>
      <c r="F2" s="1205"/>
      <c r="G2" s="1205"/>
      <c r="H2" s="1205"/>
      <c r="I2" s="1205"/>
      <c r="J2" s="1205"/>
      <c r="K2" s="1115"/>
      <c r="N2" s="1118" t="s">
        <v>473</v>
      </c>
      <c r="P2" s="1119" t="s">
        <v>6768</v>
      </c>
      <c r="Q2" s="1115"/>
      <c r="R2" s="1115"/>
      <c r="S2" s="1115"/>
      <c r="T2" s="1115"/>
      <c r="U2" s="1115"/>
      <c r="V2" s="1115"/>
      <c r="W2" s="1115"/>
      <c r="X2" s="1115"/>
      <c r="Y2" s="1115"/>
      <c r="Z2" s="1115"/>
    </row>
    <row r="3" spans="1:26" ht="12.75" customHeight="1">
      <c r="B3" s="1120" t="s">
        <v>474</v>
      </c>
      <c r="C3" s="1121">
        <f>Dashboard_1!F3</f>
        <v>46139</v>
      </c>
      <c r="D3" s="1121"/>
      <c r="G3" s="1122" t="s">
        <v>475</v>
      </c>
      <c r="H3" s="1123">
        <v>750</v>
      </c>
      <c r="I3" s="1124" t="s">
        <v>476</v>
      </c>
      <c r="K3" s="1115"/>
      <c r="N3" s="1125" t="s">
        <v>479</v>
      </c>
      <c r="P3" s="1126" t="s">
        <v>1774</v>
      </c>
      <c r="Q3" s="1115"/>
      <c r="R3" s="1115"/>
      <c r="S3" s="1115"/>
      <c r="T3" s="1115"/>
      <c r="U3" s="1115"/>
      <c r="V3" s="1115"/>
      <c r="W3" s="1115"/>
      <c r="X3" s="1115"/>
      <c r="Y3" s="1115"/>
      <c r="Z3" s="1115"/>
    </row>
    <row r="4" spans="1:26" ht="12.75" customHeight="1">
      <c r="B4" s="1127" t="s">
        <v>478</v>
      </c>
      <c r="C4" s="1128"/>
      <c r="D4" s="1128"/>
      <c r="E4" s="1128"/>
      <c r="F4" s="1128"/>
      <c r="G4" s="1128"/>
      <c r="H4" s="1128"/>
      <c r="I4" s="1128"/>
      <c r="J4" s="1128"/>
      <c r="K4" s="1128"/>
      <c r="L4" s="1128"/>
      <c r="M4" s="1134"/>
      <c r="N4" s="1125" t="s">
        <v>482</v>
      </c>
      <c r="P4" s="1126" t="s">
        <v>1807</v>
      </c>
      <c r="Q4" s="1115"/>
      <c r="R4" s="1115"/>
      <c r="S4" s="1115"/>
      <c r="T4" s="1115"/>
      <c r="U4" s="1115"/>
      <c r="V4" s="1115"/>
      <c r="W4" s="1115"/>
      <c r="X4" s="1115"/>
      <c r="Y4" s="1115"/>
      <c r="Z4" s="1115"/>
    </row>
    <row r="5" spans="1:26" ht="12" customHeight="1">
      <c r="B5" s="1131" t="s">
        <v>480</v>
      </c>
      <c r="C5" s="1132">
        <f>SUMIF('resident aged receivable'!I:I,"&gt;0",'resident aged receivable'!I:I)</f>
        <v>810268.66000000027</v>
      </c>
      <c r="D5" s="1132"/>
      <c r="G5" s="1131" t="s">
        <v>481</v>
      </c>
      <c r="H5" s="1132">
        <f>SUMIF('resident aged receivable'!J:J,"&gt;0",'resident aged receivable'!J:J)</f>
        <v>144772.62</v>
      </c>
      <c r="J5" s="1134"/>
      <c r="K5"/>
      <c r="L5" s="1134"/>
      <c r="M5" s="1134"/>
      <c r="N5" s="1125" t="s">
        <v>485</v>
      </c>
      <c r="P5" s="1126" t="s">
        <v>1876</v>
      </c>
      <c r="Q5" s="1115"/>
      <c r="R5" s="1115"/>
      <c r="S5" s="1115"/>
      <c r="T5" s="1115"/>
      <c r="U5" s="1115"/>
      <c r="V5" s="1115"/>
      <c r="W5" s="1115"/>
      <c r="X5" s="1115"/>
      <c r="Y5" s="1115"/>
      <c r="Z5" s="1115"/>
    </row>
    <row r="6" spans="1:26" ht="8.15" customHeight="1">
      <c r="B6" s="1131" t="s">
        <v>483</v>
      </c>
      <c r="C6" s="1133">
        <f>COUNTIF('resident aged receivable'!I:I,"&gt;0")</f>
        <v>193</v>
      </c>
      <c r="D6" s="1133"/>
      <c r="G6" s="1131" t="s">
        <v>484</v>
      </c>
      <c r="H6" s="1132">
        <f>SUMIF('resident aged receivable'!K:K,"&gt;0",'resident aged receivable'!K:K)</f>
        <v>148400.20000000007</v>
      </c>
      <c r="J6" s="1134"/>
      <c r="K6"/>
      <c r="L6" s="1134"/>
      <c r="M6" s="1134"/>
      <c r="N6" s="1125" t="s">
        <v>488</v>
      </c>
      <c r="P6" s="1126" t="s">
        <v>1799</v>
      </c>
      <c r="Q6" s="1115"/>
      <c r="R6" s="1115"/>
      <c r="S6" s="1115"/>
      <c r="T6" s="1115"/>
      <c r="U6" s="1115"/>
      <c r="V6" s="1115"/>
      <c r="W6" s="1115"/>
      <c r="X6" s="1115"/>
      <c r="Y6" s="1115"/>
      <c r="Z6" s="1115"/>
    </row>
    <row r="7" spans="1:26" ht="12" customHeight="1">
      <c r="B7" s="1131" t="s">
        <v>486</v>
      </c>
      <c r="C7" s="1133">
        <f>COUNTIF('resident aged receivable'!E:E,"Past - Eviction")+COUNTIF('resident aged receivable'!E:E,"Current - Eviction")</f>
        <v>19</v>
      </c>
      <c r="D7" s="1133"/>
      <c r="G7" s="1131" t="s">
        <v>487</v>
      </c>
      <c r="H7" s="1132">
        <f>SUMIFS('resident aged receivable'!I:I,'resident aged receivable'!E:E,"Past - Eviction")+SUMIFS('resident aged receivable'!I:I,'resident aged receivable'!E:E,"Current - Eviction")</f>
        <v>189054.75</v>
      </c>
      <c r="J7" s="1134"/>
      <c r="K7"/>
      <c r="L7" s="1134"/>
      <c r="M7" s="1134"/>
      <c r="N7" s="1125" t="s">
        <v>491</v>
      </c>
      <c r="P7" s="1126" t="s">
        <v>1780</v>
      </c>
      <c r="Q7" s="1115"/>
      <c r="R7" s="1115"/>
      <c r="S7" s="1115"/>
      <c r="T7" s="1115"/>
      <c r="U7" s="1115"/>
      <c r="V7" s="1115"/>
      <c r="W7" s="1115"/>
      <c r="X7" s="1115"/>
      <c r="Y7" s="1115"/>
      <c r="Z7" s="1115"/>
    </row>
    <row r="8" spans="1:26" ht="12" customHeight="1">
      <c r="B8" s="1131" t="s">
        <v>489</v>
      </c>
      <c r="C8" s="1133">
        <f>COUNTIF('resident aged receivable'!E:E,"Past - Skip")</f>
        <v>51</v>
      </c>
      <c r="D8" s="1133"/>
      <c r="G8" s="1131" t="s">
        <v>490</v>
      </c>
      <c r="H8" s="1132">
        <f>SUMIFS('resident aged receivable'!I:I,'resident aged receivable'!E:E,"Past - Skip")</f>
        <v>317056.23000000016</v>
      </c>
      <c r="J8" s="1134"/>
      <c r="K8"/>
      <c r="L8" s="1134"/>
      <c r="M8" s="1134"/>
      <c r="N8" s="1125" t="s">
        <v>494</v>
      </c>
      <c r="P8" s="1126" t="s">
        <v>477</v>
      </c>
      <c r="Q8" s="1115"/>
      <c r="R8" s="1115"/>
      <c r="S8" s="1115"/>
      <c r="T8" s="1115"/>
      <c r="U8" s="1115"/>
      <c r="V8" s="1115"/>
      <c r="W8" s="1115"/>
      <c r="X8" s="1115"/>
      <c r="Y8" s="1115"/>
      <c r="Z8" s="1115"/>
    </row>
    <row r="9" spans="1:26" ht="12" customHeight="1">
      <c r="B9" s="1131" t="s">
        <v>492</v>
      </c>
      <c r="C9" s="1132">
        <f>SUMIFS('resident aged receivable'!I:I,'resident aged receivable'!E:E,"Current - Grace Period")+SUMIFS('resident aged receivable'!I:I,'resident aged receivable'!E:E,"Notice - Grace Period")+SUMIFS('resident aged receivable'!I:I,'resident aged receivable'!E:E,"Current - Eviction")</f>
        <v>76690.44</v>
      </c>
      <c r="D9" s="1132"/>
      <c r="G9" s="1131" t="s">
        <v>493</v>
      </c>
      <c r="H9" s="1132">
        <f>SUMIFS('resident aged receivable'!I:I,'resident aged receivable'!E:E,"Current")+SUMIFS('resident aged receivable'!I:I,'resident aged receivable'!E:E,"Current - Month To Month")</f>
        <v>110493.13</v>
      </c>
      <c r="J9" s="1134"/>
      <c r="K9"/>
      <c r="L9" s="1134"/>
      <c r="M9" s="1134"/>
      <c r="N9" s="1125"/>
      <c r="P9" s="1126" t="s">
        <v>1853</v>
      </c>
      <c r="Q9" s="1115"/>
      <c r="R9" s="1115"/>
      <c r="S9" s="1115"/>
      <c r="T9" s="1115"/>
      <c r="U9" s="1115"/>
      <c r="V9" s="1115"/>
      <c r="W9" s="1115"/>
      <c r="X9" s="1115"/>
      <c r="Y9" s="1115"/>
      <c r="Z9" s="1115"/>
    </row>
    <row r="10" spans="1:26" ht="12" customHeight="1">
      <c r="A10" s="1134"/>
      <c r="B10" s="1164" t="s">
        <v>6846</v>
      </c>
      <c r="C10" s="1166"/>
      <c r="D10" s="1166"/>
      <c r="E10" s="1166"/>
      <c r="F10" s="1166"/>
      <c r="G10" s="1166"/>
      <c r="H10" s="1166"/>
      <c r="I10" s="1166"/>
      <c r="J10" s="1166"/>
      <c r="K10" s="127"/>
      <c r="L10" s="1166"/>
      <c r="M10" s="1134"/>
      <c r="N10" s="1134"/>
      <c r="O10" s="1134"/>
      <c r="P10" s="1126" t="s">
        <v>1342</v>
      </c>
      <c r="Q10" s="1115"/>
      <c r="R10" s="1115"/>
      <c r="S10" s="1115"/>
      <c r="T10" s="1115"/>
      <c r="U10" s="1115"/>
      <c r="V10" s="1115"/>
      <c r="W10" s="1115"/>
      <c r="X10" s="1115"/>
      <c r="Y10" s="1115"/>
      <c r="Z10" s="1115"/>
    </row>
    <row r="11" spans="1:26" ht="12" customHeight="1">
      <c r="A11" s="1134"/>
      <c r="B11" s="1131" t="s">
        <v>5306</v>
      </c>
      <c r="C11" s="1167">
        <f>SUM(LeaseLock!L2:L500)</f>
        <v>385325.60999999993</v>
      </c>
      <c r="D11" s="1168" t="s">
        <v>6860</v>
      </c>
      <c r="E11" s="1169">
        <f>COUNTIF(LeaseLock!F2:F500,"Open")</f>
        <v>2</v>
      </c>
      <c r="F11" s="1134"/>
      <c r="G11" s="1168" t="s">
        <v>6847</v>
      </c>
      <c r="H11" s="1170">
        <f>IFERROR(SUM(LeaseLock!M2:M500)/SUM(LeaseLock!L2:L500),0)</f>
        <v>0.18443419839132938</v>
      </c>
      <c r="I11" s="1134"/>
      <c r="J11" s="1134"/>
      <c r="K11"/>
      <c r="L11" s="1134"/>
      <c r="M11" s="1134"/>
      <c r="N11" s="1134"/>
      <c r="O11" s="1134"/>
      <c r="P11" s="1126" t="s">
        <v>1714</v>
      </c>
      <c r="Q11" s="1115"/>
      <c r="R11" s="1115"/>
      <c r="S11" s="1115"/>
      <c r="T11" s="1115"/>
      <c r="U11" s="1115"/>
      <c r="V11" s="1115"/>
      <c r="W11" s="1115"/>
      <c r="X11" s="1115"/>
      <c r="Y11" s="1115"/>
      <c r="Z11" s="1115"/>
    </row>
    <row r="12" spans="1:26" ht="12" customHeight="1">
      <c r="A12" s="1134"/>
      <c r="B12" s="1131" t="s">
        <v>5307</v>
      </c>
      <c r="C12" s="1167">
        <f>SUM(LeaseLock!M2:M500)</f>
        <v>71067.22</v>
      </c>
      <c r="D12" s="1171" t="s">
        <v>6861</v>
      </c>
      <c r="E12" s="1172" cm="1">
        <f t="array" ref="E12">SUMPRODUCT((B17:B134&lt;&gt;"")*1*(C17:C134&lt;&gt;"")*1*(K17:K134="")*1)</f>
        <v>83</v>
      </c>
      <c r="F12" s="1134"/>
      <c r="G12" s="1168" t="s">
        <v>6850</v>
      </c>
      <c r="H12" s="1167">
        <f>SUM(LeaseLock!L2:L500)-SUM(LeaseLock!M2:M500)</f>
        <v>314258.3899999999</v>
      </c>
      <c r="I12" s="1134"/>
      <c r="J12" s="1134"/>
      <c r="K12"/>
      <c r="L12" s="1134"/>
      <c r="M12" s="1134"/>
      <c r="N12" s="1134"/>
      <c r="O12" s="1134"/>
      <c r="P12" s="1126" t="s">
        <v>1359</v>
      </c>
      <c r="Q12" s="1115"/>
      <c r="R12" s="1115"/>
      <c r="S12" s="1115"/>
      <c r="T12" s="1115"/>
      <c r="U12" s="1115"/>
      <c r="V12" s="1115"/>
      <c r="W12" s="1115"/>
      <c r="X12" s="1115"/>
      <c r="Y12" s="1115"/>
      <c r="Z12" s="1115"/>
    </row>
    <row r="13" spans="1:26" ht="12" customHeight="1">
      <c r="A13" s="1134"/>
      <c r="B13" s="1131" t="s">
        <v>6848</v>
      </c>
      <c r="C13" s="1169">
        <f>COUNTA(LeaseLock!A2:A500)</f>
        <v>134</v>
      </c>
      <c r="D13" s="1171" t="s">
        <v>6866</v>
      </c>
      <c r="E13" s="1173" cm="1">
        <f t="array" ref="E13">SUMPRODUCT((B17:B134&lt;&gt;"")*1*(C17:C134&lt;&gt;"")*1*(K17:K134="")*1)*1500</f>
        <v>124500</v>
      </c>
      <c r="F13" s="1134"/>
      <c r="G13" s="1168" t="s">
        <v>6849</v>
      </c>
      <c r="H13" s="1174" t="str">
        <f>COUNTIF(LeaseLock!F2:F500,"Claim Denied")&amp;" ("&amp;TEXT(IFERROR(COUNTIF(LeaseLock!F2:F500,"Claim Denied")/COUNTA(LeaseLock!A2:A500),0),"0%")&amp;")"</f>
        <v>13 (10%)</v>
      </c>
      <c r="I13" s="1134"/>
      <c r="J13" s="1134"/>
      <c r="K13"/>
      <c r="L13" s="1134"/>
      <c r="M13" s="1134"/>
      <c r="N13" s="1134"/>
      <c r="O13" s="1134"/>
      <c r="P13" s="1126" t="s">
        <v>1641</v>
      </c>
      <c r="Q13" s="1115"/>
      <c r="R13" s="1115"/>
      <c r="S13" s="1115"/>
      <c r="T13" s="1115"/>
      <c r="U13" s="1115"/>
      <c r="V13" s="1115"/>
      <c r="W13" s="1115"/>
      <c r="X13" s="1115"/>
      <c r="Y13" s="1115"/>
      <c r="Z13" s="1115"/>
    </row>
    <row r="14" spans="1:26" ht="12" customHeight="1">
      <c r="A14" s="1134"/>
      <c r="B14" s="1134"/>
      <c r="C14" s="1134"/>
      <c r="D14" s="1168" t="s">
        <v>6867</v>
      </c>
      <c r="E14" s="1175" cm="1">
        <f t="array" ref="E14">SUMIFS(LeaseLock!L2:L500,LeaseLock!F2:F500,"Open")+SUMPRODUCT((B17:B134&lt;&gt;"")*1*(C17:C134&lt;&gt;"")*1*(K17:K134="")*1)*1500</f>
        <v>131610.5</v>
      </c>
      <c r="F14" s="1134"/>
      <c r="G14" s="1168" t="s">
        <v>6855</v>
      </c>
      <c r="H14" s="1167">
        <f>IFERROR(SUM(LeaseLock!M2:M500)/COUNTA(LeaseLock!A2:A500),0)</f>
        <v>530.35238805970152</v>
      </c>
      <c r="I14" s="1134"/>
      <c r="J14" s="1134"/>
      <c r="K14"/>
      <c r="L14" s="1134"/>
      <c r="M14" s="1134"/>
      <c r="N14" s="1134"/>
      <c r="O14" s="1134"/>
      <c r="P14" s="1134"/>
      <c r="Q14" s="1115"/>
      <c r="R14" s="1115"/>
      <c r="S14" s="1115"/>
      <c r="T14" s="1115"/>
      <c r="U14" s="1115"/>
      <c r="V14" s="1115"/>
      <c r="W14" s="1115"/>
      <c r="X14" s="1115"/>
      <c r="Y14" s="1115"/>
      <c r="Z14" s="1115"/>
    </row>
    <row r="15" spans="1:26" ht="12.75" customHeight="1">
      <c r="B15" s="1127" t="s">
        <v>495</v>
      </c>
      <c r="C15" s="1128"/>
      <c r="D15" s="1128"/>
      <c r="E15" s="1128"/>
      <c r="F15" s="1128"/>
      <c r="G15" s="1128"/>
      <c r="H15" s="1128"/>
      <c r="I15" s="1128"/>
      <c r="J15" s="1128"/>
      <c r="K15" s="1129"/>
      <c r="L15" s="1130"/>
      <c r="N15" s="1125"/>
      <c r="P15" s="1126"/>
      <c r="Q15" s="1115"/>
      <c r="R15" s="1115"/>
      <c r="S15" s="1115"/>
      <c r="T15" s="1115"/>
      <c r="U15" s="1115"/>
      <c r="V15" s="1115"/>
      <c r="W15" s="1115"/>
      <c r="X15" s="1115"/>
      <c r="Y15" s="1115"/>
      <c r="Z15" s="1115"/>
    </row>
    <row r="16" spans="1:26" ht="12" customHeight="1">
      <c r="A16" s="1134"/>
      <c r="B16" s="1136" t="s">
        <v>496</v>
      </c>
      <c r="C16" s="1136" t="s">
        <v>497</v>
      </c>
      <c r="D16" s="1136" t="s">
        <v>498</v>
      </c>
      <c r="E16" s="1136" t="s">
        <v>499</v>
      </c>
      <c r="F16" s="1136" t="s">
        <v>500</v>
      </c>
      <c r="G16" s="1136" t="s">
        <v>340</v>
      </c>
      <c r="H16" s="1135" t="s">
        <v>501</v>
      </c>
      <c r="I16" s="1136" t="s">
        <v>502</v>
      </c>
      <c r="J16" s="1136" t="s">
        <v>503</v>
      </c>
      <c r="K16" s="1136" t="s">
        <v>504</v>
      </c>
      <c r="L16" s="1137" t="s">
        <v>6814</v>
      </c>
      <c r="N16" s="1125"/>
      <c r="P16" s="1126"/>
      <c r="Q16" s="1115"/>
      <c r="R16" s="1115"/>
      <c r="S16" s="1115"/>
      <c r="T16" s="1115"/>
      <c r="U16" s="1115"/>
      <c r="V16" s="1115"/>
      <c r="W16" s="1115"/>
      <c r="X16" s="1115"/>
      <c r="Y16" s="1115"/>
      <c r="Z16" s="1115"/>
    </row>
    <row r="17" spans="1:26" ht="12" customHeight="1">
      <c r="A17" s="1138" cm="1">
        <f t="array" ref="A17">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193</v>
      </c>
      <c r="B17" s="1139" t="str" cm="1">
        <f t="array" ref="B17">IF($A17="","",INDEX('resident aged receivable'!$B:$B,$A17))</f>
        <v>W28-2-1020</v>
      </c>
      <c r="C17" s="1139" t="str" cm="1">
        <f t="array" ref="C17">IF($A17="","",INDEX('resident aged receivable'!$D:$D,$A17))</f>
        <v>Alexander, Leaujodon</v>
      </c>
      <c r="D17" s="1140" cm="1">
        <f t="array" ref="D17">IF($A17="","",INDEX('resident aged receivable'!$F:$F,$A17))</f>
        <v>45859</v>
      </c>
      <c r="E17" s="1140" cm="1">
        <f t="array" ref="E17">IF($A17="","",_xlfn.LET(_xlpm.leaseEnd,INDEX('resident aged receivable'!$H:$H,$A17),_xlpm.moLookup,IFERROR(_xlfn.LET(_xlpm.lastFirst,C17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46223</v>
      </c>
      <c r="F17" s="1141" t="str">
        <f t="shared" ref="F17:F48" si="0">IF(D17="","",IF(D17&lt;DATE(2025,12,15),"IPS","CAF"))</f>
        <v>IPS</v>
      </c>
      <c r="G17" s="1142" t="str" cm="1">
        <f t="array" ref="G17">IF($A17="","",IF(COUNTIF($N$3:$N$24,C17)&gt;0,"Former",_xlfn.LET(_xlpm.s,INDEX('resident aged receivable'!$E:$E,$A17),IF(ISNUMBER(SEARCH("Eviction",_xlpm.s)),"Eviction",IF(ISNUMBER(SEARCH("Skip",_xlpm.s)),"Skip",IF(ISNUMBER(SEARCH("Past",_xlpm.s))+ISNUMBER(SEARCH("Collections",_xlpm.s)),"Former",_xlpm.s))))))</f>
        <v>Eviction</v>
      </c>
      <c r="H17" s="1143" cm="1">
        <f t="array" ref="H17">IF($A17="","",INDEX('resident aged receivable'!$I:$I,$A17))</f>
        <v>15452.24</v>
      </c>
      <c r="I17" s="1143" cm="1">
        <f t="array" ref="I17">IF($A17="","",INDEX('resident aged receivable'!$J:$J,$A17))</f>
        <v>1667.27</v>
      </c>
      <c r="J17" s="1143" cm="1">
        <f t="array" ref="J17">IF($A17="","",INDEX('resident aged receivable'!$K:$K,$A17))</f>
        <v>1674.19</v>
      </c>
      <c r="K17" s="1163" t="str" cm="1">
        <f t="array" ref="K17">IFERROR(IF(B17="","",IF(SUMPRODUCT((LeaseLock!$D$2:$D$500=B17)*ISNUMBER(SEARCH(LEFT(C17,FIND(",",C17&amp;",")-1),LeaseLock!$C$2:$C$500)))=0,"",IF(LOOKUP(2,1/((LeaseLock!$D$2:$D$500=B17)*ISNUMBER(SEARCH(LEFT(C17,FIND(",",C17&amp;",")-1),LeaseLock!$C$2:$C$500))),LeaseLock!$F$2:$F$500)="Claim Denied","Claim Denied ("&amp;LOOKUP(2,1/((LeaseLock!$D$2:$D$500=B17)*ISNUMBER(SEARCH(LEFT(C17,FIND(",",C17&amp;",")-1),LeaseLock!$C$2:$C$500))),LeaseLock!$G$2:$G$500)&amp;")",IF(LOOKUP(2,1/((LeaseLock!$D$2:$D$500=B17)*ISNUMBER(SEARCH(LEFT(C17,FIND(",",C17&amp;",")-1),LeaseLock!$C$2:$C$500))),LeaseLock!$F$2:$F$500)="Open","Open - "&amp;LOOKUP(2,1/((LeaseLock!$D$2:$D$500=B17)*ISNUMBER(SEARCH(LEFT(C17,FIND(",",C17&amp;",")-1),LeaseLock!$C$2:$C$500))),LeaseLock!$G$2:$G$500),IF(LOOKUP(2,1/((LeaseLock!$D$2:$D$500=B17)*ISNUMBER(SEARCH(LEFT(C17,FIND(",",C17&amp;",")-1),LeaseLock!$C$2:$C$500))),LeaseLock!$M$2:$M$500)&gt;0,LOOKUP(2,1/((LeaseLock!$D$2:$D$500=B17)*ISNUMBER(SEARCH(LEFT(C17,FIND(",",C17&amp;",")-1),LeaseLock!$C$2:$C$500))),LeaseLock!$F$2:$F$500)&amp;" - $"&amp;TEXT(LOOKUP(2,1/((LeaseLock!$D$2:$D$500=B17)*ISNUMBER(SEARCH(LEFT(C17,FIND(",",C17&amp;",")-1),LeaseLock!$C$2:$C$500))),LeaseLock!$M$2:$M$500),"#,##0.00")&amp;" paid",LOOKUP(2,1/((LeaseLock!$D$2:$D$500=B17)*ISNUMBER(SEARCH(LEFT(C17,FIND(",",C17&amp;",")-1),LeaseLock!$C$2:$C$500))),LeaseLock!$F$2:$F$500)&amp;" - no payment"))))),"")</f>
        <v/>
      </c>
      <c r="L17" s="1144"/>
      <c r="N17" s="1125"/>
      <c r="P17" s="1126"/>
      <c r="Q17" s="1115"/>
      <c r="R17" s="1115"/>
      <c r="S17" s="1115"/>
      <c r="T17" s="1115"/>
      <c r="U17" s="1115"/>
      <c r="V17" s="1115"/>
      <c r="W17" s="1115"/>
      <c r="X17" s="1115"/>
      <c r="Y17" s="1115"/>
      <c r="Z17" s="1115"/>
    </row>
    <row r="18" spans="1:26" ht="12" customHeight="1">
      <c r="A18" s="1138" cm="1">
        <f t="array" ref="A18">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11</v>
      </c>
      <c r="B18" s="1139" t="str" cm="1">
        <f t="array" ref="B18">IF($A18="","",INDEX('resident aged receivable'!$B:$B,$A18))</f>
        <v>N03-2021</v>
      </c>
      <c r="C18" s="1139" t="str" cm="1">
        <f t="array" ref="C18">IF($A18="","",INDEX('resident aged receivable'!$D:$D,$A18))</f>
        <v>Brown, Nicole</v>
      </c>
      <c r="D18" s="1140" cm="1">
        <f t="array" ref="D18">IF($A18="","",INDEX('resident aged receivable'!$F:$F,$A18))</f>
        <v>45757</v>
      </c>
      <c r="E18" s="1140" cm="1">
        <f t="array" ref="E18">IF($A18="","",_xlfn.LET(_xlpm.leaseEnd,INDEX('resident aged receivable'!$H:$H,$A18),_xlpm.moLookup,IFERROR(_xlfn.LET(_xlpm.lastFirst,C18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46182</v>
      </c>
      <c r="F18" s="1141" t="str">
        <f t="shared" si="0"/>
        <v>IPS</v>
      </c>
      <c r="G18" s="1142" t="str" cm="1">
        <f t="array" ref="G18">IF($A18="","",IF(COUNTIF($N$3:$N$24,C18)&gt;0,"Former",_xlfn.LET(_xlpm.s,INDEX('resident aged receivable'!$E:$E,$A18),IF(ISNUMBER(SEARCH("Eviction",_xlpm.s)),"Eviction",IF(ISNUMBER(SEARCH("Skip",_xlpm.s)),"Skip",IF(ISNUMBER(SEARCH("Past",_xlpm.s))+ISNUMBER(SEARCH("Collections",_xlpm.s)),"Former",_xlpm.s))))))</f>
        <v>Skip</v>
      </c>
      <c r="H18" s="1143" cm="1">
        <f t="array" ref="H18">IF($A18="","",INDEX('resident aged receivable'!$I:$I,$A18))</f>
        <v>13768.56</v>
      </c>
      <c r="I18" s="1143" cm="1">
        <f t="array" ref="I18">IF($A18="","",INDEX('resident aged receivable'!$J:$J,$A18))</f>
        <v>5137.76</v>
      </c>
      <c r="J18" s="1143" cm="1">
        <f t="array" ref="J18">IF($A18="","",INDEX('resident aged receivable'!$K:$K,$A18))</f>
        <v>1112.8699999999999</v>
      </c>
      <c r="K18" s="1163" t="str" cm="1">
        <f t="array" ref="K18">IFERROR(IF(B18="","",IF(SUMPRODUCT((LeaseLock!$D$2:$D$500=B18)*ISNUMBER(SEARCH(LEFT(C18,FIND(",",C18&amp;",")-1),LeaseLock!$C$2:$C$500)))=0,"",IF(LOOKUP(2,1/((LeaseLock!$D$2:$D$500=B18)*ISNUMBER(SEARCH(LEFT(C18,FIND(",",C18&amp;",")-1),LeaseLock!$C$2:$C$500))),LeaseLock!$F$2:$F$500)="Claim Denied","Claim Denied ("&amp;LOOKUP(2,1/((LeaseLock!$D$2:$D$500=B18)*ISNUMBER(SEARCH(LEFT(C18,FIND(",",C18&amp;",")-1),LeaseLock!$C$2:$C$500))),LeaseLock!$G$2:$G$500)&amp;")",IF(LOOKUP(2,1/((LeaseLock!$D$2:$D$500=B18)*ISNUMBER(SEARCH(LEFT(C18,FIND(",",C18&amp;",")-1),LeaseLock!$C$2:$C$500))),LeaseLock!$F$2:$F$500)="Open","Open - "&amp;LOOKUP(2,1/((LeaseLock!$D$2:$D$500=B18)*ISNUMBER(SEARCH(LEFT(C18,FIND(",",C18&amp;",")-1),LeaseLock!$C$2:$C$500))),LeaseLock!$G$2:$G$500),IF(LOOKUP(2,1/((LeaseLock!$D$2:$D$500=B18)*ISNUMBER(SEARCH(LEFT(C18,FIND(",",C18&amp;",")-1),LeaseLock!$C$2:$C$500))),LeaseLock!$M$2:$M$500)&gt;0,LOOKUP(2,1/((LeaseLock!$D$2:$D$500=B18)*ISNUMBER(SEARCH(LEFT(C18,FIND(",",C18&amp;",")-1),LeaseLock!$C$2:$C$500))),LeaseLock!$F$2:$F$500)&amp;" - $"&amp;TEXT(LOOKUP(2,1/((LeaseLock!$D$2:$D$500=B18)*ISNUMBER(SEARCH(LEFT(C18,FIND(",",C18&amp;",")-1),LeaseLock!$C$2:$C$500))),LeaseLock!$M$2:$M$500),"#,##0.00")&amp;" paid",LOOKUP(2,1/((LeaseLock!$D$2:$D$500=B18)*ISNUMBER(SEARCH(LEFT(C18,FIND(",",C18&amp;",")-1),LeaseLock!$C$2:$C$500))),LeaseLock!$F$2:$F$500)&amp;" - no payment"))))),"")</f>
        <v/>
      </c>
      <c r="L18" s="1144"/>
      <c r="N18" s="1125"/>
      <c r="Q18" s="1115"/>
      <c r="R18" s="1115"/>
      <c r="S18" s="1115"/>
      <c r="T18" s="1115"/>
      <c r="U18" s="1115"/>
      <c r="V18" s="1115"/>
      <c r="W18" s="1115"/>
      <c r="X18" s="1115"/>
      <c r="Y18" s="1115"/>
      <c r="Z18" s="1115"/>
    </row>
    <row r="19" spans="1:26" ht="12" customHeight="1">
      <c r="A19" s="1138" cm="1">
        <f t="array" ref="A19">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113</v>
      </c>
      <c r="B19" s="1139" t="str" cm="1">
        <f t="array" ref="B19">IF($A19="","",INDEX('resident aged receivable'!$B:$B,$A19))</f>
        <v>W07-1-0715</v>
      </c>
      <c r="C19" s="1139" t="str" cm="1">
        <f t="array" ref="C19">IF($A19="","",INDEX('resident aged receivable'!$D:$D,$A19))</f>
        <v>Miller, Faye</v>
      </c>
      <c r="D19" s="1140" cm="1">
        <f t="array" ref="D19">IF($A19="","",INDEX('resident aged receivable'!$F:$F,$A19))</f>
        <v>45485</v>
      </c>
      <c r="E19" s="1140" cm="1">
        <f t="array" ref="E19">IF($A19="","",_xlfn.LET(_xlpm.leaseEnd,INDEX('resident aged receivable'!$H:$H,$A19),_xlpm.moLookup,IFERROR(_xlfn.LET(_xlpm.lastFirst,C19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46276</v>
      </c>
      <c r="F19" s="1141" t="str">
        <f t="shared" si="0"/>
        <v>IPS</v>
      </c>
      <c r="G19" s="1142" t="str" cm="1">
        <f t="array" ref="G19">IF($A19="","",IF(COUNTIF($N$3:$N$24,C19)&gt;0,"Former",_xlfn.LET(_xlpm.s,INDEX('resident aged receivable'!$E:$E,$A19),IF(ISNUMBER(SEARCH("Eviction",_xlpm.s)),"Eviction",IF(ISNUMBER(SEARCH("Skip",_xlpm.s)),"Skip",IF(ISNUMBER(SEARCH("Past",_xlpm.s))+ISNUMBER(SEARCH("Collections",_xlpm.s)),"Former",_xlpm.s))))))</f>
        <v>Skip</v>
      </c>
      <c r="H19" s="1143" cm="1">
        <f t="array" ref="H19">IF($A19="","",INDEX('resident aged receivable'!$I:$I,$A19))</f>
        <v>13430.36</v>
      </c>
      <c r="I19" s="1143" cm="1">
        <f t="array" ref="I19">IF($A19="","",INDEX('resident aged receivable'!$J:$J,$A19))</f>
        <v>4358.1499999999996</v>
      </c>
      <c r="J19" s="1143" cm="1">
        <f t="array" ref="J19">IF($A19="","",INDEX('resident aged receivable'!$K:$K,$A19))</f>
        <v>1226.1099999999999</v>
      </c>
      <c r="K19" s="1163" t="str" cm="1">
        <f t="array" ref="K19">IFERROR(IF(B19="","",IF(SUMPRODUCT((LeaseLock!$D$2:$D$500=B19)*ISNUMBER(SEARCH(LEFT(C19,FIND(",",C19&amp;",")-1),LeaseLock!$C$2:$C$500)))=0,"",IF(LOOKUP(2,1/((LeaseLock!$D$2:$D$500=B19)*ISNUMBER(SEARCH(LEFT(C19,FIND(",",C19&amp;",")-1),LeaseLock!$C$2:$C$500))),LeaseLock!$F$2:$F$500)="Claim Denied","Claim Denied ("&amp;LOOKUP(2,1/((LeaseLock!$D$2:$D$500=B19)*ISNUMBER(SEARCH(LEFT(C19,FIND(",",C19&amp;",")-1),LeaseLock!$C$2:$C$500))),LeaseLock!$G$2:$G$500)&amp;")",IF(LOOKUP(2,1/((LeaseLock!$D$2:$D$500=B19)*ISNUMBER(SEARCH(LEFT(C19,FIND(",",C19&amp;",")-1),LeaseLock!$C$2:$C$500))),LeaseLock!$F$2:$F$500)="Open","Open - "&amp;LOOKUP(2,1/((LeaseLock!$D$2:$D$500=B19)*ISNUMBER(SEARCH(LEFT(C19,FIND(",",C19&amp;",")-1),LeaseLock!$C$2:$C$500))),LeaseLock!$G$2:$G$500),IF(LOOKUP(2,1/((LeaseLock!$D$2:$D$500=B19)*ISNUMBER(SEARCH(LEFT(C19,FIND(",",C19&amp;",")-1),LeaseLock!$C$2:$C$500))),LeaseLock!$M$2:$M$500)&gt;0,LOOKUP(2,1/((LeaseLock!$D$2:$D$500=B19)*ISNUMBER(SEARCH(LEFT(C19,FIND(",",C19&amp;",")-1),LeaseLock!$C$2:$C$500))),LeaseLock!$F$2:$F$500)&amp;" - $"&amp;TEXT(LOOKUP(2,1/((LeaseLock!$D$2:$D$500=B19)*ISNUMBER(SEARCH(LEFT(C19,FIND(",",C19&amp;",")-1),LeaseLock!$C$2:$C$500))),LeaseLock!$M$2:$M$500),"#,##0.00")&amp;" paid",LOOKUP(2,1/((LeaseLock!$D$2:$D$500=B19)*ISNUMBER(SEARCH(LEFT(C19,FIND(",",C19&amp;",")-1),LeaseLock!$C$2:$C$500))),LeaseLock!$F$2:$F$500)&amp;" - no payment"))))),"")</f>
        <v/>
      </c>
      <c r="L19" s="1144" t="s">
        <v>6761</v>
      </c>
      <c r="N19" s="1125"/>
      <c r="Q19" s="1115"/>
      <c r="R19" s="1115"/>
      <c r="S19" s="1115"/>
      <c r="T19" s="1115"/>
      <c r="U19" s="1115"/>
      <c r="V19" s="1115"/>
      <c r="W19" s="1115"/>
      <c r="X19" s="1115"/>
      <c r="Y19" s="1115"/>
      <c r="Z19" s="1115"/>
    </row>
    <row r="20" spans="1:26" ht="12" customHeight="1">
      <c r="A20" s="1138" cm="1">
        <f t="array" ref="A20">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170</v>
      </c>
      <c r="B20" s="1139" t="str" cm="1">
        <f t="array" ref="B20">IF($A20="","",INDEX('resident aged receivable'!$B:$B,$A20))</f>
        <v>W18-2-2070</v>
      </c>
      <c r="C20" s="1139" t="str" cm="1">
        <f t="array" ref="C20">IF($A20="","",INDEX('resident aged receivable'!$D:$D,$A20))</f>
        <v>Candler, Brittany</v>
      </c>
      <c r="D20" s="1140" cm="1">
        <f t="array" ref="D20">IF($A20="","",INDEX('resident aged receivable'!$F:$F,$A20))</f>
        <v>45706</v>
      </c>
      <c r="E20" s="1140" cm="1">
        <f t="array" ref="E20">IF($A20="","",_xlfn.LET(_xlpm.leaseEnd,INDEX('resident aged receivable'!$H:$H,$A20),_xlpm.moLookup,IFERROR(_xlfn.LET(_xlpm.lastFirst,C20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46070</v>
      </c>
      <c r="F20" s="1141" t="str">
        <f t="shared" si="0"/>
        <v>IPS</v>
      </c>
      <c r="G20" s="1142" t="str" cm="1">
        <f t="array" ref="G20">IF($A20="","",IF(COUNTIF($N$3:$N$24,C20)&gt;0,"Former",_xlfn.LET(_xlpm.s,INDEX('resident aged receivable'!$E:$E,$A20),IF(ISNUMBER(SEARCH("Eviction",_xlpm.s)),"Eviction",IF(ISNUMBER(SEARCH("Skip",_xlpm.s)),"Skip",IF(ISNUMBER(SEARCH("Past",_xlpm.s))+ISNUMBER(SEARCH("Collections",_xlpm.s)),"Former",_xlpm.s))))))</f>
        <v>Eviction</v>
      </c>
      <c r="H20" s="1143" cm="1">
        <f t="array" ref="H20">IF($A20="","",INDEX('resident aged receivable'!$I:$I,$A20))</f>
        <v>12763.04</v>
      </c>
      <c r="I20" s="1143" cm="1">
        <f t="array" ref="I20">IF($A20="","",INDEX('resident aged receivable'!$J:$J,$A20))</f>
        <v>0</v>
      </c>
      <c r="J20" s="1143" cm="1">
        <f t="array" ref="J20">IF($A20="","",INDEX('resident aged receivable'!$K:$K,$A20))</f>
        <v>1201.18</v>
      </c>
      <c r="K20" s="1163" t="str" cm="1">
        <f t="array" ref="K20">IFERROR(IF(B20="","",IF(SUMPRODUCT((LeaseLock!$D$2:$D$500=B20)*ISNUMBER(SEARCH(LEFT(C20,FIND(",",C20&amp;",")-1),LeaseLock!$C$2:$C$500)))=0,"",IF(LOOKUP(2,1/((LeaseLock!$D$2:$D$500=B20)*ISNUMBER(SEARCH(LEFT(C20,FIND(",",C20&amp;",")-1),LeaseLock!$C$2:$C$500))),LeaseLock!$F$2:$F$500)="Claim Denied","Claim Denied ("&amp;LOOKUP(2,1/((LeaseLock!$D$2:$D$500=B20)*ISNUMBER(SEARCH(LEFT(C20,FIND(",",C20&amp;",")-1),LeaseLock!$C$2:$C$500))),LeaseLock!$G$2:$G$500)&amp;")",IF(LOOKUP(2,1/((LeaseLock!$D$2:$D$500=B20)*ISNUMBER(SEARCH(LEFT(C20,FIND(",",C20&amp;",")-1),LeaseLock!$C$2:$C$500))),LeaseLock!$F$2:$F$500)="Open","Open - "&amp;LOOKUP(2,1/((LeaseLock!$D$2:$D$500=B20)*ISNUMBER(SEARCH(LEFT(C20,FIND(",",C20&amp;",")-1),LeaseLock!$C$2:$C$500))),LeaseLock!$G$2:$G$500),IF(LOOKUP(2,1/((LeaseLock!$D$2:$D$500=B20)*ISNUMBER(SEARCH(LEFT(C20,FIND(",",C20&amp;",")-1),LeaseLock!$C$2:$C$500))),LeaseLock!$M$2:$M$500)&gt;0,LOOKUP(2,1/((LeaseLock!$D$2:$D$500=B20)*ISNUMBER(SEARCH(LEFT(C20,FIND(",",C20&amp;",")-1),LeaseLock!$C$2:$C$500))),LeaseLock!$F$2:$F$500)&amp;" - $"&amp;TEXT(LOOKUP(2,1/((LeaseLock!$D$2:$D$500=B20)*ISNUMBER(SEARCH(LEFT(C20,FIND(",",C20&amp;",")-1),LeaseLock!$C$2:$C$500))),LeaseLock!$M$2:$M$500),"#,##0.00")&amp;" paid",LOOKUP(2,1/((LeaseLock!$D$2:$D$500=B20)*ISNUMBER(SEARCH(LEFT(C20,FIND(",",C20&amp;",")-1),LeaseLock!$C$2:$C$500))),LeaseLock!$F$2:$F$500)&amp;" - no payment"))))),"")</f>
        <v>Closed - $750.00 paid</v>
      </c>
      <c r="L20" s="1144"/>
      <c r="N20" s="1125"/>
      <c r="Q20" s="1115"/>
      <c r="R20" s="1115"/>
      <c r="S20" s="1115"/>
      <c r="T20" s="1115"/>
      <c r="U20" s="1115"/>
      <c r="V20" s="1115"/>
      <c r="W20" s="1115"/>
      <c r="X20" s="1115"/>
      <c r="Y20" s="1115"/>
      <c r="Z20" s="1115"/>
    </row>
    <row r="21" spans="1:26" ht="12" customHeight="1">
      <c r="A21" s="1138" cm="1">
        <f t="array" ref="A21">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90</v>
      </c>
      <c r="B21" s="1139" t="str" cm="1">
        <f t="array" ref="B21">IF($A21="","",INDEX('resident aged receivable'!$B:$B,$A21))</f>
        <v>W02-1-0215</v>
      </c>
      <c r="C21" s="1139" t="str" cm="1">
        <f t="array" ref="C21">IF($A21="","",INDEX('resident aged receivable'!$D:$D,$A21))</f>
        <v>Diaz, Ingrid</v>
      </c>
      <c r="D21" s="1140" cm="1">
        <f t="array" ref="D21">IF($A21="","",INDEX('resident aged receivable'!$F:$F,$A21))</f>
        <v>45643</v>
      </c>
      <c r="E21" s="1140" cm="1">
        <f t="array" ref="E21">IF($A21="","",_xlfn.LET(_xlpm.leaseEnd,INDEX('resident aged receivable'!$H:$H,$A21),_xlpm.moLookup,IFERROR(_xlfn.LET(_xlpm.lastFirst,C21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46069</v>
      </c>
      <c r="F21" s="1141" t="str">
        <f t="shared" si="0"/>
        <v>IPS</v>
      </c>
      <c r="G21" s="1142" t="str" cm="1">
        <f t="array" ref="G21">IF($A21="","",IF(COUNTIF($N$3:$N$24,C21)&gt;0,"Former",_xlfn.LET(_xlpm.s,INDEX('resident aged receivable'!$E:$E,$A21),IF(ISNUMBER(SEARCH("Eviction",_xlpm.s)),"Eviction",IF(ISNUMBER(SEARCH("Skip",_xlpm.s)),"Skip",IF(ISNUMBER(SEARCH("Past",_xlpm.s))+ISNUMBER(SEARCH("Collections",_xlpm.s)),"Former",_xlpm.s))))))</f>
        <v>Eviction</v>
      </c>
      <c r="H21" s="1143" cm="1">
        <f t="array" ref="H21">IF($A21="","",INDEX('resident aged receivable'!$I:$I,$A21))</f>
        <v>12713.45</v>
      </c>
      <c r="I21" s="1143" cm="1">
        <f t="array" ref="I21">IF($A21="","",INDEX('resident aged receivable'!$J:$J,$A21))</f>
        <v>0</v>
      </c>
      <c r="J21" s="1143" cm="1">
        <f t="array" ref="J21">IF($A21="","",INDEX('resident aged receivable'!$K:$K,$A21))</f>
        <v>73.81</v>
      </c>
      <c r="K21" s="1163" t="str" cm="1">
        <f t="array" ref="K21">IFERROR(IF(B21="","",IF(SUMPRODUCT((LeaseLock!$D$2:$D$500=B21)*ISNUMBER(SEARCH(LEFT(C21,FIND(",",C21&amp;",")-1),LeaseLock!$C$2:$C$500)))=0,"",IF(LOOKUP(2,1/((LeaseLock!$D$2:$D$500=B21)*ISNUMBER(SEARCH(LEFT(C21,FIND(",",C21&amp;",")-1),LeaseLock!$C$2:$C$500))),LeaseLock!$F$2:$F$500)="Claim Denied","Claim Denied ("&amp;LOOKUP(2,1/((LeaseLock!$D$2:$D$500=B21)*ISNUMBER(SEARCH(LEFT(C21,FIND(",",C21&amp;",")-1),LeaseLock!$C$2:$C$500))),LeaseLock!$G$2:$G$500)&amp;")",IF(LOOKUP(2,1/((LeaseLock!$D$2:$D$500=B21)*ISNUMBER(SEARCH(LEFT(C21,FIND(",",C21&amp;",")-1),LeaseLock!$C$2:$C$500))),LeaseLock!$F$2:$F$500)="Open","Open - "&amp;LOOKUP(2,1/((LeaseLock!$D$2:$D$500=B21)*ISNUMBER(SEARCH(LEFT(C21,FIND(",",C21&amp;",")-1),LeaseLock!$C$2:$C$500))),LeaseLock!$G$2:$G$500),IF(LOOKUP(2,1/((LeaseLock!$D$2:$D$500=B21)*ISNUMBER(SEARCH(LEFT(C21,FIND(",",C21&amp;",")-1),LeaseLock!$C$2:$C$500))),LeaseLock!$M$2:$M$500)&gt;0,LOOKUP(2,1/((LeaseLock!$D$2:$D$500=B21)*ISNUMBER(SEARCH(LEFT(C21,FIND(",",C21&amp;",")-1),LeaseLock!$C$2:$C$500))),LeaseLock!$F$2:$F$500)&amp;" - $"&amp;TEXT(LOOKUP(2,1/((LeaseLock!$D$2:$D$500=B21)*ISNUMBER(SEARCH(LEFT(C21,FIND(",",C21&amp;",")-1),LeaseLock!$C$2:$C$500))),LeaseLock!$M$2:$M$500),"#,##0.00")&amp;" paid",LOOKUP(2,1/((LeaseLock!$D$2:$D$500=B21)*ISNUMBER(SEARCH(LEFT(C21,FIND(",",C21&amp;",")-1),LeaseLock!$C$2:$C$500))),LeaseLock!$F$2:$F$500)&amp;" - no payment"))))),"")</f>
        <v/>
      </c>
      <c r="L21" s="1144" t="s">
        <v>6815</v>
      </c>
      <c r="N21" s="1125"/>
      <c r="Q21" s="1115"/>
      <c r="R21" s="1115"/>
      <c r="S21" s="1115"/>
      <c r="T21" s="1115"/>
      <c r="U21" s="1115"/>
      <c r="V21" s="1115"/>
      <c r="W21" s="1115"/>
      <c r="X21" s="1115"/>
      <c r="Y21" s="1115"/>
      <c r="Z21" s="1115"/>
    </row>
    <row r="22" spans="1:26" ht="12" customHeight="1">
      <c r="A22" s="1138" cm="1">
        <f t="array" ref="A22">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172</v>
      </c>
      <c r="B22" s="1139" t="str" cm="1">
        <f t="array" ref="B22">IF($A22="","",INDEX('resident aged receivable'!$B:$B,$A22))</f>
        <v>W20-2-1065</v>
      </c>
      <c r="C22" s="1139" t="str" cm="1">
        <f t="array" ref="C22">IF($A22="","",INDEX('resident aged receivable'!$D:$D,$A22))</f>
        <v>Washington, Taydrian</v>
      </c>
      <c r="D22" s="1140" cm="1">
        <f t="array" ref="D22">IF($A22="","",INDEX('resident aged receivable'!$F:$F,$A22))</f>
        <v>45820</v>
      </c>
      <c r="E22" s="1140" cm="1">
        <f t="array" ref="E22">IF($A22="","",_xlfn.LET(_xlpm.leaseEnd,INDEX('resident aged receivable'!$H:$H,$A22),_xlpm.moLookup,IFERROR(_xlfn.LET(_xlpm.lastFirst,C22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46184</v>
      </c>
      <c r="F22" s="1141" t="str">
        <f t="shared" si="0"/>
        <v>IPS</v>
      </c>
      <c r="G22" s="1142" t="str" cm="1">
        <f t="array" ref="G22">IF($A22="","",IF(COUNTIF($N$3:$N$24,C22)&gt;0,"Former",_xlfn.LET(_xlpm.s,INDEX('resident aged receivable'!$E:$E,$A22),IF(ISNUMBER(SEARCH("Eviction",_xlpm.s)),"Eviction",IF(ISNUMBER(SEARCH("Skip",_xlpm.s)),"Skip",IF(ISNUMBER(SEARCH("Past",_xlpm.s))+ISNUMBER(SEARCH("Collections",_xlpm.s)),"Former",_xlpm.s))))))</f>
        <v>Skip</v>
      </c>
      <c r="H22" s="1143" cm="1">
        <f t="array" ref="H22">IF($A22="","",INDEX('resident aged receivable'!$I:$I,$A22))</f>
        <v>12041.62</v>
      </c>
      <c r="I22" s="1143" cm="1">
        <f t="array" ref="I22">IF($A22="","",INDEX('resident aged receivable'!$J:$J,$A22))</f>
        <v>0</v>
      </c>
      <c r="J22" s="1143" cm="1">
        <f t="array" ref="J22">IF($A22="","",INDEX('resident aged receivable'!$K:$K,$A22))</f>
        <v>574.66</v>
      </c>
      <c r="K22" s="1163" t="str" cm="1">
        <f t="array" ref="K22">IFERROR(IF(B22="","",IF(SUMPRODUCT((LeaseLock!$D$2:$D$500=B22)*ISNUMBER(SEARCH(LEFT(C22,FIND(",",C22&amp;",")-1),LeaseLock!$C$2:$C$500)))=0,"",IF(LOOKUP(2,1/((LeaseLock!$D$2:$D$500=B22)*ISNUMBER(SEARCH(LEFT(C22,FIND(",",C22&amp;",")-1),LeaseLock!$C$2:$C$500))),LeaseLock!$F$2:$F$500)="Claim Denied","Claim Denied ("&amp;LOOKUP(2,1/((LeaseLock!$D$2:$D$500=B22)*ISNUMBER(SEARCH(LEFT(C22,FIND(",",C22&amp;",")-1),LeaseLock!$C$2:$C$500))),LeaseLock!$G$2:$G$500)&amp;")",IF(LOOKUP(2,1/((LeaseLock!$D$2:$D$500=B22)*ISNUMBER(SEARCH(LEFT(C22,FIND(",",C22&amp;",")-1),LeaseLock!$C$2:$C$500))),LeaseLock!$F$2:$F$500)="Open","Open - "&amp;LOOKUP(2,1/((LeaseLock!$D$2:$D$500=B22)*ISNUMBER(SEARCH(LEFT(C22,FIND(",",C22&amp;",")-1),LeaseLock!$C$2:$C$500))),LeaseLock!$G$2:$G$500),IF(LOOKUP(2,1/((LeaseLock!$D$2:$D$500=B22)*ISNUMBER(SEARCH(LEFT(C22,FIND(",",C22&amp;",")-1),LeaseLock!$C$2:$C$500))),LeaseLock!$M$2:$M$500)&gt;0,LOOKUP(2,1/((LeaseLock!$D$2:$D$500=B22)*ISNUMBER(SEARCH(LEFT(C22,FIND(",",C22&amp;",")-1),LeaseLock!$C$2:$C$500))),LeaseLock!$F$2:$F$500)&amp;" - $"&amp;TEXT(LOOKUP(2,1/((LeaseLock!$D$2:$D$500=B22)*ISNUMBER(SEARCH(LEFT(C22,FIND(",",C22&amp;",")-1),LeaseLock!$C$2:$C$500))),LeaseLock!$M$2:$M$500),"#,##0.00")&amp;" paid",LOOKUP(2,1/((LeaseLock!$D$2:$D$500=B22)*ISNUMBER(SEARCH(LEFT(C22,FIND(",",C22&amp;",")-1),LeaseLock!$C$2:$C$500))),LeaseLock!$F$2:$F$500)&amp;" - no payment"))))),"")</f>
        <v>Closed - $750.00 paid</v>
      </c>
      <c r="L22" s="1144" t="s">
        <v>6816</v>
      </c>
      <c r="N22" s="1125"/>
      <c r="Q22" s="1115"/>
      <c r="R22" s="1115"/>
      <c r="S22" s="1115"/>
      <c r="T22" s="1115"/>
      <c r="U22" s="1115"/>
      <c r="V22" s="1115"/>
      <c r="W22" s="1115"/>
      <c r="X22" s="1115"/>
      <c r="Y22" s="1115"/>
      <c r="Z22" s="1115"/>
    </row>
    <row r="23" spans="1:26" ht="12" customHeight="1">
      <c r="A23" s="1138" cm="1">
        <f t="array" ref="A23">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145</v>
      </c>
      <c r="B23" s="1139" t="str" cm="1">
        <f t="array" ref="B23">IF($A23="","",INDEX('resident aged receivable'!$B:$B,$A23))</f>
        <v>W14-1-1402</v>
      </c>
      <c r="C23" s="1139" t="str" cm="1">
        <f t="array" ref="C23">IF($A23="","",INDEX('resident aged receivable'!$D:$D,$A23))</f>
        <v>Oladejo, Olufemi</v>
      </c>
      <c r="D23" s="1140" cm="1">
        <f t="array" ref="D23">IF($A23="","",INDEX('resident aged receivable'!$F:$F,$A23))</f>
        <v>44267</v>
      </c>
      <c r="E23" s="1140" cm="1">
        <f t="array" ref="E23">IF($A23="","",_xlfn.LET(_xlpm.leaseEnd,INDEX('resident aged receivable'!$H:$H,$A23),_xlpm.moLookup,IFERROR(_xlfn.LET(_xlpm.lastFirst,C23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46112</v>
      </c>
      <c r="F23" s="1141" t="str">
        <f t="shared" si="0"/>
        <v>IPS</v>
      </c>
      <c r="G23" s="1142" t="str" cm="1">
        <f t="array" ref="G23">IF($A23="","",IF(COUNTIF($N$3:$N$24,C23)&gt;0,"Former",_xlfn.LET(_xlpm.s,INDEX('resident aged receivable'!$E:$E,$A23),IF(ISNUMBER(SEARCH("Eviction",_xlpm.s)),"Eviction",IF(ISNUMBER(SEARCH("Skip",_xlpm.s)),"Skip",IF(ISNUMBER(SEARCH("Past",_xlpm.s))+ISNUMBER(SEARCH("Collections",_xlpm.s)),"Former",_xlpm.s))))))</f>
        <v>Skip</v>
      </c>
      <c r="H23" s="1143" cm="1">
        <f t="array" ref="H23">IF($A23="","",INDEX('resident aged receivable'!$I:$I,$A23))</f>
        <v>11452.32</v>
      </c>
      <c r="I23" s="1143" cm="1">
        <f t="array" ref="I23">IF($A23="","",INDEX('resident aged receivable'!$J:$J,$A23))</f>
        <v>7762.66</v>
      </c>
      <c r="J23" s="1143" cm="1">
        <f t="array" ref="J23">IF($A23="","",INDEX('resident aged receivable'!$K:$K,$A23))</f>
        <v>1583.22</v>
      </c>
      <c r="K23" s="1163" t="str" cm="1">
        <f t="array" ref="K23">IFERROR(IF(B23="","",IF(SUMPRODUCT((LeaseLock!$D$2:$D$500=B23)*ISNUMBER(SEARCH(LEFT(C23,FIND(",",C23&amp;",")-1),LeaseLock!$C$2:$C$500)))=0,"",IF(LOOKUP(2,1/((LeaseLock!$D$2:$D$500=B23)*ISNUMBER(SEARCH(LEFT(C23,FIND(",",C23&amp;",")-1),LeaseLock!$C$2:$C$500))),LeaseLock!$F$2:$F$500)="Claim Denied","Claim Denied ("&amp;LOOKUP(2,1/((LeaseLock!$D$2:$D$500=B23)*ISNUMBER(SEARCH(LEFT(C23,FIND(",",C23&amp;",")-1),LeaseLock!$C$2:$C$500))),LeaseLock!$G$2:$G$500)&amp;")",IF(LOOKUP(2,1/((LeaseLock!$D$2:$D$500=B23)*ISNUMBER(SEARCH(LEFT(C23,FIND(",",C23&amp;",")-1),LeaseLock!$C$2:$C$500))),LeaseLock!$F$2:$F$500)="Open","Open - "&amp;LOOKUP(2,1/((LeaseLock!$D$2:$D$500=B23)*ISNUMBER(SEARCH(LEFT(C23,FIND(",",C23&amp;",")-1),LeaseLock!$C$2:$C$500))),LeaseLock!$G$2:$G$500),IF(LOOKUP(2,1/((LeaseLock!$D$2:$D$500=B23)*ISNUMBER(SEARCH(LEFT(C23,FIND(",",C23&amp;",")-1),LeaseLock!$C$2:$C$500))),LeaseLock!$M$2:$M$500)&gt;0,LOOKUP(2,1/((LeaseLock!$D$2:$D$500=B23)*ISNUMBER(SEARCH(LEFT(C23,FIND(",",C23&amp;",")-1),LeaseLock!$C$2:$C$500))),LeaseLock!$F$2:$F$500)&amp;" - $"&amp;TEXT(LOOKUP(2,1/((LeaseLock!$D$2:$D$500=B23)*ISNUMBER(SEARCH(LEFT(C23,FIND(",",C23&amp;",")-1),LeaseLock!$C$2:$C$500))),LeaseLock!$M$2:$M$500),"#,##0.00")&amp;" paid",LOOKUP(2,1/((LeaseLock!$D$2:$D$500=B23)*ISNUMBER(SEARCH(LEFT(C23,FIND(",",C23&amp;",")-1),LeaseLock!$C$2:$C$500))),LeaseLock!$F$2:$F$500)&amp;" - no payment"))))),"")</f>
        <v/>
      </c>
      <c r="L23" s="1144"/>
      <c r="N23" s="1125"/>
      <c r="Q23" s="1115"/>
      <c r="R23" s="1115"/>
      <c r="S23" s="1115"/>
      <c r="T23" s="1115"/>
      <c r="U23" s="1115"/>
      <c r="V23" s="1115"/>
      <c r="W23" s="1115"/>
      <c r="X23" s="1115"/>
      <c r="Y23" s="1115"/>
      <c r="Z23" s="1115"/>
    </row>
    <row r="24" spans="1:26" ht="12" customHeight="1">
      <c r="A24" s="1138" cm="1">
        <f t="array" ref="A24">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91</v>
      </c>
      <c r="B24" s="1139" t="str" cm="1">
        <f t="array" ref="B24">IF($A24="","",INDEX('resident aged receivable'!$B:$B,$A24))</f>
        <v>W03-1-0301</v>
      </c>
      <c r="C24" s="1139" t="str" cm="1">
        <f t="array" ref="C24">IF($A24="","",INDEX('resident aged receivable'!$D:$D,$A24))</f>
        <v>Leonel, Irvin</v>
      </c>
      <c r="D24" s="1140" cm="1">
        <f t="array" ref="D24">IF($A24="","",INDEX('resident aged receivable'!$F:$F,$A24))</f>
        <v>45838</v>
      </c>
      <c r="E24" s="1140" cm="1">
        <f t="array" ref="E24">IF($A24="","",_xlfn.LET(_xlpm.leaseEnd,INDEX('resident aged receivable'!$H:$H,$A24),_xlpm.moLookup,IFERROR(_xlfn.LET(_xlpm.lastFirst,C24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46202</v>
      </c>
      <c r="F24" s="1141" t="str">
        <f t="shared" si="0"/>
        <v>IPS</v>
      </c>
      <c r="G24" s="1142" t="str" cm="1">
        <f t="array" ref="G24">IF($A24="","",IF(COUNTIF($N$3:$N$24,C24)&gt;0,"Former",_xlfn.LET(_xlpm.s,INDEX('resident aged receivable'!$E:$E,$A24),IF(ISNUMBER(SEARCH("Eviction",_xlpm.s)),"Eviction",IF(ISNUMBER(SEARCH("Skip",_xlpm.s)),"Skip",IF(ISNUMBER(SEARCH("Past",_xlpm.s))+ISNUMBER(SEARCH("Collections",_xlpm.s)),"Former",_xlpm.s))))))</f>
        <v>Skip</v>
      </c>
      <c r="H24" s="1143" cm="1">
        <f t="array" ref="H24">IF($A24="","",INDEX('resident aged receivable'!$I:$I,$A24))</f>
        <v>11292.26</v>
      </c>
      <c r="I24" s="1143" cm="1">
        <f t="array" ref="I24">IF($A24="","",INDEX('resident aged receivable'!$J:$J,$A24))</f>
        <v>0</v>
      </c>
      <c r="J24" s="1143" cm="1">
        <f t="array" ref="J24">IF($A24="","",INDEX('resident aged receivable'!$K:$K,$A24))</f>
        <v>6087.13</v>
      </c>
      <c r="K24" s="1163" t="str" cm="1">
        <f t="array" ref="K24">IFERROR(IF(B24="","",IF(SUMPRODUCT((LeaseLock!$D$2:$D$500=B24)*ISNUMBER(SEARCH(LEFT(C24,FIND(",",C24&amp;",")-1),LeaseLock!$C$2:$C$500)))=0,"",IF(LOOKUP(2,1/((LeaseLock!$D$2:$D$500=B24)*ISNUMBER(SEARCH(LEFT(C24,FIND(",",C24&amp;",")-1),LeaseLock!$C$2:$C$500))),LeaseLock!$F$2:$F$500)="Claim Denied","Claim Denied ("&amp;LOOKUP(2,1/((LeaseLock!$D$2:$D$500=B24)*ISNUMBER(SEARCH(LEFT(C24,FIND(",",C24&amp;",")-1),LeaseLock!$C$2:$C$500))),LeaseLock!$G$2:$G$500)&amp;")",IF(LOOKUP(2,1/((LeaseLock!$D$2:$D$500=B24)*ISNUMBER(SEARCH(LEFT(C24,FIND(",",C24&amp;",")-1),LeaseLock!$C$2:$C$500))),LeaseLock!$F$2:$F$500)="Open","Open - "&amp;LOOKUP(2,1/((LeaseLock!$D$2:$D$500=B24)*ISNUMBER(SEARCH(LEFT(C24,FIND(",",C24&amp;",")-1),LeaseLock!$C$2:$C$500))),LeaseLock!$G$2:$G$500),IF(LOOKUP(2,1/((LeaseLock!$D$2:$D$500=B24)*ISNUMBER(SEARCH(LEFT(C24,FIND(",",C24&amp;",")-1),LeaseLock!$C$2:$C$500))),LeaseLock!$M$2:$M$500)&gt;0,LOOKUP(2,1/((LeaseLock!$D$2:$D$500=B24)*ISNUMBER(SEARCH(LEFT(C24,FIND(",",C24&amp;",")-1),LeaseLock!$C$2:$C$500))),LeaseLock!$F$2:$F$500)&amp;" - $"&amp;TEXT(LOOKUP(2,1/((LeaseLock!$D$2:$D$500=B24)*ISNUMBER(SEARCH(LEFT(C24,FIND(",",C24&amp;",")-1),LeaseLock!$C$2:$C$500))),LeaseLock!$M$2:$M$500),"#,##0.00")&amp;" paid",LOOKUP(2,1/((LeaseLock!$D$2:$D$500=B24)*ISNUMBER(SEARCH(LEFT(C24,FIND(",",C24&amp;",")-1),LeaseLock!$C$2:$C$500))),LeaseLock!$F$2:$F$500)&amp;" - no payment"))))),"")</f>
        <v/>
      </c>
      <c r="L24" s="1144"/>
      <c r="N24" s="1125"/>
      <c r="Q24" s="1115"/>
      <c r="R24" s="1115"/>
      <c r="S24" s="1115"/>
      <c r="T24" s="1115"/>
      <c r="U24" s="1115"/>
      <c r="V24" s="1115"/>
      <c r="W24" s="1115"/>
      <c r="X24" s="1115"/>
      <c r="Y24" s="1115"/>
      <c r="Z24" s="1115"/>
    </row>
    <row r="25" spans="1:26" ht="12" customHeight="1">
      <c r="A25" s="1138" cm="1">
        <f t="array" ref="A25">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159</v>
      </c>
      <c r="B25" s="1139" t="str" cm="1">
        <f t="array" ref="B25">IF($A25="","",INDEX('resident aged receivable'!$B:$B,$A25))</f>
        <v>W16-2-1081</v>
      </c>
      <c r="C25" s="1139" t="str" cm="1">
        <f t="array" ref="C25">IF($A25="","",INDEX('resident aged receivable'!$D:$D,$A25))</f>
        <v>Clark, Deborah</v>
      </c>
      <c r="D25" s="1140" cm="1">
        <f t="array" ref="D25">IF($A25="","",INDEX('resident aged receivable'!$F:$F,$A25))</f>
        <v>44477</v>
      </c>
      <c r="E25" s="1140" cm="1">
        <f t="array" ref="E25">IF($A25="","",_xlfn.LET(_xlpm.leaseEnd,INDEX('resident aged receivable'!$H:$H,$A25),_xlpm.moLookup,IFERROR(_xlfn.LET(_xlpm.lastFirst,C25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46295</v>
      </c>
      <c r="F25" s="1141" t="str">
        <f t="shared" si="0"/>
        <v>IPS</v>
      </c>
      <c r="G25" s="1142" t="str" cm="1">
        <f t="array" ref="G25">IF($A25="","",IF(COUNTIF($N$3:$N$24,C25)&gt;0,"Former",_xlfn.LET(_xlpm.s,INDEX('resident aged receivable'!$E:$E,$A25),IF(ISNUMBER(SEARCH("Eviction",_xlpm.s)),"Eviction",IF(ISNUMBER(SEARCH("Skip",_xlpm.s)),"Skip",IF(ISNUMBER(SEARCH("Past",_xlpm.s))+ISNUMBER(SEARCH("Collections",_xlpm.s)),"Former",_xlpm.s))))))</f>
        <v>Skip</v>
      </c>
      <c r="H25" s="1143" cm="1">
        <f t="array" ref="H25">IF($A25="","",INDEX('resident aged receivable'!$I:$I,$A25))</f>
        <v>11265.88</v>
      </c>
      <c r="I25" s="1143" cm="1">
        <f t="array" ref="I25">IF($A25="","",INDEX('resident aged receivable'!$J:$J,$A25))</f>
        <v>0</v>
      </c>
      <c r="J25" s="1143" cm="1">
        <f t="array" ref="J25">IF($A25="","",INDEX('resident aged receivable'!$K:$K,$A25))</f>
        <v>4192.88</v>
      </c>
      <c r="K25" s="1163" t="str" cm="1">
        <f t="array" ref="K25">IFERROR(IF(B25="","",IF(SUMPRODUCT((LeaseLock!$D$2:$D$500=B25)*ISNUMBER(SEARCH(LEFT(C25,FIND(",",C25&amp;",")-1),LeaseLock!$C$2:$C$500)))=0,"",IF(LOOKUP(2,1/((LeaseLock!$D$2:$D$500=B25)*ISNUMBER(SEARCH(LEFT(C25,FIND(",",C25&amp;",")-1),LeaseLock!$C$2:$C$500))),LeaseLock!$F$2:$F$500)="Claim Denied","Claim Denied ("&amp;LOOKUP(2,1/((LeaseLock!$D$2:$D$500=B25)*ISNUMBER(SEARCH(LEFT(C25,FIND(",",C25&amp;",")-1),LeaseLock!$C$2:$C$500))),LeaseLock!$G$2:$G$500)&amp;")",IF(LOOKUP(2,1/((LeaseLock!$D$2:$D$500=B25)*ISNUMBER(SEARCH(LEFT(C25,FIND(",",C25&amp;",")-1),LeaseLock!$C$2:$C$500))),LeaseLock!$F$2:$F$500)="Open","Open - "&amp;LOOKUP(2,1/((LeaseLock!$D$2:$D$500=B25)*ISNUMBER(SEARCH(LEFT(C25,FIND(",",C25&amp;",")-1),LeaseLock!$C$2:$C$500))),LeaseLock!$G$2:$G$500),IF(LOOKUP(2,1/((LeaseLock!$D$2:$D$500=B25)*ISNUMBER(SEARCH(LEFT(C25,FIND(",",C25&amp;",")-1),LeaseLock!$C$2:$C$500))),LeaseLock!$M$2:$M$500)&gt;0,LOOKUP(2,1/((LeaseLock!$D$2:$D$500=B25)*ISNUMBER(SEARCH(LEFT(C25,FIND(",",C25&amp;",")-1),LeaseLock!$C$2:$C$500))),LeaseLock!$F$2:$F$500)&amp;" - $"&amp;TEXT(LOOKUP(2,1/((LeaseLock!$D$2:$D$500=B25)*ISNUMBER(SEARCH(LEFT(C25,FIND(",",C25&amp;",")-1),LeaseLock!$C$2:$C$500))),LeaseLock!$M$2:$M$500),"#,##0.00")&amp;" paid",LOOKUP(2,1/((LeaseLock!$D$2:$D$500=B25)*ISNUMBER(SEARCH(LEFT(C25,FIND(",",C25&amp;",")-1),LeaseLock!$C$2:$C$500))),LeaseLock!$F$2:$F$500)&amp;" - no payment"))))),"")</f>
        <v/>
      </c>
      <c r="L25" s="1144"/>
      <c r="Q25" s="1115"/>
      <c r="R25" s="1115"/>
      <c r="S25" s="1115"/>
      <c r="T25" s="1115"/>
      <c r="U25" s="1115"/>
      <c r="V25" s="1115"/>
      <c r="W25" s="1115"/>
      <c r="X25" s="1115"/>
      <c r="Y25" s="1115"/>
      <c r="Z25" s="1115"/>
    </row>
    <row r="26" spans="1:26" ht="12" customHeight="1">
      <c r="A26" s="1138" cm="1">
        <f t="array" ref="A26">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86</v>
      </c>
      <c r="B26" s="1139" t="str" cm="1">
        <f t="array" ref="B26">IF($A26="","",INDEX('resident aged receivable'!$B:$B,$A26))</f>
        <v>W01-1-0113</v>
      </c>
      <c r="C26" s="1139" t="str" cm="1">
        <f t="array" ref="C26">IF($A26="","",INDEX('resident aged receivable'!$D:$D,$A26))</f>
        <v>Walker, Latonya</v>
      </c>
      <c r="D26" s="1140" cm="1">
        <f t="array" ref="D26">IF($A26="","",INDEX('resident aged receivable'!$F:$F,$A26))</f>
        <v>45870</v>
      </c>
      <c r="E26" s="1140" cm="1">
        <f t="array" ref="E26">IF($A26="","",_xlfn.LET(_xlpm.leaseEnd,INDEX('resident aged receivable'!$H:$H,$A26),_xlpm.moLookup,IFERROR(_xlfn.LET(_xlpm.lastFirst,C26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46234</v>
      </c>
      <c r="F26" s="1141" t="str">
        <f t="shared" si="0"/>
        <v>IPS</v>
      </c>
      <c r="G26" s="1142" t="str" cm="1">
        <f t="array" ref="G26">IF($A26="","",IF(COUNTIF($N$3:$N$24,C26)&gt;0,"Former",_xlfn.LET(_xlpm.s,INDEX('resident aged receivable'!$E:$E,$A26),IF(ISNUMBER(SEARCH("Eviction",_xlpm.s)),"Eviction",IF(ISNUMBER(SEARCH("Skip",_xlpm.s)),"Skip",IF(ISNUMBER(SEARCH("Past",_xlpm.s))+ISNUMBER(SEARCH("Collections",_xlpm.s)),"Former",_xlpm.s))))))</f>
        <v>Skip</v>
      </c>
      <c r="H26" s="1143" cm="1">
        <f t="array" ref="H26">IF($A26="","",INDEX('resident aged receivable'!$I:$I,$A26))</f>
        <v>10829.9</v>
      </c>
      <c r="I26" s="1143" cm="1">
        <f t="array" ref="I26">IF($A26="","",INDEX('resident aged receivable'!$J:$J,$A26))</f>
        <v>0</v>
      </c>
      <c r="J26" s="1143" cm="1">
        <f t="array" ref="J26">IF($A26="","",INDEX('resident aged receivable'!$K:$K,$A26))</f>
        <v>3952.89</v>
      </c>
      <c r="K26" s="1163" t="str" cm="1">
        <f t="array" ref="K26">IFERROR(IF(B26="","",IF(SUMPRODUCT((LeaseLock!$D$2:$D$500=B26)*ISNUMBER(SEARCH(LEFT(C26,FIND(",",C26&amp;",")-1),LeaseLock!$C$2:$C$500)))=0,"",IF(LOOKUP(2,1/((LeaseLock!$D$2:$D$500=B26)*ISNUMBER(SEARCH(LEFT(C26,FIND(",",C26&amp;",")-1),LeaseLock!$C$2:$C$500))),LeaseLock!$F$2:$F$500)="Claim Denied","Claim Denied ("&amp;LOOKUP(2,1/((LeaseLock!$D$2:$D$500=B26)*ISNUMBER(SEARCH(LEFT(C26,FIND(",",C26&amp;",")-1),LeaseLock!$C$2:$C$500))),LeaseLock!$G$2:$G$500)&amp;")",IF(LOOKUP(2,1/((LeaseLock!$D$2:$D$500=B26)*ISNUMBER(SEARCH(LEFT(C26,FIND(",",C26&amp;",")-1),LeaseLock!$C$2:$C$500))),LeaseLock!$F$2:$F$500)="Open","Open - "&amp;LOOKUP(2,1/((LeaseLock!$D$2:$D$500=B26)*ISNUMBER(SEARCH(LEFT(C26,FIND(",",C26&amp;",")-1),LeaseLock!$C$2:$C$500))),LeaseLock!$G$2:$G$500),IF(LOOKUP(2,1/((LeaseLock!$D$2:$D$500=B26)*ISNUMBER(SEARCH(LEFT(C26,FIND(",",C26&amp;",")-1),LeaseLock!$C$2:$C$500))),LeaseLock!$M$2:$M$500)&gt;0,LOOKUP(2,1/((LeaseLock!$D$2:$D$500=B26)*ISNUMBER(SEARCH(LEFT(C26,FIND(",",C26&amp;",")-1),LeaseLock!$C$2:$C$500))),LeaseLock!$F$2:$F$500)&amp;" - $"&amp;TEXT(LOOKUP(2,1/((LeaseLock!$D$2:$D$500=B26)*ISNUMBER(SEARCH(LEFT(C26,FIND(",",C26&amp;",")-1),LeaseLock!$C$2:$C$500))),LeaseLock!$M$2:$M$500),"#,##0.00")&amp;" paid",LOOKUP(2,1/((LeaseLock!$D$2:$D$500=B26)*ISNUMBER(SEARCH(LEFT(C26,FIND(",",C26&amp;",")-1),LeaseLock!$C$2:$C$500))),LeaseLock!$F$2:$F$500)&amp;" - no payment"))))),"")</f>
        <v/>
      </c>
      <c r="L26" s="1144"/>
      <c r="Q26" s="1115"/>
      <c r="R26" s="1115"/>
      <c r="S26" s="1115"/>
      <c r="T26" s="1115"/>
      <c r="U26" s="1115"/>
      <c r="V26" s="1115"/>
      <c r="W26" s="1115"/>
      <c r="X26" s="1115"/>
      <c r="Y26" s="1115"/>
      <c r="Z26" s="1115"/>
    </row>
    <row r="27" spans="1:26" ht="12" customHeight="1">
      <c r="A27" s="1138" cm="1">
        <f t="array" ref="A27">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56</v>
      </c>
      <c r="B27" s="1139" t="str" cm="1">
        <f t="array" ref="B27">IF($A27="","",INDEX('resident aged receivable'!$B:$B,$A27))</f>
        <v>S26-408</v>
      </c>
      <c r="C27" s="1139" t="str" cm="1">
        <f t="array" ref="C27">IF($A27="","",INDEX('resident aged receivable'!$D:$D,$A27))</f>
        <v>White, Omari</v>
      </c>
      <c r="D27" s="1140" cm="1">
        <f t="array" ref="D27">IF($A27="","",INDEX('resident aged receivable'!$F:$F,$A27))</f>
        <v>45898</v>
      </c>
      <c r="E27" s="1140" cm="1">
        <f t="array" ref="E27">IF($A27="","",_xlfn.LET(_xlpm.leaseEnd,INDEX('resident aged receivable'!$H:$H,$A27),_xlpm.moLookup,IFERROR(_xlfn.LET(_xlpm.lastFirst,C27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46262</v>
      </c>
      <c r="F27" s="1141" t="str">
        <f t="shared" si="0"/>
        <v>IPS</v>
      </c>
      <c r="G27" s="1142" t="str" cm="1">
        <f t="array" ref="G27">IF($A27="","",IF(COUNTIF($N$3:$N$24,C27)&gt;0,"Former",_xlfn.LET(_xlpm.s,INDEX('resident aged receivable'!$E:$E,$A27),IF(ISNUMBER(SEARCH("Eviction",_xlpm.s)),"Eviction",IF(ISNUMBER(SEARCH("Skip",_xlpm.s)),"Skip",IF(ISNUMBER(SEARCH("Past",_xlpm.s))+ISNUMBER(SEARCH("Collections",_xlpm.s)),"Former",_xlpm.s))))))</f>
        <v>Eviction</v>
      </c>
      <c r="H27" s="1143" cm="1">
        <f t="array" ref="H27">IF($A27="","",INDEX('resident aged receivable'!$I:$I,$A27))</f>
        <v>10134.23</v>
      </c>
      <c r="I27" s="1143" cm="1">
        <f t="array" ref="I27">IF($A27="","",INDEX('resident aged receivable'!$J:$J,$A27))</f>
        <v>0</v>
      </c>
      <c r="J27" s="1143" cm="1">
        <f t="array" ref="J27">IF($A27="","",INDEX('resident aged receivable'!$K:$K,$A27))</f>
        <v>4440.62</v>
      </c>
      <c r="K27" s="1163" t="str" cm="1">
        <f t="array" ref="K27">IFERROR(IF(B27="","",IF(SUMPRODUCT((LeaseLock!$D$2:$D$500=B27)*ISNUMBER(SEARCH(LEFT(C27,FIND(",",C27&amp;",")-1),LeaseLock!$C$2:$C$500)))=0,"",IF(LOOKUP(2,1/((LeaseLock!$D$2:$D$500=B27)*ISNUMBER(SEARCH(LEFT(C27,FIND(",",C27&amp;",")-1),LeaseLock!$C$2:$C$500))),LeaseLock!$F$2:$F$500)="Claim Denied","Claim Denied ("&amp;LOOKUP(2,1/((LeaseLock!$D$2:$D$500=B27)*ISNUMBER(SEARCH(LEFT(C27,FIND(",",C27&amp;",")-1),LeaseLock!$C$2:$C$500))),LeaseLock!$G$2:$G$500)&amp;")",IF(LOOKUP(2,1/((LeaseLock!$D$2:$D$500=B27)*ISNUMBER(SEARCH(LEFT(C27,FIND(",",C27&amp;",")-1),LeaseLock!$C$2:$C$500))),LeaseLock!$F$2:$F$500)="Open","Open - "&amp;LOOKUP(2,1/((LeaseLock!$D$2:$D$500=B27)*ISNUMBER(SEARCH(LEFT(C27,FIND(",",C27&amp;",")-1),LeaseLock!$C$2:$C$500))),LeaseLock!$G$2:$G$500),IF(LOOKUP(2,1/((LeaseLock!$D$2:$D$500=B27)*ISNUMBER(SEARCH(LEFT(C27,FIND(",",C27&amp;",")-1),LeaseLock!$C$2:$C$500))),LeaseLock!$M$2:$M$500)&gt;0,LOOKUP(2,1/((LeaseLock!$D$2:$D$500=B27)*ISNUMBER(SEARCH(LEFT(C27,FIND(",",C27&amp;",")-1),LeaseLock!$C$2:$C$500))),LeaseLock!$F$2:$F$500)&amp;" - $"&amp;TEXT(LOOKUP(2,1/((LeaseLock!$D$2:$D$500=B27)*ISNUMBER(SEARCH(LEFT(C27,FIND(",",C27&amp;",")-1),LeaseLock!$C$2:$C$500))),LeaseLock!$M$2:$M$500),"#,##0.00")&amp;" paid",LOOKUP(2,1/((LeaseLock!$D$2:$D$500=B27)*ISNUMBER(SEARCH(LEFT(C27,FIND(",",C27&amp;",")-1),LeaseLock!$C$2:$C$500))),LeaseLock!$F$2:$F$500)&amp;" - no payment"))))),"")</f>
        <v/>
      </c>
      <c r="L27" s="1144"/>
      <c r="Q27" s="1115"/>
      <c r="R27" s="1115"/>
      <c r="S27" s="1115"/>
      <c r="T27" s="1115"/>
      <c r="U27" s="1115"/>
      <c r="V27" s="1115"/>
      <c r="W27" s="1115"/>
      <c r="X27" s="1115"/>
      <c r="Y27" s="1115"/>
      <c r="Z27" s="1115"/>
    </row>
    <row r="28" spans="1:26" ht="12" customHeight="1">
      <c r="A28" s="1138" cm="1">
        <f t="array" ref="A28">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34</v>
      </c>
      <c r="B28" s="1139" t="str" cm="1">
        <f t="array" ref="B28">IF($A28="","",INDEX('resident aged receivable'!$B:$B,$A28))</f>
        <v>N14-3061</v>
      </c>
      <c r="C28" s="1139" t="str" cm="1">
        <f t="array" ref="C28">IF($A28="","",INDEX('resident aged receivable'!$D:$D,$A28))</f>
        <v>Wiggins, Amariah</v>
      </c>
      <c r="D28" s="1140" cm="1">
        <f t="array" ref="D28">IF($A28="","",INDEX('resident aged receivable'!$F:$F,$A28))</f>
        <v>45563</v>
      </c>
      <c r="E28" s="1140" cm="1">
        <f t="array" ref="E28">IF($A28="","",_xlfn.LET(_xlpm.leaseEnd,INDEX('resident aged receivable'!$H:$H,$A28),_xlpm.moLookup,IFERROR(_xlfn.LET(_xlpm.lastFirst,C28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46353</v>
      </c>
      <c r="F28" s="1141" t="str">
        <f t="shared" si="0"/>
        <v>IPS</v>
      </c>
      <c r="G28" s="1142" t="str" cm="1">
        <f t="array" ref="G28">IF($A28="","",IF(COUNTIF($N$3:$N$24,C28)&gt;0,"Former",_xlfn.LET(_xlpm.s,INDEX('resident aged receivable'!$E:$E,$A28),IF(ISNUMBER(SEARCH("Eviction",_xlpm.s)),"Eviction",IF(ISNUMBER(SEARCH("Skip",_xlpm.s)),"Skip",IF(ISNUMBER(SEARCH("Past",_xlpm.s))+ISNUMBER(SEARCH("Collections",_xlpm.s)),"Former",_xlpm.s))))))</f>
        <v>Skip</v>
      </c>
      <c r="H28" s="1143" cm="1">
        <f t="array" ref="H28">IF($A28="","",INDEX('resident aged receivable'!$I:$I,$A28))</f>
        <v>9482.35</v>
      </c>
      <c r="I28" s="1143" cm="1">
        <f t="array" ref="I28">IF($A28="","",INDEX('resident aged receivable'!$J:$J,$A28))</f>
        <v>0</v>
      </c>
      <c r="J28" s="1143" cm="1">
        <f t="array" ref="J28">IF($A28="","",INDEX('resident aged receivable'!$K:$K,$A28))</f>
        <v>4153.57</v>
      </c>
      <c r="K28" s="1163" t="str" cm="1">
        <f t="array" ref="K28">IFERROR(IF(B28="","",IF(SUMPRODUCT((LeaseLock!$D$2:$D$500=B28)*ISNUMBER(SEARCH(LEFT(C28,FIND(",",C28&amp;",")-1),LeaseLock!$C$2:$C$500)))=0,"",IF(LOOKUP(2,1/((LeaseLock!$D$2:$D$500=B28)*ISNUMBER(SEARCH(LEFT(C28,FIND(",",C28&amp;",")-1),LeaseLock!$C$2:$C$500))),LeaseLock!$F$2:$F$500)="Claim Denied","Claim Denied ("&amp;LOOKUP(2,1/((LeaseLock!$D$2:$D$500=B28)*ISNUMBER(SEARCH(LEFT(C28,FIND(",",C28&amp;",")-1),LeaseLock!$C$2:$C$500))),LeaseLock!$G$2:$G$500)&amp;")",IF(LOOKUP(2,1/((LeaseLock!$D$2:$D$500=B28)*ISNUMBER(SEARCH(LEFT(C28,FIND(",",C28&amp;",")-1),LeaseLock!$C$2:$C$500))),LeaseLock!$F$2:$F$500)="Open","Open - "&amp;LOOKUP(2,1/((LeaseLock!$D$2:$D$500=B28)*ISNUMBER(SEARCH(LEFT(C28,FIND(",",C28&amp;",")-1),LeaseLock!$C$2:$C$500))),LeaseLock!$G$2:$G$500),IF(LOOKUP(2,1/((LeaseLock!$D$2:$D$500=B28)*ISNUMBER(SEARCH(LEFT(C28,FIND(",",C28&amp;",")-1),LeaseLock!$C$2:$C$500))),LeaseLock!$M$2:$M$500)&gt;0,LOOKUP(2,1/((LeaseLock!$D$2:$D$500=B28)*ISNUMBER(SEARCH(LEFT(C28,FIND(",",C28&amp;",")-1),LeaseLock!$C$2:$C$500))),LeaseLock!$F$2:$F$500)&amp;" - $"&amp;TEXT(LOOKUP(2,1/((LeaseLock!$D$2:$D$500=B28)*ISNUMBER(SEARCH(LEFT(C28,FIND(",",C28&amp;",")-1),LeaseLock!$C$2:$C$500))),LeaseLock!$M$2:$M$500),"#,##0.00")&amp;" paid",LOOKUP(2,1/((LeaseLock!$D$2:$D$500=B28)*ISNUMBER(SEARCH(LEFT(C28,FIND(",",C28&amp;",")-1),LeaseLock!$C$2:$C$500))),LeaseLock!$F$2:$F$500)&amp;" - no payment"))))),"")</f>
        <v/>
      </c>
      <c r="L28" s="1144"/>
      <c r="Q28" s="1115"/>
      <c r="R28" s="1115"/>
      <c r="S28" s="1115"/>
      <c r="T28" s="1115"/>
      <c r="U28" s="1115"/>
      <c r="V28" s="1115"/>
      <c r="W28" s="1115"/>
      <c r="X28" s="1115"/>
      <c r="Y28" s="1115"/>
      <c r="Z28" s="1115"/>
    </row>
    <row r="29" spans="1:26" ht="12" customHeight="1">
      <c r="A29" s="1138" cm="1">
        <f t="array" ref="A29">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15</v>
      </c>
      <c r="B29" s="1139" t="str" cm="1">
        <f t="array" ref="B29">IF($A29="","",INDEX('resident aged receivable'!$B:$B,$A29))</f>
        <v>N06-1028</v>
      </c>
      <c r="C29" s="1139" t="str" cm="1">
        <f t="array" ref="C29">IF($A29="","",INDEX('resident aged receivable'!$D:$D,$A29))</f>
        <v>Carrasco, Anay</v>
      </c>
      <c r="D29" s="1140" cm="1">
        <f t="array" ref="D29">IF($A29="","",INDEX('resident aged receivable'!$F:$F,$A29))</f>
        <v>44111</v>
      </c>
      <c r="E29" s="1140" cm="1">
        <f t="array" ref="E29">IF($A29="","",_xlfn.LET(_xlpm.leaseEnd,INDEX('resident aged receivable'!$H:$H,$A29),_xlpm.moLookup,IFERROR(_xlfn.LET(_xlpm.lastFirst,C29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46295</v>
      </c>
      <c r="F29" s="1141" t="str">
        <f t="shared" si="0"/>
        <v>IPS</v>
      </c>
      <c r="G29" s="1142" t="str" cm="1">
        <f t="array" ref="G29">IF($A29="","",IF(COUNTIF($N$3:$N$24,C29)&gt;0,"Former",_xlfn.LET(_xlpm.s,INDEX('resident aged receivable'!$E:$E,$A29),IF(ISNUMBER(SEARCH("Eviction",_xlpm.s)),"Eviction",IF(ISNUMBER(SEARCH("Skip",_xlpm.s)),"Skip",IF(ISNUMBER(SEARCH("Past",_xlpm.s))+ISNUMBER(SEARCH("Collections",_xlpm.s)),"Former",_xlpm.s))))))</f>
        <v>Skip</v>
      </c>
      <c r="H29" s="1143" cm="1">
        <f t="array" ref="H29">IF($A29="","",INDEX('resident aged receivable'!$I:$I,$A29))</f>
        <v>9117.59</v>
      </c>
      <c r="I29" s="1143" cm="1">
        <f t="array" ref="I29">IF($A29="","",INDEX('resident aged receivable'!$J:$J,$A29))</f>
        <v>0</v>
      </c>
      <c r="J29" s="1143" cm="1">
        <f t="array" ref="J29">IF($A29="","",INDEX('resident aged receivable'!$K:$K,$A29))</f>
        <v>6271.03</v>
      </c>
      <c r="K29" s="1163" t="str" cm="1">
        <f t="array" ref="K29">IFERROR(IF(B29="","",IF(SUMPRODUCT((LeaseLock!$D$2:$D$500=B29)*ISNUMBER(SEARCH(LEFT(C29,FIND(",",C29&amp;",")-1),LeaseLock!$C$2:$C$500)))=0,"",IF(LOOKUP(2,1/((LeaseLock!$D$2:$D$500=B29)*ISNUMBER(SEARCH(LEFT(C29,FIND(",",C29&amp;",")-1),LeaseLock!$C$2:$C$500))),LeaseLock!$F$2:$F$500)="Claim Denied","Claim Denied ("&amp;LOOKUP(2,1/((LeaseLock!$D$2:$D$500=B29)*ISNUMBER(SEARCH(LEFT(C29,FIND(",",C29&amp;",")-1),LeaseLock!$C$2:$C$500))),LeaseLock!$G$2:$G$500)&amp;")",IF(LOOKUP(2,1/((LeaseLock!$D$2:$D$500=B29)*ISNUMBER(SEARCH(LEFT(C29,FIND(",",C29&amp;",")-1),LeaseLock!$C$2:$C$500))),LeaseLock!$F$2:$F$500)="Open","Open - "&amp;LOOKUP(2,1/((LeaseLock!$D$2:$D$500=B29)*ISNUMBER(SEARCH(LEFT(C29,FIND(",",C29&amp;",")-1),LeaseLock!$C$2:$C$500))),LeaseLock!$G$2:$G$500),IF(LOOKUP(2,1/((LeaseLock!$D$2:$D$500=B29)*ISNUMBER(SEARCH(LEFT(C29,FIND(",",C29&amp;",")-1),LeaseLock!$C$2:$C$500))),LeaseLock!$M$2:$M$500)&gt;0,LOOKUP(2,1/((LeaseLock!$D$2:$D$500=B29)*ISNUMBER(SEARCH(LEFT(C29,FIND(",",C29&amp;",")-1),LeaseLock!$C$2:$C$500))),LeaseLock!$F$2:$F$500)&amp;" - $"&amp;TEXT(LOOKUP(2,1/((LeaseLock!$D$2:$D$500=B29)*ISNUMBER(SEARCH(LEFT(C29,FIND(",",C29&amp;",")-1),LeaseLock!$C$2:$C$500))),LeaseLock!$M$2:$M$500),"#,##0.00")&amp;" paid",LOOKUP(2,1/((LeaseLock!$D$2:$D$500=B29)*ISNUMBER(SEARCH(LEFT(C29,FIND(",",C29&amp;",")-1),LeaseLock!$C$2:$C$500))),LeaseLock!$F$2:$F$500)&amp;" - no payment"))))),"")</f>
        <v/>
      </c>
      <c r="L29" s="1144"/>
      <c r="Q29" s="1115"/>
      <c r="R29" s="1115"/>
      <c r="S29" s="1115"/>
      <c r="T29" s="1115"/>
      <c r="U29" s="1115"/>
      <c r="V29" s="1115"/>
      <c r="W29" s="1115"/>
      <c r="X29" s="1115"/>
      <c r="Y29" s="1115"/>
      <c r="Z29" s="1115"/>
    </row>
    <row r="30" spans="1:26" ht="12" customHeight="1">
      <c r="A30" s="1138" cm="1">
        <f t="array" ref="A30">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151</v>
      </c>
      <c r="B30" s="1139" t="str" cm="1">
        <f t="array" ref="B30">IF($A30="","",INDEX('resident aged receivable'!$B:$B,$A30))</f>
        <v>W14-1-1424</v>
      </c>
      <c r="C30" s="1139" t="str" cm="1">
        <f t="array" ref="C30">IF($A30="","",INDEX('resident aged receivable'!$D:$D,$A30))</f>
        <v>Jonshua, Andrew</v>
      </c>
      <c r="D30" s="1140" cm="1">
        <f t="array" ref="D30">IF($A30="","",INDEX('resident aged receivable'!$F:$F,$A30))</f>
        <v>45625</v>
      </c>
      <c r="E30" s="1140" cm="1">
        <f t="array" ref="E30">IF($A30="","",_xlfn.LET(_xlpm.leaseEnd,INDEX('resident aged receivable'!$H:$H,$A30),_xlpm.moLookup,IFERROR(_xlfn.LET(_xlpm.lastFirst,C30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46037</v>
      </c>
      <c r="F30" s="1141" t="str">
        <f t="shared" si="0"/>
        <v>IPS</v>
      </c>
      <c r="G30" s="1142" t="str" cm="1">
        <f t="array" ref="G30">IF($A30="","",IF(COUNTIF($N$3:$N$24,C30)&gt;0,"Former",_xlfn.LET(_xlpm.s,INDEX('resident aged receivable'!$E:$E,$A30),IF(ISNUMBER(SEARCH("Eviction",_xlpm.s)),"Eviction",IF(ISNUMBER(SEARCH("Skip",_xlpm.s)),"Skip",IF(ISNUMBER(SEARCH("Past",_xlpm.s))+ISNUMBER(SEARCH("Collections",_xlpm.s)),"Former",_xlpm.s))))))</f>
        <v>Former</v>
      </c>
      <c r="H30" s="1143" cm="1">
        <f t="array" ref="H30">IF($A30="","",INDEX('resident aged receivable'!$I:$I,$A30))</f>
        <v>8896.5499999999993</v>
      </c>
      <c r="I30" s="1143" cm="1">
        <f t="array" ref="I30">IF($A30="","",INDEX('resident aged receivable'!$J:$J,$A30))</f>
        <v>0</v>
      </c>
      <c r="J30" s="1143" cm="1">
        <f t="array" ref="J30">IF($A30="","",INDEX('resident aged receivable'!$K:$K,$A30))</f>
        <v>74.75</v>
      </c>
      <c r="K30" s="1163" t="str" cm="1">
        <f t="array" ref="K30">IFERROR(IF(B30="","",IF(SUMPRODUCT((LeaseLock!$D$2:$D$500=B30)*ISNUMBER(SEARCH(LEFT(C30,FIND(",",C30&amp;",")-1),LeaseLock!$C$2:$C$500)))=0,"",IF(LOOKUP(2,1/((LeaseLock!$D$2:$D$500=B30)*ISNUMBER(SEARCH(LEFT(C30,FIND(",",C30&amp;",")-1),LeaseLock!$C$2:$C$500))),LeaseLock!$F$2:$F$500)="Claim Denied","Claim Denied ("&amp;LOOKUP(2,1/((LeaseLock!$D$2:$D$500=B30)*ISNUMBER(SEARCH(LEFT(C30,FIND(",",C30&amp;",")-1),LeaseLock!$C$2:$C$500))),LeaseLock!$G$2:$G$500)&amp;")",IF(LOOKUP(2,1/((LeaseLock!$D$2:$D$500=B30)*ISNUMBER(SEARCH(LEFT(C30,FIND(",",C30&amp;",")-1),LeaseLock!$C$2:$C$500))),LeaseLock!$F$2:$F$500)="Open","Open - "&amp;LOOKUP(2,1/((LeaseLock!$D$2:$D$500=B30)*ISNUMBER(SEARCH(LEFT(C30,FIND(",",C30&amp;",")-1),LeaseLock!$C$2:$C$500))),LeaseLock!$G$2:$G$500),IF(LOOKUP(2,1/((LeaseLock!$D$2:$D$500=B30)*ISNUMBER(SEARCH(LEFT(C30,FIND(",",C30&amp;",")-1),LeaseLock!$C$2:$C$500))),LeaseLock!$M$2:$M$500)&gt;0,LOOKUP(2,1/((LeaseLock!$D$2:$D$500=B30)*ISNUMBER(SEARCH(LEFT(C30,FIND(",",C30&amp;",")-1),LeaseLock!$C$2:$C$500))),LeaseLock!$F$2:$F$500)&amp;" - $"&amp;TEXT(LOOKUP(2,1/((LeaseLock!$D$2:$D$500=B30)*ISNUMBER(SEARCH(LEFT(C30,FIND(",",C30&amp;",")-1),LeaseLock!$C$2:$C$500))),LeaseLock!$M$2:$M$500),"#,##0.00")&amp;" paid",LOOKUP(2,1/((LeaseLock!$D$2:$D$500=B30)*ISNUMBER(SEARCH(LEFT(C30,FIND(",",C30&amp;",")-1),LeaseLock!$C$2:$C$500))),LeaseLock!$F$2:$F$500)&amp;" - no payment"))))),"")</f>
        <v>Claim Denied (Claim Denied)</v>
      </c>
      <c r="L30" s="1144"/>
      <c r="Q30" s="1115"/>
      <c r="R30" s="1115"/>
      <c r="S30" s="1115"/>
      <c r="T30" s="1115"/>
      <c r="U30" s="1115"/>
      <c r="V30" s="1115"/>
      <c r="W30" s="1115"/>
      <c r="X30" s="1115"/>
      <c r="Y30" s="1115"/>
      <c r="Z30" s="1115"/>
    </row>
    <row r="31" spans="1:26" ht="12" customHeight="1">
      <c r="A31" s="1138" cm="1">
        <f t="array" ref="A31">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190</v>
      </c>
      <c r="B31" s="1139" t="str" cm="1">
        <f t="array" ref="B31">IF($A31="","",INDEX('resident aged receivable'!$B:$B,$A31))</f>
        <v>W25-2-2028</v>
      </c>
      <c r="C31" s="1139" t="str" cm="1">
        <f t="array" ref="C31">IF($A31="","",INDEX('resident aged receivable'!$D:$D,$A31))</f>
        <v>Weathers, Desaray</v>
      </c>
      <c r="D31" s="1140" cm="1">
        <f t="array" ref="D31">IF($A31="","",INDEX('resident aged receivable'!$F:$F,$A31))</f>
        <v>45589</v>
      </c>
      <c r="E31" s="1140" cm="1">
        <f t="array" ref="E31">IF($A31="","",_xlfn.LET(_xlpm.leaseEnd,INDEX('resident aged receivable'!$H:$H,$A31),_xlpm.moLookup,IFERROR(_xlfn.LET(_xlpm.lastFirst,C31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46045</v>
      </c>
      <c r="F31" s="1141" t="str">
        <f t="shared" si="0"/>
        <v>IPS</v>
      </c>
      <c r="G31" s="1142" t="str" cm="1">
        <f t="array" ref="G31">IF($A31="","",IF(COUNTIF($N$3:$N$24,C31)&gt;0,"Former",_xlfn.LET(_xlpm.s,INDEX('resident aged receivable'!$E:$E,$A31),IF(ISNUMBER(SEARCH("Eviction",_xlpm.s)),"Eviction",IF(ISNUMBER(SEARCH("Skip",_xlpm.s)),"Skip",IF(ISNUMBER(SEARCH("Past",_xlpm.s))+ISNUMBER(SEARCH("Collections",_xlpm.s)),"Former",_xlpm.s))))))</f>
        <v>Eviction</v>
      </c>
      <c r="H31" s="1143" cm="1">
        <f t="array" ref="H31">IF($A31="","",INDEX('resident aged receivable'!$I:$I,$A31))</f>
        <v>8598.17</v>
      </c>
      <c r="I31" s="1143" cm="1">
        <f t="array" ref="I31">IF($A31="","",INDEX('resident aged receivable'!$J:$J,$A31))</f>
        <v>0</v>
      </c>
      <c r="J31" s="1143" cm="1">
        <f t="array" ref="J31">IF($A31="","",INDEX('resident aged receivable'!$K:$K,$A31))</f>
        <v>71.59</v>
      </c>
      <c r="K31" s="1163" t="str" cm="1">
        <f t="array" ref="K31">IFERROR(IF(B31="","",IF(SUMPRODUCT((LeaseLock!$D$2:$D$500=B31)*ISNUMBER(SEARCH(LEFT(C31,FIND(",",C31&amp;",")-1),LeaseLock!$C$2:$C$500)))=0,"",IF(LOOKUP(2,1/((LeaseLock!$D$2:$D$500=B31)*ISNUMBER(SEARCH(LEFT(C31,FIND(",",C31&amp;",")-1),LeaseLock!$C$2:$C$500))),LeaseLock!$F$2:$F$500)="Claim Denied","Claim Denied ("&amp;LOOKUP(2,1/((LeaseLock!$D$2:$D$500=B31)*ISNUMBER(SEARCH(LEFT(C31,FIND(",",C31&amp;",")-1),LeaseLock!$C$2:$C$500))),LeaseLock!$G$2:$G$500)&amp;")",IF(LOOKUP(2,1/((LeaseLock!$D$2:$D$500=B31)*ISNUMBER(SEARCH(LEFT(C31,FIND(",",C31&amp;",")-1),LeaseLock!$C$2:$C$500))),LeaseLock!$F$2:$F$500)="Open","Open - "&amp;LOOKUP(2,1/((LeaseLock!$D$2:$D$500=B31)*ISNUMBER(SEARCH(LEFT(C31,FIND(",",C31&amp;",")-1),LeaseLock!$C$2:$C$500))),LeaseLock!$G$2:$G$500),IF(LOOKUP(2,1/((LeaseLock!$D$2:$D$500=B31)*ISNUMBER(SEARCH(LEFT(C31,FIND(",",C31&amp;",")-1),LeaseLock!$C$2:$C$500))),LeaseLock!$M$2:$M$500)&gt;0,LOOKUP(2,1/((LeaseLock!$D$2:$D$500=B31)*ISNUMBER(SEARCH(LEFT(C31,FIND(",",C31&amp;",")-1),LeaseLock!$C$2:$C$500))),LeaseLock!$F$2:$F$500)&amp;" - $"&amp;TEXT(LOOKUP(2,1/((LeaseLock!$D$2:$D$500=B31)*ISNUMBER(SEARCH(LEFT(C31,FIND(",",C31&amp;",")-1),LeaseLock!$C$2:$C$500))),LeaseLock!$M$2:$M$500),"#,##0.00")&amp;" paid",LOOKUP(2,1/((LeaseLock!$D$2:$D$500=B31)*ISNUMBER(SEARCH(LEFT(C31,FIND(",",C31&amp;",")-1),LeaseLock!$C$2:$C$500))),LeaseLock!$F$2:$F$500)&amp;" - no payment"))))),"")</f>
        <v>Claim Denied (Claim Denied)</v>
      </c>
      <c r="L31" s="1144"/>
      <c r="Q31" s="1115"/>
      <c r="R31" s="1115"/>
      <c r="S31" s="1115"/>
      <c r="T31" s="1115"/>
      <c r="U31" s="1115"/>
      <c r="V31" s="1115"/>
      <c r="W31" s="1115"/>
      <c r="X31" s="1115"/>
      <c r="Y31" s="1115"/>
      <c r="Z31" s="1115"/>
    </row>
    <row r="32" spans="1:26" ht="12" customHeight="1">
      <c r="A32" s="1138" cm="1">
        <f t="array" ref="A32">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9</v>
      </c>
      <c r="B32" s="1139" t="str" cm="1">
        <f t="array" ref="B32">IF($A32="","",INDEX('resident aged receivable'!$B:$B,$A32))</f>
        <v>N03-2018</v>
      </c>
      <c r="C32" s="1139" t="str" cm="1">
        <f t="array" ref="C32">IF($A32="","",INDEX('resident aged receivable'!$D:$D,$A32))</f>
        <v>Amaechi-Okorie, Chigozie</v>
      </c>
      <c r="D32" s="1140" cm="1">
        <f t="array" ref="D32">IF($A32="","",INDEX('resident aged receivable'!$F:$F,$A32))</f>
        <v>45461</v>
      </c>
      <c r="E32" s="1140" cm="1">
        <f t="array" ref="E32">IF($A32="","",_xlfn.LET(_xlpm.leaseEnd,INDEX('resident aged receivable'!$H:$H,$A32),_xlpm.moLookup,IFERROR(_xlfn.LET(_xlpm.lastFirst,C32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46045</v>
      </c>
      <c r="F32" s="1141" t="str">
        <f t="shared" si="0"/>
        <v>IPS</v>
      </c>
      <c r="G32" s="1142" t="str" cm="1">
        <f t="array" ref="G32">IF($A32="","",IF(COUNTIF($N$3:$N$24,C32)&gt;0,"Former",_xlfn.LET(_xlpm.s,INDEX('resident aged receivable'!$E:$E,$A32),IF(ISNUMBER(SEARCH("Eviction",_xlpm.s)),"Eviction",IF(ISNUMBER(SEARCH("Skip",_xlpm.s)),"Skip",IF(ISNUMBER(SEARCH("Past",_xlpm.s))+ISNUMBER(SEARCH("Collections",_xlpm.s)),"Former",_xlpm.s))))))</f>
        <v>Eviction</v>
      </c>
      <c r="H32" s="1143" cm="1">
        <f t="array" ref="H32">IF($A32="","",INDEX('resident aged receivable'!$I:$I,$A32))</f>
        <v>8591.7900000000009</v>
      </c>
      <c r="I32" s="1143" cm="1">
        <f t="array" ref="I32">IF($A32="","",INDEX('resident aged receivable'!$J:$J,$A32))</f>
        <v>0</v>
      </c>
      <c r="J32" s="1143" cm="1">
        <f t="array" ref="J32">IF($A32="","",INDEX('resident aged receivable'!$K:$K,$A32))</f>
        <v>60.87</v>
      </c>
      <c r="K32" s="1163" t="str" cm="1">
        <f t="array" ref="K32">IFERROR(IF(B32="","",IF(SUMPRODUCT((LeaseLock!$D$2:$D$500=B32)*ISNUMBER(SEARCH(LEFT(C32,FIND(",",C32&amp;",")-1),LeaseLock!$C$2:$C$500)))=0,"",IF(LOOKUP(2,1/((LeaseLock!$D$2:$D$500=B32)*ISNUMBER(SEARCH(LEFT(C32,FIND(",",C32&amp;",")-1),LeaseLock!$C$2:$C$500))),LeaseLock!$F$2:$F$500)="Claim Denied","Claim Denied ("&amp;LOOKUP(2,1/((LeaseLock!$D$2:$D$500=B32)*ISNUMBER(SEARCH(LEFT(C32,FIND(",",C32&amp;",")-1),LeaseLock!$C$2:$C$500))),LeaseLock!$G$2:$G$500)&amp;")",IF(LOOKUP(2,1/((LeaseLock!$D$2:$D$500=B32)*ISNUMBER(SEARCH(LEFT(C32,FIND(",",C32&amp;",")-1),LeaseLock!$C$2:$C$500))),LeaseLock!$F$2:$F$500)="Open","Open - "&amp;LOOKUP(2,1/((LeaseLock!$D$2:$D$500=B32)*ISNUMBER(SEARCH(LEFT(C32,FIND(",",C32&amp;",")-1),LeaseLock!$C$2:$C$500))),LeaseLock!$G$2:$G$500),IF(LOOKUP(2,1/((LeaseLock!$D$2:$D$500=B32)*ISNUMBER(SEARCH(LEFT(C32,FIND(",",C32&amp;",")-1),LeaseLock!$C$2:$C$500))),LeaseLock!$M$2:$M$500)&gt;0,LOOKUP(2,1/((LeaseLock!$D$2:$D$500=B32)*ISNUMBER(SEARCH(LEFT(C32,FIND(",",C32&amp;",")-1),LeaseLock!$C$2:$C$500))),LeaseLock!$F$2:$F$500)&amp;" - $"&amp;TEXT(LOOKUP(2,1/((LeaseLock!$D$2:$D$500=B32)*ISNUMBER(SEARCH(LEFT(C32,FIND(",",C32&amp;",")-1),LeaseLock!$C$2:$C$500))),LeaseLock!$M$2:$M$500),"#,##0.00")&amp;" paid",LOOKUP(2,1/((LeaseLock!$D$2:$D$500=B32)*ISNUMBER(SEARCH(LEFT(C32,FIND(",",C32&amp;",")-1),LeaseLock!$C$2:$C$500))),LeaseLock!$F$2:$F$500)&amp;" - no payment"))))),"")</f>
        <v>Closed - $1,000.00 paid</v>
      </c>
      <c r="L32" s="1144"/>
      <c r="Q32" s="1115"/>
      <c r="R32" s="1115"/>
      <c r="S32" s="1115"/>
      <c r="T32" s="1115"/>
      <c r="U32" s="1115"/>
      <c r="V32" s="1115"/>
      <c r="W32" s="1115"/>
      <c r="X32" s="1115"/>
      <c r="Y32" s="1115"/>
      <c r="Z32" s="1115"/>
    </row>
    <row r="33" spans="1:26" ht="12" customHeight="1">
      <c r="A33" s="1138" cm="1">
        <f t="array" ref="A33">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70</v>
      </c>
      <c r="B33" s="1139" t="str" cm="1">
        <f t="array" ref="B33">IF($A33="","",INDEX('resident aged receivable'!$B:$B,$A33))</f>
        <v>S31-118</v>
      </c>
      <c r="C33" s="1139" t="str" cm="1">
        <f t="array" ref="C33">IF($A33="","",INDEX('resident aged receivable'!$D:$D,$A33))</f>
        <v>Contreras, Rocio</v>
      </c>
      <c r="D33" s="1140" cm="1">
        <f t="array" ref="D33">IF($A33="","",INDEX('resident aged receivable'!$F:$F,$A33))</f>
        <v>45387</v>
      </c>
      <c r="E33" s="1140" cm="1">
        <f t="array" ref="E33">IF($A33="","",_xlfn.LET(_xlpm.leaseEnd,INDEX('resident aged receivable'!$H:$H,$A33),_xlpm.moLookup,IFERROR(_xlfn.LET(_xlpm.lastFirst,C33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46116</v>
      </c>
      <c r="F33" s="1141" t="str">
        <f t="shared" si="0"/>
        <v>IPS</v>
      </c>
      <c r="G33" s="1142" t="str" cm="1">
        <f t="array" ref="G33">IF($A33="","",IF(COUNTIF($N$3:$N$24,C33)&gt;0,"Former",_xlfn.LET(_xlpm.s,INDEX('resident aged receivable'!$E:$E,$A33),IF(ISNUMBER(SEARCH("Eviction",_xlpm.s)),"Eviction",IF(ISNUMBER(SEARCH("Skip",_xlpm.s)),"Skip",IF(ISNUMBER(SEARCH("Past",_xlpm.s))+ISNUMBER(SEARCH("Collections",_xlpm.s)),"Former",_xlpm.s))))))</f>
        <v>Skip</v>
      </c>
      <c r="H33" s="1143" cm="1">
        <f t="array" ref="H33">IF($A33="","",INDEX('resident aged receivable'!$I:$I,$A33))</f>
        <v>8402.24</v>
      </c>
      <c r="I33" s="1143" cm="1">
        <f t="array" ref="I33">IF($A33="","",INDEX('resident aged receivable'!$J:$J,$A33))</f>
        <v>5618.66</v>
      </c>
      <c r="J33" s="1143" cm="1">
        <f t="array" ref="J33">IF($A33="","",INDEX('resident aged receivable'!$K:$K,$A33))</f>
        <v>1783.04</v>
      </c>
      <c r="K33" s="1163" t="str" cm="1">
        <f t="array" ref="K33">IFERROR(IF(B33="","",IF(SUMPRODUCT((LeaseLock!$D$2:$D$500=B33)*ISNUMBER(SEARCH(LEFT(C33,FIND(",",C33&amp;",")-1),LeaseLock!$C$2:$C$500)))=0,"",IF(LOOKUP(2,1/((LeaseLock!$D$2:$D$500=B33)*ISNUMBER(SEARCH(LEFT(C33,FIND(",",C33&amp;",")-1),LeaseLock!$C$2:$C$500))),LeaseLock!$F$2:$F$500)="Claim Denied","Claim Denied ("&amp;LOOKUP(2,1/((LeaseLock!$D$2:$D$500=B33)*ISNUMBER(SEARCH(LEFT(C33,FIND(",",C33&amp;",")-1),LeaseLock!$C$2:$C$500))),LeaseLock!$G$2:$G$500)&amp;")",IF(LOOKUP(2,1/((LeaseLock!$D$2:$D$500=B33)*ISNUMBER(SEARCH(LEFT(C33,FIND(",",C33&amp;",")-1),LeaseLock!$C$2:$C$500))),LeaseLock!$F$2:$F$500)="Open","Open - "&amp;LOOKUP(2,1/((LeaseLock!$D$2:$D$500=B33)*ISNUMBER(SEARCH(LEFT(C33,FIND(",",C33&amp;",")-1),LeaseLock!$C$2:$C$500))),LeaseLock!$G$2:$G$500),IF(LOOKUP(2,1/((LeaseLock!$D$2:$D$500=B33)*ISNUMBER(SEARCH(LEFT(C33,FIND(",",C33&amp;",")-1),LeaseLock!$C$2:$C$500))),LeaseLock!$M$2:$M$500)&gt;0,LOOKUP(2,1/((LeaseLock!$D$2:$D$500=B33)*ISNUMBER(SEARCH(LEFT(C33,FIND(",",C33&amp;",")-1),LeaseLock!$C$2:$C$500))),LeaseLock!$F$2:$F$500)&amp;" - $"&amp;TEXT(LOOKUP(2,1/((LeaseLock!$D$2:$D$500=B33)*ISNUMBER(SEARCH(LEFT(C33,FIND(",",C33&amp;",")-1),LeaseLock!$C$2:$C$500))),LeaseLock!$M$2:$M$500),"#,##0.00")&amp;" paid",LOOKUP(2,1/((LeaseLock!$D$2:$D$500=B33)*ISNUMBER(SEARCH(LEFT(C33,FIND(",",C33&amp;",")-1),LeaseLock!$C$2:$C$500))),LeaseLock!$F$2:$F$500)&amp;" - no payment"))))),"")</f>
        <v/>
      </c>
      <c r="L33" s="1144"/>
      <c r="Q33" s="1115"/>
      <c r="R33" s="1115"/>
      <c r="S33" s="1115"/>
      <c r="T33" s="1115"/>
      <c r="U33" s="1115"/>
      <c r="V33" s="1115"/>
      <c r="W33" s="1115"/>
      <c r="X33" s="1115"/>
      <c r="Y33" s="1115"/>
      <c r="Z33" s="1115"/>
    </row>
    <row r="34" spans="1:26" ht="12" customHeight="1">
      <c r="A34" s="1138" cm="1">
        <f t="array" ref="A34">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74</v>
      </c>
      <c r="B34" s="1139" t="str" cm="1">
        <f t="array" ref="B34">IF($A34="","",INDEX('resident aged receivable'!$B:$B,$A34))</f>
        <v>S33-235</v>
      </c>
      <c r="C34" s="1139" t="str" cm="1">
        <f t="array" ref="C34">IF($A34="","",INDEX('resident aged receivable'!$D:$D,$A34))</f>
        <v>Williams, Latesha</v>
      </c>
      <c r="D34" s="1140" cm="1">
        <f t="array" ref="D34">IF($A34="","",INDEX('resident aged receivable'!$F:$F,$A34))</f>
        <v>45589</v>
      </c>
      <c r="E34" s="1140" cm="1">
        <f t="array" ref="E34">IF($A34="","",_xlfn.LET(_xlpm.leaseEnd,INDEX('resident aged receivable'!$H:$H,$A34),_xlpm.moLookup,IFERROR(_xlfn.LET(_xlpm.lastFirst,C34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46114</v>
      </c>
      <c r="F34" s="1141" t="str">
        <f t="shared" si="0"/>
        <v>IPS</v>
      </c>
      <c r="G34" s="1142" t="str" cm="1">
        <f t="array" ref="G34">IF($A34="","",IF(COUNTIF($N$3:$N$24,C34)&gt;0,"Former",_xlfn.LET(_xlpm.s,INDEX('resident aged receivable'!$E:$E,$A34),IF(ISNUMBER(SEARCH("Eviction",_xlpm.s)),"Eviction",IF(ISNUMBER(SEARCH("Skip",_xlpm.s)),"Skip",IF(ISNUMBER(SEARCH("Past",_xlpm.s))+ISNUMBER(SEARCH("Collections",_xlpm.s)),"Former",_xlpm.s))))))</f>
        <v>Skip</v>
      </c>
      <c r="H34" s="1143" cm="1">
        <f t="array" ref="H34">IF($A34="","",INDEX('resident aged receivable'!$I:$I,$A34))</f>
        <v>8376.2000000000007</v>
      </c>
      <c r="I34" s="1143" cm="1">
        <f t="array" ref="I34">IF($A34="","",INDEX('resident aged receivable'!$J:$J,$A34))</f>
        <v>3505.73</v>
      </c>
      <c r="J34" s="1143" cm="1">
        <f t="array" ref="J34">IF($A34="","",INDEX('resident aged receivable'!$K:$K,$A34))</f>
        <v>1152.54</v>
      </c>
      <c r="K34" s="1163" t="str" cm="1">
        <f t="array" ref="K34">IFERROR(IF(B34="","",IF(SUMPRODUCT((LeaseLock!$D$2:$D$500=B34)*ISNUMBER(SEARCH(LEFT(C34,FIND(",",C34&amp;",")-1),LeaseLock!$C$2:$C$500)))=0,"",IF(LOOKUP(2,1/((LeaseLock!$D$2:$D$500=B34)*ISNUMBER(SEARCH(LEFT(C34,FIND(",",C34&amp;",")-1),LeaseLock!$C$2:$C$500))),LeaseLock!$F$2:$F$500)="Claim Denied","Claim Denied ("&amp;LOOKUP(2,1/((LeaseLock!$D$2:$D$500=B34)*ISNUMBER(SEARCH(LEFT(C34,FIND(",",C34&amp;",")-1),LeaseLock!$C$2:$C$500))),LeaseLock!$G$2:$G$500)&amp;")",IF(LOOKUP(2,1/((LeaseLock!$D$2:$D$500=B34)*ISNUMBER(SEARCH(LEFT(C34,FIND(",",C34&amp;",")-1),LeaseLock!$C$2:$C$500))),LeaseLock!$F$2:$F$500)="Open","Open - "&amp;LOOKUP(2,1/((LeaseLock!$D$2:$D$500=B34)*ISNUMBER(SEARCH(LEFT(C34,FIND(",",C34&amp;",")-1),LeaseLock!$C$2:$C$500))),LeaseLock!$G$2:$G$500),IF(LOOKUP(2,1/((LeaseLock!$D$2:$D$500=B34)*ISNUMBER(SEARCH(LEFT(C34,FIND(",",C34&amp;",")-1),LeaseLock!$C$2:$C$500))),LeaseLock!$M$2:$M$500)&gt;0,LOOKUP(2,1/((LeaseLock!$D$2:$D$500=B34)*ISNUMBER(SEARCH(LEFT(C34,FIND(",",C34&amp;",")-1),LeaseLock!$C$2:$C$500))),LeaseLock!$F$2:$F$500)&amp;" - $"&amp;TEXT(LOOKUP(2,1/((LeaseLock!$D$2:$D$500=B34)*ISNUMBER(SEARCH(LEFT(C34,FIND(",",C34&amp;",")-1),LeaseLock!$C$2:$C$500))),LeaseLock!$M$2:$M$500),"#,##0.00")&amp;" paid",LOOKUP(2,1/((LeaseLock!$D$2:$D$500=B34)*ISNUMBER(SEARCH(LEFT(C34,FIND(",",C34&amp;",")-1),LeaseLock!$C$2:$C$500))),LeaseLock!$F$2:$F$500)&amp;" - no payment"))))),"")</f>
        <v/>
      </c>
      <c r="L34" s="1144"/>
      <c r="Q34" s="1115"/>
      <c r="R34" s="1115"/>
      <c r="S34" s="1115"/>
      <c r="T34" s="1115"/>
      <c r="U34" s="1115"/>
      <c r="V34" s="1115"/>
      <c r="W34" s="1115"/>
      <c r="X34" s="1115"/>
      <c r="Y34" s="1115"/>
      <c r="Z34" s="1115"/>
    </row>
    <row r="35" spans="1:26" ht="12" customHeight="1">
      <c r="A35" s="1138" cm="1">
        <f t="array" ref="A35">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81</v>
      </c>
      <c r="B35" s="1139" t="str" cm="1">
        <f t="array" ref="B35">IF($A35="","",INDEX('resident aged receivable'!$B:$B,$A35))</f>
        <v>S42-169</v>
      </c>
      <c r="C35" s="1139" t="str" cm="1">
        <f t="array" ref="C35">IF($A35="","",INDEX('resident aged receivable'!$D:$D,$A35))</f>
        <v>Smiley, Brianca</v>
      </c>
      <c r="D35" s="1140" cm="1">
        <f t="array" ref="D35">IF($A35="","",INDEX('resident aged receivable'!$F:$F,$A35))</f>
        <v>45727</v>
      </c>
      <c r="E35" s="1140" cm="1">
        <f t="array" ref="E35">IF($A35="","",_xlfn.LET(_xlpm.leaseEnd,INDEX('resident aged receivable'!$H:$H,$A35),_xlpm.moLookup,IFERROR(_xlfn.LET(_xlpm.lastFirst,C35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46152</v>
      </c>
      <c r="F35" s="1141" t="str">
        <f t="shared" si="0"/>
        <v>IPS</v>
      </c>
      <c r="G35" s="1142" t="str" cm="1">
        <f t="array" ref="G35">IF($A35="","",IF(COUNTIF($N$3:$N$24,C35)&gt;0,"Former",_xlfn.LET(_xlpm.s,INDEX('resident aged receivable'!$E:$E,$A35),IF(ISNUMBER(SEARCH("Eviction",_xlpm.s)),"Eviction",IF(ISNUMBER(SEARCH("Skip",_xlpm.s)),"Skip",IF(ISNUMBER(SEARCH("Past",_xlpm.s))+ISNUMBER(SEARCH("Collections",_xlpm.s)),"Former",_xlpm.s))))))</f>
        <v>Former</v>
      </c>
      <c r="H35" s="1143" cm="1">
        <f t="array" ref="H35">IF($A35="","",INDEX('resident aged receivable'!$I:$I,$A35))</f>
        <v>8354.07</v>
      </c>
      <c r="I35" s="1143" cm="1">
        <f t="array" ref="I35">IF($A35="","",INDEX('resident aged receivable'!$J:$J,$A35))</f>
        <v>3538.33</v>
      </c>
      <c r="J35" s="1143" cm="1">
        <f t="array" ref="J35">IF($A35="","",INDEX('resident aged receivable'!$K:$K,$A35))</f>
        <v>2429.85</v>
      </c>
      <c r="K35" s="1163" t="str" cm="1">
        <f t="array" ref="K35">IFERROR(IF(B35="","",IF(SUMPRODUCT((LeaseLock!$D$2:$D$500=B35)*ISNUMBER(SEARCH(LEFT(C35,FIND(",",C35&amp;",")-1),LeaseLock!$C$2:$C$500)))=0,"",IF(LOOKUP(2,1/((LeaseLock!$D$2:$D$500=B35)*ISNUMBER(SEARCH(LEFT(C35,FIND(",",C35&amp;",")-1),LeaseLock!$C$2:$C$500))),LeaseLock!$F$2:$F$500)="Claim Denied","Claim Denied ("&amp;LOOKUP(2,1/((LeaseLock!$D$2:$D$500=B35)*ISNUMBER(SEARCH(LEFT(C35,FIND(",",C35&amp;",")-1),LeaseLock!$C$2:$C$500))),LeaseLock!$G$2:$G$500)&amp;")",IF(LOOKUP(2,1/((LeaseLock!$D$2:$D$500=B35)*ISNUMBER(SEARCH(LEFT(C35,FIND(",",C35&amp;",")-1),LeaseLock!$C$2:$C$500))),LeaseLock!$F$2:$F$500)="Open","Open - "&amp;LOOKUP(2,1/((LeaseLock!$D$2:$D$500=B35)*ISNUMBER(SEARCH(LEFT(C35,FIND(",",C35&amp;",")-1),LeaseLock!$C$2:$C$500))),LeaseLock!$G$2:$G$500),IF(LOOKUP(2,1/((LeaseLock!$D$2:$D$500=B35)*ISNUMBER(SEARCH(LEFT(C35,FIND(",",C35&amp;",")-1),LeaseLock!$C$2:$C$500))),LeaseLock!$M$2:$M$500)&gt;0,LOOKUP(2,1/((LeaseLock!$D$2:$D$500=B35)*ISNUMBER(SEARCH(LEFT(C35,FIND(",",C35&amp;",")-1),LeaseLock!$C$2:$C$500))),LeaseLock!$F$2:$F$500)&amp;" - $"&amp;TEXT(LOOKUP(2,1/((LeaseLock!$D$2:$D$500=B35)*ISNUMBER(SEARCH(LEFT(C35,FIND(",",C35&amp;",")-1),LeaseLock!$C$2:$C$500))),LeaseLock!$M$2:$M$500),"#,##0.00")&amp;" paid",LOOKUP(2,1/((LeaseLock!$D$2:$D$500=B35)*ISNUMBER(SEARCH(LEFT(C35,FIND(",",C35&amp;",")-1),LeaseLock!$C$2:$C$500))),LeaseLock!$F$2:$F$500)&amp;" - no payment"))))),"")</f>
        <v/>
      </c>
      <c r="L35" s="1144"/>
      <c r="Q35" s="1115"/>
      <c r="R35" s="1115"/>
      <c r="S35" s="1115"/>
      <c r="T35" s="1115"/>
      <c r="U35" s="1115"/>
      <c r="V35" s="1115"/>
      <c r="W35" s="1115"/>
      <c r="X35" s="1115"/>
      <c r="Y35" s="1115"/>
      <c r="Z35" s="1115"/>
    </row>
    <row r="36" spans="1:26" ht="12" customHeight="1">
      <c r="A36" s="1138" cm="1">
        <f t="array" ref="A36">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24</v>
      </c>
      <c r="B36" s="1139" t="str" cm="1">
        <f t="array" ref="B36">IF($A36="","",INDEX('resident aged receivable'!$B:$B,$A36))</f>
        <v>N10-3040</v>
      </c>
      <c r="C36" s="1139" t="str" cm="1">
        <f t="array" ref="C36">IF($A36="","",INDEX('resident aged receivable'!$D:$D,$A36))</f>
        <v>Antony, Tyler</v>
      </c>
      <c r="D36" s="1140" cm="1">
        <f t="array" ref="D36">IF($A36="","",INDEX('resident aged receivable'!$F:$F,$A36))</f>
        <v>45485</v>
      </c>
      <c r="E36" s="1140" cm="1">
        <f t="array" ref="E36">IF($A36="","",_xlfn.LET(_xlpm.leaseEnd,INDEX('resident aged receivable'!$H:$H,$A36),_xlpm.moLookup,IFERROR(_xlfn.LET(_xlpm.lastFirst,C36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46114</v>
      </c>
      <c r="F36" s="1141" t="str">
        <f t="shared" si="0"/>
        <v>IPS</v>
      </c>
      <c r="G36" s="1142" t="str" cm="1">
        <f t="array" ref="G36">IF($A36="","",IF(COUNTIF($N$3:$N$24,C36)&gt;0,"Former",_xlfn.LET(_xlpm.s,INDEX('resident aged receivable'!$E:$E,$A36),IF(ISNUMBER(SEARCH("Eviction",_xlpm.s)),"Eviction",IF(ISNUMBER(SEARCH("Skip",_xlpm.s)),"Skip",IF(ISNUMBER(SEARCH("Past",_xlpm.s))+ISNUMBER(SEARCH("Collections",_xlpm.s)),"Former",_xlpm.s))))))</f>
        <v>Skip</v>
      </c>
      <c r="H36" s="1143" cm="1">
        <f t="array" ref="H36">IF($A36="","",INDEX('resident aged receivable'!$I:$I,$A36))</f>
        <v>8144.06</v>
      </c>
      <c r="I36" s="1143" cm="1">
        <f t="array" ref="I36">IF($A36="","",INDEX('resident aged receivable'!$J:$J,$A36))</f>
        <v>7502.81</v>
      </c>
      <c r="J36" s="1143" cm="1">
        <f t="array" ref="J36">IF($A36="","",INDEX('resident aged receivable'!$K:$K,$A36))</f>
        <v>641.25</v>
      </c>
      <c r="K36" s="1163" t="str" cm="1">
        <f t="array" ref="K36">IFERROR(IF(B36="","",IF(SUMPRODUCT((LeaseLock!$D$2:$D$500=B36)*ISNUMBER(SEARCH(LEFT(C36,FIND(",",C36&amp;",")-1),LeaseLock!$C$2:$C$500)))=0,"",IF(LOOKUP(2,1/((LeaseLock!$D$2:$D$500=B36)*ISNUMBER(SEARCH(LEFT(C36,FIND(",",C36&amp;",")-1),LeaseLock!$C$2:$C$500))),LeaseLock!$F$2:$F$500)="Claim Denied","Claim Denied ("&amp;LOOKUP(2,1/((LeaseLock!$D$2:$D$500=B36)*ISNUMBER(SEARCH(LEFT(C36,FIND(",",C36&amp;",")-1),LeaseLock!$C$2:$C$500))),LeaseLock!$G$2:$G$500)&amp;")",IF(LOOKUP(2,1/((LeaseLock!$D$2:$D$500=B36)*ISNUMBER(SEARCH(LEFT(C36,FIND(",",C36&amp;",")-1),LeaseLock!$C$2:$C$500))),LeaseLock!$F$2:$F$500)="Open","Open - "&amp;LOOKUP(2,1/((LeaseLock!$D$2:$D$500=B36)*ISNUMBER(SEARCH(LEFT(C36,FIND(",",C36&amp;",")-1),LeaseLock!$C$2:$C$500))),LeaseLock!$G$2:$G$500),IF(LOOKUP(2,1/((LeaseLock!$D$2:$D$500=B36)*ISNUMBER(SEARCH(LEFT(C36,FIND(",",C36&amp;",")-1),LeaseLock!$C$2:$C$500))),LeaseLock!$M$2:$M$500)&gt;0,LOOKUP(2,1/((LeaseLock!$D$2:$D$500=B36)*ISNUMBER(SEARCH(LEFT(C36,FIND(",",C36&amp;",")-1),LeaseLock!$C$2:$C$500))),LeaseLock!$F$2:$F$500)&amp;" - $"&amp;TEXT(LOOKUP(2,1/((LeaseLock!$D$2:$D$500=B36)*ISNUMBER(SEARCH(LEFT(C36,FIND(",",C36&amp;",")-1),LeaseLock!$C$2:$C$500))),LeaseLock!$M$2:$M$500),"#,##0.00")&amp;" paid",LOOKUP(2,1/((LeaseLock!$D$2:$D$500=B36)*ISNUMBER(SEARCH(LEFT(C36,FIND(",",C36&amp;",")-1),LeaseLock!$C$2:$C$500))),LeaseLock!$F$2:$F$500)&amp;" - no payment"))))),"")</f>
        <v/>
      </c>
      <c r="L36" s="1144"/>
      <c r="Q36" s="1115"/>
      <c r="R36" s="1115"/>
      <c r="S36" s="1115"/>
      <c r="T36" s="1115"/>
      <c r="U36" s="1115"/>
      <c r="V36" s="1115"/>
      <c r="W36" s="1115"/>
      <c r="X36" s="1115"/>
      <c r="Y36" s="1115"/>
      <c r="Z36" s="1115"/>
    </row>
    <row r="37" spans="1:26" ht="12" customHeight="1">
      <c r="A37" s="1138" cm="1">
        <f t="array" ref="A37">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76</v>
      </c>
      <c r="B37" s="1139" t="str" cm="1">
        <f t="array" ref="B37">IF($A37="","",INDEX('resident aged receivable'!$B:$B,$A37))</f>
        <v>S35-245</v>
      </c>
      <c r="C37" s="1139" t="str" cm="1">
        <f t="array" ref="C37">IF($A37="","",INDEX('resident aged receivable'!$D:$D,$A37))</f>
        <v>Perez, Jocelyn</v>
      </c>
      <c r="D37" s="1140" cm="1">
        <f t="array" ref="D37">IF($A37="","",INDEX('resident aged receivable'!$F:$F,$A37))</f>
        <v>45625</v>
      </c>
      <c r="E37" s="1140" cm="1">
        <f t="array" ref="E37">IF($A37="","",_xlfn.LET(_xlpm.leaseEnd,INDEX('resident aged receivable'!$H:$H,$A37),_xlpm.moLookup,IFERROR(_xlfn.LET(_xlpm.lastFirst,C37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46065</v>
      </c>
      <c r="F37" s="1141" t="str">
        <f t="shared" si="0"/>
        <v>IPS</v>
      </c>
      <c r="G37" s="1142" t="str" cm="1">
        <f t="array" ref="G37">IF($A37="","",IF(COUNTIF($N$3:$N$24,C37)&gt;0,"Former",_xlfn.LET(_xlpm.s,INDEX('resident aged receivable'!$E:$E,$A37),IF(ISNUMBER(SEARCH("Eviction",_xlpm.s)),"Eviction",IF(ISNUMBER(SEARCH("Skip",_xlpm.s)),"Skip",IF(ISNUMBER(SEARCH("Past",_xlpm.s))+ISNUMBER(SEARCH("Collections",_xlpm.s)),"Former",_xlpm.s))))))</f>
        <v>Former</v>
      </c>
      <c r="H37" s="1143" cm="1">
        <f t="array" ref="H37">IF($A37="","",INDEX('resident aged receivable'!$I:$I,$A37))</f>
        <v>7907.46</v>
      </c>
      <c r="I37" s="1143" cm="1">
        <f t="array" ref="I37">IF($A37="","",INDEX('resident aged receivable'!$J:$J,$A37))</f>
        <v>0</v>
      </c>
      <c r="J37" s="1143" cm="1">
        <f t="array" ref="J37">IF($A37="","",INDEX('resident aged receivable'!$K:$K,$A37))</f>
        <v>971.29</v>
      </c>
      <c r="K37" s="1163" t="str" cm="1">
        <f t="array" ref="K37">IFERROR(IF(B37="","",IF(SUMPRODUCT((LeaseLock!$D$2:$D$500=B37)*ISNUMBER(SEARCH(LEFT(C37,FIND(",",C37&amp;",")-1),LeaseLock!$C$2:$C$500)))=0,"",IF(LOOKUP(2,1/((LeaseLock!$D$2:$D$500=B37)*ISNUMBER(SEARCH(LEFT(C37,FIND(",",C37&amp;",")-1),LeaseLock!$C$2:$C$500))),LeaseLock!$F$2:$F$500)="Claim Denied","Claim Denied ("&amp;LOOKUP(2,1/((LeaseLock!$D$2:$D$500=B37)*ISNUMBER(SEARCH(LEFT(C37,FIND(",",C37&amp;",")-1),LeaseLock!$C$2:$C$500))),LeaseLock!$G$2:$G$500)&amp;")",IF(LOOKUP(2,1/((LeaseLock!$D$2:$D$500=B37)*ISNUMBER(SEARCH(LEFT(C37,FIND(",",C37&amp;",")-1),LeaseLock!$C$2:$C$500))),LeaseLock!$F$2:$F$500)="Open","Open - "&amp;LOOKUP(2,1/((LeaseLock!$D$2:$D$500=B37)*ISNUMBER(SEARCH(LEFT(C37,FIND(",",C37&amp;",")-1),LeaseLock!$C$2:$C$500))),LeaseLock!$G$2:$G$500),IF(LOOKUP(2,1/((LeaseLock!$D$2:$D$500=B37)*ISNUMBER(SEARCH(LEFT(C37,FIND(",",C37&amp;",")-1),LeaseLock!$C$2:$C$500))),LeaseLock!$M$2:$M$500)&gt;0,LOOKUP(2,1/((LeaseLock!$D$2:$D$500=B37)*ISNUMBER(SEARCH(LEFT(C37,FIND(",",C37&amp;",")-1),LeaseLock!$C$2:$C$500))),LeaseLock!$F$2:$F$500)&amp;" - $"&amp;TEXT(LOOKUP(2,1/((LeaseLock!$D$2:$D$500=B37)*ISNUMBER(SEARCH(LEFT(C37,FIND(",",C37&amp;",")-1),LeaseLock!$C$2:$C$500))),LeaseLock!$M$2:$M$500),"#,##0.00")&amp;" paid",LOOKUP(2,1/((LeaseLock!$D$2:$D$500=B37)*ISNUMBER(SEARCH(LEFT(C37,FIND(",",C37&amp;",")-1),LeaseLock!$C$2:$C$500))),LeaseLock!$F$2:$F$500)&amp;" - no payment"))))),"")</f>
        <v>Open - Pending Documentation</v>
      </c>
      <c r="L37" s="1144"/>
      <c r="Q37" s="1115"/>
      <c r="R37" s="1115"/>
      <c r="S37" s="1115"/>
      <c r="T37" s="1115"/>
      <c r="U37" s="1115"/>
      <c r="V37" s="1115"/>
      <c r="W37" s="1115"/>
      <c r="X37" s="1115"/>
      <c r="Y37" s="1115"/>
      <c r="Z37" s="1115"/>
    </row>
    <row r="38" spans="1:26" ht="12" customHeight="1">
      <c r="A38" s="1138" cm="1">
        <f t="array" ref="A38">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63</v>
      </c>
      <c r="B38" s="1139" t="str" cm="1">
        <f t="array" ref="B38">IF($A38="","",INDEX('resident aged receivable'!$B:$B,$A38))</f>
        <v>S27-424</v>
      </c>
      <c r="C38" s="1139" t="str" cm="1">
        <f t="array" ref="C38">IF($A38="","",INDEX('resident aged receivable'!$D:$D,$A38))</f>
        <v>Ogundipe, Aramide</v>
      </c>
      <c r="D38" s="1140" cm="1">
        <f t="array" ref="D38">IF($A38="","",INDEX('resident aged receivable'!$F:$F,$A38))</f>
        <v>45108</v>
      </c>
      <c r="E38" s="1140" cm="1">
        <f t="array" ref="E38">IF($A38="","",_xlfn.LET(_xlpm.leaseEnd,INDEX('resident aged receivable'!$H:$H,$A38),_xlpm.moLookup,IFERROR(_xlfn.LET(_xlpm.lastFirst,C38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46203</v>
      </c>
      <c r="F38" s="1141" t="str">
        <f t="shared" si="0"/>
        <v>IPS</v>
      </c>
      <c r="G38" s="1142" t="str" cm="1">
        <f t="array" ref="G38">IF($A38="","",IF(COUNTIF($N$3:$N$24,C38)&gt;0,"Former",_xlfn.LET(_xlpm.s,INDEX('resident aged receivable'!$E:$E,$A38),IF(ISNUMBER(SEARCH("Eviction",_xlpm.s)),"Eviction",IF(ISNUMBER(SEARCH("Skip",_xlpm.s)),"Skip",IF(ISNUMBER(SEARCH("Past",_xlpm.s))+ISNUMBER(SEARCH("Collections",_xlpm.s)),"Former",_xlpm.s))))))</f>
        <v>Skip</v>
      </c>
      <c r="H38" s="1143" cm="1">
        <f t="array" ref="H38">IF($A38="","",INDEX('resident aged receivable'!$I:$I,$A38))</f>
        <v>7752.3</v>
      </c>
      <c r="I38" s="1143" cm="1">
        <f t="array" ref="I38">IF($A38="","",INDEX('resident aged receivable'!$J:$J,$A38))</f>
        <v>0</v>
      </c>
      <c r="J38" s="1143" cm="1">
        <f t="array" ref="J38">IF($A38="","",INDEX('resident aged receivable'!$K:$K,$A38))</f>
        <v>3253.67</v>
      </c>
      <c r="K38" s="1163" t="str" cm="1">
        <f t="array" ref="K38">IFERROR(IF(B38="","",IF(SUMPRODUCT((LeaseLock!$D$2:$D$500=B38)*ISNUMBER(SEARCH(LEFT(C38,FIND(",",C38&amp;",")-1),LeaseLock!$C$2:$C$500)))=0,"",IF(LOOKUP(2,1/((LeaseLock!$D$2:$D$500=B38)*ISNUMBER(SEARCH(LEFT(C38,FIND(",",C38&amp;",")-1),LeaseLock!$C$2:$C$500))),LeaseLock!$F$2:$F$500)="Claim Denied","Claim Denied ("&amp;LOOKUP(2,1/((LeaseLock!$D$2:$D$500=B38)*ISNUMBER(SEARCH(LEFT(C38,FIND(",",C38&amp;",")-1),LeaseLock!$C$2:$C$500))),LeaseLock!$G$2:$G$500)&amp;")",IF(LOOKUP(2,1/((LeaseLock!$D$2:$D$500=B38)*ISNUMBER(SEARCH(LEFT(C38,FIND(",",C38&amp;",")-1),LeaseLock!$C$2:$C$500))),LeaseLock!$F$2:$F$500)="Open","Open - "&amp;LOOKUP(2,1/((LeaseLock!$D$2:$D$500=B38)*ISNUMBER(SEARCH(LEFT(C38,FIND(",",C38&amp;",")-1),LeaseLock!$C$2:$C$500))),LeaseLock!$G$2:$G$500),IF(LOOKUP(2,1/((LeaseLock!$D$2:$D$500=B38)*ISNUMBER(SEARCH(LEFT(C38,FIND(",",C38&amp;",")-1),LeaseLock!$C$2:$C$500))),LeaseLock!$M$2:$M$500)&gt;0,LOOKUP(2,1/((LeaseLock!$D$2:$D$500=B38)*ISNUMBER(SEARCH(LEFT(C38,FIND(",",C38&amp;",")-1),LeaseLock!$C$2:$C$500))),LeaseLock!$F$2:$F$500)&amp;" - $"&amp;TEXT(LOOKUP(2,1/((LeaseLock!$D$2:$D$500=B38)*ISNUMBER(SEARCH(LEFT(C38,FIND(",",C38&amp;",")-1),LeaseLock!$C$2:$C$500))),LeaseLock!$M$2:$M$500),"#,##0.00")&amp;" paid",LOOKUP(2,1/((LeaseLock!$D$2:$D$500=B38)*ISNUMBER(SEARCH(LEFT(C38,FIND(",",C38&amp;",")-1),LeaseLock!$C$2:$C$500))),LeaseLock!$F$2:$F$500)&amp;" - no payment"))))),"")</f>
        <v/>
      </c>
      <c r="L38" s="1144"/>
      <c r="Q38" s="1115"/>
      <c r="R38" s="1115"/>
      <c r="S38" s="1115"/>
      <c r="T38" s="1115"/>
      <c r="U38" s="1115"/>
      <c r="V38" s="1115"/>
      <c r="W38" s="1115"/>
      <c r="X38" s="1115"/>
      <c r="Y38" s="1115"/>
      <c r="Z38" s="1115"/>
    </row>
    <row r="39" spans="1:26" ht="12" customHeight="1">
      <c r="A39" s="1138" cm="1">
        <f t="array" ref="A39">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130</v>
      </c>
      <c r="B39" s="1139" t="str" cm="1">
        <f t="array" ref="B39">IF($A39="","",INDEX('resident aged receivable'!$B:$B,$A39))</f>
        <v>W11-1-1106</v>
      </c>
      <c r="C39" s="1139" t="str" cm="1">
        <f t="array" ref="C39">IF($A39="","",INDEX('resident aged receivable'!$D:$D,$A39))</f>
        <v>Brown, Tamiko</v>
      </c>
      <c r="D39" s="1140" cm="1">
        <f t="array" ref="D39">IF($A39="","",INDEX('resident aged receivable'!$F:$F,$A39))</f>
        <v>45668</v>
      </c>
      <c r="E39" s="1140" cm="1">
        <f t="array" ref="E39">IF($A39="","",_xlfn.LET(_xlpm.leaseEnd,INDEX('resident aged receivable'!$H:$H,$A39),_xlpm.moLookup,IFERROR(_xlfn.LET(_xlpm.lastFirst,C39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46106</v>
      </c>
      <c r="F39" s="1141" t="str">
        <f t="shared" si="0"/>
        <v>IPS</v>
      </c>
      <c r="G39" s="1142" t="str" cm="1">
        <f t="array" ref="G39">IF($A39="","",IF(COUNTIF($N$3:$N$24,C39)&gt;0,"Former",_xlfn.LET(_xlpm.s,INDEX('resident aged receivable'!$E:$E,$A39),IF(ISNUMBER(SEARCH("Eviction",_xlpm.s)),"Eviction",IF(ISNUMBER(SEARCH("Skip",_xlpm.s)),"Skip",IF(ISNUMBER(SEARCH("Past",_xlpm.s))+ISNUMBER(SEARCH("Collections",_xlpm.s)),"Former",_xlpm.s))))))</f>
        <v>Former</v>
      </c>
      <c r="H39" s="1143" cm="1">
        <f t="array" ref="H39">IF($A39="","",INDEX('resident aged receivable'!$I:$I,$A39))</f>
        <v>7624.75</v>
      </c>
      <c r="I39" s="1143" cm="1">
        <f t="array" ref="I39">IF($A39="","",INDEX('resident aged receivable'!$J:$J,$A39))</f>
        <v>2631.5</v>
      </c>
      <c r="J39" s="1143" cm="1">
        <f t="array" ref="J39">IF($A39="","",INDEX('resident aged receivable'!$K:$K,$A39))</f>
        <v>1319.14</v>
      </c>
      <c r="K39" s="1163" t="str" cm="1">
        <f t="array" ref="K39">IFERROR(IF(B39="","",IF(SUMPRODUCT((LeaseLock!$D$2:$D$500=B39)*ISNUMBER(SEARCH(LEFT(C39,FIND(",",C39&amp;",")-1),LeaseLock!$C$2:$C$500)))=0,"",IF(LOOKUP(2,1/((LeaseLock!$D$2:$D$500=B39)*ISNUMBER(SEARCH(LEFT(C39,FIND(",",C39&amp;",")-1),LeaseLock!$C$2:$C$500))),LeaseLock!$F$2:$F$500)="Claim Denied","Claim Denied ("&amp;LOOKUP(2,1/((LeaseLock!$D$2:$D$500=B39)*ISNUMBER(SEARCH(LEFT(C39,FIND(",",C39&amp;",")-1),LeaseLock!$C$2:$C$500))),LeaseLock!$G$2:$G$500)&amp;")",IF(LOOKUP(2,1/((LeaseLock!$D$2:$D$500=B39)*ISNUMBER(SEARCH(LEFT(C39,FIND(",",C39&amp;",")-1),LeaseLock!$C$2:$C$500))),LeaseLock!$F$2:$F$500)="Open","Open - "&amp;LOOKUP(2,1/((LeaseLock!$D$2:$D$500=B39)*ISNUMBER(SEARCH(LEFT(C39,FIND(",",C39&amp;",")-1),LeaseLock!$C$2:$C$500))),LeaseLock!$G$2:$G$500),IF(LOOKUP(2,1/((LeaseLock!$D$2:$D$500=B39)*ISNUMBER(SEARCH(LEFT(C39,FIND(",",C39&amp;",")-1),LeaseLock!$C$2:$C$500))),LeaseLock!$M$2:$M$500)&gt;0,LOOKUP(2,1/((LeaseLock!$D$2:$D$500=B39)*ISNUMBER(SEARCH(LEFT(C39,FIND(",",C39&amp;",")-1),LeaseLock!$C$2:$C$500))),LeaseLock!$F$2:$F$500)&amp;" - $"&amp;TEXT(LOOKUP(2,1/((LeaseLock!$D$2:$D$500=B39)*ISNUMBER(SEARCH(LEFT(C39,FIND(",",C39&amp;",")-1),LeaseLock!$C$2:$C$500))),LeaseLock!$M$2:$M$500),"#,##0.00")&amp;" paid",LOOKUP(2,1/((LeaseLock!$D$2:$D$500=B39)*ISNUMBER(SEARCH(LEFT(C39,FIND(",",C39&amp;",")-1),LeaseLock!$C$2:$C$500))),LeaseLock!$F$2:$F$500)&amp;" - no payment"))))),"")</f>
        <v/>
      </c>
      <c r="L39" s="1144"/>
      <c r="Q39" s="1115"/>
      <c r="R39" s="1115"/>
      <c r="S39" s="1115"/>
      <c r="T39" s="1115"/>
      <c r="U39" s="1115"/>
      <c r="V39" s="1115"/>
      <c r="W39" s="1115"/>
      <c r="X39" s="1115"/>
      <c r="Y39" s="1115"/>
      <c r="Z39" s="1115"/>
    </row>
    <row r="40" spans="1:26" ht="12" customHeight="1">
      <c r="A40" s="1138" cm="1">
        <f t="array" ref="A40">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165</v>
      </c>
      <c r="B40" s="1139" t="str" cm="1">
        <f t="array" ref="B40">IF($A40="","",INDEX('resident aged receivable'!$B:$B,$A40))</f>
        <v>W17-2-2075</v>
      </c>
      <c r="C40" s="1139" t="str" cm="1">
        <f t="array" ref="C40">IF($A40="","",INDEX('resident aged receivable'!$D:$D,$A40))</f>
        <v>Anderson, Lakimbe</v>
      </c>
      <c r="D40" s="1140" cm="1">
        <f t="array" ref="D40">IF($A40="","",INDEX('resident aged receivable'!$F:$F,$A40))</f>
        <v>45827</v>
      </c>
      <c r="E40" s="1140" cm="1">
        <f t="array" ref="E40">IF($A40="","",_xlfn.LET(_xlpm.leaseEnd,INDEX('resident aged receivable'!$H:$H,$A40),_xlpm.moLookup,IFERROR(_xlfn.LET(_xlpm.lastFirst,C40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46191</v>
      </c>
      <c r="F40" s="1141" t="str">
        <f t="shared" si="0"/>
        <v>IPS</v>
      </c>
      <c r="G40" s="1142" t="str" cm="1">
        <f t="array" ref="G40">IF($A40="","",IF(COUNTIF($N$3:$N$24,C40)&gt;0,"Former",_xlfn.LET(_xlpm.s,INDEX('resident aged receivable'!$E:$E,$A40),IF(ISNUMBER(SEARCH("Eviction",_xlpm.s)),"Eviction",IF(ISNUMBER(SEARCH("Skip",_xlpm.s)),"Skip",IF(ISNUMBER(SEARCH("Past",_xlpm.s))+ISNUMBER(SEARCH("Collections",_xlpm.s)),"Former",_xlpm.s))))))</f>
        <v>Skip</v>
      </c>
      <c r="H40" s="1143" cm="1">
        <f t="array" ref="H40">IF($A40="","",INDEX('resident aged receivable'!$I:$I,$A40))</f>
        <v>7430.27</v>
      </c>
      <c r="I40" s="1143" cm="1">
        <f t="array" ref="I40">IF($A40="","",INDEX('resident aged receivable'!$J:$J,$A40))</f>
        <v>0</v>
      </c>
      <c r="J40" s="1143" cm="1">
        <f t="array" ref="J40">IF($A40="","",INDEX('resident aged receivable'!$K:$K,$A40))</f>
        <v>1271.19</v>
      </c>
      <c r="K40" s="1163" t="str" cm="1">
        <f t="array" ref="K40">IFERROR(IF(B40="","",IF(SUMPRODUCT((LeaseLock!$D$2:$D$500=B40)*ISNUMBER(SEARCH(LEFT(C40,FIND(",",C40&amp;",")-1),LeaseLock!$C$2:$C$500)))=0,"",IF(LOOKUP(2,1/((LeaseLock!$D$2:$D$500=B40)*ISNUMBER(SEARCH(LEFT(C40,FIND(",",C40&amp;",")-1),LeaseLock!$C$2:$C$500))),LeaseLock!$F$2:$F$500)="Claim Denied","Claim Denied ("&amp;LOOKUP(2,1/((LeaseLock!$D$2:$D$500=B40)*ISNUMBER(SEARCH(LEFT(C40,FIND(",",C40&amp;",")-1),LeaseLock!$C$2:$C$500))),LeaseLock!$G$2:$G$500)&amp;")",IF(LOOKUP(2,1/((LeaseLock!$D$2:$D$500=B40)*ISNUMBER(SEARCH(LEFT(C40,FIND(",",C40&amp;",")-1),LeaseLock!$C$2:$C$500))),LeaseLock!$F$2:$F$500)="Open","Open - "&amp;LOOKUP(2,1/((LeaseLock!$D$2:$D$500=B40)*ISNUMBER(SEARCH(LEFT(C40,FIND(",",C40&amp;",")-1),LeaseLock!$C$2:$C$500))),LeaseLock!$G$2:$G$500),IF(LOOKUP(2,1/((LeaseLock!$D$2:$D$500=B40)*ISNUMBER(SEARCH(LEFT(C40,FIND(",",C40&amp;",")-1),LeaseLock!$C$2:$C$500))),LeaseLock!$M$2:$M$500)&gt;0,LOOKUP(2,1/((LeaseLock!$D$2:$D$500=B40)*ISNUMBER(SEARCH(LEFT(C40,FIND(",",C40&amp;",")-1),LeaseLock!$C$2:$C$500))),LeaseLock!$F$2:$F$500)&amp;" - $"&amp;TEXT(LOOKUP(2,1/((LeaseLock!$D$2:$D$500=B40)*ISNUMBER(SEARCH(LEFT(C40,FIND(",",C40&amp;",")-1),LeaseLock!$C$2:$C$500))),LeaseLock!$M$2:$M$500),"#,##0.00")&amp;" paid",LOOKUP(2,1/((LeaseLock!$D$2:$D$500=B40)*ISNUMBER(SEARCH(LEFT(C40,FIND(",",C40&amp;",")-1),LeaseLock!$C$2:$C$500))),LeaseLock!$F$2:$F$500)&amp;" - no payment"))))),"")</f>
        <v>Closed - $750.00 paid</v>
      </c>
      <c r="L40" s="1144"/>
      <c r="Q40" s="1115"/>
      <c r="R40" s="1115"/>
      <c r="S40" s="1115"/>
      <c r="T40" s="1115"/>
      <c r="U40" s="1115"/>
      <c r="V40" s="1115"/>
      <c r="W40" s="1115"/>
      <c r="X40" s="1115"/>
      <c r="Y40" s="1115"/>
      <c r="Z40" s="1115"/>
    </row>
    <row r="41" spans="1:26" ht="12" customHeight="1">
      <c r="A41" s="1138" cm="1">
        <f t="array" ref="A41">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8</v>
      </c>
      <c r="B41" s="1139" t="str" cm="1">
        <f t="array" ref="B41">IF($A41="","",INDEX('resident aged receivable'!$B:$B,$A41))</f>
        <v>N03-1020</v>
      </c>
      <c r="C41" s="1139" t="str" cm="1">
        <f t="array" ref="C41">IF($A41="","",INDEX('resident aged receivable'!$D:$D,$A41))</f>
        <v>Rogers, Symone</v>
      </c>
      <c r="D41" s="1140" cm="1">
        <f t="array" ref="D41">IF($A41="","",INDEX('resident aged receivable'!$F:$F,$A41))</f>
        <v>45478</v>
      </c>
      <c r="E41" s="1140" cm="1">
        <f t="array" ref="E41">IF($A41="","",_xlfn.LET(_xlpm.leaseEnd,INDEX('resident aged receivable'!$H:$H,$A41),_xlpm.moLookup,IFERROR(_xlfn.LET(_xlpm.lastFirst,C41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46045</v>
      </c>
      <c r="F41" s="1141" t="str">
        <f t="shared" si="0"/>
        <v>IPS</v>
      </c>
      <c r="G41" s="1142" t="str" cm="1">
        <f t="array" ref="G41">IF($A41="","",IF(COUNTIF($N$3:$N$24,C41)&gt;0,"Former",_xlfn.LET(_xlpm.s,INDEX('resident aged receivable'!$E:$E,$A41),IF(ISNUMBER(SEARCH("Eviction",_xlpm.s)),"Eviction",IF(ISNUMBER(SEARCH("Skip",_xlpm.s)),"Skip",IF(ISNUMBER(SEARCH("Past",_xlpm.s))+ISNUMBER(SEARCH("Collections",_xlpm.s)),"Former",_xlpm.s))))))</f>
        <v>Eviction</v>
      </c>
      <c r="H41" s="1143" cm="1">
        <f t="array" ref="H41">IF($A41="","",INDEX('resident aged receivable'!$I:$I,$A41))</f>
        <v>7353.47</v>
      </c>
      <c r="I41" s="1143" cm="1">
        <f t="array" ref="I41">IF($A41="","",INDEX('resident aged receivable'!$J:$J,$A41))</f>
        <v>0</v>
      </c>
      <c r="J41" s="1143" cm="1">
        <f t="array" ref="J41">IF($A41="","",INDEX('resident aged receivable'!$K:$K,$A41))</f>
        <v>60.87</v>
      </c>
      <c r="K41" s="1163" t="str" cm="1">
        <f t="array" ref="K41">IFERROR(IF(B41="","",IF(SUMPRODUCT((LeaseLock!$D$2:$D$500=B41)*ISNUMBER(SEARCH(LEFT(C41,FIND(",",C41&amp;",")-1),LeaseLock!$C$2:$C$500)))=0,"",IF(LOOKUP(2,1/((LeaseLock!$D$2:$D$500=B41)*ISNUMBER(SEARCH(LEFT(C41,FIND(",",C41&amp;",")-1),LeaseLock!$C$2:$C$500))),LeaseLock!$F$2:$F$500)="Claim Denied","Claim Denied ("&amp;LOOKUP(2,1/((LeaseLock!$D$2:$D$500=B41)*ISNUMBER(SEARCH(LEFT(C41,FIND(",",C41&amp;",")-1),LeaseLock!$C$2:$C$500))),LeaseLock!$G$2:$G$500)&amp;")",IF(LOOKUP(2,1/((LeaseLock!$D$2:$D$500=B41)*ISNUMBER(SEARCH(LEFT(C41,FIND(",",C41&amp;",")-1),LeaseLock!$C$2:$C$500))),LeaseLock!$F$2:$F$500)="Open","Open - "&amp;LOOKUP(2,1/((LeaseLock!$D$2:$D$500=B41)*ISNUMBER(SEARCH(LEFT(C41,FIND(",",C41&amp;",")-1),LeaseLock!$C$2:$C$500))),LeaseLock!$G$2:$G$500),IF(LOOKUP(2,1/((LeaseLock!$D$2:$D$500=B41)*ISNUMBER(SEARCH(LEFT(C41,FIND(",",C41&amp;",")-1),LeaseLock!$C$2:$C$500))),LeaseLock!$M$2:$M$500)&gt;0,LOOKUP(2,1/((LeaseLock!$D$2:$D$500=B41)*ISNUMBER(SEARCH(LEFT(C41,FIND(",",C41&amp;",")-1),LeaseLock!$C$2:$C$500))),LeaseLock!$F$2:$F$500)&amp;" - $"&amp;TEXT(LOOKUP(2,1/((LeaseLock!$D$2:$D$500=B41)*ISNUMBER(SEARCH(LEFT(C41,FIND(",",C41&amp;",")-1),LeaseLock!$C$2:$C$500))),LeaseLock!$M$2:$M$500),"#,##0.00")&amp;" paid",LOOKUP(2,1/((LeaseLock!$D$2:$D$500=B41)*ISNUMBER(SEARCH(LEFT(C41,FIND(",",C41&amp;",")-1),LeaseLock!$C$2:$C$500))),LeaseLock!$F$2:$F$500)&amp;" - no payment"))))),"")</f>
        <v/>
      </c>
      <c r="L41" s="1144"/>
      <c r="Q41" s="1115"/>
      <c r="R41" s="1115"/>
      <c r="S41" s="1115"/>
      <c r="T41" s="1115"/>
      <c r="U41" s="1115"/>
      <c r="V41" s="1115"/>
      <c r="W41" s="1115"/>
      <c r="X41" s="1115"/>
      <c r="Y41" s="1115"/>
      <c r="Z41" s="1115"/>
    </row>
    <row r="42" spans="1:26" ht="12" customHeight="1">
      <c r="A42" s="1138" cm="1">
        <f t="array" ref="A42">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93</v>
      </c>
      <c r="B42" s="1139" t="str" cm="1">
        <f t="array" ref="B42">IF($A42="","",INDEX('resident aged receivable'!$B:$B,$A42))</f>
        <v>W03-1-0310</v>
      </c>
      <c r="C42" s="1139" t="str" cm="1">
        <f t="array" ref="C42">IF($A42="","",INDEX('resident aged receivable'!$D:$D,$A42))</f>
        <v>Davis, Stephanie</v>
      </c>
      <c r="D42" s="1140" cm="1">
        <f t="array" ref="D42">IF($A42="","",INDEX('resident aged receivable'!$F:$F,$A42))</f>
        <v>45803</v>
      </c>
      <c r="E42" s="1140" cm="1">
        <f t="array" ref="E42">IF($A42="","",_xlfn.LET(_xlpm.leaseEnd,INDEX('resident aged receivable'!$H:$H,$A42),_xlpm.moLookup,IFERROR(_xlfn.LET(_xlpm.lastFirst,C42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46167</v>
      </c>
      <c r="F42" s="1141" t="str">
        <f t="shared" si="0"/>
        <v>IPS</v>
      </c>
      <c r="G42" s="1142" t="str" cm="1">
        <f t="array" ref="G42">IF($A42="","",IF(COUNTIF($N$3:$N$24,C42)&gt;0,"Former",_xlfn.LET(_xlpm.s,INDEX('resident aged receivable'!$E:$E,$A42),IF(ISNUMBER(SEARCH("Eviction",_xlpm.s)),"Eviction",IF(ISNUMBER(SEARCH("Skip",_xlpm.s)),"Skip",IF(ISNUMBER(SEARCH("Past",_xlpm.s))+ISNUMBER(SEARCH("Collections",_xlpm.s)),"Former",_xlpm.s))))))</f>
        <v>Eviction</v>
      </c>
      <c r="H42" s="1143" cm="1">
        <f t="array" ref="H42">IF($A42="","",INDEX('resident aged receivable'!$I:$I,$A42))</f>
        <v>7291.69</v>
      </c>
      <c r="I42" s="1143" cm="1">
        <f t="array" ref="I42">IF($A42="","",INDEX('resident aged receivable'!$J:$J,$A42))</f>
        <v>0</v>
      </c>
      <c r="J42" s="1143" cm="1">
        <f t="array" ref="J42">IF($A42="","",INDEX('resident aged receivable'!$K:$K,$A42))</f>
        <v>70.11</v>
      </c>
      <c r="K42" s="1163" t="str" cm="1">
        <f t="array" ref="K42">IFERROR(IF(B42="","",IF(SUMPRODUCT((LeaseLock!$D$2:$D$500=B42)*ISNUMBER(SEARCH(LEFT(C42,FIND(",",C42&amp;",")-1),LeaseLock!$C$2:$C$500)))=0,"",IF(LOOKUP(2,1/((LeaseLock!$D$2:$D$500=B42)*ISNUMBER(SEARCH(LEFT(C42,FIND(",",C42&amp;",")-1),LeaseLock!$C$2:$C$500))),LeaseLock!$F$2:$F$500)="Claim Denied","Claim Denied ("&amp;LOOKUP(2,1/((LeaseLock!$D$2:$D$500=B42)*ISNUMBER(SEARCH(LEFT(C42,FIND(",",C42&amp;",")-1),LeaseLock!$C$2:$C$500))),LeaseLock!$G$2:$G$500)&amp;")",IF(LOOKUP(2,1/((LeaseLock!$D$2:$D$500=B42)*ISNUMBER(SEARCH(LEFT(C42,FIND(",",C42&amp;",")-1),LeaseLock!$C$2:$C$500))),LeaseLock!$F$2:$F$500)="Open","Open - "&amp;LOOKUP(2,1/((LeaseLock!$D$2:$D$500=B42)*ISNUMBER(SEARCH(LEFT(C42,FIND(",",C42&amp;",")-1),LeaseLock!$C$2:$C$500))),LeaseLock!$G$2:$G$500),IF(LOOKUP(2,1/((LeaseLock!$D$2:$D$500=B42)*ISNUMBER(SEARCH(LEFT(C42,FIND(",",C42&amp;",")-1),LeaseLock!$C$2:$C$500))),LeaseLock!$M$2:$M$500)&gt;0,LOOKUP(2,1/((LeaseLock!$D$2:$D$500=B42)*ISNUMBER(SEARCH(LEFT(C42,FIND(",",C42&amp;",")-1),LeaseLock!$C$2:$C$500))),LeaseLock!$F$2:$F$500)&amp;" - $"&amp;TEXT(LOOKUP(2,1/((LeaseLock!$D$2:$D$500=B42)*ISNUMBER(SEARCH(LEFT(C42,FIND(",",C42&amp;",")-1),LeaseLock!$C$2:$C$500))),LeaseLock!$M$2:$M$500),"#,##0.00")&amp;" paid",LOOKUP(2,1/((LeaseLock!$D$2:$D$500=B42)*ISNUMBER(SEARCH(LEFT(C42,FIND(",",C42&amp;",")-1),LeaseLock!$C$2:$C$500))),LeaseLock!$F$2:$F$500)&amp;" - no payment"))))),"")</f>
        <v>Claim Denied (Claim Denied)</v>
      </c>
      <c r="L42" s="1144"/>
      <c r="Q42" s="1115"/>
      <c r="R42" s="1115"/>
      <c r="S42" s="1115"/>
      <c r="T42" s="1115"/>
      <c r="U42" s="1115"/>
      <c r="V42" s="1115"/>
      <c r="W42" s="1115"/>
      <c r="X42" s="1115"/>
      <c r="Y42" s="1115"/>
      <c r="Z42" s="1115"/>
    </row>
    <row r="43" spans="1:26" ht="12" customHeight="1">
      <c r="A43" s="1138" cm="1">
        <f t="array" ref="A43">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39</v>
      </c>
      <c r="B43" s="1139" t="str" cm="1">
        <f t="array" ref="B43">IF($A43="","",INDEX('resident aged receivable'!$B:$B,$A43))</f>
        <v>N18-2086</v>
      </c>
      <c r="C43" s="1139" t="str" cm="1">
        <f t="array" ref="C43">IF($A43="","",INDEX('resident aged receivable'!$D:$D,$A43))</f>
        <v>Farrell, Krystal</v>
      </c>
      <c r="D43" s="1140" cm="1">
        <f t="array" ref="D43">IF($A43="","",INDEX('resident aged receivable'!$F:$F,$A43))</f>
        <v>45765</v>
      </c>
      <c r="E43" s="1140" cm="1">
        <f t="array" ref="E43">IF($A43="","",_xlfn.LET(_xlpm.leaseEnd,INDEX('resident aged receivable'!$H:$H,$A43),_xlpm.moLookup,IFERROR(_xlfn.LET(_xlpm.lastFirst,C43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46136</v>
      </c>
      <c r="F43" s="1141" t="str">
        <f t="shared" si="0"/>
        <v>IPS</v>
      </c>
      <c r="G43" s="1142" t="str" cm="1">
        <f t="array" ref="G43">IF($A43="","",IF(COUNTIF($N$3:$N$24,C43)&gt;0,"Former",_xlfn.LET(_xlpm.s,INDEX('resident aged receivable'!$E:$E,$A43),IF(ISNUMBER(SEARCH("Eviction",_xlpm.s)),"Eviction",IF(ISNUMBER(SEARCH("Skip",_xlpm.s)),"Skip",IF(ISNUMBER(SEARCH("Past",_xlpm.s))+ISNUMBER(SEARCH("Collections",_xlpm.s)),"Former",_xlpm.s))))))</f>
        <v>Eviction</v>
      </c>
      <c r="H43" s="1143" cm="1">
        <f t="array" ref="H43">IF($A43="","",INDEX('resident aged receivable'!$I:$I,$A43))</f>
        <v>7197.72</v>
      </c>
      <c r="I43" s="1143" cm="1">
        <f t="array" ref="I43">IF($A43="","",INDEX('resident aged receivable'!$J:$J,$A43))</f>
        <v>1821.81</v>
      </c>
      <c r="J43" s="1143" cm="1">
        <f t="array" ref="J43">IF($A43="","",INDEX('resident aged receivable'!$K:$K,$A43))</f>
        <v>1791.97</v>
      </c>
      <c r="K43" s="1163" t="str" cm="1">
        <f t="array" ref="K43">IFERROR(IF(B43="","",IF(SUMPRODUCT((LeaseLock!$D$2:$D$500=B43)*ISNUMBER(SEARCH(LEFT(C43,FIND(",",C43&amp;",")-1),LeaseLock!$C$2:$C$500)))=0,"",IF(LOOKUP(2,1/((LeaseLock!$D$2:$D$500=B43)*ISNUMBER(SEARCH(LEFT(C43,FIND(",",C43&amp;",")-1),LeaseLock!$C$2:$C$500))),LeaseLock!$F$2:$F$500)="Claim Denied","Claim Denied ("&amp;LOOKUP(2,1/((LeaseLock!$D$2:$D$500=B43)*ISNUMBER(SEARCH(LEFT(C43,FIND(",",C43&amp;",")-1),LeaseLock!$C$2:$C$500))),LeaseLock!$G$2:$G$500)&amp;")",IF(LOOKUP(2,1/((LeaseLock!$D$2:$D$500=B43)*ISNUMBER(SEARCH(LEFT(C43,FIND(",",C43&amp;",")-1),LeaseLock!$C$2:$C$500))),LeaseLock!$F$2:$F$500)="Open","Open - "&amp;LOOKUP(2,1/((LeaseLock!$D$2:$D$500=B43)*ISNUMBER(SEARCH(LEFT(C43,FIND(",",C43&amp;",")-1),LeaseLock!$C$2:$C$500))),LeaseLock!$G$2:$G$500),IF(LOOKUP(2,1/((LeaseLock!$D$2:$D$500=B43)*ISNUMBER(SEARCH(LEFT(C43,FIND(",",C43&amp;",")-1),LeaseLock!$C$2:$C$500))),LeaseLock!$M$2:$M$500)&gt;0,LOOKUP(2,1/((LeaseLock!$D$2:$D$500=B43)*ISNUMBER(SEARCH(LEFT(C43,FIND(",",C43&amp;",")-1),LeaseLock!$C$2:$C$500))),LeaseLock!$F$2:$F$500)&amp;" - $"&amp;TEXT(LOOKUP(2,1/((LeaseLock!$D$2:$D$500=B43)*ISNUMBER(SEARCH(LEFT(C43,FIND(",",C43&amp;",")-1),LeaseLock!$C$2:$C$500))),LeaseLock!$M$2:$M$500),"#,##0.00")&amp;" paid",LOOKUP(2,1/((LeaseLock!$D$2:$D$500=B43)*ISNUMBER(SEARCH(LEFT(C43,FIND(",",C43&amp;",")-1),LeaseLock!$C$2:$C$500))),LeaseLock!$F$2:$F$500)&amp;" - no payment"))))),"")</f>
        <v/>
      </c>
      <c r="L43" s="1144" t="s">
        <v>6817</v>
      </c>
      <c r="Q43" s="1115"/>
      <c r="R43" s="1115"/>
      <c r="S43" s="1115"/>
      <c r="T43" s="1115"/>
      <c r="U43" s="1115"/>
      <c r="V43" s="1115"/>
      <c r="W43" s="1115"/>
      <c r="X43" s="1115"/>
      <c r="Y43" s="1115"/>
      <c r="Z43" s="1115"/>
    </row>
    <row r="44" spans="1:26" ht="12" customHeight="1">
      <c r="A44" s="1138" cm="1">
        <f t="array" ref="A44">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80</v>
      </c>
      <c r="B44" s="1139" t="str" cm="1">
        <f t="array" ref="B44">IF($A44="","",INDEX('resident aged receivable'!$B:$B,$A44))</f>
        <v>S38-352</v>
      </c>
      <c r="C44" s="1139" t="str" cm="1">
        <f t="array" ref="C44">IF($A44="","",INDEX('resident aged receivable'!$D:$D,$A44))</f>
        <v>Smith, Katera</v>
      </c>
      <c r="D44" s="1140" cm="1">
        <f t="array" ref="D44">IF($A44="","",INDEX('resident aged receivable'!$F:$F,$A44))</f>
        <v>45751</v>
      </c>
      <c r="E44" s="1140" cm="1">
        <f t="array" ref="E44">IF($A44="","",_xlfn.LET(_xlpm.leaseEnd,INDEX('resident aged receivable'!$H:$H,$A44),_xlpm.moLookup,IFERROR(_xlfn.LET(_xlpm.lastFirst,C44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46120</v>
      </c>
      <c r="F44" s="1141" t="str">
        <f t="shared" si="0"/>
        <v>IPS</v>
      </c>
      <c r="G44" s="1142" t="str" cm="1">
        <f t="array" ref="G44">IF($A44="","",IF(COUNTIF($N$3:$N$24,C44)&gt;0,"Former",_xlfn.LET(_xlpm.s,INDEX('resident aged receivable'!$E:$E,$A44),IF(ISNUMBER(SEARCH("Eviction",_xlpm.s)),"Eviction",IF(ISNUMBER(SEARCH("Skip",_xlpm.s)),"Skip",IF(ISNUMBER(SEARCH("Past",_xlpm.s))+ISNUMBER(SEARCH("Collections",_xlpm.s)),"Former",_xlpm.s))))))</f>
        <v>Skip</v>
      </c>
      <c r="H44" s="1143" cm="1">
        <f t="array" ref="H44">IF($A44="","",INDEX('resident aged receivable'!$I:$I,$A44))</f>
        <v>7167.71</v>
      </c>
      <c r="I44" s="1143" cm="1">
        <f t="array" ref="I44">IF($A44="","",INDEX('resident aged receivable'!$J:$J,$A44))</f>
        <v>3917.69</v>
      </c>
      <c r="J44" s="1143" cm="1">
        <f t="array" ref="J44">IF($A44="","",INDEX('resident aged receivable'!$K:$K,$A44))</f>
        <v>1500.01</v>
      </c>
      <c r="K44" s="1163" t="str" cm="1">
        <f t="array" ref="K44">IFERROR(IF(B44="","",IF(SUMPRODUCT((LeaseLock!$D$2:$D$500=B44)*ISNUMBER(SEARCH(LEFT(C44,FIND(",",C44&amp;",")-1),LeaseLock!$C$2:$C$500)))=0,"",IF(LOOKUP(2,1/((LeaseLock!$D$2:$D$500=B44)*ISNUMBER(SEARCH(LEFT(C44,FIND(",",C44&amp;",")-1),LeaseLock!$C$2:$C$500))),LeaseLock!$F$2:$F$500)="Claim Denied","Claim Denied ("&amp;LOOKUP(2,1/((LeaseLock!$D$2:$D$500=B44)*ISNUMBER(SEARCH(LEFT(C44,FIND(",",C44&amp;",")-1),LeaseLock!$C$2:$C$500))),LeaseLock!$G$2:$G$500)&amp;")",IF(LOOKUP(2,1/((LeaseLock!$D$2:$D$500=B44)*ISNUMBER(SEARCH(LEFT(C44,FIND(",",C44&amp;",")-1),LeaseLock!$C$2:$C$500))),LeaseLock!$F$2:$F$500)="Open","Open - "&amp;LOOKUP(2,1/((LeaseLock!$D$2:$D$500=B44)*ISNUMBER(SEARCH(LEFT(C44,FIND(",",C44&amp;",")-1),LeaseLock!$C$2:$C$500))),LeaseLock!$G$2:$G$500),IF(LOOKUP(2,1/((LeaseLock!$D$2:$D$500=B44)*ISNUMBER(SEARCH(LEFT(C44,FIND(",",C44&amp;",")-1),LeaseLock!$C$2:$C$500))),LeaseLock!$M$2:$M$500)&gt;0,LOOKUP(2,1/((LeaseLock!$D$2:$D$500=B44)*ISNUMBER(SEARCH(LEFT(C44,FIND(",",C44&amp;",")-1),LeaseLock!$C$2:$C$500))),LeaseLock!$F$2:$F$500)&amp;" - $"&amp;TEXT(LOOKUP(2,1/((LeaseLock!$D$2:$D$500=B44)*ISNUMBER(SEARCH(LEFT(C44,FIND(",",C44&amp;",")-1),LeaseLock!$C$2:$C$500))),LeaseLock!$M$2:$M$500),"#,##0.00")&amp;" paid",LOOKUP(2,1/((LeaseLock!$D$2:$D$500=B44)*ISNUMBER(SEARCH(LEFT(C44,FIND(",",C44&amp;",")-1),LeaseLock!$C$2:$C$500))),LeaseLock!$F$2:$F$500)&amp;" - no payment"))))),"")</f>
        <v/>
      </c>
      <c r="L44" s="1144" t="s">
        <v>6818</v>
      </c>
      <c r="Q44" s="1115"/>
      <c r="R44" s="1115"/>
      <c r="S44" s="1115"/>
      <c r="T44" s="1115"/>
      <c r="U44" s="1115"/>
      <c r="V44" s="1115"/>
      <c r="W44" s="1115"/>
      <c r="X44" s="1115"/>
      <c r="Y44" s="1115"/>
      <c r="Z44" s="1115"/>
    </row>
    <row r="45" spans="1:26" ht="12" customHeight="1">
      <c r="A45" s="1138" cm="1">
        <f t="array" ref="A45">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10</v>
      </c>
      <c r="B45" s="1139" t="str" cm="1">
        <f t="array" ref="B45">IF($A45="","",INDEX('resident aged receivable'!$B:$B,$A45))</f>
        <v>N03-2020</v>
      </c>
      <c r="C45" s="1139" t="str" cm="1">
        <f t="array" ref="C45">IF($A45="","",INDEX('resident aged receivable'!$D:$D,$A45))</f>
        <v>Murphy, Shaquesa</v>
      </c>
      <c r="D45" s="1140" cm="1">
        <f t="array" ref="D45">IF($A45="","",INDEX('resident aged receivable'!$F:$F,$A45))</f>
        <v>45722</v>
      </c>
      <c r="E45" s="1140" cm="1">
        <f t="array" ref="E45">IF($A45="","",_xlfn.LET(_xlpm.leaseEnd,INDEX('resident aged receivable'!$H:$H,$A45),_xlpm.moLookup,IFERROR(_xlfn.LET(_xlpm.lastFirst,C45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46147</v>
      </c>
      <c r="F45" s="1141" t="str">
        <f t="shared" si="0"/>
        <v>IPS</v>
      </c>
      <c r="G45" s="1142" t="str" cm="1">
        <f t="array" ref="G45">IF($A45="","",IF(COUNTIF($N$3:$N$24,C45)&gt;0,"Former",_xlfn.LET(_xlpm.s,INDEX('resident aged receivable'!$E:$E,$A45),IF(ISNUMBER(SEARCH("Eviction",_xlpm.s)),"Eviction",IF(ISNUMBER(SEARCH("Skip",_xlpm.s)),"Skip",IF(ISNUMBER(SEARCH("Past",_xlpm.s))+ISNUMBER(SEARCH("Collections",_xlpm.s)),"Former",_xlpm.s))))))</f>
        <v>Eviction</v>
      </c>
      <c r="H45" s="1143" cm="1">
        <f t="array" ref="H45">IF($A45="","",INDEX('resident aged receivable'!$I:$I,$A45))</f>
        <v>6728.09</v>
      </c>
      <c r="I45" s="1143" cm="1">
        <f t="array" ref="I45">IF($A45="","",INDEX('resident aged receivable'!$J:$J,$A45))</f>
        <v>0</v>
      </c>
      <c r="J45" s="1143" cm="1">
        <f t="array" ref="J45">IF($A45="","",INDEX('resident aged receivable'!$K:$K,$A45))</f>
        <v>60.87</v>
      </c>
      <c r="K45" s="1163" t="str" cm="1">
        <f t="array" ref="K45">IFERROR(IF(B45="","",IF(SUMPRODUCT((LeaseLock!$D$2:$D$500=B45)*ISNUMBER(SEARCH(LEFT(C45,FIND(",",C45&amp;",")-1),LeaseLock!$C$2:$C$500)))=0,"",IF(LOOKUP(2,1/((LeaseLock!$D$2:$D$500=B45)*ISNUMBER(SEARCH(LEFT(C45,FIND(",",C45&amp;",")-1),LeaseLock!$C$2:$C$500))),LeaseLock!$F$2:$F$500)="Claim Denied","Claim Denied ("&amp;LOOKUP(2,1/((LeaseLock!$D$2:$D$500=B45)*ISNUMBER(SEARCH(LEFT(C45,FIND(",",C45&amp;",")-1),LeaseLock!$C$2:$C$500))),LeaseLock!$G$2:$G$500)&amp;")",IF(LOOKUP(2,1/((LeaseLock!$D$2:$D$500=B45)*ISNUMBER(SEARCH(LEFT(C45,FIND(",",C45&amp;",")-1),LeaseLock!$C$2:$C$500))),LeaseLock!$F$2:$F$500)="Open","Open - "&amp;LOOKUP(2,1/((LeaseLock!$D$2:$D$500=B45)*ISNUMBER(SEARCH(LEFT(C45,FIND(",",C45&amp;",")-1),LeaseLock!$C$2:$C$500))),LeaseLock!$G$2:$G$500),IF(LOOKUP(2,1/((LeaseLock!$D$2:$D$500=B45)*ISNUMBER(SEARCH(LEFT(C45,FIND(",",C45&amp;",")-1),LeaseLock!$C$2:$C$500))),LeaseLock!$M$2:$M$500)&gt;0,LOOKUP(2,1/((LeaseLock!$D$2:$D$500=B45)*ISNUMBER(SEARCH(LEFT(C45,FIND(",",C45&amp;",")-1),LeaseLock!$C$2:$C$500))),LeaseLock!$F$2:$F$500)&amp;" - $"&amp;TEXT(LOOKUP(2,1/((LeaseLock!$D$2:$D$500=B45)*ISNUMBER(SEARCH(LEFT(C45,FIND(",",C45&amp;",")-1),LeaseLock!$C$2:$C$500))),LeaseLock!$M$2:$M$500),"#,##0.00")&amp;" paid",LOOKUP(2,1/((LeaseLock!$D$2:$D$500=B45)*ISNUMBER(SEARCH(LEFT(C45,FIND(",",C45&amp;",")-1),LeaseLock!$C$2:$C$500))),LeaseLock!$F$2:$F$500)&amp;" - no payment"))))),"")</f>
        <v>Closed - no payment</v>
      </c>
      <c r="L45" s="1145" t="s">
        <v>6819</v>
      </c>
      <c r="Q45" s="1115"/>
      <c r="R45" s="1115"/>
      <c r="S45" s="1115"/>
      <c r="T45" s="1115"/>
      <c r="U45" s="1115"/>
      <c r="V45" s="1115"/>
      <c r="W45" s="1115"/>
      <c r="X45" s="1115"/>
      <c r="Y45" s="1115"/>
      <c r="Z45" s="1115"/>
    </row>
    <row r="46" spans="1:26" ht="12" customHeight="1">
      <c r="A46" s="1138" cm="1">
        <f t="array" ref="A46">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132</v>
      </c>
      <c r="B46" s="1139" t="str" cm="1">
        <f t="array" ref="B46">IF($A46="","",INDEX('resident aged receivable'!$B:$B,$A46))</f>
        <v>W11-1-1108</v>
      </c>
      <c r="C46" s="1139" t="str" cm="1">
        <f t="array" ref="C46">IF($A46="","",INDEX('resident aged receivable'!$D:$D,$A46))</f>
        <v>Querevalu, Oscar</v>
      </c>
      <c r="D46" s="1140" cm="1">
        <f t="array" ref="D46">IF($A46="","",INDEX('resident aged receivable'!$F:$F,$A46))</f>
        <v>44805</v>
      </c>
      <c r="E46" s="1140" cm="1">
        <f t="array" ref="E46">IF($A46="","",_xlfn.LET(_xlpm.leaseEnd,INDEX('resident aged receivable'!$H:$H,$A46),_xlpm.moLookup,IFERROR(_xlfn.LET(_xlpm.lastFirst,C46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46265</v>
      </c>
      <c r="F46" s="1141" t="str">
        <f t="shared" si="0"/>
        <v>IPS</v>
      </c>
      <c r="G46" s="1142" t="str" cm="1">
        <f t="array" ref="G46">IF($A46="","",IF(COUNTIF($N$3:$N$24,C46)&gt;0,"Former",_xlfn.LET(_xlpm.s,INDEX('resident aged receivable'!$E:$E,$A46),IF(ISNUMBER(SEARCH("Eviction",_xlpm.s)),"Eviction",IF(ISNUMBER(SEARCH("Skip",_xlpm.s)),"Skip",IF(ISNUMBER(SEARCH("Past",_xlpm.s))+ISNUMBER(SEARCH("Collections",_xlpm.s)),"Former",_xlpm.s))))))</f>
        <v>Skip</v>
      </c>
      <c r="H46" s="1143" cm="1">
        <f t="array" ref="H46">IF($A46="","",INDEX('resident aged receivable'!$I:$I,$A46))</f>
        <v>6563.87</v>
      </c>
      <c r="I46" s="1143" cm="1">
        <f t="array" ref="I46">IF($A46="","",INDEX('resident aged receivable'!$J:$J,$A46))</f>
        <v>0</v>
      </c>
      <c r="J46" s="1143" cm="1">
        <f t="array" ref="J46">IF($A46="","",INDEX('resident aged receivable'!$K:$K,$A46))</f>
        <v>4095.49</v>
      </c>
      <c r="K46" s="1163" t="str" cm="1">
        <f t="array" ref="K46">IFERROR(IF(B46="","",IF(SUMPRODUCT((LeaseLock!$D$2:$D$500=B46)*ISNUMBER(SEARCH(LEFT(C46,FIND(",",C46&amp;",")-1),LeaseLock!$C$2:$C$500)))=0,"",IF(LOOKUP(2,1/((LeaseLock!$D$2:$D$500=B46)*ISNUMBER(SEARCH(LEFT(C46,FIND(",",C46&amp;",")-1),LeaseLock!$C$2:$C$500))),LeaseLock!$F$2:$F$500)="Claim Denied","Claim Denied ("&amp;LOOKUP(2,1/((LeaseLock!$D$2:$D$500=B46)*ISNUMBER(SEARCH(LEFT(C46,FIND(",",C46&amp;",")-1),LeaseLock!$C$2:$C$500))),LeaseLock!$G$2:$G$500)&amp;")",IF(LOOKUP(2,1/((LeaseLock!$D$2:$D$500=B46)*ISNUMBER(SEARCH(LEFT(C46,FIND(",",C46&amp;",")-1),LeaseLock!$C$2:$C$500))),LeaseLock!$F$2:$F$500)="Open","Open - "&amp;LOOKUP(2,1/((LeaseLock!$D$2:$D$500=B46)*ISNUMBER(SEARCH(LEFT(C46,FIND(",",C46&amp;",")-1),LeaseLock!$C$2:$C$500))),LeaseLock!$G$2:$G$500),IF(LOOKUP(2,1/((LeaseLock!$D$2:$D$500=B46)*ISNUMBER(SEARCH(LEFT(C46,FIND(",",C46&amp;",")-1),LeaseLock!$C$2:$C$500))),LeaseLock!$M$2:$M$500)&gt;0,LOOKUP(2,1/((LeaseLock!$D$2:$D$500=B46)*ISNUMBER(SEARCH(LEFT(C46,FIND(",",C46&amp;",")-1),LeaseLock!$C$2:$C$500))),LeaseLock!$F$2:$F$500)&amp;" - $"&amp;TEXT(LOOKUP(2,1/((LeaseLock!$D$2:$D$500=B46)*ISNUMBER(SEARCH(LEFT(C46,FIND(",",C46&amp;",")-1),LeaseLock!$C$2:$C$500))),LeaseLock!$M$2:$M$500),"#,##0.00")&amp;" paid",LOOKUP(2,1/((LeaseLock!$D$2:$D$500=B46)*ISNUMBER(SEARCH(LEFT(C46,FIND(",",C46&amp;",")-1),LeaseLock!$C$2:$C$500))),LeaseLock!$F$2:$F$500)&amp;" - no payment"))))),"")</f>
        <v/>
      </c>
      <c r="L46" s="1144"/>
      <c r="Q46" s="1115"/>
      <c r="R46" s="1115"/>
      <c r="S46" s="1115"/>
      <c r="T46" s="1115"/>
      <c r="U46" s="1115"/>
      <c r="V46" s="1115"/>
      <c r="W46" s="1115"/>
      <c r="X46" s="1115"/>
      <c r="Y46" s="1115"/>
      <c r="Z46" s="1115"/>
    </row>
    <row r="47" spans="1:26" ht="12" customHeight="1">
      <c r="A47" s="1138" cm="1">
        <f t="array" ref="A47">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69</v>
      </c>
      <c r="B47" s="1139" t="str" cm="1">
        <f t="array" ref="B47">IF($A47="","",INDEX('resident aged receivable'!$B:$B,$A47))</f>
        <v>S30-224</v>
      </c>
      <c r="C47" s="1139" t="str" cm="1">
        <f t="array" ref="C47">IF($A47="","",INDEX('resident aged receivable'!$D:$D,$A47))</f>
        <v>Asuncion, Eustacio</v>
      </c>
      <c r="D47" s="1140" cm="1">
        <f t="array" ref="D47">IF($A47="","",INDEX('resident aged receivable'!$F:$F,$A47))</f>
        <v>45485</v>
      </c>
      <c r="E47" s="1140" cm="1">
        <f t="array" ref="E47">IF($A47="","",_xlfn.LET(_xlpm.leaseEnd,INDEX('resident aged receivable'!$H:$H,$A47),_xlpm.moLookup,IFERROR(_xlfn.LET(_xlpm.lastFirst,C47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46276</v>
      </c>
      <c r="F47" s="1141" t="str">
        <f t="shared" si="0"/>
        <v>IPS</v>
      </c>
      <c r="G47" s="1142" t="str" cm="1">
        <f t="array" ref="G47">IF($A47="","",IF(COUNTIF($N$3:$N$24,C47)&gt;0,"Former",_xlfn.LET(_xlpm.s,INDEX('resident aged receivable'!$E:$E,$A47),IF(ISNUMBER(SEARCH("Eviction",_xlpm.s)),"Eviction",IF(ISNUMBER(SEARCH("Skip",_xlpm.s)),"Skip",IF(ISNUMBER(SEARCH("Past",_xlpm.s))+ISNUMBER(SEARCH("Collections",_xlpm.s)),"Former",_xlpm.s))))))</f>
        <v>Skip</v>
      </c>
      <c r="H47" s="1143" cm="1">
        <f t="array" ref="H47">IF($A47="","",INDEX('resident aged receivable'!$I:$I,$A47))</f>
        <v>6455.43</v>
      </c>
      <c r="I47" s="1143" cm="1">
        <f t="array" ref="I47">IF($A47="","",INDEX('resident aged receivable'!$J:$J,$A47))</f>
        <v>6232.39</v>
      </c>
      <c r="J47" s="1143" cm="1">
        <f t="array" ref="J47">IF($A47="","",INDEX('resident aged receivable'!$K:$K,$A47))</f>
        <v>223.04</v>
      </c>
      <c r="K47" s="1163" t="str" cm="1">
        <f t="array" ref="K47">IFERROR(IF(B47="","",IF(SUMPRODUCT((LeaseLock!$D$2:$D$500=B47)*ISNUMBER(SEARCH(LEFT(C47,FIND(",",C47&amp;",")-1),LeaseLock!$C$2:$C$500)))=0,"",IF(LOOKUP(2,1/((LeaseLock!$D$2:$D$500=B47)*ISNUMBER(SEARCH(LEFT(C47,FIND(",",C47&amp;",")-1),LeaseLock!$C$2:$C$500))),LeaseLock!$F$2:$F$500)="Claim Denied","Claim Denied ("&amp;LOOKUP(2,1/((LeaseLock!$D$2:$D$500=B47)*ISNUMBER(SEARCH(LEFT(C47,FIND(",",C47&amp;",")-1),LeaseLock!$C$2:$C$500))),LeaseLock!$G$2:$G$500)&amp;")",IF(LOOKUP(2,1/((LeaseLock!$D$2:$D$500=B47)*ISNUMBER(SEARCH(LEFT(C47,FIND(",",C47&amp;",")-1),LeaseLock!$C$2:$C$500))),LeaseLock!$F$2:$F$500)="Open","Open - "&amp;LOOKUP(2,1/((LeaseLock!$D$2:$D$500=B47)*ISNUMBER(SEARCH(LEFT(C47,FIND(",",C47&amp;",")-1),LeaseLock!$C$2:$C$500))),LeaseLock!$G$2:$G$500),IF(LOOKUP(2,1/((LeaseLock!$D$2:$D$500=B47)*ISNUMBER(SEARCH(LEFT(C47,FIND(",",C47&amp;",")-1),LeaseLock!$C$2:$C$500))),LeaseLock!$M$2:$M$500)&gt;0,LOOKUP(2,1/((LeaseLock!$D$2:$D$500=B47)*ISNUMBER(SEARCH(LEFT(C47,FIND(",",C47&amp;",")-1),LeaseLock!$C$2:$C$500))),LeaseLock!$F$2:$F$500)&amp;" - $"&amp;TEXT(LOOKUP(2,1/((LeaseLock!$D$2:$D$500=B47)*ISNUMBER(SEARCH(LEFT(C47,FIND(",",C47&amp;",")-1),LeaseLock!$C$2:$C$500))),LeaseLock!$M$2:$M$500),"#,##0.00")&amp;" paid",LOOKUP(2,1/((LeaseLock!$D$2:$D$500=B47)*ISNUMBER(SEARCH(LEFT(C47,FIND(",",C47&amp;",")-1),LeaseLock!$C$2:$C$500))),LeaseLock!$F$2:$F$500)&amp;" - no payment"))))),"")</f>
        <v/>
      </c>
      <c r="L47" s="1144"/>
      <c r="Q47" s="1115"/>
      <c r="R47" s="1115"/>
      <c r="S47" s="1115"/>
      <c r="T47" s="1115"/>
      <c r="U47" s="1115"/>
      <c r="V47" s="1115"/>
      <c r="W47" s="1115"/>
      <c r="X47" s="1115"/>
      <c r="Y47" s="1115"/>
      <c r="Z47" s="1115"/>
    </row>
    <row r="48" spans="1:26" ht="12" customHeight="1" outlineLevel="1">
      <c r="A48" s="1138" cm="1">
        <f t="array" ref="A48">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182</v>
      </c>
      <c r="B48" s="1139" t="str" cm="1">
        <f t="array" ref="B48">IF($A48="","",INDEX('resident aged receivable'!$B:$B,$A48))</f>
        <v>W23-2-1046</v>
      </c>
      <c r="C48" s="1139" t="str" cm="1">
        <f t="array" ref="C48">IF($A48="","",INDEX('resident aged receivable'!$D:$D,$A48))</f>
        <v>Weaver, Laquinda</v>
      </c>
      <c r="D48" s="1140" cm="1">
        <f t="array" ref="D48">IF($A48="","",INDEX('resident aged receivable'!$F:$F,$A48))</f>
        <v>45611</v>
      </c>
      <c r="E48" s="1140" cm="1">
        <f t="array" ref="E48">IF($A48="","",_xlfn.LET(_xlpm.leaseEnd,INDEX('resident aged receivable'!$H:$H,$A48),_xlpm.moLookup,IFERROR(_xlfn.LET(_xlpm.lastFirst,C48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46045</v>
      </c>
      <c r="F48" s="1141" t="str">
        <f t="shared" si="0"/>
        <v>IPS</v>
      </c>
      <c r="G48" s="1142" t="str" cm="1">
        <f t="array" ref="G48">IF($A48="","",IF(COUNTIF($N$3:$N$24,C48)&gt;0,"Former",_xlfn.LET(_xlpm.s,INDEX('resident aged receivable'!$E:$E,$A48),IF(ISNUMBER(SEARCH("Eviction",_xlpm.s)),"Eviction",IF(ISNUMBER(SEARCH("Skip",_xlpm.s)),"Skip",IF(ISNUMBER(SEARCH("Past",_xlpm.s))+ISNUMBER(SEARCH("Collections",_xlpm.s)),"Former",_xlpm.s))))))</f>
        <v>Former</v>
      </c>
      <c r="H48" s="1143" cm="1">
        <f t="array" ref="H48">IF($A48="","",INDEX('resident aged receivable'!$I:$I,$A48))</f>
        <v>6367.71</v>
      </c>
      <c r="I48" s="1143" cm="1">
        <f t="array" ref="I48">IF($A48="","",INDEX('resident aged receivable'!$J:$J,$A48))</f>
        <v>0</v>
      </c>
      <c r="J48" s="1143" cm="1">
        <f t="array" ref="J48">IF($A48="","",INDEX('resident aged receivable'!$K:$K,$A48))</f>
        <v>71.59</v>
      </c>
      <c r="K48" s="1163" t="str" cm="1">
        <f t="array" ref="K48">IFERROR(IF(B48="","",IF(SUMPRODUCT((LeaseLock!$D$2:$D$500=B48)*ISNUMBER(SEARCH(LEFT(C48,FIND(",",C48&amp;",")-1),LeaseLock!$C$2:$C$500)))=0,"",IF(LOOKUP(2,1/((LeaseLock!$D$2:$D$500=B48)*ISNUMBER(SEARCH(LEFT(C48,FIND(",",C48&amp;",")-1),LeaseLock!$C$2:$C$500))),LeaseLock!$F$2:$F$500)="Claim Denied","Claim Denied ("&amp;LOOKUP(2,1/((LeaseLock!$D$2:$D$500=B48)*ISNUMBER(SEARCH(LEFT(C48,FIND(",",C48&amp;",")-1),LeaseLock!$C$2:$C$500))),LeaseLock!$G$2:$G$500)&amp;")",IF(LOOKUP(2,1/((LeaseLock!$D$2:$D$500=B48)*ISNUMBER(SEARCH(LEFT(C48,FIND(",",C48&amp;",")-1),LeaseLock!$C$2:$C$500))),LeaseLock!$F$2:$F$500)="Open","Open - "&amp;LOOKUP(2,1/((LeaseLock!$D$2:$D$500=B48)*ISNUMBER(SEARCH(LEFT(C48,FIND(",",C48&amp;",")-1),LeaseLock!$C$2:$C$500))),LeaseLock!$G$2:$G$500),IF(LOOKUP(2,1/((LeaseLock!$D$2:$D$500=B48)*ISNUMBER(SEARCH(LEFT(C48,FIND(",",C48&amp;",")-1),LeaseLock!$C$2:$C$500))),LeaseLock!$M$2:$M$500)&gt;0,LOOKUP(2,1/((LeaseLock!$D$2:$D$500=B48)*ISNUMBER(SEARCH(LEFT(C48,FIND(",",C48&amp;",")-1),LeaseLock!$C$2:$C$500))),LeaseLock!$F$2:$F$500)&amp;" - $"&amp;TEXT(LOOKUP(2,1/((LeaseLock!$D$2:$D$500=B48)*ISNUMBER(SEARCH(LEFT(C48,FIND(",",C48&amp;",")-1),LeaseLock!$C$2:$C$500))),LeaseLock!$M$2:$M$500),"#,##0.00")&amp;" paid",LOOKUP(2,1/((LeaseLock!$D$2:$D$500=B48)*ISNUMBER(SEARCH(LEFT(C48,FIND(",",C48&amp;",")-1),LeaseLock!$C$2:$C$500))),LeaseLock!$F$2:$F$500)&amp;" - no payment"))))),"")</f>
        <v>Closed - $750.00 paid</v>
      </c>
      <c r="L48" s="1144"/>
      <c r="Q48" s="1115"/>
      <c r="R48" s="1115"/>
      <c r="S48" s="1115"/>
      <c r="T48" s="1115"/>
      <c r="U48" s="1115"/>
      <c r="V48" s="1115"/>
      <c r="W48" s="1115"/>
      <c r="X48" s="1115"/>
      <c r="Y48" s="1115"/>
      <c r="Z48" s="1115"/>
    </row>
    <row r="49" spans="1:26" ht="12" customHeight="1" outlineLevel="1">
      <c r="A49" s="1138" cm="1">
        <f t="array" ref="A49">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106</v>
      </c>
      <c r="B49" s="1139" t="str" cm="1">
        <f t="array" ref="B49">IF($A49="","",INDEX('resident aged receivable'!$B:$B,$A49))</f>
        <v>W05-1-0521</v>
      </c>
      <c r="C49" s="1139" t="str" cm="1">
        <f t="array" ref="C49">IF($A49="","",INDEX('resident aged receivable'!$D:$D,$A49))</f>
        <v>Hugo Gonzalez, Jose</v>
      </c>
      <c r="D49" s="1140" cm="1">
        <f t="array" ref="D49">IF($A49="","",INDEX('resident aged receivable'!$F:$F,$A49))</f>
        <v>41820</v>
      </c>
      <c r="E49" s="1140" cm="1">
        <f t="array" ref="E49">IF($A49="","",_xlfn.LET(_xlpm.leaseEnd,INDEX('resident aged receivable'!$H:$H,$A49),_xlpm.moLookup,IFERROR(_xlfn.LET(_xlpm.lastFirst,C49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46120</v>
      </c>
      <c r="F49" s="1141" t="str">
        <f t="shared" ref="F49:F80" si="1">IF(D49="","",IF(D49&lt;DATE(2025,12,15),"IPS","CAF"))</f>
        <v>IPS</v>
      </c>
      <c r="G49" s="1142" t="str" cm="1">
        <f t="array" ref="G49">IF($A49="","",IF(COUNTIF($N$3:$N$24,C49)&gt;0,"Former",_xlfn.LET(_xlpm.s,INDEX('resident aged receivable'!$E:$E,$A49),IF(ISNUMBER(SEARCH("Eviction",_xlpm.s)),"Eviction",IF(ISNUMBER(SEARCH("Skip",_xlpm.s)),"Skip",IF(ISNUMBER(SEARCH("Past",_xlpm.s))+ISNUMBER(SEARCH("Collections",_xlpm.s)),"Former",_xlpm.s))))))</f>
        <v>Skip</v>
      </c>
      <c r="H49" s="1143" cm="1">
        <f t="array" ref="H49">IF($A49="","",INDEX('resident aged receivable'!$I:$I,$A49))</f>
        <v>6343.01</v>
      </c>
      <c r="I49" s="1143" cm="1">
        <f t="array" ref="I49">IF($A49="","",INDEX('resident aged receivable'!$J:$J,$A49))</f>
        <v>2759.01</v>
      </c>
      <c r="J49" s="1143" cm="1">
        <f t="array" ref="J49">IF($A49="","",INDEX('resident aged receivable'!$K:$K,$A49))</f>
        <v>933.03</v>
      </c>
      <c r="K49" s="1163" t="str" cm="1">
        <f t="array" ref="K49">IFERROR(IF(B49="","",IF(SUMPRODUCT((LeaseLock!$D$2:$D$500=B49)*ISNUMBER(SEARCH(LEFT(C49,FIND(",",C49&amp;",")-1),LeaseLock!$C$2:$C$500)))=0,"",IF(LOOKUP(2,1/((LeaseLock!$D$2:$D$500=B49)*ISNUMBER(SEARCH(LEFT(C49,FIND(",",C49&amp;",")-1),LeaseLock!$C$2:$C$500))),LeaseLock!$F$2:$F$500)="Claim Denied","Claim Denied ("&amp;LOOKUP(2,1/((LeaseLock!$D$2:$D$500=B49)*ISNUMBER(SEARCH(LEFT(C49,FIND(",",C49&amp;",")-1),LeaseLock!$C$2:$C$500))),LeaseLock!$G$2:$G$500)&amp;")",IF(LOOKUP(2,1/((LeaseLock!$D$2:$D$500=B49)*ISNUMBER(SEARCH(LEFT(C49,FIND(",",C49&amp;",")-1),LeaseLock!$C$2:$C$500))),LeaseLock!$F$2:$F$500)="Open","Open - "&amp;LOOKUP(2,1/((LeaseLock!$D$2:$D$500=B49)*ISNUMBER(SEARCH(LEFT(C49,FIND(",",C49&amp;",")-1),LeaseLock!$C$2:$C$500))),LeaseLock!$G$2:$G$500),IF(LOOKUP(2,1/((LeaseLock!$D$2:$D$500=B49)*ISNUMBER(SEARCH(LEFT(C49,FIND(",",C49&amp;",")-1),LeaseLock!$C$2:$C$500))),LeaseLock!$M$2:$M$500)&gt;0,LOOKUP(2,1/((LeaseLock!$D$2:$D$500=B49)*ISNUMBER(SEARCH(LEFT(C49,FIND(",",C49&amp;",")-1),LeaseLock!$C$2:$C$500))),LeaseLock!$F$2:$F$500)&amp;" - $"&amp;TEXT(LOOKUP(2,1/((LeaseLock!$D$2:$D$500=B49)*ISNUMBER(SEARCH(LEFT(C49,FIND(",",C49&amp;",")-1),LeaseLock!$C$2:$C$500))),LeaseLock!$M$2:$M$500),"#,##0.00")&amp;" paid",LOOKUP(2,1/((LeaseLock!$D$2:$D$500=B49)*ISNUMBER(SEARCH(LEFT(C49,FIND(",",C49&amp;",")-1),LeaseLock!$C$2:$C$500))),LeaseLock!$F$2:$F$500)&amp;" - no payment"))))),"")</f>
        <v/>
      </c>
      <c r="L49" s="1144"/>
      <c r="Q49" s="1115"/>
      <c r="R49" s="1115"/>
      <c r="S49" s="1115"/>
      <c r="T49" s="1115"/>
      <c r="U49" s="1115"/>
      <c r="V49" s="1115"/>
      <c r="W49" s="1115"/>
      <c r="X49" s="1115"/>
      <c r="Y49" s="1115"/>
      <c r="Z49" s="1115"/>
    </row>
    <row r="50" spans="1:26" ht="12" customHeight="1" outlineLevel="1">
      <c r="A50" s="1138" cm="1">
        <f t="array" ref="A50">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31</v>
      </c>
      <c r="B50" s="1139" t="str" cm="1">
        <f t="array" ref="B50">IF($A50="","",INDEX('resident aged receivable'!$B:$B,$A50))</f>
        <v>N14-1060</v>
      </c>
      <c r="C50" s="1139" t="str" cm="1">
        <f t="array" ref="C50">IF($A50="","",INDEX('resident aged receivable'!$D:$D,$A50))</f>
        <v>Odebiyi, Christiana</v>
      </c>
      <c r="D50" s="1140" cm="1">
        <f t="array" ref="D50">IF($A50="","",INDEX('resident aged receivable'!$F:$F,$A50))</f>
        <v>43404</v>
      </c>
      <c r="E50" s="1140" cm="1">
        <f t="array" ref="E50">IF($A50="","",_xlfn.LET(_xlpm.leaseEnd,INDEX('resident aged receivable'!$H:$H,$A50),_xlpm.moLookup,IFERROR(_xlfn.LET(_xlpm.lastFirst,C50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46142</v>
      </c>
      <c r="F50" s="1141" t="str">
        <f t="shared" si="1"/>
        <v>IPS</v>
      </c>
      <c r="G50" s="1142" t="str" cm="1">
        <f t="array" ref="G50">IF($A50="","",IF(COUNTIF($N$3:$N$24,C50)&gt;0,"Former",_xlfn.LET(_xlpm.s,INDEX('resident aged receivable'!$E:$E,$A50),IF(ISNUMBER(SEARCH("Eviction",_xlpm.s)),"Eviction",IF(ISNUMBER(SEARCH("Skip",_xlpm.s)),"Skip",IF(ISNUMBER(SEARCH("Past",_xlpm.s))+ISNUMBER(SEARCH("Collections",_xlpm.s)),"Former",_xlpm.s))))))</f>
        <v>Skip</v>
      </c>
      <c r="H50" s="1143" cm="1">
        <f t="array" ref="H50">IF($A50="","",INDEX('resident aged receivable'!$I:$I,$A50))</f>
        <v>6169.06</v>
      </c>
      <c r="I50" s="1143" cm="1">
        <f t="array" ref="I50">IF($A50="","",INDEX('resident aged receivable'!$J:$J,$A50))</f>
        <v>0</v>
      </c>
      <c r="J50" s="1143" cm="1">
        <f t="array" ref="J50">IF($A50="","",INDEX('resident aged receivable'!$K:$K,$A50))</f>
        <v>2725.87</v>
      </c>
      <c r="K50" s="1163" t="str" cm="1">
        <f t="array" ref="K50">IFERROR(IF(B50="","",IF(SUMPRODUCT((LeaseLock!$D$2:$D$500=B50)*ISNUMBER(SEARCH(LEFT(C50,FIND(",",C50&amp;",")-1),LeaseLock!$C$2:$C$500)))=0,"",IF(LOOKUP(2,1/((LeaseLock!$D$2:$D$500=B50)*ISNUMBER(SEARCH(LEFT(C50,FIND(",",C50&amp;",")-1),LeaseLock!$C$2:$C$500))),LeaseLock!$F$2:$F$500)="Claim Denied","Claim Denied ("&amp;LOOKUP(2,1/((LeaseLock!$D$2:$D$500=B50)*ISNUMBER(SEARCH(LEFT(C50,FIND(",",C50&amp;",")-1),LeaseLock!$C$2:$C$500))),LeaseLock!$G$2:$G$500)&amp;")",IF(LOOKUP(2,1/((LeaseLock!$D$2:$D$500=B50)*ISNUMBER(SEARCH(LEFT(C50,FIND(",",C50&amp;",")-1),LeaseLock!$C$2:$C$500))),LeaseLock!$F$2:$F$500)="Open","Open - "&amp;LOOKUP(2,1/((LeaseLock!$D$2:$D$500=B50)*ISNUMBER(SEARCH(LEFT(C50,FIND(",",C50&amp;",")-1),LeaseLock!$C$2:$C$500))),LeaseLock!$G$2:$G$500),IF(LOOKUP(2,1/((LeaseLock!$D$2:$D$500=B50)*ISNUMBER(SEARCH(LEFT(C50,FIND(",",C50&amp;",")-1),LeaseLock!$C$2:$C$500))),LeaseLock!$M$2:$M$500)&gt;0,LOOKUP(2,1/((LeaseLock!$D$2:$D$500=B50)*ISNUMBER(SEARCH(LEFT(C50,FIND(",",C50&amp;",")-1),LeaseLock!$C$2:$C$500))),LeaseLock!$F$2:$F$500)&amp;" - $"&amp;TEXT(LOOKUP(2,1/((LeaseLock!$D$2:$D$500=B50)*ISNUMBER(SEARCH(LEFT(C50,FIND(",",C50&amp;",")-1),LeaseLock!$C$2:$C$500))),LeaseLock!$M$2:$M$500),"#,##0.00")&amp;" paid",LOOKUP(2,1/((LeaseLock!$D$2:$D$500=B50)*ISNUMBER(SEARCH(LEFT(C50,FIND(",",C50&amp;",")-1),LeaseLock!$C$2:$C$500))),LeaseLock!$F$2:$F$500)&amp;" - no payment"))))),"")</f>
        <v/>
      </c>
      <c r="L50" s="1144" t="s">
        <v>6762</v>
      </c>
      <c r="Q50" s="1115"/>
      <c r="R50" s="1115"/>
      <c r="S50" s="1115"/>
      <c r="T50" s="1115"/>
      <c r="U50" s="1115"/>
      <c r="V50" s="1115"/>
      <c r="W50" s="1115"/>
      <c r="X50" s="1115"/>
      <c r="Y50" s="1115"/>
      <c r="Z50" s="1115"/>
    </row>
    <row r="51" spans="1:26" ht="12" customHeight="1" outlineLevel="1">
      <c r="A51" s="1138" cm="1">
        <f t="array" ref="A51">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135</v>
      </c>
      <c r="B51" s="1139" t="str" cm="1">
        <f t="array" ref="B51">IF($A51="","",INDEX('resident aged receivable'!$B:$B,$A51))</f>
        <v>W12-1-1206</v>
      </c>
      <c r="C51" s="1139" t="str" cm="1">
        <f t="array" ref="C51">IF($A51="","",INDEX('resident aged receivable'!$D:$D,$A51))</f>
        <v>Enrique, Danny</v>
      </c>
      <c r="D51" s="1140" cm="1">
        <f t="array" ref="D51">IF($A51="","",INDEX('resident aged receivable'!$F:$F,$A51))</f>
        <v>45688</v>
      </c>
      <c r="E51" s="1140" cm="1">
        <f t="array" ref="E51">IF($A51="","",_xlfn.LET(_xlpm.leaseEnd,INDEX('resident aged receivable'!$H:$H,$A51),_xlpm.moLookup,IFERROR(_xlfn.LET(_xlpm.lastFirst,C51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46111</v>
      </c>
      <c r="F51" s="1141" t="str">
        <f t="shared" si="1"/>
        <v>IPS</v>
      </c>
      <c r="G51" s="1142" t="str" cm="1">
        <f t="array" ref="G51">IF($A51="","",IF(COUNTIF($N$3:$N$24,C51)&gt;0,"Former",_xlfn.LET(_xlpm.s,INDEX('resident aged receivable'!$E:$E,$A51),IF(ISNUMBER(SEARCH("Eviction",_xlpm.s)),"Eviction",IF(ISNUMBER(SEARCH("Skip",_xlpm.s)),"Skip",IF(ISNUMBER(SEARCH("Past",_xlpm.s))+ISNUMBER(SEARCH("Collections",_xlpm.s)),"Former",_xlpm.s))))))</f>
        <v>Skip</v>
      </c>
      <c r="H51" s="1143" cm="1">
        <f t="array" ref="H51">IF($A51="","",INDEX('resident aged receivable'!$I:$I,$A51))</f>
        <v>6109.29</v>
      </c>
      <c r="I51" s="1143" cm="1">
        <f t="array" ref="I51">IF($A51="","",INDEX('resident aged receivable'!$J:$J,$A51))</f>
        <v>0</v>
      </c>
      <c r="J51" s="1143" cm="1">
        <f t="array" ref="J51">IF($A51="","",INDEX('resident aged receivable'!$K:$K,$A51))</f>
        <v>1070.68</v>
      </c>
      <c r="K51" s="1163" t="str" cm="1">
        <f t="array" ref="K51">IFERROR(IF(B51="","",IF(SUMPRODUCT((LeaseLock!$D$2:$D$500=B51)*ISNUMBER(SEARCH(LEFT(C51,FIND(",",C51&amp;",")-1),LeaseLock!$C$2:$C$500)))=0,"",IF(LOOKUP(2,1/((LeaseLock!$D$2:$D$500=B51)*ISNUMBER(SEARCH(LEFT(C51,FIND(",",C51&amp;",")-1),LeaseLock!$C$2:$C$500))),LeaseLock!$F$2:$F$500)="Claim Denied","Claim Denied ("&amp;LOOKUP(2,1/((LeaseLock!$D$2:$D$500=B51)*ISNUMBER(SEARCH(LEFT(C51,FIND(",",C51&amp;",")-1),LeaseLock!$C$2:$C$500))),LeaseLock!$G$2:$G$500)&amp;")",IF(LOOKUP(2,1/((LeaseLock!$D$2:$D$500=B51)*ISNUMBER(SEARCH(LEFT(C51,FIND(",",C51&amp;",")-1),LeaseLock!$C$2:$C$500))),LeaseLock!$F$2:$F$500)="Open","Open - "&amp;LOOKUP(2,1/((LeaseLock!$D$2:$D$500=B51)*ISNUMBER(SEARCH(LEFT(C51,FIND(",",C51&amp;",")-1),LeaseLock!$C$2:$C$500))),LeaseLock!$G$2:$G$500),IF(LOOKUP(2,1/((LeaseLock!$D$2:$D$500=B51)*ISNUMBER(SEARCH(LEFT(C51,FIND(",",C51&amp;",")-1),LeaseLock!$C$2:$C$500))),LeaseLock!$M$2:$M$500)&gt;0,LOOKUP(2,1/((LeaseLock!$D$2:$D$500=B51)*ISNUMBER(SEARCH(LEFT(C51,FIND(",",C51&amp;",")-1),LeaseLock!$C$2:$C$500))),LeaseLock!$F$2:$F$500)&amp;" - $"&amp;TEXT(LOOKUP(2,1/((LeaseLock!$D$2:$D$500=B51)*ISNUMBER(SEARCH(LEFT(C51,FIND(",",C51&amp;",")-1),LeaseLock!$C$2:$C$500))),LeaseLock!$M$2:$M$500),"#,##0.00")&amp;" paid",LOOKUP(2,1/((LeaseLock!$D$2:$D$500=B51)*ISNUMBER(SEARCH(LEFT(C51,FIND(",",C51&amp;",")-1),LeaseLock!$C$2:$C$500))),LeaseLock!$F$2:$F$500)&amp;" - no payment"))))),"")</f>
        <v>Claim Denied (Claim Denied)</v>
      </c>
      <c r="L51" s="1144"/>
      <c r="Q51" s="1115"/>
      <c r="R51" s="1115"/>
      <c r="S51" s="1115"/>
      <c r="T51" s="1115"/>
      <c r="U51" s="1115"/>
      <c r="V51" s="1115"/>
      <c r="W51" s="1115"/>
      <c r="X51" s="1115"/>
      <c r="Y51" s="1115"/>
      <c r="Z51" s="1115"/>
    </row>
    <row r="52" spans="1:26" ht="12" customHeight="1" outlineLevel="1">
      <c r="A52" s="1138" cm="1">
        <f t="array" ref="A52">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147</v>
      </c>
      <c r="B52" s="1139" t="str" cm="1">
        <f t="array" ref="B52">IF($A52="","",INDEX('resident aged receivable'!$B:$B,$A52))</f>
        <v>W14-1-1411</v>
      </c>
      <c r="C52" s="1139" t="str" cm="1">
        <f t="array" ref="C52">IF($A52="","",INDEX('resident aged receivable'!$D:$D,$A52))</f>
        <v>Pinto, Arlin</v>
      </c>
      <c r="D52" s="1140" cm="1">
        <f t="array" ref="D52">IF($A52="","",INDEX('resident aged receivable'!$F:$F,$A52))</f>
        <v>44896</v>
      </c>
      <c r="E52" s="1140" cm="1">
        <f t="array" ref="E52">IF($A52="","",_xlfn.LET(_xlpm.leaseEnd,INDEX('resident aged receivable'!$H:$H,$A52),_xlpm.moLookup,IFERROR(_xlfn.LET(_xlpm.lastFirst,C52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46120</v>
      </c>
      <c r="F52" s="1141" t="str">
        <f t="shared" si="1"/>
        <v>IPS</v>
      </c>
      <c r="G52" s="1142" t="str" cm="1">
        <f t="array" ref="G52">IF($A52="","",IF(COUNTIF($N$3:$N$24,C52)&gt;0,"Former",_xlfn.LET(_xlpm.s,INDEX('resident aged receivable'!$E:$E,$A52),IF(ISNUMBER(SEARCH("Eviction",_xlpm.s)),"Eviction",IF(ISNUMBER(SEARCH("Skip",_xlpm.s)),"Skip",IF(ISNUMBER(SEARCH("Past",_xlpm.s))+ISNUMBER(SEARCH("Collections",_xlpm.s)),"Former",_xlpm.s))))))</f>
        <v>Skip</v>
      </c>
      <c r="H52" s="1143" cm="1">
        <f t="array" ref="H52">IF($A52="","",INDEX('resident aged receivable'!$I:$I,$A52))</f>
        <v>6056.26</v>
      </c>
      <c r="I52" s="1143" cm="1">
        <f t="array" ref="I52">IF($A52="","",INDEX('resident aged receivable'!$J:$J,$A52))</f>
        <v>2400.52</v>
      </c>
      <c r="J52" s="1143" cm="1">
        <f t="array" ref="J52">IF($A52="","",INDEX('resident aged receivable'!$K:$K,$A52))</f>
        <v>1218.58</v>
      </c>
      <c r="K52" s="1163" t="str" cm="1">
        <f t="array" ref="K52">IFERROR(IF(B52="","",IF(SUMPRODUCT((LeaseLock!$D$2:$D$500=B52)*ISNUMBER(SEARCH(LEFT(C52,FIND(",",C52&amp;",")-1),LeaseLock!$C$2:$C$500)))=0,"",IF(LOOKUP(2,1/((LeaseLock!$D$2:$D$500=B52)*ISNUMBER(SEARCH(LEFT(C52,FIND(",",C52&amp;",")-1),LeaseLock!$C$2:$C$500))),LeaseLock!$F$2:$F$500)="Claim Denied","Claim Denied ("&amp;LOOKUP(2,1/((LeaseLock!$D$2:$D$500=B52)*ISNUMBER(SEARCH(LEFT(C52,FIND(",",C52&amp;",")-1),LeaseLock!$C$2:$C$500))),LeaseLock!$G$2:$G$500)&amp;")",IF(LOOKUP(2,1/((LeaseLock!$D$2:$D$500=B52)*ISNUMBER(SEARCH(LEFT(C52,FIND(",",C52&amp;",")-1),LeaseLock!$C$2:$C$500))),LeaseLock!$F$2:$F$500)="Open","Open - "&amp;LOOKUP(2,1/((LeaseLock!$D$2:$D$500=B52)*ISNUMBER(SEARCH(LEFT(C52,FIND(",",C52&amp;",")-1),LeaseLock!$C$2:$C$500))),LeaseLock!$G$2:$G$500),IF(LOOKUP(2,1/((LeaseLock!$D$2:$D$500=B52)*ISNUMBER(SEARCH(LEFT(C52,FIND(",",C52&amp;",")-1),LeaseLock!$C$2:$C$500))),LeaseLock!$M$2:$M$500)&gt;0,LOOKUP(2,1/((LeaseLock!$D$2:$D$500=B52)*ISNUMBER(SEARCH(LEFT(C52,FIND(",",C52&amp;",")-1),LeaseLock!$C$2:$C$500))),LeaseLock!$F$2:$F$500)&amp;" - $"&amp;TEXT(LOOKUP(2,1/((LeaseLock!$D$2:$D$500=B52)*ISNUMBER(SEARCH(LEFT(C52,FIND(",",C52&amp;",")-1),LeaseLock!$C$2:$C$500))),LeaseLock!$M$2:$M$500),"#,##0.00")&amp;" paid",LOOKUP(2,1/((LeaseLock!$D$2:$D$500=B52)*ISNUMBER(SEARCH(LEFT(C52,FIND(",",C52&amp;",")-1),LeaseLock!$C$2:$C$500))),LeaseLock!$F$2:$F$500)&amp;" - no payment"))))),"")</f>
        <v/>
      </c>
      <c r="L52" s="1144"/>
      <c r="Q52" s="1115"/>
      <c r="R52" s="1115"/>
      <c r="S52" s="1115"/>
      <c r="T52" s="1115"/>
      <c r="U52" s="1115"/>
      <c r="V52" s="1115"/>
      <c r="W52" s="1115"/>
      <c r="X52" s="1115"/>
      <c r="Y52" s="1115"/>
      <c r="Z52" s="1115"/>
    </row>
    <row r="53" spans="1:26" ht="12" customHeight="1" outlineLevel="1">
      <c r="A53" s="1138" cm="1">
        <f t="array" ref="A53">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66</v>
      </c>
      <c r="B53" s="1139" t="str" cm="1">
        <f t="array" ref="B53">IF($A53="","",INDEX('resident aged receivable'!$B:$B,$A53))</f>
        <v>S28-104</v>
      </c>
      <c r="C53" s="1139" t="str" cm="1">
        <f t="array" ref="C53">IF($A53="","",INDEX('resident aged receivable'!$D:$D,$A53))</f>
        <v>Williams, Teresa</v>
      </c>
      <c r="D53" s="1140" cm="1">
        <f t="array" ref="D53">IF($A53="","",INDEX('resident aged receivable'!$F:$F,$A53))</f>
        <v>45721</v>
      </c>
      <c r="E53" s="1140" cm="1">
        <f t="array" ref="E53">IF($A53="","",_xlfn.LET(_xlpm.leaseEnd,INDEX('resident aged receivable'!$H:$H,$A53),_xlpm.moLookup,IFERROR(_xlfn.LET(_xlpm.lastFirst,C53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46146</v>
      </c>
      <c r="F53" s="1141" t="str">
        <f t="shared" si="1"/>
        <v>IPS</v>
      </c>
      <c r="G53" s="1142" t="str" cm="1">
        <f t="array" ref="G53">IF($A53="","",IF(COUNTIF($N$3:$N$24,C53)&gt;0,"Former",_xlfn.LET(_xlpm.s,INDEX('resident aged receivable'!$E:$E,$A53),IF(ISNUMBER(SEARCH("Eviction",_xlpm.s)),"Eviction",IF(ISNUMBER(SEARCH("Skip",_xlpm.s)),"Skip",IF(ISNUMBER(SEARCH("Past",_xlpm.s))+ISNUMBER(SEARCH("Collections",_xlpm.s)),"Former",_xlpm.s))))))</f>
        <v>Skip</v>
      </c>
      <c r="H53" s="1143" cm="1">
        <f t="array" ref="H53">IF($A53="","",INDEX('resident aged receivable'!$I:$I,$A53))</f>
        <v>5976.83</v>
      </c>
      <c r="I53" s="1143" cm="1">
        <f t="array" ref="I53">IF($A53="","",INDEX('resident aged receivable'!$J:$J,$A53))</f>
        <v>0</v>
      </c>
      <c r="J53" s="1143" cm="1">
        <f t="array" ref="J53">IF($A53="","",INDEX('resident aged receivable'!$K:$K,$A53))</f>
        <v>2161.54</v>
      </c>
      <c r="K53" s="1163" t="str" cm="1">
        <f t="array" ref="K53">IFERROR(IF(B53="","",IF(SUMPRODUCT((LeaseLock!$D$2:$D$500=B53)*ISNUMBER(SEARCH(LEFT(C53,FIND(",",C53&amp;",")-1),LeaseLock!$C$2:$C$500)))=0,"",IF(LOOKUP(2,1/((LeaseLock!$D$2:$D$500=B53)*ISNUMBER(SEARCH(LEFT(C53,FIND(",",C53&amp;",")-1),LeaseLock!$C$2:$C$500))),LeaseLock!$F$2:$F$500)="Claim Denied","Claim Denied ("&amp;LOOKUP(2,1/((LeaseLock!$D$2:$D$500=B53)*ISNUMBER(SEARCH(LEFT(C53,FIND(",",C53&amp;",")-1),LeaseLock!$C$2:$C$500))),LeaseLock!$G$2:$G$500)&amp;")",IF(LOOKUP(2,1/((LeaseLock!$D$2:$D$500=B53)*ISNUMBER(SEARCH(LEFT(C53,FIND(",",C53&amp;",")-1),LeaseLock!$C$2:$C$500))),LeaseLock!$F$2:$F$500)="Open","Open - "&amp;LOOKUP(2,1/((LeaseLock!$D$2:$D$500=B53)*ISNUMBER(SEARCH(LEFT(C53,FIND(",",C53&amp;",")-1),LeaseLock!$C$2:$C$500))),LeaseLock!$G$2:$G$500),IF(LOOKUP(2,1/((LeaseLock!$D$2:$D$500=B53)*ISNUMBER(SEARCH(LEFT(C53,FIND(",",C53&amp;",")-1),LeaseLock!$C$2:$C$500))),LeaseLock!$M$2:$M$500)&gt;0,LOOKUP(2,1/((LeaseLock!$D$2:$D$500=B53)*ISNUMBER(SEARCH(LEFT(C53,FIND(",",C53&amp;",")-1),LeaseLock!$C$2:$C$500))),LeaseLock!$F$2:$F$500)&amp;" - $"&amp;TEXT(LOOKUP(2,1/((LeaseLock!$D$2:$D$500=B53)*ISNUMBER(SEARCH(LEFT(C53,FIND(",",C53&amp;",")-1),LeaseLock!$C$2:$C$500))),LeaseLock!$M$2:$M$500),"#,##0.00")&amp;" paid",LOOKUP(2,1/((LeaseLock!$D$2:$D$500=B53)*ISNUMBER(SEARCH(LEFT(C53,FIND(",",C53&amp;",")-1),LeaseLock!$C$2:$C$500))),LeaseLock!$F$2:$F$500)&amp;" - no payment"))))),"")</f>
        <v>Claim Denied (Claim Denied)</v>
      </c>
      <c r="L53" s="1144"/>
      <c r="Q53" s="1115"/>
      <c r="R53" s="1115"/>
      <c r="S53" s="1115"/>
      <c r="T53" s="1115"/>
      <c r="U53" s="1115"/>
      <c r="V53" s="1115"/>
      <c r="W53" s="1115"/>
      <c r="X53" s="1115"/>
      <c r="Y53" s="1115"/>
      <c r="Z53" s="1115"/>
    </row>
    <row r="54" spans="1:26" ht="12" customHeight="1" outlineLevel="1">
      <c r="A54" s="1138" cm="1">
        <f t="array" ref="A54">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119</v>
      </c>
      <c r="B54" s="1139" t="str" cm="1">
        <f t="array" ref="B54">IF($A54="","",INDEX('resident aged receivable'!$B:$B,$A54))</f>
        <v>W08-1-0802</v>
      </c>
      <c r="C54" s="1139" t="str" cm="1">
        <f t="array" ref="C54">IF($A54="","",INDEX('resident aged receivable'!$D:$D,$A54))</f>
        <v>Butler, Leila</v>
      </c>
      <c r="D54" s="1140" cm="1">
        <f t="array" ref="D54">IF($A54="","",INDEX('resident aged receivable'!$F:$F,$A54))</f>
        <v>45619</v>
      </c>
      <c r="E54" s="1140" cm="1">
        <f t="array" ref="E54">IF($A54="","",_xlfn.LET(_xlpm.leaseEnd,INDEX('resident aged receivable'!$H:$H,$A54),_xlpm.moLookup,IFERROR(_xlfn.LET(_xlpm.lastFirst,C54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46045</v>
      </c>
      <c r="F54" s="1141" t="str">
        <f t="shared" si="1"/>
        <v>IPS</v>
      </c>
      <c r="G54" s="1142" t="str" cm="1">
        <f t="array" ref="G54">IF($A54="","",IF(COUNTIF($N$3:$N$24,C54)&gt;0,"Former",_xlfn.LET(_xlpm.s,INDEX('resident aged receivable'!$E:$E,$A54),IF(ISNUMBER(SEARCH("Eviction",_xlpm.s)),"Eviction",IF(ISNUMBER(SEARCH("Skip",_xlpm.s)),"Skip",IF(ISNUMBER(SEARCH("Past",_xlpm.s))+ISNUMBER(SEARCH("Collections",_xlpm.s)),"Former",_xlpm.s))))))</f>
        <v>Eviction</v>
      </c>
      <c r="H54" s="1143" cm="1">
        <f t="array" ref="H54">IF($A54="","",INDEX('resident aged receivable'!$I:$I,$A54))</f>
        <v>5839.16</v>
      </c>
      <c r="I54" s="1143" cm="1">
        <f t="array" ref="I54">IF($A54="","",INDEX('resident aged receivable'!$J:$J,$A54))</f>
        <v>0</v>
      </c>
      <c r="J54" s="1143" cm="1">
        <f t="array" ref="J54">IF($A54="","",INDEX('resident aged receivable'!$K:$K,$A54))</f>
        <v>96.28</v>
      </c>
      <c r="K54" s="1163" t="str" cm="1">
        <f t="array" ref="K54">IFERROR(IF(B54="","",IF(SUMPRODUCT((LeaseLock!$D$2:$D$500=B54)*ISNUMBER(SEARCH(LEFT(C54,FIND(",",C54&amp;",")-1),LeaseLock!$C$2:$C$500)))=0,"",IF(LOOKUP(2,1/((LeaseLock!$D$2:$D$500=B54)*ISNUMBER(SEARCH(LEFT(C54,FIND(",",C54&amp;",")-1),LeaseLock!$C$2:$C$500))),LeaseLock!$F$2:$F$500)="Claim Denied","Claim Denied ("&amp;LOOKUP(2,1/((LeaseLock!$D$2:$D$500=B54)*ISNUMBER(SEARCH(LEFT(C54,FIND(",",C54&amp;",")-1),LeaseLock!$C$2:$C$500))),LeaseLock!$G$2:$G$500)&amp;")",IF(LOOKUP(2,1/((LeaseLock!$D$2:$D$500=B54)*ISNUMBER(SEARCH(LEFT(C54,FIND(",",C54&amp;",")-1),LeaseLock!$C$2:$C$500))),LeaseLock!$F$2:$F$500)="Open","Open - "&amp;LOOKUP(2,1/((LeaseLock!$D$2:$D$500=B54)*ISNUMBER(SEARCH(LEFT(C54,FIND(",",C54&amp;",")-1),LeaseLock!$C$2:$C$500))),LeaseLock!$G$2:$G$500),IF(LOOKUP(2,1/((LeaseLock!$D$2:$D$500=B54)*ISNUMBER(SEARCH(LEFT(C54,FIND(",",C54&amp;",")-1),LeaseLock!$C$2:$C$500))),LeaseLock!$M$2:$M$500)&gt;0,LOOKUP(2,1/((LeaseLock!$D$2:$D$500=B54)*ISNUMBER(SEARCH(LEFT(C54,FIND(",",C54&amp;",")-1),LeaseLock!$C$2:$C$500))),LeaseLock!$F$2:$F$500)&amp;" - $"&amp;TEXT(LOOKUP(2,1/((LeaseLock!$D$2:$D$500=B54)*ISNUMBER(SEARCH(LEFT(C54,FIND(",",C54&amp;",")-1),LeaseLock!$C$2:$C$500))),LeaseLock!$M$2:$M$500),"#,##0.00")&amp;" paid",LOOKUP(2,1/((LeaseLock!$D$2:$D$500=B54)*ISNUMBER(SEARCH(LEFT(C54,FIND(",",C54&amp;",")-1),LeaseLock!$C$2:$C$500))),LeaseLock!$F$2:$F$500)&amp;" - no payment"))))),"")</f>
        <v>Closed - $750.00 paid</v>
      </c>
      <c r="L54" s="1144" t="s">
        <v>6820</v>
      </c>
      <c r="Q54" s="1115"/>
      <c r="R54" s="1115"/>
      <c r="S54" s="1115"/>
      <c r="T54" s="1115"/>
      <c r="U54" s="1115"/>
      <c r="V54" s="1115"/>
      <c r="W54" s="1115"/>
      <c r="X54" s="1115"/>
      <c r="Y54" s="1115"/>
      <c r="Z54" s="1115"/>
    </row>
    <row r="55" spans="1:26" ht="12" customHeight="1" outlineLevel="1">
      <c r="A55" s="1138" cm="1">
        <f t="array" ref="A55">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67</v>
      </c>
      <c r="B55" s="1139" t="str" cm="1">
        <f t="array" ref="B55">IF($A55="","",INDEX('resident aged receivable'!$B:$B,$A55))</f>
        <v>S28-201</v>
      </c>
      <c r="C55" s="1139" t="str" cm="1">
        <f t="array" ref="C55">IF($A55="","",INDEX('resident aged receivable'!$D:$D,$A55))</f>
        <v>Thomas, Latrina</v>
      </c>
      <c r="D55" s="1140" cm="1">
        <f t="array" ref="D55">IF($A55="","",INDEX('resident aged receivable'!$F:$F,$A55))</f>
        <v>45822</v>
      </c>
      <c r="E55" s="1140" cm="1">
        <f t="array" ref="E55">IF($A55="","",_xlfn.LET(_xlpm.leaseEnd,INDEX('resident aged receivable'!$H:$H,$A55),_xlpm.moLookup,IFERROR(_xlfn.LET(_xlpm.lastFirst,C55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46186</v>
      </c>
      <c r="F55" s="1141" t="str">
        <f t="shared" si="1"/>
        <v>IPS</v>
      </c>
      <c r="G55" s="1142" t="str" cm="1">
        <f t="array" ref="G55">IF($A55="","",IF(COUNTIF($N$3:$N$24,C55)&gt;0,"Former",_xlfn.LET(_xlpm.s,INDEX('resident aged receivable'!$E:$E,$A55),IF(ISNUMBER(SEARCH("Eviction",_xlpm.s)),"Eviction",IF(ISNUMBER(SEARCH("Skip",_xlpm.s)),"Skip",IF(ISNUMBER(SEARCH("Past",_xlpm.s))+ISNUMBER(SEARCH("Collections",_xlpm.s)),"Former",_xlpm.s))))))</f>
        <v>Eviction</v>
      </c>
      <c r="H55" s="1143" cm="1">
        <f t="array" ref="H55">IF($A55="","",INDEX('resident aged receivable'!$I:$I,$A55))</f>
        <v>5753.39</v>
      </c>
      <c r="I55" s="1143" cm="1">
        <f t="array" ref="I55">IF($A55="","",INDEX('resident aged receivable'!$J:$J,$A55))</f>
        <v>0</v>
      </c>
      <c r="J55" s="1143" cm="1">
        <f t="array" ref="J55">IF($A55="","",INDEX('resident aged receivable'!$K:$K,$A55))</f>
        <v>56.54</v>
      </c>
      <c r="K55" s="1163" t="str" cm="1">
        <f t="array" ref="K55">IFERROR(IF(B55="","",IF(SUMPRODUCT((LeaseLock!$D$2:$D$500=B55)*ISNUMBER(SEARCH(LEFT(C55,FIND(",",C55&amp;",")-1),LeaseLock!$C$2:$C$500)))=0,"",IF(LOOKUP(2,1/((LeaseLock!$D$2:$D$500=B55)*ISNUMBER(SEARCH(LEFT(C55,FIND(",",C55&amp;",")-1),LeaseLock!$C$2:$C$500))),LeaseLock!$F$2:$F$500)="Claim Denied","Claim Denied ("&amp;LOOKUP(2,1/((LeaseLock!$D$2:$D$500=B55)*ISNUMBER(SEARCH(LEFT(C55,FIND(",",C55&amp;",")-1),LeaseLock!$C$2:$C$500))),LeaseLock!$G$2:$G$500)&amp;")",IF(LOOKUP(2,1/((LeaseLock!$D$2:$D$500=B55)*ISNUMBER(SEARCH(LEFT(C55,FIND(",",C55&amp;",")-1),LeaseLock!$C$2:$C$500))),LeaseLock!$F$2:$F$500)="Open","Open - "&amp;LOOKUP(2,1/((LeaseLock!$D$2:$D$500=B55)*ISNUMBER(SEARCH(LEFT(C55,FIND(",",C55&amp;",")-1),LeaseLock!$C$2:$C$500))),LeaseLock!$G$2:$G$500),IF(LOOKUP(2,1/((LeaseLock!$D$2:$D$500=B55)*ISNUMBER(SEARCH(LEFT(C55,FIND(",",C55&amp;",")-1),LeaseLock!$C$2:$C$500))),LeaseLock!$M$2:$M$500)&gt;0,LOOKUP(2,1/((LeaseLock!$D$2:$D$500=B55)*ISNUMBER(SEARCH(LEFT(C55,FIND(",",C55&amp;",")-1),LeaseLock!$C$2:$C$500))),LeaseLock!$F$2:$F$500)&amp;" - $"&amp;TEXT(LOOKUP(2,1/((LeaseLock!$D$2:$D$500=B55)*ISNUMBER(SEARCH(LEFT(C55,FIND(",",C55&amp;",")-1),LeaseLock!$C$2:$C$500))),LeaseLock!$M$2:$M$500),"#,##0.00")&amp;" paid",LOOKUP(2,1/((LeaseLock!$D$2:$D$500=B55)*ISNUMBER(SEARCH(LEFT(C55,FIND(",",C55&amp;",")-1),LeaseLock!$C$2:$C$500))),LeaseLock!$F$2:$F$500)&amp;" - no payment"))))),"")</f>
        <v>Closed - $750.00 paid</v>
      </c>
      <c r="L55" s="1144" t="s">
        <v>6821</v>
      </c>
      <c r="Q55" s="1115"/>
      <c r="R55" s="1115"/>
      <c r="S55" s="1115"/>
      <c r="T55" s="1115"/>
      <c r="U55" s="1115"/>
      <c r="V55" s="1115"/>
      <c r="W55" s="1115"/>
      <c r="X55" s="1115"/>
      <c r="Y55" s="1115"/>
      <c r="Z55" s="1115"/>
    </row>
    <row r="56" spans="1:26" ht="12" customHeight="1" outlineLevel="1">
      <c r="A56" s="1138" cm="1">
        <f t="array" ref="A56">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131</v>
      </c>
      <c r="B56" s="1139" t="str" cm="1">
        <f t="array" ref="B56">IF($A56="","",INDEX('resident aged receivable'!$B:$B,$A56))</f>
        <v>W11-1-1107</v>
      </c>
      <c r="C56" s="1139" t="str" cm="1">
        <f t="array" ref="C56">IF($A56="","",INDEX('resident aged receivable'!$D:$D,$A56))</f>
        <v>Cruz, Josue</v>
      </c>
      <c r="D56" s="1140" cm="1">
        <f t="array" ref="D56">IF($A56="","",INDEX('resident aged receivable'!$F:$F,$A56))</f>
        <v>45413</v>
      </c>
      <c r="E56" s="1140" cm="1">
        <f t="array" ref="E56">IF($A56="","",_xlfn.LET(_xlpm.leaseEnd,INDEX('resident aged receivable'!$H:$H,$A56),_xlpm.moLookup,IFERROR(_xlfn.LET(_xlpm.lastFirst,C56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46189</v>
      </c>
      <c r="F56" s="1141" t="str">
        <f t="shared" si="1"/>
        <v>IPS</v>
      </c>
      <c r="G56" s="1142" t="str" cm="1">
        <f t="array" ref="G56">IF($A56="","",IF(COUNTIF($N$3:$N$24,C56)&gt;0,"Former",_xlfn.LET(_xlpm.s,INDEX('resident aged receivable'!$E:$E,$A56),IF(ISNUMBER(SEARCH("Eviction",_xlpm.s)),"Eviction",IF(ISNUMBER(SEARCH("Skip",_xlpm.s)),"Skip",IF(ISNUMBER(SEARCH("Past",_xlpm.s))+ISNUMBER(SEARCH("Collections",_xlpm.s)),"Former",_xlpm.s))))))</f>
        <v>Skip</v>
      </c>
      <c r="H56" s="1143" cm="1">
        <f t="array" ref="H56">IF($A56="","",INDEX('resident aged receivable'!$I:$I,$A56))</f>
        <v>5729.92</v>
      </c>
      <c r="I56" s="1143" cm="1">
        <f t="array" ref="I56">IF($A56="","",INDEX('resident aged receivable'!$J:$J,$A56))</f>
        <v>0</v>
      </c>
      <c r="J56" s="1143" cm="1">
        <f t="array" ref="J56">IF($A56="","",INDEX('resident aged receivable'!$K:$K,$A56))</f>
        <v>5132.26</v>
      </c>
      <c r="K56" s="1163" t="str" cm="1">
        <f t="array" ref="K56">IFERROR(IF(B56="","",IF(SUMPRODUCT((LeaseLock!$D$2:$D$500=B56)*ISNUMBER(SEARCH(LEFT(C56,FIND(",",C56&amp;",")-1),LeaseLock!$C$2:$C$500)))=0,"",IF(LOOKUP(2,1/((LeaseLock!$D$2:$D$500=B56)*ISNUMBER(SEARCH(LEFT(C56,FIND(",",C56&amp;",")-1),LeaseLock!$C$2:$C$500))),LeaseLock!$F$2:$F$500)="Claim Denied","Claim Denied ("&amp;LOOKUP(2,1/((LeaseLock!$D$2:$D$500=B56)*ISNUMBER(SEARCH(LEFT(C56,FIND(",",C56&amp;",")-1),LeaseLock!$C$2:$C$500))),LeaseLock!$G$2:$G$500)&amp;")",IF(LOOKUP(2,1/((LeaseLock!$D$2:$D$500=B56)*ISNUMBER(SEARCH(LEFT(C56,FIND(",",C56&amp;",")-1),LeaseLock!$C$2:$C$500))),LeaseLock!$F$2:$F$500)="Open","Open - "&amp;LOOKUP(2,1/((LeaseLock!$D$2:$D$500=B56)*ISNUMBER(SEARCH(LEFT(C56,FIND(",",C56&amp;",")-1),LeaseLock!$C$2:$C$500))),LeaseLock!$G$2:$G$500),IF(LOOKUP(2,1/((LeaseLock!$D$2:$D$500=B56)*ISNUMBER(SEARCH(LEFT(C56,FIND(",",C56&amp;",")-1),LeaseLock!$C$2:$C$500))),LeaseLock!$M$2:$M$500)&gt;0,LOOKUP(2,1/((LeaseLock!$D$2:$D$500=B56)*ISNUMBER(SEARCH(LEFT(C56,FIND(",",C56&amp;",")-1),LeaseLock!$C$2:$C$500))),LeaseLock!$F$2:$F$500)&amp;" - $"&amp;TEXT(LOOKUP(2,1/((LeaseLock!$D$2:$D$500=B56)*ISNUMBER(SEARCH(LEFT(C56,FIND(",",C56&amp;",")-1),LeaseLock!$C$2:$C$500))),LeaseLock!$M$2:$M$500),"#,##0.00")&amp;" paid",LOOKUP(2,1/((LeaseLock!$D$2:$D$500=B56)*ISNUMBER(SEARCH(LEFT(C56,FIND(",",C56&amp;",")-1),LeaseLock!$C$2:$C$500))),LeaseLock!$F$2:$F$500)&amp;" - no payment"))))),"")</f>
        <v/>
      </c>
      <c r="L56" s="1144"/>
      <c r="Q56" s="1115"/>
      <c r="R56" s="1115"/>
      <c r="S56" s="1115"/>
      <c r="T56" s="1115"/>
      <c r="U56" s="1115"/>
      <c r="V56" s="1115"/>
      <c r="W56" s="1115"/>
      <c r="X56" s="1115"/>
      <c r="Y56" s="1115"/>
      <c r="Z56" s="1115"/>
    </row>
    <row r="57" spans="1:26" ht="12" customHeight="1" outlineLevel="1">
      <c r="A57" s="1138" cm="1">
        <f t="array" ref="A57">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186</v>
      </c>
      <c r="B57" s="1139" t="str" cm="1">
        <f t="array" ref="B57">IF($A57="","",INDEX('resident aged receivable'!$B:$B,$A57))</f>
        <v>W24-2-1032</v>
      </c>
      <c r="C57" s="1139" t="str" cm="1">
        <f t="array" ref="C57">IF($A57="","",INDEX('resident aged receivable'!$D:$D,$A57))</f>
        <v>Manning, Vita</v>
      </c>
      <c r="D57" s="1140" cm="1">
        <f t="array" ref="D57">IF($A57="","",INDEX('resident aged receivable'!$F:$F,$A57))</f>
        <v>45367</v>
      </c>
      <c r="E57" s="1140" cm="1">
        <f t="array" ref="E57">IF($A57="","",_xlfn.LET(_xlpm.leaseEnd,INDEX('resident aged receivable'!$H:$H,$A57),_xlpm.moLookup,IFERROR(_xlfn.LET(_xlpm.lastFirst,C57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46157</v>
      </c>
      <c r="F57" s="1141" t="str">
        <f t="shared" si="1"/>
        <v>IPS</v>
      </c>
      <c r="G57" s="1142" t="str" cm="1">
        <f t="array" ref="G57">IF($A57="","",IF(COUNTIF($N$3:$N$24,C57)&gt;0,"Former",_xlfn.LET(_xlpm.s,INDEX('resident aged receivable'!$E:$E,$A57),IF(ISNUMBER(SEARCH("Eviction",_xlpm.s)),"Eviction",IF(ISNUMBER(SEARCH("Skip",_xlpm.s)),"Skip",IF(ISNUMBER(SEARCH("Past",_xlpm.s))+ISNUMBER(SEARCH("Collections",_xlpm.s)),"Former",_xlpm.s))))))</f>
        <v>Skip</v>
      </c>
      <c r="H57" s="1143" cm="1">
        <f t="array" ref="H57">IF($A57="","",INDEX('resident aged receivable'!$I:$I,$A57))</f>
        <v>5341.76</v>
      </c>
      <c r="I57" s="1143" cm="1">
        <f t="array" ref="I57">IF($A57="","",INDEX('resident aged receivable'!$J:$J,$A57))</f>
        <v>0</v>
      </c>
      <c r="J57" s="1143" cm="1">
        <f t="array" ref="J57">IF($A57="","",INDEX('resident aged receivable'!$K:$K,$A57))</f>
        <v>73.13</v>
      </c>
      <c r="K57" s="1163" t="str" cm="1">
        <f t="array" ref="K57">IFERROR(IF(B57="","",IF(SUMPRODUCT((LeaseLock!$D$2:$D$500=B57)*ISNUMBER(SEARCH(LEFT(C57,FIND(",",C57&amp;",")-1),LeaseLock!$C$2:$C$500)))=0,"",IF(LOOKUP(2,1/((LeaseLock!$D$2:$D$500=B57)*ISNUMBER(SEARCH(LEFT(C57,FIND(",",C57&amp;",")-1),LeaseLock!$C$2:$C$500))),LeaseLock!$F$2:$F$500)="Claim Denied","Claim Denied ("&amp;LOOKUP(2,1/((LeaseLock!$D$2:$D$500=B57)*ISNUMBER(SEARCH(LEFT(C57,FIND(",",C57&amp;",")-1),LeaseLock!$C$2:$C$500))),LeaseLock!$G$2:$G$500)&amp;")",IF(LOOKUP(2,1/((LeaseLock!$D$2:$D$500=B57)*ISNUMBER(SEARCH(LEFT(C57,FIND(",",C57&amp;",")-1),LeaseLock!$C$2:$C$500))),LeaseLock!$F$2:$F$500)="Open","Open - "&amp;LOOKUP(2,1/((LeaseLock!$D$2:$D$500=B57)*ISNUMBER(SEARCH(LEFT(C57,FIND(",",C57&amp;",")-1),LeaseLock!$C$2:$C$500))),LeaseLock!$G$2:$G$500),IF(LOOKUP(2,1/((LeaseLock!$D$2:$D$500=B57)*ISNUMBER(SEARCH(LEFT(C57,FIND(",",C57&amp;",")-1),LeaseLock!$C$2:$C$500))),LeaseLock!$M$2:$M$500)&gt;0,LOOKUP(2,1/((LeaseLock!$D$2:$D$500=B57)*ISNUMBER(SEARCH(LEFT(C57,FIND(",",C57&amp;",")-1),LeaseLock!$C$2:$C$500))),LeaseLock!$F$2:$F$500)&amp;" - $"&amp;TEXT(LOOKUP(2,1/((LeaseLock!$D$2:$D$500=B57)*ISNUMBER(SEARCH(LEFT(C57,FIND(",",C57&amp;",")-1),LeaseLock!$C$2:$C$500))),LeaseLock!$M$2:$M$500),"#,##0.00")&amp;" paid",LOOKUP(2,1/((LeaseLock!$D$2:$D$500=B57)*ISNUMBER(SEARCH(LEFT(C57,FIND(",",C57&amp;",")-1),LeaseLock!$C$2:$C$500))),LeaseLock!$F$2:$F$500)&amp;" - no payment"))))),"")</f>
        <v>Closed - $750.00 paid</v>
      </c>
      <c r="L57" s="1144"/>
      <c r="Q57" s="1115"/>
      <c r="R57" s="1115"/>
      <c r="S57" s="1115"/>
      <c r="T57" s="1115"/>
      <c r="U57" s="1115"/>
      <c r="V57" s="1115"/>
      <c r="W57" s="1115"/>
      <c r="X57" s="1115"/>
      <c r="Y57" s="1115"/>
      <c r="Z57" s="1115"/>
    </row>
    <row r="58" spans="1:26" ht="12" customHeight="1" outlineLevel="1">
      <c r="A58" s="1138" cm="1">
        <f t="array" ref="A58">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124</v>
      </c>
      <c r="B58" s="1139" t="str" cm="1">
        <f t="array" ref="B58">IF($A58="","",INDEX('resident aged receivable'!$B:$B,$A58))</f>
        <v>W09-1-0910</v>
      </c>
      <c r="C58" s="1139" t="str" cm="1">
        <f t="array" ref="C58">IF($A58="","",INDEX('resident aged receivable'!$D:$D,$A58))</f>
        <v>Kouevi, Clarence</v>
      </c>
      <c r="D58" s="1140" cm="1">
        <f t="array" ref="D58">IF($A58="","",INDEX('resident aged receivable'!$F:$F,$A58))</f>
        <v>44409</v>
      </c>
      <c r="E58" s="1140" cm="1">
        <f t="array" ref="E58">IF($A58="","",_xlfn.LET(_xlpm.leaseEnd,INDEX('resident aged receivable'!$H:$H,$A58),_xlpm.moLookup,IFERROR(_xlfn.LET(_xlpm.lastFirst,C58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46045</v>
      </c>
      <c r="F58" s="1141" t="str">
        <f t="shared" si="1"/>
        <v>IPS</v>
      </c>
      <c r="G58" s="1142" t="str" cm="1">
        <f t="array" ref="G58">IF($A58="","",IF(COUNTIF($N$3:$N$24,C58)&gt;0,"Former",_xlfn.LET(_xlpm.s,INDEX('resident aged receivable'!$E:$E,$A58),IF(ISNUMBER(SEARCH("Eviction",_xlpm.s)),"Eviction",IF(ISNUMBER(SEARCH("Skip",_xlpm.s)),"Skip",IF(ISNUMBER(SEARCH("Past",_xlpm.s))+ISNUMBER(SEARCH("Collections",_xlpm.s)),"Former",_xlpm.s))))))</f>
        <v>Skip</v>
      </c>
      <c r="H58" s="1143" cm="1">
        <f t="array" ref="H58">IF($A58="","",INDEX('resident aged receivable'!$I:$I,$A58))</f>
        <v>4871.8900000000003</v>
      </c>
      <c r="I58" s="1143" cm="1">
        <f t="array" ref="I58">IF($A58="","",INDEX('resident aged receivable'!$J:$J,$A58))</f>
        <v>0</v>
      </c>
      <c r="J58" s="1143" cm="1">
        <f t="array" ref="J58">IF($A58="","",INDEX('resident aged receivable'!$K:$K,$A58))</f>
        <v>71.19</v>
      </c>
      <c r="K58" s="1163" t="str" cm="1">
        <f t="array" ref="K58">IFERROR(IF(B58="","",IF(SUMPRODUCT((LeaseLock!$D$2:$D$500=B58)*ISNUMBER(SEARCH(LEFT(C58,FIND(",",C58&amp;",")-1),LeaseLock!$C$2:$C$500)))=0,"",IF(LOOKUP(2,1/((LeaseLock!$D$2:$D$500=B58)*ISNUMBER(SEARCH(LEFT(C58,FIND(",",C58&amp;",")-1),LeaseLock!$C$2:$C$500))),LeaseLock!$F$2:$F$500)="Claim Denied","Claim Denied ("&amp;LOOKUP(2,1/((LeaseLock!$D$2:$D$500=B58)*ISNUMBER(SEARCH(LEFT(C58,FIND(",",C58&amp;",")-1),LeaseLock!$C$2:$C$500))),LeaseLock!$G$2:$G$500)&amp;")",IF(LOOKUP(2,1/((LeaseLock!$D$2:$D$500=B58)*ISNUMBER(SEARCH(LEFT(C58,FIND(",",C58&amp;",")-1),LeaseLock!$C$2:$C$500))),LeaseLock!$F$2:$F$500)="Open","Open - "&amp;LOOKUP(2,1/((LeaseLock!$D$2:$D$500=B58)*ISNUMBER(SEARCH(LEFT(C58,FIND(",",C58&amp;",")-1),LeaseLock!$C$2:$C$500))),LeaseLock!$G$2:$G$500),IF(LOOKUP(2,1/((LeaseLock!$D$2:$D$500=B58)*ISNUMBER(SEARCH(LEFT(C58,FIND(",",C58&amp;",")-1),LeaseLock!$C$2:$C$500))),LeaseLock!$M$2:$M$500)&gt;0,LOOKUP(2,1/((LeaseLock!$D$2:$D$500=B58)*ISNUMBER(SEARCH(LEFT(C58,FIND(",",C58&amp;",")-1),LeaseLock!$C$2:$C$500))),LeaseLock!$F$2:$F$500)&amp;" - $"&amp;TEXT(LOOKUP(2,1/((LeaseLock!$D$2:$D$500=B58)*ISNUMBER(SEARCH(LEFT(C58,FIND(",",C58&amp;",")-1),LeaseLock!$C$2:$C$500))),LeaseLock!$M$2:$M$500),"#,##0.00")&amp;" paid",LOOKUP(2,1/((LeaseLock!$D$2:$D$500=B58)*ISNUMBER(SEARCH(LEFT(C58,FIND(",",C58&amp;",")-1),LeaseLock!$C$2:$C$500))),LeaseLock!$F$2:$F$500)&amp;" - no payment"))))),"")</f>
        <v/>
      </c>
      <c r="L58" s="1144"/>
      <c r="Q58" s="1115"/>
      <c r="R58" s="1115"/>
      <c r="S58" s="1115"/>
      <c r="T58" s="1115"/>
      <c r="U58" s="1115"/>
      <c r="V58" s="1115"/>
      <c r="W58" s="1115"/>
      <c r="X58" s="1115"/>
      <c r="Y58" s="1115"/>
      <c r="Z58" s="1115"/>
    </row>
    <row r="59" spans="1:26" ht="12" customHeight="1" outlineLevel="1">
      <c r="A59" s="1138" cm="1">
        <f t="array" ref="A59">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157</v>
      </c>
      <c r="B59" s="1139" t="str" cm="1">
        <f t="array" ref="B59">IF($A59="","",INDEX('resident aged receivable'!$B:$B,$A59))</f>
        <v>W15-2-3089</v>
      </c>
      <c r="C59" s="1139" t="str" cm="1">
        <f t="array" ref="C59">IF($A59="","",INDEX('resident aged receivable'!$D:$D,$A59))</f>
        <v>Jose, Yender</v>
      </c>
      <c r="D59" s="1140" cm="1">
        <f t="array" ref="D59">IF($A59="","",INDEX('resident aged receivable'!$F:$F,$A59))</f>
        <v>45748</v>
      </c>
      <c r="E59" s="1140" cm="1">
        <f t="array" ref="E59">IF($A59="","",_xlfn.LET(_xlpm.leaseEnd,INDEX('resident aged receivable'!$H:$H,$A59),_xlpm.moLookup,IFERROR(_xlfn.LET(_xlpm.lastFirst,C59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46112</v>
      </c>
      <c r="F59" s="1141" t="str">
        <f t="shared" si="1"/>
        <v>IPS</v>
      </c>
      <c r="G59" s="1142" t="str" cm="1">
        <f t="array" ref="G59">IF($A59="","",IF(COUNTIF($N$3:$N$24,C59)&gt;0,"Former",_xlfn.LET(_xlpm.s,INDEX('resident aged receivable'!$E:$E,$A59),IF(ISNUMBER(SEARCH("Eviction",_xlpm.s)),"Eviction",IF(ISNUMBER(SEARCH("Skip",_xlpm.s)),"Skip",IF(ISNUMBER(SEARCH("Past",_xlpm.s))+ISNUMBER(SEARCH("Collections",_xlpm.s)),"Former",_xlpm.s))))))</f>
        <v>Skip</v>
      </c>
      <c r="H59" s="1143" cm="1">
        <f t="array" ref="H59">IF($A59="","",INDEX('resident aged receivable'!$I:$I,$A59))</f>
        <v>4710.26</v>
      </c>
      <c r="I59" s="1143" cm="1">
        <f t="array" ref="I59">IF($A59="","",INDEX('resident aged receivable'!$J:$J,$A59))</f>
        <v>0</v>
      </c>
      <c r="J59" s="1143" cm="1">
        <f t="array" ref="J59">IF($A59="","",INDEX('resident aged receivable'!$K:$K,$A59))</f>
        <v>778.13</v>
      </c>
      <c r="K59" s="1163" t="str" cm="1">
        <f t="array" ref="K59">IFERROR(IF(B59="","",IF(SUMPRODUCT((LeaseLock!$D$2:$D$500=B59)*ISNUMBER(SEARCH(LEFT(C59,FIND(",",C59&amp;",")-1),LeaseLock!$C$2:$C$500)))=0,"",IF(LOOKUP(2,1/((LeaseLock!$D$2:$D$500=B59)*ISNUMBER(SEARCH(LEFT(C59,FIND(",",C59&amp;",")-1),LeaseLock!$C$2:$C$500))),LeaseLock!$F$2:$F$500)="Claim Denied","Claim Denied ("&amp;LOOKUP(2,1/((LeaseLock!$D$2:$D$500=B59)*ISNUMBER(SEARCH(LEFT(C59,FIND(",",C59&amp;",")-1),LeaseLock!$C$2:$C$500))),LeaseLock!$G$2:$G$500)&amp;")",IF(LOOKUP(2,1/((LeaseLock!$D$2:$D$500=B59)*ISNUMBER(SEARCH(LEFT(C59,FIND(",",C59&amp;",")-1),LeaseLock!$C$2:$C$500))),LeaseLock!$F$2:$F$500)="Open","Open - "&amp;LOOKUP(2,1/((LeaseLock!$D$2:$D$500=B59)*ISNUMBER(SEARCH(LEFT(C59,FIND(",",C59&amp;",")-1),LeaseLock!$C$2:$C$500))),LeaseLock!$G$2:$G$500),IF(LOOKUP(2,1/((LeaseLock!$D$2:$D$500=B59)*ISNUMBER(SEARCH(LEFT(C59,FIND(",",C59&amp;",")-1),LeaseLock!$C$2:$C$500))),LeaseLock!$M$2:$M$500)&gt;0,LOOKUP(2,1/((LeaseLock!$D$2:$D$500=B59)*ISNUMBER(SEARCH(LEFT(C59,FIND(",",C59&amp;",")-1),LeaseLock!$C$2:$C$500))),LeaseLock!$F$2:$F$500)&amp;" - $"&amp;TEXT(LOOKUP(2,1/((LeaseLock!$D$2:$D$500=B59)*ISNUMBER(SEARCH(LEFT(C59,FIND(",",C59&amp;",")-1),LeaseLock!$C$2:$C$500))),LeaseLock!$M$2:$M$500),"#,##0.00")&amp;" paid",LOOKUP(2,1/((LeaseLock!$D$2:$D$500=B59)*ISNUMBER(SEARCH(LEFT(C59,FIND(",",C59&amp;",")-1),LeaseLock!$C$2:$C$500))),LeaseLock!$F$2:$F$500)&amp;" - no payment"))))),"")</f>
        <v/>
      </c>
      <c r="L59" s="1144"/>
      <c r="Q59" s="1115"/>
      <c r="R59" s="1115"/>
      <c r="S59" s="1115"/>
      <c r="T59" s="1115"/>
      <c r="U59" s="1115"/>
      <c r="V59" s="1115"/>
      <c r="W59" s="1115"/>
      <c r="X59" s="1115"/>
      <c r="Y59" s="1115"/>
      <c r="Z59" s="1115"/>
    </row>
    <row r="60" spans="1:26" ht="12" customHeight="1" outlineLevel="1">
      <c r="A60" s="1138" cm="1">
        <f t="array" ref="A60">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141</v>
      </c>
      <c r="B60" s="1139" t="str" cm="1">
        <f t="array" ref="B60">IF($A60="","",INDEX('resident aged receivable'!$B:$B,$A60))</f>
        <v>W13-1-1311</v>
      </c>
      <c r="C60" s="1139" t="str" cm="1">
        <f t="array" ref="C60">IF($A60="","",INDEX('resident aged receivable'!$D:$D,$A60))</f>
        <v>Enriquez, Victor</v>
      </c>
      <c r="D60" s="1140" cm="1">
        <f t="array" ref="D60">IF($A60="","",INDEX('resident aged receivable'!$F:$F,$A60))</f>
        <v>45161</v>
      </c>
      <c r="E60" s="1140" cm="1">
        <f t="array" ref="E60">IF($A60="","",_xlfn.LET(_xlpm.leaseEnd,INDEX('resident aged receivable'!$H:$H,$A60),_xlpm.moLookup,IFERROR(_xlfn.LET(_xlpm.lastFirst,C60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46326</v>
      </c>
      <c r="F60" s="1141" t="str">
        <f t="shared" si="1"/>
        <v>IPS</v>
      </c>
      <c r="G60" s="1142" t="str" cm="1">
        <f t="array" ref="G60">IF($A60="","",IF(COUNTIF($N$3:$N$24,C60)&gt;0,"Former",_xlfn.LET(_xlpm.s,INDEX('resident aged receivable'!$E:$E,$A60),IF(ISNUMBER(SEARCH("Eviction",_xlpm.s)),"Eviction",IF(ISNUMBER(SEARCH("Skip",_xlpm.s)),"Skip",IF(ISNUMBER(SEARCH("Past",_xlpm.s))+ISNUMBER(SEARCH("Collections",_xlpm.s)),"Former",_xlpm.s))))))</f>
        <v>Skip</v>
      </c>
      <c r="H60" s="1143" cm="1">
        <f t="array" ref="H60">IF($A60="","",INDEX('resident aged receivable'!$I:$I,$A60))</f>
        <v>4659.16</v>
      </c>
      <c r="I60" s="1143" cm="1">
        <f t="array" ref="I60">IF($A60="","",INDEX('resident aged receivable'!$J:$J,$A60))</f>
        <v>0</v>
      </c>
      <c r="J60" s="1143" cm="1">
        <f t="array" ref="J60">IF($A60="","",INDEX('resident aged receivable'!$K:$K,$A60))</f>
        <v>4659.16</v>
      </c>
      <c r="K60" s="1163" t="str" cm="1">
        <f t="array" ref="K60">IFERROR(IF(B60="","",IF(SUMPRODUCT((LeaseLock!$D$2:$D$500=B60)*ISNUMBER(SEARCH(LEFT(C60,FIND(",",C60&amp;",")-1),LeaseLock!$C$2:$C$500)))=0,"",IF(LOOKUP(2,1/((LeaseLock!$D$2:$D$500=B60)*ISNUMBER(SEARCH(LEFT(C60,FIND(",",C60&amp;",")-1),LeaseLock!$C$2:$C$500))),LeaseLock!$F$2:$F$500)="Claim Denied","Claim Denied ("&amp;LOOKUP(2,1/((LeaseLock!$D$2:$D$500=B60)*ISNUMBER(SEARCH(LEFT(C60,FIND(",",C60&amp;",")-1),LeaseLock!$C$2:$C$500))),LeaseLock!$G$2:$G$500)&amp;")",IF(LOOKUP(2,1/((LeaseLock!$D$2:$D$500=B60)*ISNUMBER(SEARCH(LEFT(C60,FIND(",",C60&amp;",")-1),LeaseLock!$C$2:$C$500))),LeaseLock!$F$2:$F$500)="Open","Open - "&amp;LOOKUP(2,1/((LeaseLock!$D$2:$D$500=B60)*ISNUMBER(SEARCH(LEFT(C60,FIND(",",C60&amp;",")-1),LeaseLock!$C$2:$C$500))),LeaseLock!$G$2:$G$500),IF(LOOKUP(2,1/((LeaseLock!$D$2:$D$500=B60)*ISNUMBER(SEARCH(LEFT(C60,FIND(",",C60&amp;",")-1),LeaseLock!$C$2:$C$500))),LeaseLock!$M$2:$M$500)&gt;0,LOOKUP(2,1/((LeaseLock!$D$2:$D$500=B60)*ISNUMBER(SEARCH(LEFT(C60,FIND(",",C60&amp;",")-1),LeaseLock!$C$2:$C$500))),LeaseLock!$F$2:$F$500)&amp;" - $"&amp;TEXT(LOOKUP(2,1/((LeaseLock!$D$2:$D$500=B60)*ISNUMBER(SEARCH(LEFT(C60,FIND(",",C60&amp;",")-1),LeaseLock!$C$2:$C$500))),LeaseLock!$M$2:$M$500),"#,##0.00")&amp;" paid",LOOKUP(2,1/((LeaseLock!$D$2:$D$500=B60)*ISNUMBER(SEARCH(LEFT(C60,FIND(",",C60&amp;",")-1),LeaseLock!$C$2:$C$500))),LeaseLock!$F$2:$F$500)&amp;" - no payment"))))),"")</f>
        <v/>
      </c>
      <c r="L60" s="1144"/>
      <c r="Q60" s="1115"/>
      <c r="R60" s="1115"/>
      <c r="S60" s="1115"/>
      <c r="T60" s="1115"/>
      <c r="U60" s="1115"/>
      <c r="V60" s="1115"/>
      <c r="W60" s="1115"/>
      <c r="X60" s="1115"/>
      <c r="Y60" s="1115"/>
      <c r="Z60" s="1115"/>
    </row>
    <row r="61" spans="1:26" ht="12" customHeight="1" outlineLevel="1">
      <c r="A61" s="1138" cm="1">
        <f t="array" ref="A61">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150</v>
      </c>
      <c r="B61" s="1139" t="str" cm="1">
        <f t="array" ref="B61">IF($A61="","",INDEX('resident aged receivable'!$B:$B,$A61))</f>
        <v>W14-1-1423</v>
      </c>
      <c r="C61" s="1139" t="str" cm="1">
        <f t="array" ref="C61">IF($A61="","",INDEX('resident aged receivable'!$D:$D,$A61))</f>
        <v>Santana, Alvaro</v>
      </c>
      <c r="D61" s="1140" cm="1">
        <f t="array" ref="D61">IF($A61="","",INDEX('resident aged receivable'!$F:$F,$A61))</f>
        <v>45687</v>
      </c>
      <c r="E61" s="1140" cm="1">
        <f t="array" ref="E61">IF($A61="","",_xlfn.LET(_xlpm.leaseEnd,INDEX('resident aged receivable'!$H:$H,$A61),_xlpm.moLookup,IFERROR(_xlfn.LET(_xlpm.lastFirst,C61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46109</v>
      </c>
      <c r="F61" s="1141" t="str">
        <f t="shared" si="1"/>
        <v>IPS</v>
      </c>
      <c r="G61" s="1142" t="str" cm="1">
        <f t="array" ref="G61">IF($A61="","",IF(COUNTIF($N$3:$N$24,C61)&gt;0,"Former",_xlfn.LET(_xlpm.s,INDEX('resident aged receivable'!$E:$E,$A61),IF(ISNUMBER(SEARCH("Eviction",_xlpm.s)),"Eviction",IF(ISNUMBER(SEARCH("Skip",_xlpm.s)),"Skip",IF(ISNUMBER(SEARCH("Past",_xlpm.s))+ISNUMBER(SEARCH("Collections",_xlpm.s)),"Former",_xlpm.s))))))</f>
        <v>Skip</v>
      </c>
      <c r="H61" s="1143" cm="1">
        <f t="array" ref="H61">IF($A61="","",INDEX('resident aged receivable'!$I:$I,$A61))</f>
        <v>4586.82</v>
      </c>
      <c r="I61" s="1143" cm="1">
        <f t="array" ref="I61">IF($A61="","",INDEX('resident aged receivable'!$J:$J,$A61))</f>
        <v>0</v>
      </c>
      <c r="J61" s="1143" cm="1">
        <f t="array" ref="J61">IF($A61="","",INDEX('resident aged receivable'!$K:$K,$A61))</f>
        <v>97.22</v>
      </c>
      <c r="K61" s="1163" t="str" cm="1">
        <f t="array" ref="K61">IFERROR(IF(B61="","",IF(SUMPRODUCT((LeaseLock!$D$2:$D$500=B61)*ISNUMBER(SEARCH(LEFT(C61,FIND(",",C61&amp;",")-1),LeaseLock!$C$2:$C$500)))=0,"",IF(LOOKUP(2,1/((LeaseLock!$D$2:$D$500=B61)*ISNUMBER(SEARCH(LEFT(C61,FIND(",",C61&amp;",")-1),LeaseLock!$C$2:$C$500))),LeaseLock!$F$2:$F$500)="Claim Denied","Claim Denied ("&amp;LOOKUP(2,1/((LeaseLock!$D$2:$D$500=B61)*ISNUMBER(SEARCH(LEFT(C61,FIND(",",C61&amp;",")-1),LeaseLock!$C$2:$C$500))),LeaseLock!$G$2:$G$500)&amp;")",IF(LOOKUP(2,1/((LeaseLock!$D$2:$D$500=B61)*ISNUMBER(SEARCH(LEFT(C61,FIND(",",C61&amp;",")-1),LeaseLock!$C$2:$C$500))),LeaseLock!$F$2:$F$500)="Open","Open - "&amp;LOOKUP(2,1/((LeaseLock!$D$2:$D$500=B61)*ISNUMBER(SEARCH(LEFT(C61,FIND(",",C61&amp;",")-1),LeaseLock!$C$2:$C$500))),LeaseLock!$G$2:$G$500),IF(LOOKUP(2,1/((LeaseLock!$D$2:$D$500=B61)*ISNUMBER(SEARCH(LEFT(C61,FIND(",",C61&amp;",")-1),LeaseLock!$C$2:$C$500))),LeaseLock!$M$2:$M$500)&gt;0,LOOKUP(2,1/((LeaseLock!$D$2:$D$500=B61)*ISNUMBER(SEARCH(LEFT(C61,FIND(",",C61&amp;",")-1),LeaseLock!$C$2:$C$500))),LeaseLock!$F$2:$F$500)&amp;" - $"&amp;TEXT(LOOKUP(2,1/((LeaseLock!$D$2:$D$500=B61)*ISNUMBER(SEARCH(LEFT(C61,FIND(",",C61&amp;",")-1),LeaseLock!$C$2:$C$500))),LeaseLock!$M$2:$M$500),"#,##0.00")&amp;" paid",LOOKUP(2,1/((LeaseLock!$D$2:$D$500=B61)*ISNUMBER(SEARCH(LEFT(C61,FIND(",",C61&amp;",")-1),LeaseLock!$C$2:$C$500))),LeaseLock!$F$2:$F$500)&amp;" - no payment"))))),"")</f>
        <v>Closed - $750.00 paid</v>
      </c>
      <c r="L61" s="1146" t="s">
        <v>6822</v>
      </c>
      <c r="Q61" s="1115"/>
      <c r="R61" s="1115"/>
      <c r="S61" s="1115"/>
      <c r="T61" s="1115"/>
      <c r="U61" s="1115"/>
      <c r="V61" s="1115"/>
      <c r="W61" s="1115"/>
      <c r="X61" s="1115"/>
      <c r="Y61" s="1115"/>
      <c r="Z61" s="1115"/>
    </row>
    <row r="62" spans="1:26" ht="12" customHeight="1" outlineLevel="1">
      <c r="A62" s="1138" cm="1">
        <f t="array" ref="A62">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116</v>
      </c>
      <c r="B62" s="1139" t="str" cm="1">
        <f t="array" ref="B62">IF($A62="","",INDEX('resident aged receivable'!$B:$B,$A62))</f>
        <v>W07-1-0719</v>
      </c>
      <c r="C62" s="1139" t="str" cm="1">
        <f t="array" ref="C62">IF($A62="","",INDEX('resident aged receivable'!$D:$D,$A62))</f>
        <v>Rangel, Juan</v>
      </c>
      <c r="D62" s="1140" cm="1">
        <f t="array" ref="D62">IF($A62="","",INDEX('resident aged receivable'!$F:$F,$A62))</f>
        <v>44470</v>
      </c>
      <c r="E62" s="1140" cm="1">
        <f t="array" ref="E62">IF($A62="","",_xlfn.LET(_xlpm.leaseEnd,INDEX('resident aged receivable'!$H:$H,$A62),_xlpm.moLookup,IFERROR(_xlfn.LET(_xlpm.lastFirst,C62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46295</v>
      </c>
      <c r="F62" s="1141" t="str">
        <f t="shared" si="1"/>
        <v>IPS</v>
      </c>
      <c r="G62" s="1142" t="str" cm="1">
        <f t="array" ref="G62">IF($A62="","",IF(COUNTIF($N$3:$N$24,C62)&gt;0,"Former",_xlfn.LET(_xlpm.s,INDEX('resident aged receivable'!$E:$E,$A62),IF(ISNUMBER(SEARCH("Eviction",_xlpm.s)),"Eviction",IF(ISNUMBER(SEARCH("Skip",_xlpm.s)),"Skip",IF(ISNUMBER(SEARCH("Past",_xlpm.s))+ISNUMBER(SEARCH("Collections",_xlpm.s)),"Former",_xlpm.s))))))</f>
        <v>Skip</v>
      </c>
      <c r="H62" s="1143" cm="1">
        <f t="array" ref="H62">IF($A62="","",INDEX('resident aged receivable'!$I:$I,$A62))</f>
        <v>3964.02</v>
      </c>
      <c r="I62" s="1143" cm="1">
        <f t="array" ref="I62">IF($A62="","",INDEX('resident aged receivable'!$J:$J,$A62))</f>
        <v>0</v>
      </c>
      <c r="J62" s="1143" cm="1">
        <f t="array" ref="J62">IF($A62="","",INDEX('resident aged receivable'!$K:$K,$A62))</f>
        <v>3018.46</v>
      </c>
      <c r="K62" s="1163" t="str" cm="1">
        <f t="array" ref="K62">IFERROR(IF(B62="","",IF(SUMPRODUCT((LeaseLock!$D$2:$D$500=B62)*ISNUMBER(SEARCH(LEFT(C62,FIND(",",C62&amp;",")-1),LeaseLock!$C$2:$C$500)))=0,"",IF(LOOKUP(2,1/((LeaseLock!$D$2:$D$500=B62)*ISNUMBER(SEARCH(LEFT(C62,FIND(",",C62&amp;",")-1),LeaseLock!$C$2:$C$500))),LeaseLock!$F$2:$F$500)="Claim Denied","Claim Denied ("&amp;LOOKUP(2,1/((LeaseLock!$D$2:$D$500=B62)*ISNUMBER(SEARCH(LEFT(C62,FIND(",",C62&amp;",")-1),LeaseLock!$C$2:$C$500))),LeaseLock!$G$2:$G$500)&amp;")",IF(LOOKUP(2,1/((LeaseLock!$D$2:$D$500=B62)*ISNUMBER(SEARCH(LEFT(C62,FIND(",",C62&amp;",")-1),LeaseLock!$C$2:$C$500))),LeaseLock!$F$2:$F$500)="Open","Open - "&amp;LOOKUP(2,1/((LeaseLock!$D$2:$D$500=B62)*ISNUMBER(SEARCH(LEFT(C62,FIND(",",C62&amp;",")-1),LeaseLock!$C$2:$C$500))),LeaseLock!$G$2:$G$500),IF(LOOKUP(2,1/((LeaseLock!$D$2:$D$500=B62)*ISNUMBER(SEARCH(LEFT(C62,FIND(",",C62&amp;",")-1),LeaseLock!$C$2:$C$500))),LeaseLock!$M$2:$M$500)&gt;0,LOOKUP(2,1/((LeaseLock!$D$2:$D$500=B62)*ISNUMBER(SEARCH(LEFT(C62,FIND(",",C62&amp;",")-1),LeaseLock!$C$2:$C$500))),LeaseLock!$F$2:$F$500)&amp;" - $"&amp;TEXT(LOOKUP(2,1/((LeaseLock!$D$2:$D$500=B62)*ISNUMBER(SEARCH(LEFT(C62,FIND(",",C62&amp;",")-1),LeaseLock!$C$2:$C$500))),LeaseLock!$M$2:$M$500),"#,##0.00")&amp;" paid",LOOKUP(2,1/((LeaseLock!$D$2:$D$500=B62)*ISNUMBER(SEARCH(LEFT(C62,FIND(",",C62&amp;",")-1),LeaseLock!$C$2:$C$500))),LeaseLock!$F$2:$F$500)&amp;" - no payment"))))),"")</f>
        <v/>
      </c>
      <c r="L62" s="1144"/>
      <c r="Q62" s="1115"/>
      <c r="R62" s="1115"/>
      <c r="S62" s="1115"/>
      <c r="T62" s="1115"/>
      <c r="U62" s="1115"/>
      <c r="V62" s="1115"/>
      <c r="W62" s="1115"/>
      <c r="X62" s="1115"/>
      <c r="Y62" s="1115"/>
      <c r="Z62" s="1115"/>
    </row>
    <row r="63" spans="1:26" ht="12" customHeight="1">
      <c r="A63" s="1138" cm="1">
        <f t="array" ref="A63">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95</v>
      </c>
      <c r="B63" s="1139" t="str" cm="1">
        <f t="array" ref="B63">IF($A63="","",INDEX('resident aged receivable'!$B:$B,$A63))</f>
        <v>W04-1-0403</v>
      </c>
      <c r="C63" s="1139" t="str" cm="1">
        <f t="array" ref="C63">IF($A63="","",INDEX('resident aged receivable'!$D:$D,$A63))</f>
        <v>Rodriguez, Julian</v>
      </c>
      <c r="D63" s="1140" cm="1">
        <f t="array" ref="D63">IF($A63="","",INDEX('resident aged receivable'!$F:$F,$A63))</f>
        <v>45652</v>
      </c>
      <c r="E63" s="1140" cm="1">
        <f t="array" ref="E63">IF($A63="","",_xlfn.LET(_xlpm.leaseEnd,INDEX('resident aged receivable'!$H:$H,$A63),_xlpm.moLookup,IFERROR(_xlfn.LET(_xlpm.lastFirst,C63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46045</v>
      </c>
      <c r="F63" s="1141" t="str">
        <f t="shared" si="1"/>
        <v>IPS</v>
      </c>
      <c r="G63" s="1142" t="str" cm="1">
        <f t="array" ref="G63">IF($A63="","",IF(COUNTIF($N$3:$N$24,C63)&gt;0,"Former",_xlfn.LET(_xlpm.s,INDEX('resident aged receivable'!$E:$E,$A63),IF(ISNUMBER(SEARCH("Eviction",_xlpm.s)),"Eviction",IF(ISNUMBER(SEARCH("Skip",_xlpm.s)),"Skip",IF(ISNUMBER(SEARCH("Past",_xlpm.s))+ISNUMBER(SEARCH("Collections",_xlpm.s)),"Former",_xlpm.s))))))</f>
        <v>Skip</v>
      </c>
      <c r="H63" s="1143" cm="1">
        <f t="array" ref="H63">IF($A63="","",INDEX('resident aged receivable'!$I:$I,$A63))</f>
        <v>3913.47</v>
      </c>
      <c r="I63" s="1143" cm="1">
        <f t="array" ref="I63">IF($A63="","",INDEX('resident aged receivable'!$J:$J,$A63))</f>
        <v>0</v>
      </c>
      <c r="J63" s="1143" cm="1">
        <f t="array" ref="J63">IF($A63="","",INDEX('resident aged receivable'!$K:$K,$A63))</f>
        <v>71.19</v>
      </c>
      <c r="K63" s="1163" t="str" cm="1">
        <f t="array" ref="K63">IFERROR(IF(B63="","",IF(SUMPRODUCT((LeaseLock!$D$2:$D$500=B63)*ISNUMBER(SEARCH(LEFT(C63,FIND(",",C63&amp;",")-1),LeaseLock!$C$2:$C$500)))=0,"",IF(LOOKUP(2,1/((LeaseLock!$D$2:$D$500=B63)*ISNUMBER(SEARCH(LEFT(C63,FIND(",",C63&amp;",")-1),LeaseLock!$C$2:$C$500))),LeaseLock!$F$2:$F$500)="Claim Denied","Claim Denied ("&amp;LOOKUP(2,1/((LeaseLock!$D$2:$D$500=B63)*ISNUMBER(SEARCH(LEFT(C63,FIND(",",C63&amp;",")-1),LeaseLock!$C$2:$C$500))),LeaseLock!$G$2:$G$500)&amp;")",IF(LOOKUP(2,1/((LeaseLock!$D$2:$D$500=B63)*ISNUMBER(SEARCH(LEFT(C63,FIND(",",C63&amp;",")-1),LeaseLock!$C$2:$C$500))),LeaseLock!$F$2:$F$500)="Open","Open - "&amp;LOOKUP(2,1/((LeaseLock!$D$2:$D$500=B63)*ISNUMBER(SEARCH(LEFT(C63,FIND(",",C63&amp;",")-1),LeaseLock!$C$2:$C$500))),LeaseLock!$G$2:$G$500),IF(LOOKUP(2,1/((LeaseLock!$D$2:$D$500=B63)*ISNUMBER(SEARCH(LEFT(C63,FIND(",",C63&amp;",")-1),LeaseLock!$C$2:$C$500))),LeaseLock!$M$2:$M$500)&gt;0,LOOKUP(2,1/((LeaseLock!$D$2:$D$500=B63)*ISNUMBER(SEARCH(LEFT(C63,FIND(",",C63&amp;",")-1),LeaseLock!$C$2:$C$500))),LeaseLock!$F$2:$F$500)&amp;" - $"&amp;TEXT(LOOKUP(2,1/((LeaseLock!$D$2:$D$500=B63)*ISNUMBER(SEARCH(LEFT(C63,FIND(",",C63&amp;",")-1),LeaseLock!$C$2:$C$500))),LeaseLock!$M$2:$M$500),"#,##0.00")&amp;" paid",LOOKUP(2,1/((LeaseLock!$D$2:$D$500=B63)*ISNUMBER(SEARCH(LEFT(C63,FIND(",",C63&amp;",")-1),LeaseLock!$C$2:$C$500))),LeaseLock!$F$2:$F$500)&amp;" - no payment"))))),"")</f>
        <v>Closed - $750.00 paid</v>
      </c>
      <c r="L63" s="1144"/>
      <c r="Q63" s="1115"/>
      <c r="R63" s="1115"/>
      <c r="S63" s="1115"/>
      <c r="T63" s="1115"/>
      <c r="U63" s="1115"/>
      <c r="V63" s="1115"/>
      <c r="W63" s="1115"/>
      <c r="X63" s="1115"/>
      <c r="Y63" s="1115"/>
      <c r="Z63" s="1115"/>
    </row>
    <row r="64" spans="1:26" ht="12" customHeight="1">
      <c r="A64" s="1138" cm="1">
        <f t="array" ref="A64">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96</v>
      </c>
      <c r="B64" s="1139" t="str" cm="1">
        <f t="array" ref="B64">IF($A64="","",INDEX('resident aged receivable'!$B:$B,$A64))</f>
        <v>W04-1-0406</v>
      </c>
      <c r="C64" s="1139" t="str" cm="1">
        <f t="array" ref="C64">IF($A64="","",INDEX('resident aged receivable'!$D:$D,$A64))</f>
        <v>Salazar, Miguel</v>
      </c>
      <c r="D64" s="1140" cm="1">
        <f t="array" ref="D64">IF($A64="","",INDEX('resident aged receivable'!$F:$F,$A64))</f>
        <v>45868</v>
      </c>
      <c r="E64" s="1140" cm="1">
        <f t="array" ref="E64">IF($A64="","",_xlfn.LET(_xlpm.leaseEnd,INDEX('resident aged receivable'!$H:$H,$A64),_xlpm.moLookup,IFERROR(_xlfn.LET(_xlpm.lastFirst,C64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46232</v>
      </c>
      <c r="F64" s="1141" t="str">
        <f t="shared" si="1"/>
        <v>IPS</v>
      </c>
      <c r="G64" s="1142" t="str" cm="1">
        <f t="array" ref="G64">IF($A64="","",IF(COUNTIF($N$3:$N$24,C64)&gt;0,"Former",_xlfn.LET(_xlpm.s,INDEX('resident aged receivable'!$E:$E,$A64),IF(ISNUMBER(SEARCH("Eviction",_xlpm.s)),"Eviction",IF(ISNUMBER(SEARCH("Skip",_xlpm.s)),"Skip",IF(ISNUMBER(SEARCH("Past",_xlpm.s))+ISNUMBER(SEARCH("Collections",_xlpm.s)),"Former",_xlpm.s))))))</f>
        <v>Former</v>
      </c>
      <c r="H64" s="1143" cm="1">
        <f t="array" ref="H64">IF($A64="","",INDEX('resident aged receivable'!$I:$I,$A64))</f>
        <v>3846.54</v>
      </c>
      <c r="I64" s="1143" cm="1">
        <f t="array" ref="I64">IF($A64="","",INDEX('resident aged receivable'!$J:$J,$A64))</f>
        <v>0</v>
      </c>
      <c r="J64" s="1143" cm="1">
        <f t="array" ref="J64">IF($A64="","",INDEX('resident aged receivable'!$K:$K,$A64))</f>
        <v>93.66</v>
      </c>
      <c r="K64" s="1163" t="str" cm="1">
        <f t="array" ref="K64">IFERROR(IF(B64="","",IF(SUMPRODUCT((LeaseLock!$D$2:$D$500=B64)*ISNUMBER(SEARCH(LEFT(C64,FIND(",",C64&amp;",")-1),LeaseLock!$C$2:$C$500)))=0,"",IF(LOOKUP(2,1/((LeaseLock!$D$2:$D$500=B64)*ISNUMBER(SEARCH(LEFT(C64,FIND(",",C64&amp;",")-1),LeaseLock!$C$2:$C$500))),LeaseLock!$F$2:$F$500)="Claim Denied","Claim Denied ("&amp;LOOKUP(2,1/((LeaseLock!$D$2:$D$500=B64)*ISNUMBER(SEARCH(LEFT(C64,FIND(",",C64&amp;",")-1),LeaseLock!$C$2:$C$500))),LeaseLock!$G$2:$G$500)&amp;")",IF(LOOKUP(2,1/((LeaseLock!$D$2:$D$500=B64)*ISNUMBER(SEARCH(LEFT(C64,FIND(",",C64&amp;",")-1),LeaseLock!$C$2:$C$500))),LeaseLock!$F$2:$F$500)="Open","Open - "&amp;LOOKUP(2,1/((LeaseLock!$D$2:$D$500=B64)*ISNUMBER(SEARCH(LEFT(C64,FIND(",",C64&amp;",")-1),LeaseLock!$C$2:$C$500))),LeaseLock!$G$2:$G$500),IF(LOOKUP(2,1/((LeaseLock!$D$2:$D$500=B64)*ISNUMBER(SEARCH(LEFT(C64,FIND(",",C64&amp;",")-1),LeaseLock!$C$2:$C$500))),LeaseLock!$M$2:$M$500)&gt;0,LOOKUP(2,1/((LeaseLock!$D$2:$D$500=B64)*ISNUMBER(SEARCH(LEFT(C64,FIND(",",C64&amp;",")-1),LeaseLock!$C$2:$C$500))),LeaseLock!$F$2:$F$500)&amp;" - $"&amp;TEXT(LOOKUP(2,1/((LeaseLock!$D$2:$D$500=B64)*ISNUMBER(SEARCH(LEFT(C64,FIND(",",C64&amp;",")-1),LeaseLock!$C$2:$C$500))),LeaseLock!$M$2:$M$500),"#,##0.00")&amp;" paid",LOOKUP(2,1/((LeaseLock!$D$2:$D$500=B64)*ISNUMBER(SEARCH(LEFT(C64,FIND(",",C64&amp;",")-1),LeaseLock!$C$2:$C$500))),LeaseLock!$F$2:$F$500)&amp;" - no payment"))))),"")</f>
        <v>Closed - $750.00 paid</v>
      </c>
      <c r="L64" s="1144"/>
      <c r="Q64" s="1115"/>
      <c r="R64" s="1115"/>
      <c r="S64" s="1115"/>
      <c r="T64" s="1115"/>
      <c r="U64" s="1115"/>
      <c r="V64" s="1115"/>
      <c r="W64" s="1115"/>
      <c r="X64" s="1115"/>
      <c r="Y64" s="1115"/>
      <c r="Z64" s="1115"/>
    </row>
    <row r="65" spans="1:26" ht="12" customHeight="1">
      <c r="A65" s="1138" cm="1">
        <f t="array" ref="A65">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50</v>
      </c>
      <c r="B65" s="1139" t="str" cm="1">
        <f t="array" ref="B65">IF($A65="","",INDEX('resident aged receivable'!$B:$B,$A65))</f>
        <v>N20-2093</v>
      </c>
      <c r="C65" s="1139" t="str" cm="1">
        <f t="array" ref="C65">IF($A65="","",INDEX('resident aged receivable'!$D:$D,$A65))</f>
        <v>Marshall, Alton</v>
      </c>
      <c r="D65" s="1140" cm="1">
        <f t="array" ref="D65">IF($A65="","",INDEX('resident aged receivable'!$F:$F,$A65))</f>
        <v>45995</v>
      </c>
      <c r="E65" s="1140" cm="1">
        <f t="array" ref="E65">IF($A65="","",_xlfn.LET(_xlpm.leaseEnd,INDEX('resident aged receivable'!$H:$H,$A65),_xlpm.moLookup,IFERROR(_xlfn.LET(_xlpm.lastFirst,C65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46359</v>
      </c>
      <c r="F65" s="1141" t="str">
        <f t="shared" si="1"/>
        <v>IPS</v>
      </c>
      <c r="G65" s="1142" t="str" cm="1">
        <f t="array" ref="G65">IF($A65="","",IF(COUNTIF($N$3:$N$24,C65)&gt;0,"Former",_xlfn.LET(_xlpm.s,INDEX('resident aged receivable'!$E:$E,$A65),IF(ISNUMBER(SEARCH("Eviction",_xlpm.s)),"Eviction",IF(ISNUMBER(SEARCH("Skip",_xlpm.s)),"Skip",IF(ISNUMBER(SEARCH("Past",_xlpm.s))+ISNUMBER(SEARCH("Collections",_xlpm.s)),"Former",_xlpm.s))))))</f>
        <v>Eviction</v>
      </c>
      <c r="H65" s="1143" cm="1">
        <f t="array" ref="H65">IF($A65="","",INDEX('resident aged receivable'!$I:$I,$A65))</f>
        <v>3728.17</v>
      </c>
      <c r="I65" s="1143" cm="1">
        <f t="array" ref="I65">IF($A65="","",INDEX('resident aged receivable'!$J:$J,$A65))</f>
        <v>954.4</v>
      </c>
      <c r="J65" s="1143" cm="1">
        <f t="array" ref="J65">IF($A65="","",INDEX('resident aged receivable'!$K:$K,$A65))</f>
        <v>924.59</v>
      </c>
      <c r="K65" s="1163" t="str" cm="1">
        <f t="array" ref="K65">IFERROR(IF(B65="","",IF(SUMPRODUCT((LeaseLock!$D$2:$D$500=B65)*ISNUMBER(SEARCH(LEFT(C65,FIND(",",C65&amp;",")-1),LeaseLock!$C$2:$C$500)))=0,"",IF(LOOKUP(2,1/((LeaseLock!$D$2:$D$500=B65)*ISNUMBER(SEARCH(LEFT(C65,FIND(",",C65&amp;",")-1),LeaseLock!$C$2:$C$500))),LeaseLock!$F$2:$F$500)="Claim Denied","Claim Denied ("&amp;LOOKUP(2,1/((LeaseLock!$D$2:$D$500=B65)*ISNUMBER(SEARCH(LEFT(C65,FIND(",",C65&amp;",")-1),LeaseLock!$C$2:$C$500))),LeaseLock!$G$2:$G$500)&amp;")",IF(LOOKUP(2,1/((LeaseLock!$D$2:$D$500=B65)*ISNUMBER(SEARCH(LEFT(C65,FIND(",",C65&amp;",")-1),LeaseLock!$C$2:$C$500))),LeaseLock!$F$2:$F$500)="Open","Open - "&amp;LOOKUP(2,1/((LeaseLock!$D$2:$D$500=B65)*ISNUMBER(SEARCH(LEFT(C65,FIND(",",C65&amp;",")-1),LeaseLock!$C$2:$C$500))),LeaseLock!$G$2:$G$500),IF(LOOKUP(2,1/((LeaseLock!$D$2:$D$500=B65)*ISNUMBER(SEARCH(LEFT(C65,FIND(",",C65&amp;",")-1),LeaseLock!$C$2:$C$500))),LeaseLock!$M$2:$M$500)&gt;0,LOOKUP(2,1/((LeaseLock!$D$2:$D$500=B65)*ISNUMBER(SEARCH(LEFT(C65,FIND(",",C65&amp;",")-1),LeaseLock!$C$2:$C$500))),LeaseLock!$F$2:$F$500)&amp;" - $"&amp;TEXT(LOOKUP(2,1/((LeaseLock!$D$2:$D$500=B65)*ISNUMBER(SEARCH(LEFT(C65,FIND(",",C65&amp;",")-1),LeaseLock!$C$2:$C$500))),LeaseLock!$M$2:$M$500),"#,##0.00")&amp;" paid",LOOKUP(2,1/((LeaseLock!$D$2:$D$500=B65)*ISNUMBER(SEARCH(LEFT(C65,FIND(",",C65&amp;",")-1),LeaseLock!$C$2:$C$500))),LeaseLock!$F$2:$F$500)&amp;" - no payment"))))),"")</f>
        <v/>
      </c>
      <c r="L65" s="1144"/>
      <c r="Q65" s="1115"/>
      <c r="R65" s="1115"/>
      <c r="S65" s="1115"/>
      <c r="T65" s="1115"/>
      <c r="U65" s="1115"/>
      <c r="V65" s="1115"/>
      <c r="W65" s="1115"/>
      <c r="X65" s="1115"/>
      <c r="Y65" s="1115"/>
      <c r="Z65" s="1115"/>
    </row>
    <row r="66" spans="1:26" ht="12" customHeight="1">
      <c r="A66" s="1138" cm="1">
        <f t="array" ref="A66">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191</v>
      </c>
      <c r="B66" s="1139" t="str" cm="1">
        <f t="array" ref="B66">IF($A66="","",INDEX('resident aged receivable'!$B:$B,$A66))</f>
        <v>W26-2-1016</v>
      </c>
      <c r="C66" s="1139" t="str" cm="1">
        <f t="array" ref="C66">IF($A66="","",INDEX('resident aged receivable'!$D:$D,$A66))</f>
        <v>Means, Alexxis</v>
      </c>
      <c r="D66" s="1140" cm="1">
        <f t="array" ref="D66">IF($A66="","",INDEX('resident aged receivable'!$F:$F,$A66))</f>
        <v>45814</v>
      </c>
      <c r="E66" s="1140" cm="1">
        <f t="array" ref="E66">IF($A66="","",_xlfn.LET(_xlpm.leaseEnd,INDEX('resident aged receivable'!$H:$H,$A66),_xlpm.moLookup,IFERROR(_xlfn.LET(_xlpm.lastFirst,C66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46178</v>
      </c>
      <c r="F66" s="1141" t="str">
        <f t="shared" si="1"/>
        <v>IPS</v>
      </c>
      <c r="G66" s="1142" t="str" cm="1">
        <f t="array" ref="G66">IF($A66="","",IF(COUNTIF($N$3:$N$24,C66)&gt;0,"Former",_xlfn.LET(_xlpm.s,INDEX('resident aged receivable'!$E:$E,$A66),IF(ISNUMBER(SEARCH("Eviction",_xlpm.s)),"Eviction",IF(ISNUMBER(SEARCH("Skip",_xlpm.s)),"Skip",IF(ISNUMBER(SEARCH("Past",_xlpm.s))+ISNUMBER(SEARCH("Collections",_xlpm.s)),"Former",_xlpm.s))))))</f>
        <v>Former</v>
      </c>
      <c r="H66" s="1143" cm="1">
        <f t="array" ref="H66">IF($A66="","",INDEX('resident aged receivable'!$I:$I,$A66))</f>
        <v>3215.01</v>
      </c>
      <c r="I66" s="1143" cm="1">
        <f t="array" ref="I66">IF($A66="","",INDEX('resident aged receivable'!$J:$J,$A66))</f>
        <v>1731.26</v>
      </c>
      <c r="J66" s="1143" cm="1">
        <f t="array" ref="J66">IF($A66="","",INDEX('resident aged receivable'!$K:$K,$A66))</f>
        <v>1483.75</v>
      </c>
      <c r="K66" s="1163" t="str" cm="1">
        <f t="array" ref="K66">IFERROR(IF(B66="","",IF(SUMPRODUCT((LeaseLock!$D$2:$D$500=B66)*ISNUMBER(SEARCH(LEFT(C66,FIND(",",C66&amp;",")-1),LeaseLock!$C$2:$C$500)))=0,"",IF(LOOKUP(2,1/((LeaseLock!$D$2:$D$500=B66)*ISNUMBER(SEARCH(LEFT(C66,FIND(",",C66&amp;",")-1),LeaseLock!$C$2:$C$500))),LeaseLock!$F$2:$F$500)="Claim Denied","Claim Denied ("&amp;LOOKUP(2,1/((LeaseLock!$D$2:$D$500=B66)*ISNUMBER(SEARCH(LEFT(C66,FIND(",",C66&amp;",")-1),LeaseLock!$C$2:$C$500))),LeaseLock!$G$2:$G$500)&amp;")",IF(LOOKUP(2,1/((LeaseLock!$D$2:$D$500=B66)*ISNUMBER(SEARCH(LEFT(C66,FIND(",",C66&amp;",")-1),LeaseLock!$C$2:$C$500))),LeaseLock!$F$2:$F$500)="Open","Open - "&amp;LOOKUP(2,1/((LeaseLock!$D$2:$D$500=B66)*ISNUMBER(SEARCH(LEFT(C66,FIND(",",C66&amp;",")-1),LeaseLock!$C$2:$C$500))),LeaseLock!$G$2:$G$500),IF(LOOKUP(2,1/((LeaseLock!$D$2:$D$500=B66)*ISNUMBER(SEARCH(LEFT(C66,FIND(",",C66&amp;",")-1),LeaseLock!$C$2:$C$500))),LeaseLock!$M$2:$M$500)&gt;0,LOOKUP(2,1/((LeaseLock!$D$2:$D$500=B66)*ISNUMBER(SEARCH(LEFT(C66,FIND(",",C66&amp;",")-1),LeaseLock!$C$2:$C$500))),LeaseLock!$F$2:$F$500)&amp;" - $"&amp;TEXT(LOOKUP(2,1/((LeaseLock!$D$2:$D$500=B66)*ISNUMBER(SEARCH(LEFT(C66,FIND(",",C66&amp;",")-1),LeaseLock!$C$2:$C$500))),LeaseLock!$M$2:$M$500),"#,##0.00")&amp;" paid",LOOKUP(2,1/((LeaseLock!$D$2:$D$500=B66)*ISNUMBER(SEARCH(LEFT(C66,FIND(",",C66&amp;",")-1),LeaseLock!$C$2:$C$500))),LeaseLock!$F$2:$F$500)&amp;" - no payment"))))),"")</f>
        <v/>
      </c>
      <c r="L66" s="1144"/>
      <c r="Q66" s="1115"/>
      <c r="R66" s="1115"/>
      <c r="S66" s="1115"/>
      <c r="T66" s="1115"/>
      <c r="U66" s="1115"/>
      <c r="V66" s="1115"/>
      <c r="W66" s="1115"/>
      <c r="X66" s="1115"/>
      <c r="Y66" s="1115"/>
      <c r="Z66" s="1115"/>
    </row>
    <row r="67" spans="1:26" ht="12" customHeight="1">
      <c r="A67" s="1138" cm="1">
        <f t="array" ref="A67">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128</v>
      </c>
      <c r="B67" s="1139" t="str" cm="1">
        <f t="array" ref="B67">IF($A67="","",INDEX('resident aged receivable'!$B:$B,$A67))</f>
        <v>W10-1-1013</v>
      </c>
      <c r="C67" s="1139" t="str" cm="1">
        <f t="array" ref="C67">IF($A67="","",INDEX('resident aged receivable'!$D:$D,$A67))</f>
        <v>Cetz, Manuel</v>
      </c>
      <c r="D67" s="1140" cm="1">
        <f t="array" ref="D67">IF($A67="","",INDEX('resident aged receivable'!$F:$F,$A67))</f>
        <v>42565</v>
      </c>
      <c r="E67" s="1140" cm="1">
        <f t="array" ref="E67">IF($A67="","",_xlfn.LET(_xlpm.leaseEnd,INDEX('resident aged receivable'!$H:$H,$A67),_xlpm.moLookup,IFERROR(_xlfn.LET(_xlpm.lastFirst,C67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46234</v>
      </c>
      <c r="F67" s="1141" t="str">
        <f t="shared" si="1"/>
        <v>IPS</v>
      </c>
      <c r="G67" s="1142" t="str" cm="1">
        <f t="array" ref="G67">IF($A67="","",IF(COUNTIF($N$3:$N$24,C67)&gt;0,"Former",_xlfn.LET(_xlpm.s,INDEX('resident aged receivable'!$E:$E,$A67),IF(ISNUMBER(SEARCH("Eviction",_xlpm.s)),"Eviction",IF(ISNUMBER(SEARCH("Skip",_xlpm.s)),"Skip",IF(ISNUMBER(SEARCH("Past",_xlpm.s))+ISNUMBER(SEARCH("Collections",_xlpm.s)),"Former",_xlpm.s))))))</f>
        <v>Former</v>
      </c>
      <c r="H67" s="1143" cm="1">
        <f t="array" ref="H67">IF($A67="","",INDEX('resident aged receivable'!$I:$I,$A67))</f>
        <v>3182.58</v>
      </c>
      <c r="I67" s="1143" cm="1">
        <f t="array" ref="I67">IF($A67="","",INDEX('resident aged receivable'!$J:$J,$A67))</f>
        <v>0</v>
      </c>
      <c r="J67" s="1143" cm="1">
        <f t="array" ref="J67">IF($A67="","",INDEX('resident aged receivable'!$K:$K,$A67))</f>
        <v>3182.58</v>
      </c>
      <c r="K67" s="1163" t="str" cm="1">
        <f t="array" ref="K67">IFERROR(IF(B67="","",IF(SUMPRODUCT((LeaseLock!$D$2:$D$500=B67)*ISNUMBER(SEARCH(LEFT(C67,FIND(",",C67&amp;",")-1),LeaseLock!$C$2:$C$500)))=0,"",IF(LOOKUP(2,1/((LeaseLock!$D$2:$D$500=B67)*ISNUMBER(SEARCH(LEFT(C67,FIND(",",C67&amp;",")-1),LeaseLock!$C$2:$C$500))),LeaseLock!$F$2:$F$500)="Claim Denied","Claim Denied ("&amp;LOOKUP(2,1/((LeaseLock!$D$2:$D$500=B67)*ISNUMBER(SEARCH(LEFT(C67,FIND(",",C67&amp;",")-1),LeaseLock!$C$2:$C$500))),LeaseLock!$G$2:$G$500)&amp;")",IF(LOOKUP(2,1/((LeaseLock!$D$2:$D$500=B67)*ISNUMBER(SEARCH(LEFT(C67,FIND(",",C67&amp;",")-1),LeaseLock!$C$2:$C$500))),LeaseLock!$F$2:$F$500)="Open","Open - "&amp;LOOKUP(2,1/((LeaseLock!$D$2:$D$500=B67)*ISNUMBER(SEARCH(LEFT(C67,FIND(",",C67&amp;",")-1),LeaseLock!$C$2:$C$500))),LeaseLock!$G$2:$G$500),IF(LOOKUP(2,1/((LeaseLock!$D$2:$D$500=B67)*ISNUMBER(SEARCH(LEFT(C67,FIND(",",C67&amp;",")-1),LeaseLock!$C$2:$C$500))),LeaseLock!$M$2:$M$500)&gt;0,LOOKUP(2,1/((LeaseLock!$D$2:$D$500=B67)*ISNUMBER(SEARCH(LEFT(C67,FIND(",",C67&amp;",")-1),LeaseLock!$C$2:$C$500))),LeaseLock!$F$2:$F$500)&amp;" - $"&amp;TEXT(LOOKUP(2,1/((LeaseLock!$D$2:$D$500=B67)*ISNUMBER(SEARCH(LEFT(C67,FIND(",",C67&amp;",")-1),LeaseLock!$C$2:$C$500))),LeaseLock!$M$2:$M$500),"#,##0.00")&amp;" paid",LOOKUP(2,1/((LeaseLock!$D$2:$D$500=B67)*ISNUMBER(SEARCH(LEFT(C67,FIND(",",C67&amp;",")-1),LeaseLock!$C$2:$C$500))),LeaseLock!$F$2:$F$500)&amp;" - no payment"))))),"")</f>
        <v/>
      </c>
      <c r="L67" s="1146" t="s">
        <v>6823</v>
      </c>
      <c r="Q67" s="1115"/>
      <c r="R67" s="1115"/>
      <c r="S67" s="1115"/>
      <c r="T67" s="1115"/>
      <c r="U67" s="1115"/>
      <c r="V67" s="1115"/>
      <c r="W67" s="1115"/>
      <c r="X67" s="1115"/>
      <c r="Y67" s="1147"/>
      <c r="Z67" s="1134"/>
    </row>
    <row r="68" spans="1:26" ht="12" customHeight="1">
      <c r="A68" s="1138" cm="1">
        <f t="array" ref="A68">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154</v>
      </c>
      <c r="B68" s="1139" t="str" cm="1">
        <f t="array" ref="B68">IF($A68="","",INDEX('resident aged receivable'!$B:$B,$A68))</f>
        <v>W15-2-2087</v>
      </c>
      <c r="C68" s="1139" t="str" cm="1">
        <f t="array" ref="C68">IF($A68="","",INDEX('resident aged receivable'!$D:$D,$A68))</f>
        <v>Anchondo, Damian</v>
      </c>
      <c r="D68" s="1140" cm="1">
        <f t="array" ref="D68">IF($A68="","",INDEX('resident aged receivable'!$F:$F,$A68))</f>
        <v>43252</v>
      </c>
      <c r="E68" s="1140" cm="1">
        <f t="array" ref="E68">IF($A68="","",_xlfn.LET(_xlpm.leaseEnd,INDEX('resident aged receivable'!$H:$H,$A68),_xlpm.moLookup,IFERROR(_xlfn.LET(_xlpm.lastFirst,C68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46173</v>
      </c>
      <c r="F68" s="1141" t="str">
        <f t="shared" si="1"/>
        <v>IPS</v>
      </c>
      <c r="G68" s="1142" t="str" cm="1">
        <f t="array" ref="G68">IF($A68="","",IF(COUNTIF($N$3:$N$24,C68)&gt;0,"Former",_xlfn.LET(_xlpm.s,INDEX('resident aged receivable'!$E:$E,$A68),IF(ISNUMBER(SEARCH("Eviction",_xlpm.s)),"Eviction",IF(ISNUMBER(SEARCH("Skip",_xlpm.s)),"Skip",IF(ISNUMBER(SEARCH("Past",_xlpm.s))+ISNUMBER(SEARCH("Collections",_xlpm.s)),"Former",_xlpm.s))))))</f>
        <v>Skip</v>
      </c>
      <c r="H68" s="1143" cm="1">
        <f t="array" ref="H68">IF($A68="","",INDEX('resident aged receivable'!$I:$I,$A68))</f>
        <v>3057.7</v>
      </c>
      <c r="I68" s="1143" cm="1">
        <f t="array" ref="I68">IF($A68="","",INDEX('resident aged receivable'!$J:$J,$A68))</f>
        <v>3057.7</v>
      </c>
      <c r="J68" s="1143" cm="1">
        <f t="array" ref="J68">IF($A68="","",INDEX('resident aged receivable'!$K:$K,$A68))</f>
        <v>0</v>
      </c>
      <c r="K68" s="1163" t="str" cm="1">
        <f t="array" ref="K68">IFERROR(IF(B68="","",IF(SUMPRODUCT((LeaseLock!$D$2:$D$500=B68)*ISNUMBER(SEARCH(LEFT(C68,FIND(",",C68&amp;",")-1),LeaseLock!$C$2:$C$500)))=0,"",IF(LOOKUP(2,1/((LeaseLock!$D$2:$D$500=B68)*ISNUMBER(SEARCH(LEFT(C68,FIND(",",C68&amp;",")-1),LeaseLock!$C$2:$C$500))),LeaseLock!$F$2:$F$500)="Claim Denied","Claim Denied ("&amp;LOOKUP(2,1/((LeaseLock!$D$2:$D$500=B68)*ISNUMBER(SEARCH(LEFT(C68,FIND(",",C68&amp;",")-1),LeaseLock!$C$2:$C$500))),LeaseLock!$G$2:$G$500)&amp;")",IF(LOOKUP(2,1/((LeaseLock!$D$2:$D$500=B68)*ISNUMBER(SEARCH(LEFT(C68,FIND(",",C68&amp;",")-1),LeaseLock!$C$2:$C$500))),LeaseLock!$F$2:$F$500)="Open","Open - "&amp;LOOKUP(2,1/((LeaseLock!$D$2:$D$500=B68)*ISNUMBER(SEARCH(LEFT(C68,FIND(",",C68&amp;",")-1),LeaseLock!$C$2:$C$500))),LeaseLock!$G$2:$G$500),IF(LOOKUP(2,1/((LeaseLock!$D$2:$D$500=B68)*ISNUMBER(SEARCH(LEFT(C68,FIND(",",C68&amp;",")-1),LeaseLock!$C$2:$C$500))),LeaseLock!$M$2:$M$500)&gt;0,LOOKUP(2,1/((LeaseLock!$D$2:$D$500=B68)*ISNUMBER(SEARCH(LEFT(C68,FIND(",",C68&amp;",")-1),LeaseLock!$C$2:$C$500))),LeaseLock!$F$2:$F$500)&amp;" - $"&amp;TEXT(LOOKUP(2,1/((LeaseLock!$D$2:$D$500=B68)*ISNUMBER(SEARCH(LEFT(C68,FIND(",",C68&amp;",")-1),LeaseLock!$C$2:$C$500))),LeaseLock!$M$2:$M$500),"#,##0.00")&amp;" paid",LOOKUP(2,1/((LeaseLock!$D$2:$D$500=B68)*ISNUMBER(SEARCH(LEFT(C68,FIND(",",C68&amp;",")-1),LeaseLock!$C$2:$C$500))),LeaseLock!$F$2:$F$500)&amp;" - no payment"))))),"")</f>
        <v/>
      </c>
      <c r="L68" s="1144"/>
      <c r="Q68" s="1115"/>
      <c r="R68" s="1115"/>
      <c r="S68" s="1115"/>
      <c r="T68" s="1115"/>
      <c r="U68" s="1115"/>
      <c r="V68" s="1115"/>
      <c r="W68" s="1115"/>
      <c r="X68" s="1115"/>
      <c r="Y68" s="1147"/>
      <c r="Z68" s="1115"/>
    </row>
    <row r="69" spans="1:26" ht="12" customHeight="1">
      <c r="A69" s="1138" cm="1">
        <f t="array" ref="A69">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28</v>
      </c>
      <c r="B69" s="1139" t="str" cm="1">
        <f t="array" ref="B69">IF($A69="","",INDEX('resident aged receivable'!$B:$B,$A69))</f>
        <v>N13-1055</v>
      </c>
      <c r="C69" s="1139" t="str" cm="1">
        <f t="array" ref="C69">IF($A69="","",INDEX('resident aged receivable'!$D:$D,$A69))</f>
        <v>Raudales, Joser</v>
      </c>
      <c r="D69" s="1140" cm="1">
        <f t="array" ref="D69">IF($A69="","",INDEX('resident aged receivable'!$F:$F,$A69))</f>
        <v>45465</v>
      </c>
      <c r="E69" s="1140" cm="1">
        <f t="array" ref="E69">IF($A69="","",_xlfn.LET(_xlpm.leaseEnd,INDEX('resident aged receivable'!$H:$H,$A69),_xlpm.moLookup,IFERROR(_xlfn.LET(_xlpm.lastFirst,C69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46356</v>
      </c>
      <c r="F69" s="1141" t="str">
        <f t="shared" si="1"/>
        <v>IPS</v>
      </c>
      <c r="G69" s="1142" t="str" cm="1">
        <f t="array" ref="G69">IF($A69="","",IF(COUNTIF($N$3:$N$24,C69)&gt;0,"Former",_xlfn.LET(_xlpm.s,INDEX('resident aged receivable'!$E:$E,$A69),IF(ISNUMBER(SEARCH("Eviction",_xlpm.s)),"Eviction",IF(ISNUMBER(SEARCH("Skip",_xlpm.s)),"Skip",IF(ISNUMBER(SEARCH("Past",_xlpm.s))+ISNUMBER(SEARCH("Collections",_xlpm.s)),"Former",_xlpm.s))))))</f>
        <v>Skip</v>
      </c>
      <c r="H69" s="1143" cm="1">
        <f t="array" ref="H69">IF($A69="","",INDEX('resident aged receivable'!$I:$I,$A69))</f>
        <v>2954.5</v>
      </c>
      <c r="I69" s="1143" cm="1">
        <f t="array" ref="I69">IF($A69="","",INDEX('resident aged receivable'!$J:$J,$A69))</f>
        <v>0</v>
      </c>
      <c r="J69" s="1143" cm="1">
        <f t="array" ref="J69">IF($A69="","",INDEX('resident aged receivable'!$K:$K,$A69))</f>
        <v>2443.25</v>
      </c>
      <c r="K69" s="1163" t="str" cm="1">
        <f t="array" ref="K69">IFERROR(IF(B69="","",IF(SUMPRODUCT((LeaseLock!$D$2:$D$500=B69)*ISNUMBER(SEARCH(LEFT(C69,FIND(",",C69&amp;",")-1),LeaseLock!$C$2:$C$500)))=0,"",IF(LOOKUP(2,1/((LeaseLock!$D$2:$D$500=B69)*ISNUMBER(SEARCH(LEFT(C69,FIND(",",C69&amp;",")-1),LeaseLock!$C$2:$C$500))),LeaseLock!$F$2:$F$500)="Claim Denied","Claim Denied ("&amp;LOOKUP(2,1/((LeaseLock!$D$2:$D$500=B69)*ISNUMBER(SEARCH(LEFT(C69,FIND(",",C69&amp;",")-1),LeaseLock!$C$2:$C$500))),LeaseLock!$G$2:$G$500)&amp;")",IF(LOOKUP(2,1/((LeaseLock!$D$2:$D$500=B69)*ISNUMBER(SEARCH(LEFT(C69,FIND(",",C69&amp;",")-1),LeaseLock!$C$2:$C$500))),LeaseLock!$F$2:$F$500)="Open","Open - "&amp;LOOKUP(2,1/((LeaseLock!$D$2:$D$500=B69)*ISNUMBER(SEARCH(LEFT(C69,FIND(",",C69&amp;",")-1),LeaseLock!$C$2:$C$500))),LeaseLock!$G$2:$G$500),IF(LOOKUP(2,1/((LeaseLock!$D$2:$D$500=B69)*ISNUMBER(SEARCH(LEFT(C69,FIND(",",C69&amp;",")-1),LeaseLock!$C$2:$C$500))),LeaseLock!$M$2:$M$500)&gt;0,LOOKUP(2,1/((LeaseLock!$D$2:$D$500=B69)*ISNUMBER(SEARCH(LEFT(C69,FIND(",",C69&amp;",")-1),LeaseLock!$C$2:$C$500))),LeaseLock!$F$2:$F$500)&amp;" - $"&amp;TEXT(LOOKUP(2,1/((LeaseLock!$D$2:$D$500=B69)*ISNUMBER(SEARCH(LEFT(C69,FIND(",",C69&amp;",")-1),LeaseLock!$C$2:$C$500))),LeaseLock!$M$2:$M$500),"#,##0.00")&amp;" paid",LOOKUP(2,1/((LeaseLock!$D$2:$D$500=B69)*ISNUMBER(SEARCH(LEFT(C69,FIND(",",C69&amp;",")-1),LeaseLock!$C$2:$C$500))),LeaseLock!$F$2:$F$500)&amp;" - no payment"))))),"")</f>
        <v>Closed - $387.00 paid</v>
      </c>
      <c r="L69" s="1144"/>
      <c r="Q69" s="1115"/>
      <c r="R69" s="1115"/>
      <c r="S69" s="1115"/>
      <c r="T69" s="1115"/>
      <c r="U69" s="1115"/>
      <c r="V69" s="1115"/>
      <c r="W69" s="1115"/>
      <c r="X69" s="1115"/>
      <c r="Y69" s="1147"/>
      <c r="Z69" s="1115"/>
    </row>
    <row r="70" spans="1:26" ht="12" customHeight="1">
      <c r="A70" s="1138" cm="1">
        <f t="array" ref="A70">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184</v>
      </c>
      <c r="B70" s="1139" t="str" cm="1">
        <f t="array" ref="B70">IF($A70="","",INDEX('resident aged receivable'!$B:$B,$A70))</f>
        <v>W23-2-2045</v>
      </c>
      <c r="C70" s="1139" t="str" cm="1">
        <f t="array" ref="C70">IF($A70="","",INDEX('resident aged receivable'!$D:$D,$A70))</f>
        <v>Kidd, Sherice</v>
      </c>
      <c r="D70" s="1140" cm="1">
        <f t="array" ref="D70">IF($A70="","",INDEX('resident aged receivable'!$F:$F,$A70))</f>
        <v>45821</v>
      </c>
      <c r="E70" s="1140" cm="1">
        <f t="array" ref="E70">IF($A70="","",_xlfn.LET(_xlpm.leaseEnd,INDEX('resident aged receivable'!$H:$H,$A70),_xlpm.moLookup,IFERROR(_xlfn.LET(_xlpm.lastFirst,C70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46185</v>
      </c>
      <c r="F70" s="1141" t="str">
        <f t="shared" si="1"/>
        <v>IPS</v>
      </c>
      <c r="G70" s="1142" t="str" cm="1">
        <f t="array" ref="G70">IF($A70="","",IF(COUNTIF($N$3:$N$24,C70)&gt;0,"Former",_xlfn.LET(_xlpm.s,INDEX('resident aged receivable'!$E:$E,$A70),IF(ISNUMBER(SEARCH("Eviction",_xlpm.s)),"Eviction",IF(ISNUMBER(SEARCH("Skip",_xlpm.s)),"Skip",IF(ISNUMBER(SEARCH("Past",_xlpm.s))+ISNUMBER(SEARCH("Collections",_xlpm.s)),"Former",_xlpm.s))))))</f>
        <v>Skip</v>
      </c>
      <c r="H70" s="1143" cm="1">
        <f t="array" ref="H70">IF($A70="","",INDEX('resident aged receivable'!$I:$I,$A70))</f>
        <v>2927.83</v>
      </c>
      <c r="I70" s="1143" cm="1">
        <f t="array" ref="I70">IF($A70="","",INDEX('resident aged receivable'!$J:$J,$A70))</f>
        <v>0</v>
      </c>
      <c r="J70" s="1143" cm="1">
        <f t="array" ref="J70">IF($A70="","",INDEX('resident aged receivable'!$K:$K,$A70))</f>
        <v>511.59</v>
      </c>
      <c r="K70" s="1163" t="str" cm="1">
        <f t="array" ref="K70">IFERROR(IF(B70="","",IF(SUMPRODUCT((LeaseLock!$D$2:$D$500=B70)*ISNUMBER(SEARCH(LEFT(C70,FIND(",",C70&amp;",")-1),LeaseLock!$C$2:$C$500)))=0,"",IF(LOOKUP(2,1/((LeaseLock!$D$2:$D$500=B70)*ISNUMBER(SEARCH(LEFT(C70,FIND(",",C70&amp;",")-1),LeaseLock!$C$2:$C$500))),LeaseLock!$F$2:$F$500)="Claim Denied","Claim Denied ("&amp;LOOKUP(2,1/((LeaseLock!$D$2:$D$500=B70)*ISNUMBER(SEARCH(LEFT(C70,FIND(",",C70&amp;",")-1),LeaseLock!$C$2:$C$500))),LeaseLock!$G$2:$G$500)&amp;")",IF(LOOKUP(2,1/((LeaseLock!$D$2:$D$500=B70)*ISNUMBER(SEARCH(LEFT(C70,FIND(",",C70&amp;",")-1),LeaseLock!$C$2:$C$500))),LeaseLock!$F$2:$F$500)="Open","Open - "&amp;LOOKUP(2,1/((LeaseLock!$D$2:$D$500=B70)*ISNUMBER(SEARCH(LEFT(C70,FIND(",",C70&amp;",")-1),LeaseLock!$C$2:$C$500))),LeaseLock!$G$2:$G$500),IF(LOOKUP(2,1/((LeaseLock!$D$2:$D$500=B70)*ISNUMBER(SEARCH(LEFT(C70,FIND(",",C70&amp;",")-1),LeaseLock!$C$2:$C$500))),LeaseLock!$M$2:$M$500)&gt;0,LOOKUP(2,1/((LeaseLock!$D$2:$D$500=B70)*ISNUMBER(SEARCH(LEFT(C70,FIND(",",C70&amp;",")-1),LeaseLock!$C$2:$C$500))),LeaseLock!$F$2:$F$500)&amp;" - $"&amp;TEXT(LOOKUP(2,1/((LeaseLock!$D$2:$D$500=B70)*ISNUMBER(SEARCH(LEFT(C70,FIND(",",C70&amp;",")-1),LeaseLock!$C$2:$C$500))),LeaseLock!$M$2:$M$500),"#,##0.00")&amp;" paid",LOOKUP(2,1/((LeaseLock!$D$2:$D$500=B70)*ISNUMBER(SEARCH(LEFT(C70,FIND(",",C70&amp;",")-1),LeaseLock!$C$2:$C$500))),LeaseLock!$F$2:$F$500)&amp;" - no payment"))))),"")</f>
        <v/>
      </c>
      <c r="L70" s="1144" t="s">
        <v>6824</v>
      </c>
      <c r="Q70" s="1115"/>
      <c r="R70" s="1115"/>
      <c r="S70" s="1115"/>
      <c r="T70" s="1115"/>
      <c r="U70" s="1115"/>
      <c r="V70" s="1115"/>
      <c r="W70" s="1115"/>
      <c r="X70" s="1115"/>
      <c r="Y70" s="1147"/>
      <c r="Z70" s="1134"/>
    </row>
    <row r="71" spans="1:26" ht="12" customHeight="1">
      <c r="A71" s="1138" cm="1">
        <f t="array" ref="A71">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153</v>
      </c>
      <c r="B71" s="1139" t="str" cm="1">
        <f t="array" ref="B71">IF($A71="","",INDEX('resident aged receivable'!$B:$B,$A71))</f>
        <v>W15-2-2086</v>
      </c>
      <c r="C71" s="1139" t="str" cm="1">
        <f t="array" ref="C71">IF($A71="","",INDEX('resident aged receivable'!$D:$D,$A71))</f>
        <v>Foster, Sean</v>
      </c>
      <c r="D71" s="1140" cm="1">
        <f t="array" ref="D71">IF($A71="","",INDEX('resident aged receivable'!$F:$F,$A71))</f>
        <v>44506</v>
      </c>
      <c r="E71" s="1140" cm="1">
        <f t="array" ref="E71">IF($A71="","",_xlfn.LET(_xlpm.leaseEnd,INDEX('resident aged receivable'!$H:$H,$A71),_xlpm.moLookup,IFERROR(_xlfn.LET(_xlpm.lastFirst,C71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46203</v>
      </c>
      <c r="F71" s="1141" t="str">
        <f t="shared" si="1"/>
        <v>IPS</v>
      </c>
      <c r="G71" s="1142" t="str" cm="1">
        <f t="array" ref="G71">IF($A71="","",IF(COUNTIF($N$3:$N$24,C71)&gt;0,"Former",_xlfn.LET(_xlpm.s,INDEX('resident aged receivable'!$E:$E,$A71),IF(ISNUMBER(SEARCH("Eviction",_xlpm.s)),"Eviction",IF(ISNUMBER(SEARCH("Skip",_xlpm.s)),"Skip",IF(ISNUMBER(SEARCH("Past",_xlpm.s))+ISNUMBER(SEARCH("Collections",_xlpm.s)),"Former",_xlpm.s))))))</f>
        <v>Skip</v>
      </c>
      <c r="H71" s="1143" cm="1">
        <f t="array" ref="H71">IF($A71="","",INDEX('resident aged receivable'!$I:$I,$A71))</f>
        <v>2789.06</v>
      </c>
      <c r="I71" s="1143" cm="1">
        <f t="array" ref="I71">IF($A71="","",INDEX('resident aged receivable'!$J:$J,$A71))</f>
        <v>0</v>
      </c>
      <c r="J71" s="1143" cm="1">
        <f t="array" ref="J71">IF($A71="","",INDEX('resident aged receivable'!$K:$K,$A71))</f>
        <v>73.13</v>
      </c>
      <c r="K71" s="1163" t="str" cm="1">
        <f t="array" ref="K71">IFERROR(IF(B71="","",IF(SUMPRODUCT((LeaseLock!$D$2:$D$500=B71)*ISNUMBER(SEARCH(LEFT(C71,FIND(",",C71&amp;",")-1),LeaseLock!$C$2:$C$500)))=0,"",IF(LOOKUP(2,1/((LeaseLock!$D$2:$D$500=B71)*ISNUMBER(SEARCH(LEFT(C71,FIND(",",C71&amp;",")-1),LeaseLock!$C$2:$C$500))),LeaseLock!$F$2:$F$500)="Claim Denied","Claim Denied ("&amp;LOOKUP(2,1/((LeaseLock!$D$2:$D$500=B71)*ISNUMBER(SEARCH(LEFT(C71,FIND(",",C71&amp;",")-1),LeaseLock!$C$2:$C$500))),LeaseLock!$G$2:$G$500)&amp;")",IF(LOOKUP(2,1/((LeaseLock!$D$2:$D$500=B71)*ISNUMBER(SEARCH(LEFT(C71,FIND(",",C71&amp;",")-1),LeaseLock!$C$2:$C$500))),LeaseLock!$F$2:$F$500)="Open","Open - "&amp;LOOKUP(2,1/((LeaseLock!$D$2:$D$500=B71)*ISNUMBER(SEARCH(LEFT(C71,FIND(",",C71&amp;",")-1),LeaseLock!$C$2:$C$500))),LeaseLock!$G$2:$G$500),IF(LOOKUP(2,1/((LeaseLock!$D$2:$D$500=B71)*ISNUMBER(SEARCH(LEFT(C71,FIND(",",C71&amp;",")-1),LeaseLock!$C$2:$C$500))),LeaseLock!$M$2:$M$500)&gt;0,LOOKUP(2,1/((LeaseLock!$D$2:$D$500=B71)*ISNUMBER(SEARCH(LEFT(C71,FIND(",",C71&amp;",")-1),LeaseLock!$C$2:$C$500))),LeaseLock!$F$2:$F$500)&amp;" - $"&amp;TEXT(LOOKUP(2,1/((LeaseLock!$D$2:$D$500=B71)*ISNUMBER(SEARCH(LEFT(C71,FIND(",",C71&amp;",")-1),LeaseLock!$C$2:$C$500))),LeaseLock!$M$2:$M$500),"#,##0.00")&amp;" paid",LOOKUP(2,1/((LeaseLock!$D$2:$D$500=B71)*ISNUMBER(SEARCH(LEFT(C71,FIND(",",C71&amp;",")-1),LeaseLock!$C$2:$C$500))),LeaseLock!$F$2:$F$500)&amp;" - no payment"))))),"")</f>
        <v/>
      </c>
      <c r="L71" s="1144" t="s">
        <v>6825</v>
      </c>
      <c r="Q71" s="1115"/>
      <c r="R71" s="1115"/>
      <c r="S71" s="1115"/>
      <c r="T71" s="1115"/>
      <c r="U71" s="1115"/>
      <c r="V71" s="1115"/>
      <c r="W71" s="1115"/>
      <c r="X71" s="1115"/>
      <c r="Y71" s="1115"/>
      <c r="Z71" s="1115"/>
    </row>
    <row r="72" spans="1:26" ht="12" customHeight="1">
      <c r="A72" s="1138" cm="1">
        <f t="array" ref="A72">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126</v>
      </c>
      <c r="B72" s="1139" t="str" cm="1">
        <f t="array" ref="B72">IF($A72="","",INDEX('resident aged receivable'!$B:$B,$A72))</f>
        <v>W09-1-0916</v>
      </c>
      <c r="C72" s="1139" t="str" cm="1">
        <f t="array" ref="C72">IF($A72="","",INDEX('resident aged receivable'!$D:$D,$A72))</f>
        <v>Yazmin, Karen</v>
      </c>
      <c r="D72" s="1140" cm="1">
        <f t="array" ref="D72">IF($A72="","",INDEX('resident aged receivable'!$F:$F,$A72))</f>
        <v>45231</v>
      </c>
      <c r="E72" s="1140" cm="1">
        <f t="array" ref="E72">IF($A72="","",_xlfn.LET(_xlpm.leaseEnd,INDEX('resident aged receivable'!$H:$H,$A72),_xlpm.moLookup,IFERROR(_xlfn.LET(_xlpm.lastFirst,C72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46081</v>
      </c>
      <c r="F72" s="1141" t="str">
        <f t="shared" si="1"/>
        <v>IPS</v>
      </c>
      <c r="G72" s="1142" t="str" cm="1">
        <f t="array" ref="G72">IF($A72="","",IF(COUNTIF($N$3:$N$24,C72)&gt;0,"Former",_xlfn.LET(_xlpm.s,INDEX('resident aged receivable'!$E:$E,$A72),IF(ISNUMBER(SEARCH("Eviction",_xlpm.s)),"Eviction",IF(ISNUMBER(SEARCH("Skip",_xlpm.s)),"Skip",IF(ISNUMBER(SEARCH("Past",_xlpm.s))+ISNUMBER(SEARCH("Collections",_xlpm.s)),"Former",_xlpm.s))))))</f>
        <v>Former</v>
      </c>
      <c r="H72" s="1143" cm="1">
        <f t="array" ref="H72">IF($A72="","",INDEX('resident aged receivable'!$I:$I,$A72))</f>
        <v>2749.27</v>
      </c>
      <c r="I72" s="1143" cm="1">
        <f t="array" ref="I72">IF($A72="","",INDEX('resident aged receivable'!$J:$J,$A72))</f>
        <v>0</v>
      </c>
      <c r="J72" s="1143" cm="1">
        <f t="array" ref="J72">IF($A72="","",INDEX('resident aged receivable'!$K:$K,$A72))</f>
        <v>1216.28</v>
      </c>
      <c r="K72" s="1163" t="str" cm="1">
        <f t="array" ref="K72">IFERROR(IF(B72="","",IF(SUMPRODUCT((LeaseLock!$D$2:$D$500=B72)*ISNUMBER(SEARCH(LEFT(C72,FIND(",",C72&amp;",")-1),LeaseLock!$C$2:$C$500)))=0,"",IF(LOOKUP(2,1/((LeaseLock!$D$2:$D$500=B72)*ISNUMBER(SEARCH(LEFT(C72,FIND(",",C72&amp;",")-1),LeaseLock!$C$2:$C$500))),LeaseLock!$F$2:$F$500)="Claim Denied","Claim Denied ("&amp;LOOKUP(2,1/((LeaseLock!$D$2:$D$500=B72)*ISNUMBER(SEARCH(LEFT(C72,FIND(",",C72&amp;",")-1),LeaseLock!$C$2:$C$500))),LeaseLock!$G$2:$G$500)&amp;")",IF(LOOKUP(2,1/((LeaseLock!$D$2:$D$500=B72)*ISNUMBER(SEARCH(LEFT(C72,FIND(",",C72&amp;",")-1),LeaseLock!$C$2:$C$500))),LeaseLock!$F$2:$F$500)="Open","Open - "&amp;LOOKUP(2,1/((LeaseLock!$D$2:$D$500=B72)*ISNUMBER(SEARCH(LEFT(C72,FIND(",",C72&amp;",")-1),LeaseLock!$C$2:$C$500))),LeaseLock!$G$2:$G$500),IF(LOOKUP(2,1/((LeaseLock!$D$2:$D$500=B72)*ISNUMBER(SEARCH(LEFT(C72,FIND(",",C72&amp;",")-1),LeaseLock!$C$2:$C$500))),LeaseLock!$M$2:$M$500)&gt;0,LOOKUP(2,1/((LeaseLock!$D$2:$D$500=B72)*ISNUMBER(SEARCH(LEFT(C72,FIND(",",C72&amp;",")-1),LeaseLock!$C$2:$C$500))),LeaseLock!$F$2:$F$500)&amp;" - $"&amp;TEXT(LOOKUP(2,1/((LeaseLock!$D$2:$D$500=B72)*ISNUMBER(SEARCH(LEFT(C72,FIND(",",C72&amp;",")-1),LeaseLock!$C$2:$C$500))),LeaseLock!$M$2:$M$500),"#,##0.00")&amp;" paid",LOOKUP(2,1/((LeaseLock!$D$2:$D$500=B72)*ISNUMBER(SEARCH(LEFT(C72,FIND(",",C72&amp;",")-1),LeaseLock!$C$2:$C$500))),LeaseLock!$F$2:$F$500)&amp;" - no payment"))))),"")</f>
        <v>Closed - $750.00 paid</v>
      </c>
      <c r="L72" s="1144"/>
      <c r="Q72" s="1115"/>
      <c r="R72" s="1115"/>
      <c r="S72" s="1115"/>
      <c r="T72" s="1115"/>
      <c r="U72" s="1115"/>
      <c r="V72" s="1115"/>
      <c r="W72" s="1115"/>
      <c r="X72" s="1115"/>
      <c r="Y72" s="1115"/>
      <c r="Z72" s="1115"/>
    </row>
    <row r="73" spans="1:26" ht="12" customHeight="1">
      <c r="A73" s="1138" cm="1">
        <f t="array" ref="A73">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136</v>
      </c>
      <c r="B73" s="1139" t="str" cm="1">
        <f t="array" ref="B73">IF($A73="","",INDEX('resident aged receivable'!$B:$B,$A73))</f>
        <v>W12-1-1209</v>
      </c>
      <c r="C73" s="1139" t="str" cm="1">
        <f t="array" ref="C73">IF($A73="","",INDEX('resident aged receivable'!$D:$D,$A73))</f>
        <v>Moya, Cherilyn</v>
      </c>
      <c r="D73" s="1140" cm="1">
        <f t="array" ref="D73">IF($A73="","",INDEX('resident aged receivable'!$F:$F,$A73))</f>
        <v>45709</v>
      </c>
      <c r="E73" s="1140" cm="1">
        <f t="array" ref="E73">IF($A73="","",_xlfn.LET(_xlpm.leaseEnd,INDEX('resident aged receivable'!$H:$H,$A73),_xlpm.moLookup,IFERROR(_xlfn.LET(_xlpm.lastFirst,C73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46120</v>
      </c>
      <c r="F73" s="1141" t="str">
        <f t="shared" si="1"/>
        <v>IPS</v>
      </c>
      <c r="G73" s="1142" t="str" cm="1">
        <f t="array" ref="G73">IF($A73="","",IF(COUNTIF($N$3:$N$24,C73)&gt;0,"Former",_xlfn.LET(_xlpm.s,INDEX('resident aged receivable'!$E:$E,$A73),IF(ISNUMBER(SEARCH("Eviction",_xlpm.s)),"Eviction",IF(ISNUMBER(SEARCH("Skip",_xlpm.s)),"Skip",IF(ISNUMBER(SEARCH("Past",_xlpm.s))+ISNUMBER(SEARCH("Collections",_xlpm.s)),"Former",_xlpm.s))))))</f>
        <v>Skip</v>
      </c>
      <c r="H73" s="1143" cm="1">
        <f t="array" ref="H73">IF($A73="","",INDEX('resident aged receivable'!$I:$I,$A73))</f>
        <v>2519.38</v>
      </c>
      <c r="I73" s="1143" cm="1">
        <f t="array" ref="I73">IF($A73="","",INDEX('resident aged receivable'!$J:$J,$A73))</f>
        <v>1368.22</v>
      </c>
      <c r="J73" s="1143" cm="1">
        <f t="array" ref="J73">IF($A73="","",INDEX('resident aged receivable'!$K:$K,$A73))</f>
        <v>1061.58</v>
      </c>
      <c r="K73" s="1163" t="str" cm="1">
        <f t="array" ref="K73">IFERROR(IF(B73="","",IF(SUMPRODUCT((LeaseLock!$D$2:$D$500=B73)*ISNUMBER(SEARCH(LEFT(C73,FIND(",",C73&amp;",")-1),LeaseLock!$C$2:$C$500)))=0,"",IF(LOOKUP(2,1/((LeaseLock!$D$2:$D$500=B73)*ISNUMBER(SEARCH(LEFT(C73,FIND(",",C73&amp;",")-1),LeaseLock!$C$2:$C$500))),LeaseLock!$F$2:$F$500)="Claim Denied","Claim Denied ("&amp;LOOKUP(2,1/((LeaseLock!$D$2:$D$500=B73)*ISNUMBER(SEARCH(LEFT(C73,FIND(",",C73&amp;",")-1),LeaseLock!$C$2:$C$500))),LeaseLock!$G$2:$G$500)&amp;")",IF(LOOKUP(2,1/((LeaseLock!$D$2:$D$500=B73)*ISNUMBER(SEARCH(LEFT(C73,FIND(",",C73&amp;",")-1),LeaseLock!$C$2:$C$500))),LeaseLock!$F$2:$F$500)="Open","Open - "&amp;LOOKUP(2,1/((LeaseLock!$D$2:$D$500=B73)*ISNUMBER(SEARCH(LEFT(C73,FIND(",",C73&amp;",")-1),LeaseLock!$C$2:$C$500))),LeaseLock!$G$2:$G$500),IF(LOOKUP(2,1/((LeaseLock!$D$2:$D$500=B73)*ISNUMBER(SEARCH(LEFT(C73,FIND(",",C73&amp;",")-1),LeaseLock!$C$2:$C$500))),LeaseLock!$M$2:$M$500)&gt;0,LOOKUP(2,1/((LeaseLock!$D$2:$D$500=B73)*ISNUMBER(SEARCH(LEFT(C73,FIND(",",C73&amp;",")-1),LeaseLock!$C$2:$C$500))),LeaseLock!$F$2:$F$500)&amp;" - $"&amp;TEXT(LOOKUP(2,1/((LeaseLock!$D$2:$D$500=B73)*ISNUMBER(SEARCH(LEFT(C73,FIND(",",C73&amp;",")-1),LeaseLock!$C$2:$C$500))),LeaseLock!$M$2:$M$500),"#,##0.00")&amp;" paid",LOOKUP(2,1/((LeaseLock!$D$2:$D$500=B73)*ISNUMBER(SEARCH(LEFT(C73,FIND(",",C73&amp;",")-1),LeaseLock!$C$2:$C$500))),LeaseLock!$F$2:$F$500)&amp;" - no payment"))))),"")</f>
        <v/>
      </c>
      <c r="L73" s="1144"/>
      <c r="Q73" s="1115"/>
      <c r="R73" s="1115"/>
      <c r="S73" s="1115"/>
      <c r="T73" s="1115"/>
      <c r="U73" s="1115"/>
      <c r="V73" s="1115"/>
      <c r="W73" s="1115"/>
      <c r="X73" s="1115"/>
      <c r="Y73" s="1115"/>
      <c r="Z73" s="1115"/>
    </row>
    <row r="74" spans="1:26" ht="12" customHeight="1">
      <c r="A74" s="1138" cm="1">
        <f t="array" ref="A74">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139</v>
      </c>
      <c r="B74" s="1139" t="str" cm="1">
        <f t="array" ref="B74">IF($A74="","",INDEX('resident aged receivable'!$B:$B,$A74))</f>
        <v>W13-1-1305</v>
      </c>
      <c r="C74" s="1139" t="str" cm="1">
        <f t="array" ref="C74">IF($A74="","",INDEX('resident aged receivable'!$D:$D,$A74))</f>
        <v>Edu, Almudena</v>
      </c>
      <c r="D74" s="1140" cm="1">
        <f t="array" ref="D74">IF($A74="","",INDEX('resident aged receivable'!$F:$F,$A74))</f>
        <v>45596</v>
      </c>
      <c r="E74" s="1140" cm="1">
        <f t="array" ref="E74">IF($A74="","",_xlfn.LET(_xlpm.leaseEnd,INDEX('resident aged receivable'!$H:$H,$A74),_xlpm.moLookup,IFERROR(_xlfn.LET(_xlpm.lastFirst,C74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46081</v>
      </c>
      <c r="F74" s="1141" t="str">
        <f t="shared" si="1"/>
        <v>IPS</v>
      </c>
      <c r="G74" s="1142" t="str" cm="1">
        <f t="array" ref="G74">IF($A74="","",IF(COUNTIF($N$3:$N$24,C74)&gt;0,"Former",_xlfn.LET(_xlpm.s,INDEX('resident aged receivable'!$E:$E,$A74),IF(ISNUMBER(SEARCH("Eviction",_xlpm.s)),"Eviction",IF(ISNUMBER(SEARCH("Skip",_xlpm.s)),"Skip",IF(ISNUMBER(SEARCH("Past",_xlpm.s))+ISNUMBER(SEARCH("Collections",_xlpm.s)),"Former",_xlpm.s))))))</f>
        <v>Skip</v>
      </c>
      <c r="H74" s="1143" cm="1">
        <f t="array" ref="H74">IF($A74="","",INDEX('resident aged receivable'!$I:$I,$A74))</f>
        <v>2118.6799999999998</v>
      </c>
      <c r="I74" s="1143" cm="1">
        <f t="array" ref="I74">IF($A74="","",INDEX('resident aged receivable'!$J:$J,$A74))</f>
        <v>0</v>
      </c>
      <c r="J74" s="1143" cm="1">
        <f t="array" ref="J74">IF($A74="","",INDEX('resident aged receivable'!$K:$K,$A74))</f>
        <v>67.56</v>
      </c>
      <c r="K74" s="1163" t="str" cm="1">
        <f t="array" ref="K74">IFERROR(IF(B74="","",IF(SUMPRODUCT((LeaseLock!$D$2:$D$500=B74)*ISNUMBER(SEARCH(LEFT(C74,FIND(",",C74&amp;",")-1),LeaseLock!$C$2:$C$500)))=0,"",IF(LOOKUP(2,1/((LeaseLock!$D$2:$D$500=B74)*ISNUMBER(SEARCH(LEFT(C74,FIND(",",C74&amp;",")-1),LeaseLock!$C$2:$C$500))),LeaseLock!$F$2:$F$500)="Claim Denied","Claim Denied ("&amp;LOOKUP(2,1/((LeaseLock!$D$2:$D$500=B74)*ISNUMBER(SEARCH(LEFT(C74,FIND(",",C74&amp;",")-1),LeaseLock!$C$2:$C$500))),LeaseLock!$G$2:$G$500)&amp;")",IF(LOOKUP(2,1/((LeaseLock!$D$2:$D$500=B74)*ISNUMBER(SEARCH(LEFT(C74,FIND(",",C74&amp;",")-1),LeaseLock!$C$2:$C$500))),LeaseLock!$F$2:$F$500)="Open","Open - "&amp;LOOKUP(2,1/((LeaseLock!$D$2:$D$500=B74)*ISNUMBER(SEARCH(LEFT(C74,FIND(",",C74&amp;",")-1),LeaseLock!$C$2:$C$500))),LeaseLock!$G$2:$G$500),IF(LOOKUP(2,1/((LeaseLock!$D$2:$D$500=B74)*ISNUMBER(SEARCH(LEFT(C74,FIND(",",C74&amp;",")-1),LeaseLock!$C$2:$C$500))),LeaseLock!$M$2:$M$500)&gt;0,LOOKUP(2,1/((LeaseLock!$D$2:$D$500=B74)*ISNUMBER(SEARCH(LEFT(C74,FIND(",",C74&amp;",")-1),LeaseLock!$C$2:$C$500))),LeaseLock!$F$2:$F$500)&amp;" - $"&amp;TEXT(LOOKUP(2,1/((LeaseLock!$D$2:$D$500=B74)*ISNUMBER(SEARCH(LEFT(C74,FIND(",",C74&amp;",")-1),LeaseLock!$C$2:$C$500))),LeaseLock!$M$2:$M$500),"#,##0.00")&amp;" paid",LOOKUP(2,1/((LeaseLock!$D$2:$D$500=B74)*ISNUMBER(SEARCH(LEFT(C74,FIND(",",C74&amp;",")-1),LeaseLock!$C$2:$C$500))),LeaseLock!$F$2:$F$500)&amp;" - no payment"))))),"")</f>
        <v/>
      </c>
      <c r="L74" s="1144"/>
      <c r="Q74" s="1115"/>
      <c r="R74" s="1115"/>
      <c r="S74" s="1115"/>
      <c r="T74" s="1115"/>
      <c r="U74" s="1115"/>
      <c r="V74" s="1115"/>
      <c r="W74" s="1115"/>
      <c r="X74" s="1115"/>
      <c r="Y74" s="1115"/>
      <c r="Z74" s="1115"/>
    </row>
    <row r="75" spans="1:26" ht="12" customHeight="1">
      <c r="A75" s="1138" cm="1">
        <f t="array" ref="A75">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79</v>
      </c>
      <c r="B75" s="1139" t="str" cm="1">
        <f t="array" ref="B75">IF($A75="","",INDEX('resident aged receivable'!$B:$B,$A75))</f>
        <v>S38-351</v>
      </c>
      <c r="C75" s="1139" t="str" cm="1">
        <f t="array" ref="C75">IF($A75="","",INDEX('resident aged receivable'!$D:$D,$A75))</f>
        <v>Lee, Nikiya</v>
      </c>
      <c r="D75" s="1140" cm="1">
        <f t="array" ref="D75">IF($A75="","",INDEX('resident aged receivable'!$F:$F,$A75))</f>
        <v>43910</v>
      </c>
      <c r="E75" s="1140" cm="1">
        <f t="array" ref="E75">IF($A75="","",_xlfn.LET(_xlpm.leaseEnd,INDEX('resident aged receivable'!$H:$H,$A75),_xlpm.moLookup,IFERROR(_xlfn.LET(_xlpm.lastFirst,C75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46112</v>
      </c>
      <c r="F75" s="1141" t="str">
        <f t="shared" si="1"/>
        <v>IPS</v>
      </c>
      <c r="G75" s="1142" t="str" cm="1">
        <f t="array" ref="G75">IF($A75="","",IF(COUNTIF($N$3:$N$24,C75)&gt;0,"Former",_xlfn.LET(_xlpm.s,INDEX('resident aged receivable'!$E:$E,$A75),IF(ISNUMBER(SEARCH("Eviction",_xlpm.s)),"Eviction",IF(ISNUMBER(SEARCH("Skip",_xlpm.s)),"Skip",IF(ISNUMBER(SEARCH("Past",_xlpm.s))+ISNUMBER(SEARCH("Collections",_xlpm.s)),"Former",_xlpm.s))))))</f>
        <v>Former</v>
      </c>
      <c r="H75" s="1143" cm="1">
        <f t="array" ref="H75">IF($A75="","",INDEX('resident aged receivable'!$I:$I,$A75))</f>
        <v>2084.2600000000002</v>
      </c>
      <c r="I75" s="1143" cm="1">
        <f t="array" ref="I75">IF($A75="","",INDEX('resident aged receivable'!$J:$J,$A75))</f>
        <v>2084.2600000000002</v>
      </c>
      <c r="J75" s="1143" cm="1">
        <f t="array" ref="J75">IF($A75="","",INDEX('resident aged receivable'!$K:$K,$A75))</f>
        <v>0</v>
      </c>
      <c r="K75" s="1163" t="str" cm="1">
        <f t="array" ref="K75">IFERROR(IF(B75="","",IF(SUMPRODUCT((LeaseLock!$D$2:$D$500=B75)*ISNUMBER(SEARCH(LEFT(C75,FIND(",",C75&amp;",")-1),LeaseLock!$C$2:$C$500)))=0,"",IF(LOOKUP(2,1/((LeaseLock!$D$2:$D$500=B75)*ISNUMBER(SEARCH(LEFT(C75,FIND(",",C75&amp;",")-1),LeaseLock!$C$2:$C$500))),LeaseLock!$F$2:$F$500)="Claim Denied","Claim Denied ("&amp;LOOKUP(2,1/((LeaseLock!$D$2:$D$500=B75)*ISNUMBER(SEARCH(LEFT(C75,FIND(",",C75&amp;",")-1),LeaseLock!$C$2:$C$500))),LeaseLock!$G$2:$G$500)&amp;")",IF(LOOKUP(2,1/((LeaseLock!$D$2:$D$500=B75)*ISNUMBER(SEARCH(LEFT(C75,FIND(",",C75&amp;",")-1),LeaseLock!$C$2:$C$500))),LeaseLock!$F$2:$F$500)="Open","Open - "&amp;LOOKUP(2,1/((LeaseLock!$D$2:$D$500=B75)*ISNUMBER(SEARCH(LEFT(C75,FIND(",",C75&amp;",")-1),LeaseLock!$C$2:$C$500))),LeaseLock!$G$2:$G$500),IF(LOOKUP(2,1/((LeaseLock!$D$2:$D$500=B75)*ISNUMBER(SEARCH(LEFT(C75,FIND(",",C75&amp;",")-1),LeaseLock!$C$2:$C$500))),LeaseLock!$M$2:$M$500)&gt;0,LOOKUP(2,1/((LeaseLock!$D$2:$D$500=B75)*ISNUMBER(SEARCH(LEFT(C75,FIND(",",C75&amp;",")-1),LeaseLock!$C$2:$C$500))),LeaseLock!$F$2:$F$500)&amp;" - $"&amp;TEXT(LOOKUP(2,1/((LeaseLock!$D$2:$D$500=B75)*ISNUMBER(SEARCH(LEFT(C75,FIND(",",C75&amp;",")-1),LeaseLock!$C$2:$C$500))),LeaseLock!$M$2:$M$500),"#,##0.00")&amp;" paid",LOOKUP(2,1/((LeaseLock!$D$2:$D$500=B75)*ISNUMBER(SEARCH(LEFT(C75,FIND(",",C75&amp;",")-1),LeaseLock!$C$2:$C$500))),LeaseLock!$F$2:$F$500)&amp;" - no payment"))))),"")</f>
        <v/>
      </c>
      <c r="L75" s="1144"/>
      <c r="Q75" s="1115"/>
      <c r="R75" s="1115"/>
      <c r="S75" s="1115"/>
      <c r="T75" s="1115"/>
      <c r="U75" s="1115"/>
      <c r="V75" s="1115"/>
      <c r="W75" s="1115"/>
      <c r="X75" s="1115"/>
      <c r="Y75" s="1115"/>
      <c r="Z75" s="1134"/>
    </row>
    <row r="76" spans="1:26" ht="12" customHeight="1">
      <c r="A76" s="1138" cm="1">
        <f t="array" ref="A76">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77</v>
      </c>
      <c r="B76" s="1139" t="str" cm="1">
        <f t="array" ref="B76">IF($A76="","",INDEX('resident aged receivable'!$B:$B,$A76))</f>
        <v>S37-150</v>
      </c>
      <c r="C76" s="1139" t="str" cm="1">
        <f t="array" ref="C76">IF($A76="","",INDEX('resident aged receivable'!$D:$D,$A76))</f>
        <v>Isidro, Oscar</v>
      </c>
      <c r="D76" s="1140" cm="1">
        <f t="array" ref="D76">IF($A76="","",INDEX('resident aged receivable'!$F:$F,$A76))</f>
        <v>44533</v>
      </c>
      <c r="E76" s="1140" cm="1">
        <f t="array" ref="E76">IF($A76="","",_xlfn.LET(_xlpm.leaseEnd,INDEX('resident aged receivable'!$H:$H,$A76),_xlpm.moLookup,IFERROR(_xlfn.LET(_xlpm.lastFirst,C76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46009</v>
      </c>
      <c r="F76" s="1141" t="str">
        <f t="shared" si="1"/>
        <v>IPS</v>
      </c>
      <c r="G76" s="1142" t="str" cm="1">
        <f t="array" ref="G76">IF($A76="","",IF(COUNTIF($N$3:$N$24,C76)&gt;0,"Former",_xlfn.LET(_xlpm.s,INDEX('resident aged receivable'!$E:$E,$A76),IF(ISNUMBER(SEARCH("Eviction",_xlpm.s)),"Eviction",IF(ISNUMBER(SEARCH("Skip",_xlpm.s)),"Skip",IF(ISNUMBER(SEARCH("Past",_xlpm.s))+ISNUMBER(SEARCH("Collections",_xlpm.s)),"Former",_xlpm.s))))))</f>
        <v>Former</v>
      </c>
      <c r="H76" s="1143" cm="1">
        <f t="array" ref="H76">IF($A76="","",INDEX('resident aged receivable'!$I:$I,$A76))</f>
        <v>2008.98</v>
      </c>
      <c r="I76" s="1143" cm="1">
        <f t="array" ref="I76">IF($A76="","",INDEX('resident aged receivable'!$J:$J,$A76))</f>
        <v>0</v>
      </c>
      <c r="J76" s="1143" cm="1">
        <f t="array" ref="J76">IF($A76="","",INDEX('resident aged receivable'!$K:$K,$A76))</f>
        <v>59.26</v>
      </c>
      <c r="K76" s="1163" t="str" cm="1">
        <f t="array" ref="K76">IFERROR(IF(B76="","",IF(SUMPRODUCT((LeaseLock!$D$2:$D$500=B76)*ISNUMBER(SEARCH(LEFT(C76,FIND(",",C76&amp;",")-1),LeaseLock!$C$2:$C$500)))=0,"",IF(LOOKUP(2,1/((LeaseLock!$D$2:$D$500=B76)*ISNUMBER(SEARCH(LEFT(C76,FIND(",",C76&amp;",")-1),LeaseLock!$C$2:$C$500))),LeaseLock!$F$2:$F$500)="Claim Denied","Claim Denied ("&amp;LOOKUP(2,1/((LeaseLock!$D$2:$D$500=B76)*ISNUMBER(SEARCH(LEFT(C76,FIND(",",C76&amp;",")-1),LeaseLock!$C$2:$C$500))),LeaseLock!$G$2:$G$500)&amp;")",IF(LOOKUP(2,1/((LeaseLock!$D$2:$D$500=B76)*ISNUMBER(SEARCH(LEFT(C76,FIND(",",C76&amp;",")-1),LeaseLock!$C$2:$C$500))),LeaseLock!$F$2:$F$500)="Open","Open - "&amp;LOOKUP(2,1/((LeaseLock!$D$2:$D$500=B76)*ISNUMBER(SEARCH(LEFT(C76,FIND(",",C76&amp;",")-1),LeaseLock!$C$2:$C$500))),LeaseLock!$G$2:$G$500),IF(LOOKUP(2,1/((LeaseLock!$D$2:$D$500=B76)*ISNUMBER(SEARCH(LEFT(C76,FIND(",",C76&amp;",")-1),LeaseLock!$C$2:$C$500))),LeaseLock!$M$2:$M$500)&gt;0,LOOKUP(2,1/((LeaseLock!$D$2:$D$500=B76)*ISNUMBER(SEARCH(LEFT(C76,FIND(",",C76&amp;",")-1),LeaseLock!$C$2:$C$500))),LeaseLock!$F$2:$F$500)&amp;" - $"&amp;TEXT(LOOKUP(2,1/((LeaseLock!$D$2:$D$500=B76)*ISNUMBER(SEARCH(LEFT(C76,FIND(",",C76&amp;",")-1),LeaseLock!$C$2:$C$500))),LeaseLock!$M$2:$M$500),"#,##0.00")&amp;" paid",LOOKUP(2,1/((LeaseLock!$D$2:$D$500=B76)*ISNUMBER(SEARCH(LEFT(C76,FIND(",",C76&amp;",")-1),LeaseLock!$C$2:$C$500))),LeaseLock!$F$2:$F$500)&amp;" - no payment"))))),"")</f>
        <v>Closed - $602.71 paid</v>
      </c>
      <c r="L76" s="1144" t="s">
        <v>6824</v>
      </c>
      <c r="Q76" s="1115"/>
      <c r="R76" s="1115"/>
      <c r="S76" s="1115"/>
      <c r="T76" s="1115"/>
      <c r="U76" s="1115"/>
      <c r="V76" s="1115"/>
      <c r="W76" s="1115"/>
      <c r="X76" s="1115"/>
      <c r="Y76" s="1115"/>
      <c r="Z76" s="1115"/>
    </row>
    <row r="77" spans="1:26" ht="12" customHeight="1">
      <c r="A77" s="1138" cm="1">
        <f t="array" ref="A77">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167</v>
      </c>
      <c r="B77" s="1139" t="str" cm="1">
        <f t="array" ref="B77">IF($A77="","",INDEX('resident aged receivable'!$B:$B,$A77))</f>
        <v>W18-2-1070</v>
      </c>
      <c r="C77" s="1139" t="str" cm="1">
        <f t="array" ref="C77">IF($A77="","",INDEX('resident aged receivable'!$D:$D,$A77))</f>
        <v>Vasquez, Bethis</v>
      </c>
      <c r="D77" s="1140" cm="1">
        <f t="array" ref="D77">IF($A77="","",INDEX('resident aged receivable'!$F:$F,$A77))</f>
        <v>45597</v>
      </c>
      <c r="E77" s="1140" cm="1">
        <f t="array" ref="E77">IF($A77="","",_xlfn.LET(_xlpm.leaseEnd,INDEX('resident aged receivable'!$H:$H,$A77),_xlpm.moLookup,IFERROR(_xlfn.LET(_xlpm.lastFirst,C77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46022</v>
      </c>
      <c r="F77" s="1141" t="str">
        <f t="shared" si="1"/>
        <v>IPS</v>
      </c>
      <c r="G77" s="1142" t="str" cm="1">
        <f t="array" ref="G77">IF($A77="","",IF(COUNTIF($N$3:$N$24,C77)&gt;0,"Former",_xlfn.LET(_xlpm.s,INDEX('resident aged receivable'!$E:$E,$A77),IF(ISNUMBER(SEARCH("Eviction",_xlpm.s)),"Eviction",IF(ISNUMBER(SEARCH("Skip",_xlpm.s)),"Skip",IF(ISNUMBER(SEARCH("Past",_xlpm.s))+ISNUMBER(SEARCH("Collections",_xlpm.s)),"Former",_xlpm.s))))))</f>
        <v>Former</v>
      </c>
      <c r="H77" s="1143" cm="1">
        <f t="array" ref="H77">IF($A77="","",INDEX('resident aged receivable'!$I:$I,$A77))</f>
        <v>1983.7</v>
      </c>
      <c r="I77" s="1143" cm="1">
        <f t="array" ref="I77">IF($A77="","",INDEX('resident aged receivable'!$J:$J,$A77))</f>
        <v>0</v>
      </c>
      <c r="J77" s="1143" cm="1">
        <f t="array" ref="J77">IF($A77="","",INDEX('resident aged receivable'!$K:$K,$A77))</f>
        <v>95.9</v>
      </c>
      <c r="K77" s="1163" t="str" cm="1">
        <f t="array" ref="K77">IFERROR(IF(B77="","",IF(SUMPRODUCT((LeaseLock!$D$2:$D$500=B77)*ISNUMBER(SEARCH(LEFT(C77,FIND(",",C77&amp;",")-1),LeaseLock!$C$2:$C$500)))=0,"",IF(LOOKUP(2,1/((LeaseLock!$D$2:$D$500=B77)*ISNUMBER(SEARCH(LEFT(C77,FIND(",",C77&amp;",")-1),LeaseLock!$C$2:$C$500))),LeaseLock!$F$2:$F$500)="Claim Denied","Claim Denied ("&amp;LOOKUP(2,1/((LeaseLock!$D$2:$D$500=B77)*ISNUMBER(SEARCH(LEFT(C77,FIND(",",C77&amp;",")-1),LeaseLock!$C$2:$C$500))),LeaseLock!$G$2:$G$500)&amp;")",IF(LOOKUP(2,1/((LeaseLock!$D$2:$D$500=B77)*ISNUMBER(SEARCH(LEFT(C77,FIND(",",C77&amp;",")-1),LeaseLock!$C$2:$C$500))),LeaseLock!$F$2:$F$500)="Open","Open - "&amp;LOOKUP(2,1/((LeaseLock!$D$2:$D$500=B77)*ISNUMBER(SEARCH(LEFT(C77,FIND(",",C77&amp;",")-1),LeaseLock!$C$2:$C$500))),LeaseLock!$G$2:$G$500),IF(LOOKUP(2,1/((LeaseLock!$D$2:$D$500=B77)*ISNUMBER(SEARCH(LEFT(C77,FIND(",",C77&amp;",")-1),LeaseLock!$C$2:$C$500))),LeaseLock!$M$2:$M$500)&gt;0,LOOKUP(2,1/((LeaseLock!$D$2:$D$500=B77)*ISNUMBER(SEARCH(LEFT(C77,FIND(",",C77&amp;",")-1),LeaseLock!$C$2:$C$500))),LeaseLock!$F$2:$F$500)&amp;" - $"&amp;TEXT(LOOKUP(2,1/((LeaseLock!$D$2:$D$500=B77)*ISNUMBER(SEARCH(LEFT(C77,FIND(",",C77&amp;",")-1),LeaseLock!$C$2:$C$500))),LeaseLock!$M$2:$M$500),"#,##0.00")&amp;" paid",LOOKUP(2,1/((LeaseLock!$D$2:$D$500=B77)*ISNUMBER(SEARCH(LEFT(C77,FIND(",",C77&amp;",")-1),LeaseLock!$C$2:$C$500))),LeaseLock!$F$2:$F$500)&amp;" - no payment"))))),"")</f>
        <v>Claim Denied (Claim Denied)</v>
      </c>
      <c r="L77" s="1144"/>
      <c r="Q77" s="1115"/>
      <c r="R77" s="1115"/>
      <c r="S77" s="1115"/>
      <c r="T77" s="1115"/>
      <c r="U77" s="1115"/>
      <c r="V77" s="1115"/>
      <c r="W77" s="1115"/>
      <c r="X77" s="1115"/>
      <c r="Y77" s="1115"/>
      <c r="Z77" s="1147"/>
    </row>
    <row r="78" spans="1:26" ht="12" customHeight="1">
      <c r="A78" s="1138" cm="1">
        <f t="array" ref="A78">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117</v>
      </c>
      <c r="B78" s="1139" t="str" cm="1">
        <f t="array" ref="B78">IF($A78="","",INDEX('resident aged receivable'!$B:$B,$A78))</f>
        <v>W07-1-0720</v>
      </c>
      <c r="C78" s="1139" t="str" cm="1">
        <f t="array" ref="C78">IF($A78="","",INDEX('resident aged receivable'!$D:$D,$A78))</f>
        <v>Babatope, Fakuade</v>
      </c>
      <c r="D78" s="1140" cm="1">
        <f t="array" ref="D78">IF($A78="","",INDEX('resident aged receivable'!$F:$F,$A78))</f>
        <v>44409</v>
      </c>
      <c r="E78" s="1140" cm="1">
        <f t="array" ref="E78">IF($A78="","",_xlfn.LET(_xlpm.leaseEnd,INDEX('resident aged receivable'!$H:$H,$A78),_xlpm.moLookup,IFERROR(_xlfn.LET(_xlpm.lastFirst,C78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46109</v>
      </c>
      <c r="F78" s="1141" t="str">
        <f t="shared" si="1"/>
        <v>IPS</v>
      </c>
      <c r="G78" s="1142" t="str" cm="1">
        <f t="array" ref="G78">IF($A78="","",IF(COUNTIF($N$3:$N$24,C78)&gt;0,"Former",_xlfn.LET(_xlpm.s,INDEX('resident aged receivable'!$E:$E,$A78),IF(ISNUMBER(SEARCH("Eviction",_xlpm.s)),"Eviction",IF(ISNUMBER(SEARCH("Skip",_xlpm.s)),"Skip",IF(ISNUMBER(SEARCH("Past",_xlpm.s))+ISNUMBER(SEARCH("Collections",_xlpm.s)),"Former",_xlpm.s))))))</f>
        <v>Former</v>
      </c>
      <c r="H78" s="1143" cm="1">
        <f t="array" ref="H78">IF($A78="","",INDEX('resident aged receivable'!$I:$I,$A78))</f>
        <v>1697.22</v>
      </c>
      <c r="I78" s="1143" cm="1">
        <f t="array" ref="I78">IF($A78="","",INDEX('resident aged receivable'!$J:$J,$A78))</f>
        <v>1697.22</v>
      </c>
      <c r="J78" s="1143" cm="1">
        <f t="array" ref="J78">IF($A78="","",INDEX('resident aged receivable'!$K:$K,$A78))</f>
        <v>0</v>
      </c>
      <c r="K78" s="1163" t="str" cm="1">
        <f t="array" ref="K78">IFERROR(IF(B78="","",IF(SUMPRODUCT((LeaseLock!$D$2:$D$500=B78)*ISNUMBER(SEARCH(LEFT(C78,FIND(",",C78&amp;",")-1),LeaseLock!$C$2:$C$500)))=0,"",IF(LOOKUP(2,1/((LeaseLock!$D$2:$D$500=B78)*ISNUMBER(SEARCH(LEFT(C78,FIND(",",C78&amp;",")-1),LeaseLock!$C$2:$C$500))),LeaseLock!$F$2:$F$500)="Claim Denied","Claim Denied ("&amp;LOOKUP(2,1/((LeaseLock!$D$2:$D$500=B78)*ISNUMBER(SEARCH(LEFT(C78,FIND(",",C78&amp;",")-1),LeaseLock!$C$2:$C$500))),LeaseLock!$G$2:$G$500)&amp;")",IF(LOOKUP(2,1/((LeaseLock!$D$2:$D$500=B78)*ISNUMBER(SEARCH(LEFT(C78,FIND(",",C78&amp;",")-1),LeaseLock!$C$2:$C$500))),LeaseLock!$F$2:$F$500)="Open","Open - "&amp;LOOKUP(2,1/((LeaseLock!$D$2:$D$500=B78)*ISNUMBER(SEARCH(LEFT(C78,FIND(",",C78&amp;",")-1),LeaseLock!$C$2:$C$500))),LeaseLock!$G$2:$G$500),IF(LOOKUP(2,1/((LeaseLock!$D$2:$D$500=B78)*ISNUMBER(SEARCH(LEFT(C78,FIND(",",C78&amp;",")-1),LeaseLock!$C$2:$C$500))),LeaseLock!$M$2:$M$500)&gt;0,LOOKUP(2,1/((LeaseLock!$D$2:$D$500=B78)*ISNUMBER(SEARCH(LEFT(C78,FIND(",",C78&amp;",")-1),LeaseLock!$C$2:$C$500))),LeaseLock!$F$2:$F$500)&amp;" - $"&amp;TEXT(LOOKUP(2,1/((LeaseLock!$D$2:$D$500=B78)*ISNUMBER(SEARCH(LEFT(C78,FIND(",",C78&amp;",")-1),LeaseLock!$C$2:$C$500))),LeaseLock!$M$2:$M$500),"#,##0.00")&amp;" paid",LOOKUP(2,1/((LeaseLock!$D$2:$D$500=B78)*ISNUMBER(SEARCH(LEFT(C78,FIND(",",C78&amp;",")-1),LeaseLock!$C$2:$C$500))),LeaseLock!$F$2:$F$500)&amp;" - no payment"))))),"")</f>
        <v/>
      </c>
      <c r="L78" s="1144"/>
      <c r="Q78" s="1115"/>
      <c r="R78" s="1115"/>
      <c r="S78" s="1115"/>
      <c r="T78" s="1115"/>
      <c r="U78" s="1115"/>
      <c r="V78" s="1115"/>
      <c r="W78" s="1115"/>
      <c r="X78" s="1115"/>
      <c r="Y78" s="1115"/>
      <c r="Z78" s="1115"/>
    </row>
    <row r="79" spans="1:26" ht="12" customHeight="1">
      <c r="A79" s="1138" cm="1">
        <f t="array" ref="A79">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115</v>
      </c>
      <c r="B79" s="1139" t="str" cm="1">
        <f t="array" ref="B79">IF($A79="","",INDEX('resident aged receivable'!$B:$B,$A79))</f>
        <v>W07-1-0717</v>
      </c>
      <c r="C79" s="1139" t="str" cm="1">
        <f t="array" ref="C79">IF($A79="","",INDEX('resident aged receivable'!$D:$D,$A79))</f>
        <v>Davila, Lisa</v>
      </c>
      <c r="D79" s="1140" cm="1">
        <f t="array" ref="D79">IF($A79="","",INDEX('resident aged receivable'!$F:$F,$A79))</f>
        <v>45703</v>
      </c>
      <c r="E79" s="1140" cm="1">
        <f t="array" ref="E79">IF($A79="","",_xlfn.LET(_xlpm.leaseEnd,INDEX('resident aged receivable'!$H:$H,$A79),_xlpm.moLookup,IFERROR(_xlfn.LET(_xlpm.lastFirst,C79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46126</v>
      </c>
      <c r="F79" s="1141" t="str">
        <f t="shared" si="1"/>
        <v>IPS</v>
      </c>
      <c r="G79" s="1142" t="str" cm="1">
        <f t="array" ref="G79">IF($A79="","",IF(COUNTIF($N$3:$N$24,C79)&gt;0,"Former",_xlfn.LET(_xlpm.s,INDEX('resident aged receivable'!$E:$E,$A79),IF(ISNUMBER(SEARCH("Eviction",_xlpm.s)),"Eviction",IF(ISNUMBER(SEARCH("Skip",_xlpm.s)),"Skip",IF(ISNUMBER(SEARCH("Past",_xlpm.s))+ISNUMBER(SEARCH("Collections",_xlpm.s)),"Former",_xlpm.s))))))</f>
        <v>Skip</v>
      </c>
      <c r="H79" s="1143" cm="1">
        <f t="array" ref="H79">IF($A79="","",INDEX('resident aged receivable'!$I:$I,$A79))</f>
        <v>1682.16</v>
      </c>
      <c r="I79" s="1143" cm="1">
        <f t="array" ref="I79">IF($A79="","",INDEX('resident aged receivable'!$J:$J,$A79))</f>
        <v>0</v>
      </c>
      <c r="J79" s="1143" cm="1">
        <f t="array" ref="J79">IF($A79="","",INDEX('resident aged receivable'!$K:$K,$A79))</f>
        <v>1666.58</v>
      </c>
      <c r="K79" s="1163" t="str" cm="1">
        <f t="array" ref="K79">IFERROR(IF(B79="","",IF(SUMPRODUCT((LeaseLock!$D$2:$D$500=B79)*ISNUMBER(SEARCH(LEFT(C79,FIND(",",C79&amp;",")-1),LeaseLock!$C$2:$C$500)))=0,"",IF(LOOKUP(2,1/((LeaseLock!$D$2:$D$500=B79)*ISNUMBER(SEARCH(LEFT(C79,FIND(",",C79&amp;",")-1),LeaseLock!$C$2:$C$500))),LeaseLock!$F$2:$F$500)="Claim Denied","Claim Denied ("&amp;LOOKUP(2,1/((LeaseLock!$D$2:$D$500=B79)*ISNUMBER(SEARCH(LEFT(C79,FIND(",",C79&amp;",")-1),LeaseLock!$C$2:$C$500))),LeaseLock!$G$2:$G$500)&amp;")",IF(LOOKUP(2,1/((LeaseLock!$D$2:$D$500=B79)*ISNUMBER(SEARCH(LEFT(C79,FIND(",",C79&amp;",")-1),LeaseLock!$C$2:$C$500))),LeaseLock!$F$2:$F$500)="Open","Open - "&amp;LOOKUP(2,1/((LeaseLock!$D$2:$D$500=B79)*ISNUMBER(SEARCH(LEFT(C79,FIND(",",C79&amp;",")-1),LeaseLock!$C$2:$C$500))),LeaseLock!$G$2:$G$500),IF(LOOKUP(2,1/((LeaseLock!$D$2:$D$500=B79)*ISNUMBER(SEARCH(LEFT(C79,FIND(",",C79&amp;",")-1),LeaseLock!$C$2:$C$500))),LeaseLock!$M$2:$M$500)&gt;0,LOOKUP(2,1/((LeaseLock!$D$2:$D$500=B79)*ISNUMBER(SEARCH(LEFT(C79,FIND(",",C79&amp;",")-1),LeaseLock!$C$2:$C$500))),LeaseLock!$F$2:$F$500)&amp;" - $"&amp;TEXT(LOOKUP(2,1/((LeaseLock!$D$2:$D$500=B79)*ISNUMBER(SEARCH(LEFT(C79,FIND(",",C79&amp;",")-1),LeaseLock!$C$2:$C$500))),LeaseLock!$M$2:$M$500),"#,##0.00")&amp;" paid",LOOKUP(2,1/((LeaseLock!$D$2:$D$500=B79)*ISNUMBER(SEARCH(LEFT(C79,FIND(",",C79&amp;",")-1),LeaseLock!$C$2:$C$500))),LeaseLock!$F$2:$F$500)&amp;" - no payment"))))),"")</f>
        <v>Closed - $750.00 paid</v>
      </c>
      <c r="L79" s="1144"/>
      <c r="Q79" s="1115"/>
      <c r="R79" s="1115"/>
      <c r="S79" s="1115"/>
      <c r="T79" s="1115"/>
      <c r="U79" s="1115"/>
      <c r="V79" s="1115"/>
      <c r="W79" s="1115"/>
      <c r="X79" s="1115"/>
      <c r="Y79" s="1115"/>
      <c r="Z79" s="1115"/>
    </row>
    <row r="80" spans="1:26" ht="12" customHeight="1">
      <c r="A80" s="1138" cm="1">
        <f t="array" ref="A80">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137</v>
      </c>
      <c r="B80" s="1139" t="str" cm="1">
        <f t="array" ref="B80">IF($A80="","",INDEX('resident aged receivable'!$B:$B,$A80))</f>
        <v>W12-1-1221</v>
      </c>
      <c r="C80" s="1139" t="str" cm="1">
        <f t="array" ref="C80">IF($A80="","",INDEX('resident aged receivable'!$D:$D,$A80))</f>
        <v>Taiwo, Yejide</v>
      </c>
      <c r="D80" s="1140" cm="1">
        <f t="array" ref="D80">IF($A80="","",INDEX('resident aged receivable'!$F:$F,$A80))</f>
        <v>45570</v>
      </c>
      <c r="E80" s="1140" cm="1">
        <f t="array" ref="E80">IF($A80="","",_xlfn.LET(_xlpm.leaseEnd,INDEX('resident aged receivable'!$H:$H,$A80),_xlpm.moLookup,IFERROR(_xlfn.LET(_xlpm.lastFirst,C80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46437</v>
      </c>
      <c r="F80" s="1141" t="str">
        <f t="shared" si="1"/>
        <v>IPS</v>
      </c>
      <c r="G80" s="1142" t="str" cm="1">
        <f t="array" ref="G80">IF($A80="","",IF(COUNTIF($N$3:$N$24,C80)&gt;0,"Former",_xlfn.LET(_xlpm.s,INDEX('resident aged receivable'!$E:$E,$A80),IF(ISNUMBER(SEARCH("Eviction",_xlpm.s)),"Eviction",IF(ISNUMBER(SEARCH("Skip",_xlpm.s)),"Skip",IF(ISNUMBER(SEARCH("Past",_xlpm.s))+ISNUMBER(SEARCH("Collections",_xlpm.s)),"Former",_xlpm.s))))))</f>
        <v>Former</v>
      </c>
      <c r="H80" s="1143" cm="1">
        <f t="array" ref="H80">IF($A80="","",INDEX('resident aged receivable'!$I:$I,$A80))</f>
        <v>1633</v>
      </c>
      <c r="I80" s="1143" cm="1">
        <f t="array" ref="I80">IF($A80="","",INDEX('resident aged receivable'!$J:$J,$A80))</f>
        <v>1633</v>
      </c>
      <c r="J80" s="1143" cm="1">
        <f t="array" ref="J80">IF($A80="","",INDEX('resident aged receivable'!$K:$K,$A80))</f>
        <v>0</v>
      </c>
      <c r="K80" s="1163" t="str" cm="1">
        <f t="array" ref="K80">IFERROR(IF(B80="","",IF(SUMPRODUCT((LeaseLock!$D$2:$D$500=B80)*ISNUMBER(SEARCH(LEFT(C80,FIND(",",C80&amp;",")-1),LeaseLock!$C$2:$C$500)))=0,"",IF(LOOKUP(2,1/((LeaseLock!$D$2:$D$500=B80)*ISNUMBER(SEARCH(LEFT(C80,FIND(",",C80&amp;",")-1),LeaseLock!$C$2:$C$500))),LeaseLock!$F$2:$F$500)="Claim Denied","Claim Denied ("&amp;LOOKUP(2,1/((LeaseLock!$D$2:$D$500=B80)*ISNUMBER(SEARCH(LEFT(C80,FIND(",",C80&amp;",")-1),LeaseLock!$C$2:$C$500))),LeaseLock!$G$2:$G$500)&amp;")",IF(LOOKUP(2,1/((LeaseLock!$D$2:$D$500=B80)*ISNUMBER(SEARCH(LEFT(C80,FIND(",",C80&amp;",")-1),LeaseLock!$C$2:$C$500))),LeaseLock!$F$2:$F$500)="Open","Open - "&amp;LOOKUP(2,1/((LeaseLock!$D$2:$D$500=B80)*ISNUMBER(SEARCH(LEFT(C80,FIND(",",C80&amp;",")-1),LeaseLock!$C$2:$C$500))),LeaseLock!$G$2:$G$500),IF(LOOKUP(2,1/((LeaseLock!$D$2:$D$500=B80)*ISNUMBER(SEARCH(LEFT(C80,FIND(",",C80&amp;",")-1),LeaseLock!$C$2:$C$500))),LeaseLock!$M$2:$M$500)&gt;0,LOOKUP(2,1/((LeaseLock!$D$2:$D$500=B80)*ISNUMBER(SEARCH(LEFT(C80,FIND(",",C80&amp;",")-1),LeaseLock!$C$2:$C$500))),LeaseLock!$F$2:$F$500)&amp;" - $"&amp;TEXT(LOOKUP(2,1/((LeaseLock!$D$2:$D$500=B80)*ISNUMBER(SEARCH(LEFT(C80,FIND(",",C80&amp;",")-1),LeaseLock!$C$2:$C$500))),LeaseLock!$M$2:$M$500),"#,##0.00")&amp;" paid",LOOKUP(2,1/((LeaseLock!$D$2:$D$500=B80)*ISNUMBER(SEARCH(LEFT(C80,FIND(",",C80&amp;",")-1),LeaseLock!$C$2:$C$500))),LeaseLock!$F$2:$F$500)&amp;" - no payment"))))),"")</f>
        <v/>
      </c>
      <c r="L80" s="1144"/>
      <c r="Q80" s="1115"/>
      <c r="R80" s="1115"/>
      <c r="S80" s="1115"/>
      <c r="T80" s="1115"/>
      <c r="U80" s="1115"/>
      <c r="V80" s="1115"/>
      <c r="W80" s="1115"/>
      <c r="X80" s="1115"/>
      <c r="Y80" s="1115"/>
      <c r="Z80" s="1115"/>
    </row>
    <row r="81" spans="1:26" ht="12" customHeight="1">
      <c r="A81" s="1138" cm="1">
        <f t="array" ref="A81">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101</v>
      </c>
      <c r="B81" s="1139" t="str" cm="1">
        <f t="array" ref="B81">IF($A81="","",INDEX('resident aged receivable'!$B:$B,$A81))</f>
        <v>W05-1-0503</v>
      </c>
      <c r="C81" s="1139" t="str" cm="1">
        <f t="array" ref="C81">IF($A81="","",INDEX('resident aged receivable'!$D:$D,$A81))</f>
        <v>Tinoco, Jonathan</v>
      </c>
      <c r="D81" s="1140" cm="1">
        <f t="array" ref="D81">IF($A81="","",INDEX('resident aged receivable'!$F:$F,$A81))</f>
        <v>45710</v>
      </c>
      <c r="E81" s="1140" cm="1">
        <f t="array" ref="E81">IF($A81="","",_xlfn.LET(_xlpm.leaseEnd,INDEX('resident aged receivable'!$H:$H,$A81),_xlpm.moLookup,IFERROR(_xlfn.LET(_xlpm.lastFirst,C81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46106</v>
      </c>
      <c r="F81" s="1141" t="str">
        <f t="shared" ref="F81:F112" si="2">IF(D81="","",IF(D81&lt;DATE(2025,12,15),"IPS","CAF"))</f>
        <v>IPS</v>
      </c>
      <c r="G81" s="1142" t="str" cm="1">
        <f t="array" ref="G81">IF($A81="","",IF(COUNTIF($N$3:$N$24,C81)&gt;0,"Former",_xlfn.LET(_xlpm.s,INDEX('resident aged receivable'!$E:$E,$A81),IF(ISNUMBER(SEARCH("Eviction",_xlpm.s)),"Eviction",IF(ISNUMBER(SEARCH("Skip",_xlpm.s)),"Skip",IF(ISNUMBER(SEARCH("Past",_xlpm.s))+ISNUMBER(SEARCH("Collections",_xlpm.s)),"Former",_xlpm.s))))))</f>
        <v>Former</v>
      </c>
      <c r="H81" s="1143" cm="1">
        <f t="array" ref="H81">IF($A81="","",INDEX('resident aged receivable'!$I:$I,$A81))</f>
        <v>1559.56</v>
      </c>
      <c r="I81" s="1143" cm="1">
        <f t="array" ref="I81">IF($A81="","",INDEX('resident aged receivable'!$J:$J,$A81))</f>
        <v>575</v>
      </c>
      <c r="J81" s="1143" cm="1">
        <f t="array" ref="J81">IF($A81="","",INDEX('resident aged receivable'!$K:$K,$A81))</f>
        <v>984.56</v>
      </c>
      <c r="K81" s="1163" t="str" cm="1">
        <f t="array" ref="K81">IFERROR(IF(B81="","",IF(SUMPRODUCT((LeaseLock!$D$2:$D$500=B81)*ISNUMBER(SEARCH(LEFT(C81,FIND(",",C81&amp;",")-1),LeaseLock!$C$2:$C$500)))=0,"",IF(LOOKUP(2,1/((LeaseLock!$D$2:$D$500=B81)*ISNUMBER(SEARCH(LEFT(C81,FIND(",",C81&amp;",")-1),LeaseLock!$C$2:$C$500))),LeaseLock!$F$2:$F$500)="Claim Denied","Claim Denied ("&amp;LOOKUP(2,1/((LeaseLock!$D$2:$D$500=B81)*ISNUMBER(SEARCH(LEFT(C81,FIND(",",C81&amp;",")-1),LeaseLock!$C$2:$C$500))),LeaseLock!$G$2:$G$500)&amp;")",IF(LOOKUP(2,1/((LeaseLock!$D$2:$D$500=B81)*ISNUMBER(SEARCH(LEFT(C81,FIND(",",C81&amp;",")-1),LeaseLock!$C$2:$C$500))),LeaseLock!$F$2:$F$500)="Open","Open - "&amp;LOOKUP(2,1/((LeaseLock!$D$2:$D$500=B81)*ISNUMBER(SEARCH(LEFT(C81,FIND(",",C81&amp;",")-1),LeaseLock!$C$2:$C$500))),LeaseLock!$G$2:$G$500),IF(LOOKUP(2,1/((LeaseLock!$D$2:$D$500=B81)*ISNUMBER(SEARCH(LEFT(C81,FIND(",",C81&amp;",")-1),LeaseLock!$C$2:$C$500))),LeaseLock!$M$2:$M$500)&gt;0,LOOKUP(2,1/((LeaseLock!$D$2:$D$500=B81)*ISNUMBER(SEARCH(LEFT(C81,FIND(",",C81&amp;",")-1),LeaseLock!$C$2:$C$500))),LeaseLock!$F$2:$F$500)&amp;" - $"&amp;TEXT(LOOKUP(2,1/((LeaseLock!$D$2:$D$500=B81)*ISNUMBER(SEARCH(LEFT(C81,FIND(",",C81&amp;",")-1),LeaseLock!$C$2:$C$500))),LeaseLock!$M$2:$M$500),"#,##0.00")&amp;" paid",LOOKUP(2,1/((LeaseLock!$D$2:$D$500=B81)*ISNUMBER(SEARCH(LEFT(C81,FIND(",",C81&amp;",")-1),LeaseLock!$C$2:$C$500))),LeaseLock!$F$2:$F$500)&amp;" - no payment"))))),"")</f>
        <v/>
      </c>
      <c r="L81" s="1144"/>
      <c r="Q81" s="1115"/>
      <c r="R81" s="1115"/>
      <c r="S81" s="1115"/>
      <c r="T81" s="1115"/>
      <c r="U81" s="1115"/>
      <c r="V81" s="1115"/>
      <c r="W81" s="1115"/>
      <c r="X81" s="1115"/>
      <c r="Y81" s="1115"/>
      <c r="Z81" s="1147"/>
    </row>
    <row r="82" spans="1:26" ht="12" customHeight="1">
      <c r="A82" s="1138" cm="1">
        <f t="array" ref="A82">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179</v>
      </c>
      <c r="B82" s="1139" t="str" cm="1">
        <f t="array" ref="B82">IF($A82="","",INDEX('resident aged receivable'!$B:$B,$A82))</f>
        <v>W21-2-2058</v>
      </c>
      <c r="C82" s="1139" t="str" cm="1">
        <f t="array" ref="C82">IF($A82="","",INDEX('resident aged receivable'!$D:$D,$A82))</f>
        <v>Elhakim, Ahmed</v>
      </c>
      <c r="D82" s="1140" cm="1">
        <f t="array" ref="D82">IF($A82="","",INDEX('resident aged receivable'!$F:$F,$A82))</f>
        <v>45201</v>
      </c>
      <c r="E82" s="1140" cm="1">
        <f t="array" ref="E82">IF($A82="","",_xlfn.LET(_xlpm.leaseEnd,INDEX('resident aged receivable'!$H:$H,$A82),_xlpm.moLookup,IFERROR(_xlfn.LET(_xlpm.lastFirst,C82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46076</v>
      </c>
      <c r="F82" s="1141" t="str">
        <f t="shared" si="2"/>
        <v>IPS</v>
      </c>
      <c r="G82" s="1142" t="str" cm="1">
        <f t="array" ref="G82">IF($A82="","",IF(COUNTIF($N$3:$N$24,C82)&gt;0,"Former",_xlfn.LET(_xlpm.s,INDEX('resident aged receivable'!$E:$E,$A82),IF(ISNUMBER(SEARCH("Eviction",_xlpm.s)),"Eviction",IF(ISNUMBER(SEARCH("Skip",_xlpm.s)),"Skip",IF(ISNUMBER(SEARCH("Past",_xlpm.s))+ISNUMBER(SEARCH("Collections",_xlpm.s)),"Former",_xlpm.s))))))</f>
        <v>Former</v>
      </c>
      <c r="H82" s="1143" cm="1">
        <f t="array" ref="H82">IF($A82="","",INDEX('resident aged receivable'!$I:$I,$A82))</f>
        <v>1557.35</v>
      </c>
      <c r="I82" s="1143" cm="1">
        <f t="array" ref="I82">IF($A82="","",INDEX('resident aged receivable'!$J:$J,$A82))</f>
        <v>0</v>
      </c>
      <c r="J82" s="1143" cm="1">
        <f t="array" ref="J82">IF($A82="","",INDEX('resident aged receivable'!$K:$K,$A82))</f>
        <v>1139.45</v>
      </c>
      <c r="K82" s="1163" t="str" cm="1">
        <f t="array" ref="K82">IFERROR(IF(B82="","",IF(SUMPRODUCT((LeaseLock!$D$2:$D$500=B82)*ISNUMBER(SEARCH(LEFT(C82,FIND(",",C82&amp;",")-1),LeaseLock!$C$2:$C$500)))=0,"",IF(LOOKUP(2,1/((LeaseLock!$D$2:$D$500=B82)*ISNUMBER(SEARCH(LEFT(C82,FIND(",",C82&amp;",")-1),LeaseLock!$C$2:$C$500))),LeaseLock!$F$2:$F$500)="Claim Denied","Claim Denied ("&amp;LOOKUP(2,1/((LeaseLock!$D$2:$D$500=B82)*ISNUMBER(SEARCH(LEFT(C82,FIND(",",C82&amp;",")-1),LeaseLock!$C$2:$C$500))),LeaseLock!$G$2:$G$500)&amp;")",IF(LOOKUP(2,1/((LeaseLock!$D$2:$D$500=B82)*ISNUMBER(SEARCH(LEFT(C82,FIND(",",C82&amp;",")-1),LeaseLock!$C$2:$C$500))),LeaseLock!$F$2:$F$500)="Open","Open - "&amp;LOOKUP(2,1/((LeaseLock!$D$2:$D$500=B82)*ISNUMBER(SEARCH(LEFT(C82,FIND(",",C82&amp;",")-1),LeaseLock!$C$2:$C$500))),LeaseLock!$G$2:$G$500),IF(LOOKUP(2,1/((LeaseLock!$D$2:$D$500=B82)*ISNUMBER(SEARCH(LEFT(C82,FIND(",",C82&amp;",")-1),LeaseLock!$C$2:$C$500))),LeaseLock!$M$2:$M$500)&gt;0,LOOKUP(2,1/((LeaseLock!$D$2:$D$500=B82)*ISNUMBER(SEARCH(LEFT(C82,FIND(",",C82&amp;",")-1),LeaseLock!$C$2:$C$500))),LeaseLock!$F$2:$F$500)&amp;" - $"&amp;TEXT(LOOKUP(2,1/((LeaseLock!$D$2:$D$500=B82)*ISNUMBER(SEARCH(LEFT(C82,FIND(",",C82&amp;",")-1),LeaseLock!$C$2:$C$500))),LeaseLock!$M$2:$M$500),"#,##0.00")&amp;" paid",LOOKUP(2,1/((LeaseLock!$D$2:$D$500=B82)*ISNUMBER(SEARCH(LEFT(C82,FIND(",",C82&amp;",")-1),LeaseLock!$C$2:$C$500))),LeaseLock!$F$2:$F$500)&amp;" - no payment"))))),"")</f>
        <v>Closed - $750.00 paid</v>
      </c>
      <c r="L82" s="1144"/>
      <c r="Q82" s="1115"/>
      <c r="R82" s="1115"/>
      <c r="S82" s="1115"/>
      <c r="T82" s="1115"/>
      <c r="U82" s="1115"/>
      <c r="V82" s="1115"/>
      <c r="W82" s="1115"/>
      <c r="X82" s="1115"/>
      <c r="Y82" s="1115"/>
      <c r="Z82" s="1147"/>
    </row>
    <row r="83" spans="1:26" ht="12" customHeight="1">
      <c r="A83" s="1138" cm="1">
        <f t="array" ref="A83">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36</v>
      </c>
      <c r="B83" s="1139" t="str" cm="1">
        <f t="array" ref="B83">IF($A83="","",INDEX('resident aged receivable'!$B:$B,$A83))</f>
        <v>N15-3069</v>
      </c>
      <c r="C83" s="1139" t="str" cm="1">
        <f t="array" ref="C83">IF($A83="","",INDEX('resident aged receivable'!$D:$D,$A83))</f>
        <v>Brown, Ronald</v>
      </c>
      <c r="D83" s="1140" cm="1">
        <f t="array" ref="D83">IF($A83="","",INDEX('resident aged receivable'!$F:$F,$A83))</f>
        <v>45710</v>
      </c>
      <c r="E83" s="1140" cm="1">
        <f t="array" ref="E83">IF($A83="","",_xlfn.LET(_xlpm.leaseEnd,INDEX('resident aged receivable'!$H:$H,$A83),_xlpm.moLookup,IFERROR(_xlfn.LET(_xlpm.lastFirst,C83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46133</v>
      </c>
      <c r="F83" s="1141" t="str">
        <f t="shared" si="2"/>
        <v>IPS</v>
      </c>
      <c r="G83" s="1142" t="str" cm="1">
        <f t="array" ref="G83">IF($A83="","",IF(COUNTIF($N$3:$N$24,C83)&gt;0,"Former",_xlfn.LET(_xlpm.s,INDEX('resident aged receivable'!$E:$E,$A83),IF(ISNUMBER(SEARCH("Eviction",_xlpm.s)),"Eviction",IF(ISNUMBER(SEARCH("Skip",_xlpm.s)),"Skip",IF(ISNUMBER(SEARCH("Past",_xlpm.s))+ISNUMBER(SEARCH("Collections",_xlpm.s)),"Former",_xlpm.s))))))</f>
        <v>Skip</v>
      </c>
      <c r="H83" s="1143" cm="1">
        <f t="array" ref="H83">IF($A83="","",INDEX('resident aged receivable'!$I:$I,$A83))</f>
        <v>1546.51</v>
      </c>
      <c r="I83" s="1143" cm="1">
        <f t="array" ref="I83">IF($A83="","",INDEX('resident aged receivable'!$J:$J,$A83))</f>
        <v>1546.51</v>
      </c>
      <c r="J83" s="1143" cm="1">
        <f t="array" ref="J83">IF($A83="","",INDEX('resident aged receivable'!$K:$K,$A83))</f>
        <v>0</v>
      </c>
      <c r="K83" s="1163" t="str" cm="1">
        <f t="array" ref="K83">IFERROR(IF(B83="","",IF(SUMPRODUCT((LeaseLock!$D$2:$D$500=B83)*ISNUMBER(SEARCH(LEFT(C83,FIND(",",C83&amp;",")-1),LeaseLock!$C$2:$C$500)))=0,"",IF(LOOKUP(2,1/((LeaseLock!$D$2:$D$500=B83)*ISNUMBER(SEARCH(LEFT(C83,FIND(",",C83&amp;",")-1),LeaseLock!$C$2:$C$500))),LeaseLock!$F$2:$F$500)="Claim Denied","Claim Denied ("&amp;LOOKUP(2,1/((LeaseLock!$D$2:$D$500=B83)*ISNUMBER(SEARCH(LEFT(C83,FIND(",",C83&amp;",")-1),LeaseLock!$C$2:$C$500))),LeaseLock!$G$2:$G$500)&amp;")",IF(LOOKUP(2,1/((LeaseLock!$D$2:$D$500=B83)*ISNUMBER(SEARCH(LEFT(C83,FIND(",",C83&amp;",")-1),LeaseLock!$C$2:$C$500))),LeaseLock!$F$2:$F$500)="Open","Open - "&amp;LOOKUP(2,1/((LeaseLock!$D$2:$D$500=B83)*ISNUMBER(SEARCH(LEFT(C83,FIND(",",C83&amp;",")-1),LeaseLock!$C$2:$C$500))),LeaseLock!$G$2:$G$500),IF(LOOKUP(2,1/((LeaseLock!$D$2:$D$500=B83)*ISNUMBER(SEARCH(LEFT(C83,FIND(",",C83&amp;",")-1),LeaseLock!$C$2:$C$500))),LeaseLock!$M$2:$M$500)&gt;0,LOOKUP(2,1/((LeaseLock!$D$2:$D$500=B83)*ISNUMBER(SEARCH(LEFT(C83,FIND(",",C83&amp;",")-1),LeaseLock!$C$2:$C$500))),LeaseLock!$F$2:$F$500)&amp;" - $"&amp;TEXT(LOOKUP(2,1/((LeaseLock!$D$2:$D$500=B83)*ISNUMBER(SEARCH(LEFT(C83,FIND(",",C83&amp;",")-1),LeaseLock!$C$2:$C$500))),LeaseLock!$M$2:$M$500),"#,##0.00")&amp;" paid",LOOKUP(2,1/((LeaseLock!$D$2:$D$500=B83)*ISNUMBER(SEARCH(LEFT(C83,FIND(",",C83&amp;",")-1),LeaseLock!$C$2:$C$500))),LeaseLock!$F$2:$F$500)&amp;" - no payment"))))),"")</f>
        <v/>
      </c>
      <c r="L83" s="1144"/>
      <c r="Q83" s="1115"/>
      <c r="R83" s="1115"/>
      <c r="S83" s="1115"/>
      <c r="T83" s="1115"/>
      <c r="U83" s="1115"/>
      <c r="V83" s="1115"/>
      <c r="W83" s="1115"/>
      <c r="X83" s="1115"/>
      <c r="Y83" s="1115"/>
      <c r="Z83" s="1147"/>
    </row>
    <row r="84" spans="1:26" ht="12" customHeight="1">
      <c r="A84" s="1138" cm="1">
        <f t="array" ref="A84">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61</v>
      </c>
      <c r="B84" s="1139" t="str" cm="1">
        <f t="array" ref="B84">IF($A84="","",INDEX('resident aged receivable'!$B:$B,$A84))</f>
        <v>S27-422</v>
      </c>
      <c r="C84" s="1139" t="str" cm="1">
        <f t="array" ref="C84">IF($A84="","",INDEX('resident aged receivable'!$D:$D,$A84))</f>
        <v>Ilugbekhai, Roseline</v>
      </c>
      <c r="D84" s="1140" cm="1">
        <f t="array" ref="D84">IF($A84="","",INDEX('resident aged receivable'!$F:$F,$A84))</f>
        <v>44534</v>
      </c>
      <c r="E84" s="1140" cm="1">
        <f t="array" ref="E84">IF($A84="","",_xlfn.LET(_xlpm.leaseEnd,INDEX('resident aged receivable'!$H:$H,$A84),_xlpm.moLookup,IFERROR(_xlfn.LET(_xlpm.lastFirst,C84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46022</v>
      </c>
      <c r="F84" s="1141" t="str">
        <f t="shared" si="2"/>
        <v>IPS</v>
      </c>
      <c r="G84" s="1142" t="str" cm="1">
        <f t="array" ref="G84">IF($A84="","",IF(COUNTIF($N$3:$N$24,C84)&gt;0,"Former",_xlfn.LET(_xlpm.s,INDEX('resident aged receivable'!$E:$E,$A84),IF(ISNUMBER(SEARCH("Eviction",_xlpm.s)),"Eviction",IF(ISNUMBER(SEARCH("Skip",_xlpm.s)),"Skip",IF(ISNUMBER(SEARCH("Past",_xlpm.s))+ISNUMBER(SEARCH("Collections",_xlpm.s)),"Former",_xlpm.s))))))</f>
        <v>Former</v>
      </c>
      <c r="H84" s="1143" cm="1">
        <f t="array" ref="H84">IF($A84="","",INDEX('resident aged receivable'!$I:$I,$A84))</f>
        <v>1446.76</v>
      </c>
      <c r="I84" s="1143" cm="1">
        <f t="array" ref="I84">IF($A84="","",INDEX('resident aged receivable'!$J:$J,$A84))</f>
        <v>0</v>
      </c>
      <c r="J84" s="1143" cm="1">
        <f t="array" ref="J84">IF($A84="","",INDEX('resident aged receivable'!$K:$K,$A84))</f>
        <v>55.92</v>
      </c>
      <c r="K84" s="1163" t="str" cm="1">
        <f t="array" ref="K84">IFERROR(IF(B84="","",IF(SUMPRODUCT((LeaseLock!$D$2:$D$500=B84)*ISNUMBER(SEARCH(LEFT(C84,FIND(",",C84&amp;",")-1),LeaseLock!$C$2:$C$500)))=0,"",IF(LOOKUP(2,1/((LeaseLock!$D$2:$D$500=B84)*ISNUMBER(SEARCH(LEFT(C84,FIND(",",C84&amp;",")-1),LeaseLock!$C$2:$C$500))),LeaseLock!$F$2:$F$500)="Claim Denied","Claim Denied ("&amp;LOOKUP(2,1/((LeaseLock!$D$2:$D$500=B84)*ISNUMBER(SEARCH(LEFT(C84,FIND(",",C84&amp;",")-1),LeaseLock!$C$2:$C$500))),LeaseLock!$G$2:$G$500)&amp;")",IF(LOOKUP(2,1/((LeaseLock!$D$2:$D$500=B84)*ISNUMBER(SEARCH(LEFT(C84,FIND(",",C84&amp;",")-1),LeaseLock!$C$2:$C$500))),LeaseLock!$F$2:$F$500)="Open","Open - "&amp;LOOKUP(2,1/((LeaseLock!$D$2:$D$500=B84)*ISNUMBER(SEARCH(LEFT(C84,FIND(",",C84&amp;",")-1),LeaseLock!$C$2:$C$500))),LeaseLock!$G$2:$G$500),IF(LOOKUP(2,1/((LeaseLock!$D$2:$D$500=B84)*ISNUMBER(SEARCH(LEFT(C84,FIND(",",C84&amp;",")-1),LeaseLock!$C$2:$C$500))),LeaseLock!$M$2:$M$500)&gt;0,LOOKUP(2,1/((LeaseLock!$D$2:$D$500=B84)*ISNUMBER(SEARCH(LEFT(C84,FIND(",",C84&amp;",")-1),LeaseLock!$C$2:$C$500))),LeaseLock!$F$2:$F$500)&amp;" - $"&amp;TEXT(LOOKUP(2,1/((LeaseLock!$D$2:$D$500=B84)*ISNUMBER(SEARCH(LEFT(C84,FIND(",",C84&amp;",")-1),LeaseLock!$C$2:$C$500))),LeaseLock!$M$2:$M$500),"#,##0.00")&amp;" paid",LOOKUP(2,1/((LeaseLock!$D$2:$D$500=B84)*ISNUMBER(SEARCH(LEFT(C84,FIND(",",C84&amp;",")-1),LeaseLock!$C$2:$C$500))),LeaseLock!$F$2:$F$500)&amp;" - no payment"))))),"")</f>
        <v>Claim Denied (Claim Denied)</v>
      </c>
      <c r="L84" s="1144"/>
      <c r="Q84" s="1115"/>
      <c r="R84" s="1115"/>
      <c r="S84" s="1115"/>
      <c r="T84" s="1115"/>
      <c r="U84" s="1115"/>
      <c r="V84" s="1115"/>
      <c r="W84" s="1115"/>
      <c r="X84" s="1115"/>
      <c r="Y84" s="1115"/>
      <c r="Z84" s="1147"/>
    </row>
    <row r="85" spans="1:26" ht="12" customHeight="1">
      <c r="A85" s="1138" cm="1">
        <f t="array" ref="A85">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118</v>
      </c>
      <c r="B85" s="1139" t="str" cm="1">
        <f t="array" ref="B85">IF($A85="","",INDEX('resident aged receivable'!$B:$B,$A85))</f>
        <v>W07-1-0724</v>
      </c>
      <c r="C85" s="1139" t="str" cm="1">
        <f t="array" ref="C85">IF($A85="","",INDEX('resident aged receivable'!$D:$D,$A85))</f>
        <v>Armstrong, Randy</v>
      </c>
      <c r="D85" s="1140" cm="1">
        <f t="array" ref="D85">IF($A85="","",INDEX('resident aged receivable'!$F:$F,$A85))</f>
        <v>45596</v>
      </c>
      <c r="E85" s="1140" cm="1">
        <f t="array" ref="E85">IF($A85="","",_xlfn.LET(_xlpm.leaseEnd,INDEX('resident aged receivable'!$H:$H,$A85),_xlpm.moLookup,IFERROR(_xlfn.LET(_xlpm.lastFirst,C85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46064</v>
      </c>
      <c r="F85" s="1141" t="str">
        <f t="shared" si="2"/>
        <v>IPS</v>
      </c>
      <c r="G85" s="1142" t="str" cm="1">
        <f t="array" ref="G85">IF($A85="","",IF(COUNTIF($N$3:$N$24,C85)&gt;0,"Former",_xlfn.LET(_xlpm.s,INDEX('resident aged receivable'!$E:$E,$A85),IF(ISNUMBER(SEARCH("Eviction",_xlpm.s)),"Eviction",IF(ISNUMBER(SEARCH("Skip",_xlpm.s)),"Skip",IF(ISNUMBER(SEARCH("Past",_xlpm.s))+ISNUMBER(SEARCH("Collections",_xlpm.s)),"Former",_xlpm.s))))))</f>
        <v>Former</v>
      </c>
      <c r="H85" s="1143" cm="1">
        <f t="array" ref="H85">IF($A85="","",INDEX('resident aged receivable'!$I:$I,$A85))</f>
        <v>1397.43</v>
      </c>
      <c r="I85" s="1143" cm="1">
        <f t="array" ref="I85">IF($A85="","",INDEX('resident aged receivable'!$J:$J,$A85))</f>
        <v>0</v>
      </c>
      <c r="J85" s="1143" cm="1">
        <f t="array" ref="J85">IF($A85="","",INDEX('resident aged receivable'!$K:$K,$A85))</f>
        <v>724.81</v>
      </c>
      <c r="K85" s="1163" t="str" cm="1">
        <f t="array" ref="K85">IFERROR(IF(B85="","",IF(SUMPRODUCT((LeaseLock!$D$2:$D$500=B85)*ISNUMBER(SEARCH(LEFT(C85,FIND(",",C85&amp;",")-1),LeaseLock!$C$2:$C$500)))=0,"",IF(LOOKUP(2,1/((LeaseLock!$D$2:$D$500=B85)*ISNUMBER(SEARCH(LEFT(C85,FIND(",",C85&amp;",")-1),LeaseLock!$C$2:$C$500))),LeaseLock!$F$2:$F$500)="Claim Denied","Claim Denied ("&amp;LOOKUP(2,1/((LeaseLock!$D$2:$D$500=B85)*ISNUMBER(SEARCH(LEFT(C85,FIND(",",C85&amp;",")-1),LeaseLock!$C$2:$C$500))),LeaseLock!$G$2:$G$500)&amp;")",IF(LOOKUP(2,1/((LeaseLock!$D$2:$D$500=B85)*ISNUMBER(SEARCH(LEFT(C85,FIND(",",C85&amp;",")-1),LeaseLock!$C$2:$C$500))),LeaseLock!$F$2:$F$500)="Open","Open - "&amp;LOOKUP(2,1/((LeaseLock!$D$2:$D$500=B85)*ISNUMBER(SEARCH(LEFT(C85,FIND(",",C85&amp;",")-1),LeaseLock!$C$2:$C$500))),LeaseLock!$G$2:$G$500),IF(LOOKUP(2,1/((LeaseLock!$D$2:$D$500=B85)*ISNUMBER(SEARCH(LEFT(C85,FIND(",",C85&amp;",")-1),LeaseLock!$C$2:$C$500))),LeaseLock!$M$2:$M$500)&gt;0,LOOKUP(2,1/((LeaseLock!$D$2:$D$500=B85)*ISNUMBER(SEARCH(LEFT(C85,FIND(",",C85&amp;",")-1),LeaseLock!$C$2:$C$500))),LeaseLock!$F$2:$F$500)&amp;" - $"&amp;TEXT(LOOKUP(2,1/((LeaseLock!$D$2:$D$500=B85)*ISNUMBER(SEARCH(LEFT(C85,FIND(",",C85&amp;",")-1),LeaseLock!$C$2:$C$500))),LeaseLock!$M$2:$M$500),"#,##0.00")&amp;" paid",LOOKUP(2,1/((LeaseLock!$D$2:$D$500=B85)*ISNUMBER(SEARCH(LEFT(C85,FIND(",",C85&amp;",")-1),LeaseLock!$C$2:$C$500))),LeaseLock!$F$2:$F$500)&amp;" - no payment"))))),"")</f>
        <v>Closed - $750.00 paid</v>
      </c>
      <c r="L85" s="1144"/>
      <c r="Q85" s="1115"/>
      <c r="R85" s="1115"/>
      <c r="S85" s="1115"/>
      <c r="T85" s="1115"/>
      <c r="U85" s="1115"/>
      <c r="V85" s="1115"/>
      <c r="W85" s="1115"/>
      <c r="X85" s="1115"/>
      <c r="Y85" s="1115"/>
      <c r="Z85" s="1134"/>
    </row>
    <row r="86" spans="1:26" ht="12" customHeight="1">
      <c r="A86" s="1138" cm="1">
        <f t="array" ref="A86">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105</v>
      </c>
      <c r="B86" s="1139" t="str" cm="1">
        <f t="array" ref="B86">IF($A86="","",INDEX('resident aged receivable'!$B:$B,$A86))</f>
        <v>W05-1-0519</v>
      </c>
      <c r="C86" s="1139" t="str" cm="1">
        <f t="array" ref="C86">IF($A86="","",INDEX('resident aged receivable'!$D:$D,$A86))</f>
        <v>Yeon, Hyo</v>
      </c>
      <c r="D86" s="1140" cm="1">
        <f t="array" ref="D86">IF($A86="","",INDEX('resident aged receivable'!$F:$F,$A86))</f>
        <v>45636</v>
      </c>
      <c r="E86" s="1140" cm="1">
        <f t="array" ref="E86">IF($A86="","",_xlfn.LET(_xlpm.leaseEnd,INDEX('resident aged receivable'!$H:$H,$A86),_xlpm.moLookup,IFERROR(_xlfn.LET(_xlpm.lastFirst,C86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46084</v>
      </c>
      <c r="F86" s="1141" t="str">
        <f t="shared" si="2"/>
        <v>IPS</v>
      </c>
      <c r="G86" s="1142" t="str" cm="1">
        <f t="array" ref="G86">IF($A86="","",IF(COUNTIF($N$3:$N$24,C86)&gt;0,"Former",_xlfn.LET(_xlpm.s,INDEX('resident aged receivable'!$E:$E,$A86),IF(ISNUMBER(SEARCH("Eviction",_xlpm.s)),"Eviction",IF(ISNUMBER(SEARCH("Skip",_xlpm.s)),"Skip",IF(ISNUMBER(SEARCH("Past",_xlpm.s))+ISNUMBER(SEARCH("Collections",_xlpm.s)),"Former",_xlpm.s))))))</f>
        <v>Former</v>
      </c>
      <c r="H86" s="1143" cm="1">
        <f t="array" ref="H86">IF($A86="","",INDEX('resident aged receivable'!$I:$I,$A86))</f>
        <v>1340.57</v>
      </c>
      <c r="I86" s="1143" cm="1">
        <f t="array" ref="I86">IF($A86="","",INDEX('resident aged receivable'!$J:$J,$A86))</f>
        <v>0</v>
      </c>
      <c r="J86" s="1143" cm="1">
        <f t="array" ref="J86">IF($A86="","",INDEX('resident aged receivable'!$K:$K,$A86))</f>
        <v>1340.57</v>
      </c>
      <c r="K86" s="1163" t="str" cm="1">
        <f t="array" ref="K86">IFERROR(IF(B86="","",IF(SUMPRODUCT((LeaseLock!$D$2:$D$500=B86)*ISNUMBER(SEARCH(LEFT(C86,FIND(",",C86&amp;",")-1),LeaseLock!$C$2:$C$500)))=0,"",IF(LOOKUP(2,1/((LeaseLock!$D$2:$D$500=B86)*ISNUMBER(SEARCH(LEFT(C86,FIND(",",C86&amp;",")-1),LeaseLock!$C$2:$C$500))),LeaseLock!$F$2:$F$500)="Claim Denied","Claim Denied ("&amp;LOOKUP(2,1/((LeaseLock!$D$2:$D$500=B86)*ISNUMBER(SEARCH(LEFT(C86,FIND(",",C86&amp;",")-1),LeaseLock!$C$2:$C$500))),LeaseLock!$G$2:$G$500)&amp;")",IF(LOOKUP(2,1/((LeaseLock!$D$2:$D$500=B86)*ISNUMBER(SEARCH(LEFT(C86,FIND(",",C86&amp;",")-1),LeaseLock!$C$2:$C$500))),LeaseLock!$F$2:$F$500)="Open","Open - "&amp;LOOKUP(2,1/((LeaseLock!$D$2:$D$500=B86)*ISNUMBER(SEARCH(LEFT(C86,FIND(",",C86&amp;",")-1),LeaseLock!$C$2:$C$500))),LeaseLock!$G$2:$G$500),IF(LOOKUP(2,1/((LeaseLock!$D$2:$D$500=B86)*ISNUMBER(SEARCH(LEFT(C86,FIND(",",C86&amp;",")-1),LeaseLock!$C$2:$C$500))),LeaseLock!$M$2:$M$500)&gt;0,LOOKUP(2,1/((LeaseLock!$D$2:$D$500=B86)*ISNUMBER(SEARCH(LEFT(C86,FIND(",",C86&amp;",")-1),LeaseLock!$C$2:$C$500))),LeaseLock!$F$2:$F$500)&amp;" - $"&amp;TEXT(LOOKUP(2,1/((LeaseLock!$D$2:$D$500=B86)*ISNUMBER(SEARCH(LEFT(C86,FIND(",",C86&amp;",")-1),LeaseLock!$C$2:$C$500))),LeaseLock!$M$2:$M$500),"#,##0.00")&amp;" paid",LOOKUP(2,1/((LeaseLock!$D$2:$D$500=B86)*ISNUMBER(SEARCH(LEFT(C86,FIND(",",C86&amp;",")-1),LeaseLock!$C$2:$C$500))),LeaseLock!$F$2:$F$500)&amp;" - no payment"))))),"")</f>
        <v/>
      </c>
      <c r="L86" s="1144"/>
      <c r="Q86" s="1115"/>
      <c r="R86" s="1115"/>
      <c r="S86" s="1115"/>
      <c r="T86" s="1115"/>
      <c r="U86" s="1115"/>
      <c r="V86" s="1115"/>
      <c r="W86" s="1115"/>
      <c r="X86" s="1115"/>
      <c r="Y86" s="1115"/>
      <c r="Z86" s="1147"/>
    </row>
    <row r="87" spans="1:26" ht="12" customHeight="1">
      <c r="A87" s="1138" cm="1">
        <f t="array" ref="A87">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88</v>
      </c>
      <c r="B87" s="1139" t="str" cm="1">
        <f t="array" ref="B87">IF($A87="","",INDEX('resident aged receivable'!$B:$B,$A87))</f>
        <v>W02-1-0212</v>
      </c>
      <c r="C87" s="1139" t="str" cm="1">
        <f t="array" ref="C87">IF($A87="","",INDEX('resident aged receivable'!$D:$D,$A87))</f>
        <v>Rox, Artie</v>
      </c>
      <c r="D87" s="1140" cm="1">
        <f t="array" ref="D87">IF($A87="","",INDEX('resident aged receivable'!$F:$F,$A87))</f>
        <v>39619</v>
      </c>
      <c r="E87" s="1140" cm="1">
        <f t="array" ref="E87">IF($A87="","",_xlfn.LET(_xlpm.leaseEnd,INDEX('resident aged receivable'!$H:$H,$A87),_xlpm.moLookup,IFERROR(_xlfn.LET(_xlpm.lastFirst,C87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46234</v>
      </c>
      <c r="F87" s="1141" t="str">
        <f t="shared" si="2"/>
        <v>IPS</v>
      </c>
      <c r="G87" s="1142" t="str" cm="1">
        <f t="array" ref="G87">IF($A87="","",IF(COUNTIF($N$3:$N$24,C87)&gt;0,"Former",_xlfn.LET(_xlpm.s,INDEX('resident aged receivable'!$E:$E,$A87),IF(ISNUMBER(SEARCH("Eviction",_xlpm.s)),"Eviction",IF(ISNUMBER(SEARCH("Skip",_xlpm.s)),"Skip",IF(ISNUMBER(SEARCH("Past",_xlpm.s))+ISNUMBER(SEARCH("Collections",_xlpm.s)),"Former",_xlpm.s))))))</f>
        <v>Former</v>
      </c>
      <c r="H87" s="1143" cm="1">
        <f t="array" ref="H87">IF($A87="","",INDEX('resident aged receivable'!$I:$I,$A87))</f>
        <v>1336.57</v>
      </c>
      <c r="I87" s="1143" cm="1">
        <f t="array" ref="I87">IF($A87="","",INDEX('resident aged receivable'!$J:$J,$A87))</f>
        <v>0</v>
      </c>
      <c r="J87" s="1143" cm="1">
        <f t="array" ref="J87">IF($A87="","",INDEX('resident aged receivable'!$K:$K,$A87))</f>
        <v>952.19</v>
      </c>
      <c r="K87" s="1163" t="str" cm="1">
        <f t="array" ref="K87">IFERROR(IF(B87="","",IF(SUMPRODUCT((LeaseLock!$D$2:$D$500=B87)*ISNUMBER(SEARCH(LEFT(C87,FIND(",",C87&amp;",")-1),LeaseLock!$C$2:$C$500)))=0,"",IF(LOOKUP(2,1/((LeaseLock!$D$2:$D$500=B87)*ISNUMBER(SEARCH(LEFT(C87,FIND(",",C87&amp;",")-1),LeaseLock!$C$2:$C$500))),LeaseLock!$F$2:$F$500)="Claim Denied","Claim Denied ("&amp;LOOKUP(2,1/((LeaseLock!$D$2:$D$500=B87)*ISNUMBER(SEARCH(LEFT(C87,FIND(",",C87&amp;",")-1),LeaseLock!$C$2:$C$500))),LeaseLock!$G$2:$G$500)&amp;")",IF(LOOKUP(2,1/((LeaseLock!$D$2:$D$500=B87)*ISNUMBER(SEARCH(LEFT(C87,FIND(",",C87&amp;",")-1),LeaseLock!$C$2:$C$500))),LeaseLock!$F$2:$F$500)="Open","Open - "&amp;LOOKUP(2,1/((LeaseLock!$D$2:$D$500=B87)*ISNUMBER(SEARCH(LEFT(C87,FIND(",",C87&amp;",")-1),LeaseLock!$C$2:$C$500))),LeaseLock!$G$2:$G$500),IF(LOOKUP(2,1/((LeaseLock!$D$2:$D$500=B87)*ISNUMBER(SEARCH(LEFT(C87,FIND(",",C87&amp;",")-1),LeaseLock!$C$2:$C$500))),LeaseLock!$M$2:$M$500)&gt;0,LOOKUP(2,1/((LeaseLock!$D$2:$D$500=B87)*ISNUMBER(SEARCH(LEFT(C87,FIND(",",C87&amp;",")-1),LeaseLock!$C$2:$C$500))),LeaseLock!$F$2:$F$500)&amp;" - $"&amp;TEXT(LOOKUP(2,1/((LeaseLock!$D$2:$D$500=B87)*ISNUMBER(SEARCH(LEFT(C87,FIND(",",C87&amp;",")-1),LeaseLock!$C$2:$C$500))),LeaseLock!$M$2:$M$500),"#,##0.00")&amp;" paid",LOOKUP(2,1/((LeaseLock!$D$2:$D$500=B87)*ISNUMBER(SEARCH(LEFT(C87,FIND(",",C87&amp;",")-1),LeaseLock!$C$2:$C$500))),LeaseLock!$F$2:$F$500)&amp;" - no payment"))))),"")</f>
        <v/>
      </c>
      <c r="L87" s="1144"/>
      <c r="Q87" s="1115"/>
      <c r="R87" s="1115"/>
      <c r="S87" s="1115"/>
      <c r="T87" s="1115"/>
      <c r="U87" s="1115"/>
      <c r="V87" s="1115"/>
      <c r="W87" s="1115"/>
      <c r="X87" s="1115"/>
      <c r="Y87" s="1115"/>
      <c r="Z87" s="1147"/>
    </row>
    <row r="88" spans="1:26" ht="12" customHeight="1">
      <c r="A88" s="1138" cm="1">
        <f t="array" ref="A88">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59</v>
      </c>
      <c r="B88" s="1139" t="str" cm="1">
        <f t="array" ref="B88">IF($A88="","",INDEX('resident aged receivable'!$B:$B,$A88))</f>
        <v>S26-416</v>
      </c>
      <c r="C88" s="1139" t="str" cm="1">
        <f t="array" ref="C88">IF($A88="","",INDEX('resident aged receivable'!$D:$D,$A88))</f>
        <v>Thomas, Archesicia</v>
      </c>
      <c r="D88" s="1140" cm="1">
        <f t="array" ref="D88">IF($A88="","",INDEX('resident aged receivable'!$F:$F,$A88))</f>
        <v>45583</v>
      </c>
      <c r="E88" s="1140" cm="1">
        <f t="array" ref="E88">IF($A88="","",_xlfn.LET(_xlpm.leaseEnd,INDEX('resident aged receivable'!$H:$H,$A88),_xlpm.moLookup,IFERROR(_xlfn.LET(_xlpm.lastFirst,C88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46009</v>
      </c>
      <c r="F88" s="1141" t="str">
        <f t="shared" si="2"/>
        <v>IPS</v>
      </c>
      <c r="G88" s="1142" t="str" cm="1">
        <f t="array" ref="G88">IF($A88="","",IF(COUNTIF($N$3:$N$24,C88)&gt;0,"Former",_xlfn.LET(_xlpm.s,INDEX('resident aged receivable'!$E:$E,$A88),IF(ISNUMBER(SEARCH("Eviction",_xlpm.s)),"Eviction",IF(ISNUMBER(SEARCH("Skip",_xlpm.s)),"Skip",IF(ISNUMBER(SEARCH("Past",_xlpm.s))+ISNUMBER(SEARCH("Collections",_xlpm.s)),"Former",_xlpm.s))))))</f>
        <v>Former</v>
      </c>
      <c r="H88" s="1143" cm="1">
        <f t="array" ref="H88">IF($A88="","",INDEX('resident aged receivable'!$I:$I,$A88))</f>
        <v>1290.76</v>
      </c>
      <c r="I88" s="1143" cm="1">
        <f t="array" ref="I88">IF($A88="","",INDEX('resident aged receivable'!$J:$J,$A88))</f>
        <v>0</v>
      </c>
      <c r="J88" s="1143" cm="1">
        <f t="array" ref="J88">IF($A88="","",INDEX('resident aged receivable'!$K:$K,$A88))</f>
        <v>55.92</v>
      </c>
      <c r="K88" s="1163" t="str" cm="1">
        <f t="array" ref="K88">IFERROR(IF(B88="","",IF(SUMPRODUCT((LeaseLock!$D$2:$D$500=B88)*ISNUMBER(SEARCH(LEFT(C88,FIND(",",C88&amp;",")-1),LeaseLock!$C$2:$C$500)))=0,"",IF(LOOKUP(2,1/((LeaseLock!$D$2:$D$500=B88)*ISNUMBER(SEARCH(LEFT(C88,FIND(",",C88&amp;",")-1),LeaseLock!$C$2:$C$500))),LeaseLock!$F$2:$F$500)="Claim Denied","Claim Denied ("&amp;LOOKUP(2,1/((LeaseLock!$D$2:$D$500=B88)*ISNUMBER(SEARCH(LEFT(C88,FIND(",",C88&amp;",")-1),LeaseLock!$C$2:$C$500))),LeaseLock!$G$2:$G$500)&amp;")",IF(LOOKUP(2,1/((LeaseLock!$D$2:$D$500=B88)*ISNUMBER(SEARCH(LEFT(C88,FIND(",",C88&amp;",")-1),LeaseLock!$C$2:$C$500))),LeaseLock!$F$2:$F$500)="Open","Open - "&amp;LOOKUP(2,1/((LeaseLock!$D$2:$D$500=B88)*ISNUMBER(SEARCH(LEFT(C88,FIND(",",C88&amp;",")-1),LeaseLock!$C$2:$C$500))),LeaseLock!$G$2:$G$500),IF(LOOKUP(2,1/((LeaseLock!$D$2:$D$500=B88)*ISNUMBER(SEARCH(LEFT(C88,FIND(",",C88&amp;",")-1),LeaseLock!$C$2:$C$500))),LeaseLock!$M$2:$M$500)&gt;0,LOOKUP(2,1/((LeaseLock!$D$2:$D$500=B88)*ISNUMBER(SEARCH(LEFT(C88,FIND(",",C88&amp;",")-1),LeaseLock!$C$2:$C$500))),LeaseLock!$F$2:$F$500)&amp;" - $"&amp;TEXT(LOOKUP(2,1/((LeaseLock!$D$2:$D$500=B88)*ISNUMBER(SEARCH(LEFT(C88,FIND(",",C88&amp;",")-1),LeaseLock!$C$2:$C$500))),LeaseLock!$M$2:$M$500),"#,##0.00")&amp;" paid",LOOKUP(2,1/((LeaseLock!$D$2:$D$500=B88)*ISNUMBER(SEARCH(LEFT(C88,FIND(",",C88&amp;",")-1),LeaseLock!$C$2:$C$500))),LeaseLock!$F$2:$F$500)&amp;" - no payment"))))),"")</f>
        <v/>
      </c>
      <c r="L88" s="1144"/>
      <c r="Q88" s="1115"/>
      <c r="R88" s="1115"/>
      <c r="S88" s="1115"/>
      <c r="T88" s="1115"/>
      <c r="U88" s="1115"/>
      <c r="V88" s="1115"/>
      <c r="W88" s="1115"/>
      <c r="X88" s="1115"/>
      <c r="Y88" s="1115"/>
      <c r="Z88" s="1147"/>
    </row>
    <row r="89" spans="1:26" ht="12" customHeight="1">
      <c r="A89" s="1138" cm="1">
        <f t="array" ref="A89">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26</v>
      </c>
      <c r="B89" s="1139" t="str" cm="1">
        <f t="array" ref="B89">IF($A89="","",INDEX('resident aged receivable'!$B:$B,$A89))</f>
        <v>N12-1049</v>
      </c>
      <c r="C89" s="1139" t="str" cm="1">
        <f t="array" ref="C89">IF($A89="","",INDEX('resident aged receivable'!$D:$D,$A89))</f>
        <v>Straw, Zantevia</v>
      </c>
      <c r="D89" s="1140" cm="1">
        <f t="array" ref="D89">IF($A89="","",INDEX('resident aged receivable'!$F:$F,$A89))</f>
        <v>43922</v>
      </c>
      <c r="E89" s="1140" cm="1">
        <f t="array" ref="E89">IF($A89="","",_xlfn.LET(_xlpm.leaseEnd,INDEX('resident aged receivable'!$H:$H,$A89),_xlpm.moLookup,IFERROR(_xlfn.LET(_xlpm.lastFirst,C89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46081</v>
      </c>
      <c r="F89" s="1141" t="str">
        <f t="shared" si="2"/>
        <v>IPS</v>
      </c>
      <c r="G89" s="1142" t="str" cm="1">
        <f t="array" ref="G89">IF($A89="","",IF(COUNTIF($N$3:$N$24,C89)&gt;0,"Former",_xlfn.LET(_xlpm.s,INDEX('resident aged receivable'!$E:$E,$A89),IF(ISNUMBER(SEARCH("Eviction",_xlpm.s)),"Eviction",IF(ISNUMBER(SEARCH("Skip",_xlpm.s)),"Skip",IF(ISNUMBER(SEARCH("Past",_xlpm.s))+ISNUMBER(SEARCH("Collections",_xlpm.s)),"Former",_xlpm.s))))))</f>
        <v>Former</v>
      </c>
      <c r="H89" s="1143" cm="1">
        <f t="array" ref="H89">IF($A89="","",INDEX('resident aged receivable'!$I:$I,$A89))</f>
        <v>1267.5</v>
      </c>
      <c r="I89" s="1143" cm="1">
        <f t="array" ref="I89">IF($A89="","",INDEX('resident aged receivable'!$J:$J,$A89))</f>
        <v>0</v>
      </c>
      <c r="J89" s="1143" cm="1">
        <f t="array" ref="J89">IF($A89="","",INDEX('resident aged receivable'!$K:$K,$A89))</f>
        <v>324.25</v>
      </c>
      <c r="K89" s="1163" t="str" cm="1">
        <f t="array" ref="K89">IFERROR(IF(B89="","",IF(SUMPRODUCT((LeaseLock!$D$2:$D$500=B89)*ISNUMBER(SEARCH(LEFT(C89,FIND(",",C89&amp;",")-1),LeaseLock!$C$2:$C$500)))=0,"",IF(LOOKUP(2,1/((LeaseLock!$D$2:$D$500=B89)*ISNUMBER(SEARCH(LEFT(C89,FIND(",",C89&amp;",")-1),LeaseLock!$C$2:$C$500))),LeaseLock!$F$2:$F$500)="Claim Denied","Claim Denied ("&amp;LOOKUP(2,1/((LeaseLock!$D$2:$D$500=B89)*ISNUMBER(SEARCH(LEFT(C89,FIND(",",C89&amp;",")-1),LeaseLock!$C$2:$C$500))),LeaseLock!$G$2:$G$500)&amp;")",IF(LOOKUP(2,1/((LeaseLock!$D$2:$D$500=B89)*ISNUMBER(SEARCH(LEFT(C89,FIND(",",C89&amp;",")-1),LeaseLock!$C$2:$C$500))),LeaseLock!$F$2:$F$500)="Open","Open - "&amp;LOOKUP(2,1/((LeaseLock!$D$2:$D$500=B89)*ISNUMBER(SEARCH(LEFT(C89,FIND(",",C89&amp;",")-1),LeaseLock!$C$2:$C$500))),LeaseLock!$G$2:$G$500),IF(LOOKUP(2,1/((LeaseLock!$D$2:$D$500=B89)*ISNUMBER(SEARCH(LEFT(C89,FIND(",",C89&amp;",")-1),LeaseLock!$C$2:$C$500))),LeaseLock!$M$2:$M$500)&gt;0,LOOKUP(2,1/((LeaseLock!$D$2:$D$500=B89)*ISNUMBER(SEARCH(LEFT(C89,FIND(",",C89&amp;",")-1),LeaseLock!$C$2:$C$500))),LeaseLock!$F$2:$F$500)&amp;" - $"&amp;TEXT(LOOKUP(2,1/((LeaseLock!$D$2:$D$500=B89)*ISNUMBER(SEARCH(LEFT(C89,FIND(",",C89&amp;",")-1),LeaseLock!$C$2:$C$500))),LeaseLock!$M$2:$M$500),"#,##0.00")&amp;" paid",LOOKUP(2,1/((LeaseLock!$D$2:$D$500=B89)*ISNUMBER(SEARCH(LEFT(C89,FIND(",",C89&amp;",")-1),LeaseLock!$C$2:$C$500))),LeaseLock!$F$2:$F$500)&amp;" - no payment"))))),"")</f>
        <v/>
      </c>
      <c r="L89" s="1144"/>
      <c r="Q89" s="1115"/>
      <c r="R89" s="1115"/>
      <c r="S89" s="1115"/>
      <c r="T89" s="1115"/>
      <c r="U89" s="1115"/>
      <c r="V89" s="1115"/>
      <c r="W89" s="1115"/>
      <c r="X89" s="1115"/>
      <c r="Y89" s="1115"/>
      <c r="Z89" s="1147"/>
    </row>
    <row r="90" spans="1:26" ht="12" customHeight="1">
      <c r="A90" s="1138" cm="1">
        <f t="array" ref="A90">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162</v>
      </c>
      <c r="B90" s="1139" t="str" cm="1">
        <f t="array" ref="B90">IF($A90="","",INDEX('resident aged receivable'!$B:$B,$A90))</f>
        <v>W17-2-1075</v>
      </c>
      <c r="C90" s="1139" t="str" cm="1">
        <f t="array" ref="C90">IF($A90="","",INDEX('resident aged receivable'!$D:$D,$A90))</f>
        <v>Magarin, Sergio</v>
      </c>
      <c r="D90" s="1140" cm="1">
        <f t="array" ref="D90">IF($A90="","",INDEX('resident aged receivable'!$F:$F,$A90))</f>
        <v>45226</v>
      </c>
      <c r="E90" s="1140" cm="1">
        <f t="array" ref="E90">IF($A90="","",_xlfn.LET(_xlpm.leaseEnd,INDEX('resident aged receivable'!$H:$H,$A90),_xlpm.moLookup,IFERROR(_xlfn.LET(_xlpm.lastFirst,C90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46080</v>
      </c>
      <c r="F90" s="1141" t="str">
        <f t="shared" si="2"/>
        <v>IPS</v>
      </c>
      <c r="G90" s="1142" t="str" cm="1">
        <f t="array" ref="G90">IF($A90="","",IF(COUNTIF($N$3:$N$24,C90)&gt;0,"Former",_xlfn.LET(_xlpm.s,INDEX('resident aged receivable'!$E:$E,$A90),IF(ISNUMBER(SEARCH("Eviction",_xlpm.s)),"Eviction",IF(ISNUMBER(SEARCH("Skip",_xlpm.s)),"Skip",IF(ISNUMBER(SEARCH("Past",_xlpm.s))+ISNUMBER(SEARCH("Collections",_xlpm.s)),"Former",_xlpm.s))))))</f>
        <v>Former</v>
      </c>
      <c r="H90" s="1143" cm="1">
        <f t="array" ref="H90">IF($A90="","",INDEX('resident aged receivable'!$I:$I,$A90))</f>
        <v>1255.1099999999999</v>
      </c>
      <c r="I90" s="1143" cm="1">
        <f t="array" ref="I90">IF($A90="","",INDEX('resident aged receivable'!$J:$J,$A90))</f>
        <v>0</v>
      </c>
      <c r="J90" s="1143" cm="1">
        <f t="array" ref="J90">IF($A90="","",INDEX('resident aged receivable'!$K:$K,$A90))</f>
        <v>1255.1099999999999</v>
      </c>
      <c r="K90" s="1163" t="str" cm="1">
        <f t="array" ref="K90">IFERROR(IF(B90="","",IF(SUMPRODUCT((LeaseLock!$D$2:$D$500=B90)*ISNUMBER(SEARCH(LEFT(C90,FIND(",",C90&amp;",")-1),LeaseLock!$C$2:$C$500)))=0,"",IF(LOOKUP(2,1/((LeaseLock!$D$2:$D$500=B90)*ISNUMBER(SEARCH(LEFT(C90,FIND(",",C90&amp;",")-1),LeaseLock!$C$2:$C$500))),LeaseLock!$F$2:$F$500)="Claim Denied","Claim Denied ("&amp;LOOKUP(2,1/((LeaseLock!$D$2:$D$500=B90)*ISNUMBER(SEARCH(LEFT(C90,FIND(",",C90&amp;",")-1),LeaseLock!$C$2:$C$500))),LeaseLock!$G$2:$G$500)&amp;")",IF(LOOKUP(2,1/((LeaseLock!$D$2:$D$500=B90)*ISNUMBER(SEARCH(LEFT(C90,FIND(",",C90&amp;",")-1),LeaseLock!$C$2:$C$500))),LeaseLock!$F$2:$F$500)="Open","Open - "&amp;LOOKUP(2,1/((LeaseLock!$D$2:$D$500=B90)*ISNUMBER(SEARCH(LEFT(C90,FIND(",",C90&amp;",")-1),LeaseLock!$C$2:$C$500))),LeaseLock!$G$2:$G$500),IF(LOOKUP(2,1/((LeaseLock!$D$2:$D$500=B90)*ISNUMBER(SEARCH(LEFT(C90,FIND(",",C90&amp;",")-1),LeaseLock!$C$2:$C$500))),LeaseLock!$M$2:$M$500)&gt;0,LOOKUP(2,1/((LeaseLock!$D$2:$D$500=B90)*ISNUMBER(SEARCH(LEFT(C90,FIND(",",C90&amp;",")-1),LeaseLock!$C$2:$C$500))),LeaseLock!$F$2:$F$500)&amp;" - $"&amp;TEXT(LOOKUP(2,1/((LeaseLock!$D$2:$D$500=B90)*ISNUMBER(SEARCH(LEFT(C90,FIND(",",C90&amp;",")-1),LeaseLock!$C$2:$C$500))),LeaseLock!$M$2:$M$500),"#,##0.00")&amp;" paid",LOOKUP(2,1/((LeaseLock!$D$2:$D$500=B90)*ISNUMBER(SEARCH(LEFT(C90,FIND(",",C90&amp;",")-1),LeaseLock!$C$2:$C$500))),LeaseLock!$F$2:$F$500)&amp;" - no payment"))))),"")</f>
        <v>Closed - $750.00 paid</v>
      </c>
      <c r="L90" s="1144"/>
      <c r="Q90" s="1115"/>
      <c r="R90" s="1115"/>
      <c r="S90" s="1115"/>
      <c r="T90" s="1115"/>
      <c r="U90" s="1115"/>
      <c r="V90" s="1115"/>
      <c r="W90" s="1115"/>
      <c r="X90" s="1115"/>
      <c r="Y90" s="1115"/>
      <c r="Z90" s="1147"/>
    </row>
    <row r="91" spans="1:26" ht="12" customHeight="1">
      <c r="A91" s="1138" cm="1">
        <f t="array" ref="A91">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99</v>
      </c>
      <c r="B91" s="1139" t="str" cm="1">
        <f t="array" ref="B91">IF($A91="","",INDEX('resident aged receivable'!$B:$B,$A91))</f>
        <v>W04-1-0412</v>
      </c>
      <c r="C91" s="1139" t="str" cm="1">
        <f t="array" ref="C91">IF($A91="","",INDEX('resident aged receivable'!$D:$D,$A91))</f>
        <v>Rojas, Mari</v>
      </c>
      <c r="D91" s="1140" cm="1">
        <f t="array" ref="D91">IF($A91="","",INDEX('resident aged receivable'!$F:$F,$A91))</f>
        <v>45595</v>
      </c>
      <c r="E91" s="1140" cm="1">
        <f t="array" ref="E91">IF($A91="","",_xlfn.LET(_xlpm.leaseEnd,INDEX('resident aged receivable'!$H:$H,$A91),_xlpm.moLookup,IFERROR(_xlfn.LET(_xlpm.lastFirst,C91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46112</v>
      </c>
      <c r="F91" s="1141" t="str">
        <f t="shared" si="2"/>
        <v>IPS</v>
      </c>
      <c r="G91" s="1142" t="str" cm="1">
        <f t="array" ref="G91">IF($A91="","",IF(COUNTIF($N$3:$N$24,C91)&gt;0,"Former",_xlfn.LET(_xlpm.s,INDEX('resident aged receivable'!$E:$E,$A91),IF(ISNUMBER(SEARCH("Eviction",_xlpm.s)),"Eviction",IF(ISNUMBER(SEARCH("Skip",_xlpm.s)),"Skip",IF(ISNUMBER(SEARCH("Past",_xlpm.s))+ISNUMBER(SEARCH("Collections",_xlpm.s)),"Former",_xlpm.s))))))</f>
        <v>Former</v>
      </c>
      <c r="H91" s="1143" cm="1">
        <f t="array" ref="H91">IF($A91="","",INDEX('resident aged receivable'!$I:$I,$A91))</f>
        <v>1223.83</v>
      </c>
      <c r="I91" s="1143" cm="1">
        <f t="array" ref="I91">IF($A91="","",INDEX('resident aged receivable'!$J:$J,$A91))</f>
        <v>1223.83</v>
      </c>
      <c r="J91" s="1143" cm="1">
        <f t="array" ref="J91">IF($A91="","",INDEX('resident aged receivable'!$K:$K,$A91))</f>
        <v>0</v>
      </c>
      <c r="K91" s="1163" t="str" cm="1">
        <f t="array" ref="K91">IFERROR(IF(B91="","",IF(SUMPRODUCT((LeaseLock!$D$2:$D$500=B91)*ISNUMBER(SEARCH(LEFT(C91,FIND(",",C91&amp;",")-1),LeaseLock!$C$2:$C$500)))=0,"",IF(LOOKUP(2,1/((LeaseLock!$D$2:$D$500=B91)*ISNUMBER(SEARCH(LEFT(C91,FIND(",",C91&amp;",")-1),LeaseLock!$C$2:$C$500))),LeaseLock!$F$2:$F$500)="Claim Denied","Claim Denied ("&amp;LOOKUP(2,1/((LeaseLock!$D$2:$D$500=B91)*ISNUMBER(SEARCH(LEFT(C91,FIND(",",C91&amp;",")-1),LeaseLock!$C$2:$C$500))),LeaseLock!$G$2:$G$500)&amp;")",IF(LOOKUP(2,1/((LeaseLock!$D$2:$D$500=B91)*ISNUMBER(SEARCH(LEFT(C91,FIND(",",C91&amp;",")-1),LeaseLock!$C$2:$C$500))),LeaseLock!$F$2:$F$500)="Open","Open - "&amp;LOOKUP(2,1/((LeaseLock!$D$2:$D$500=B91)*ISNUMBER(SEARCH(LEFT(C91,FIND(",",C91&amp;",")-1),LeaseLock!$C$2:$C$500))),LeaseLock!$G$2:$G$500),IF(LOOKUP(2,1/((LeaseLock!$D$2:$D$500=B91)*ISNUMBER(SEARCH(LEFT(C91,FIND(",",C91&amp;",")-1),LeaseLock!$C$2:$C$500))),LeaseLock!$M$2:$M$500)&gt;0,LOOKUP(2,1/((LeaseLock!$D$2:$D$500=B91)*ISNUMBER(SEARCH(LEFT(C91,FIND(",",C91&amp;",")-1),LeaseLock!$C$2:$C$500))),LeaseLock!$F$2:$F$500)&amp;" - $"&amp;TEXT(LOOKUP(2,1/((LeaseLock!$D$2:$D$500=B91)*ISNUMBER(SEARCH(LEFT(C91,FIND(",",C91&amp;",")-1),LeaseLock!$C$2:$C$500))),LeaseLock!$M$2:$M$500),"#,##0.00")&amp;" paid",LOOKUP(2,1/((LeaseLock!$D$2:$D$500=B91)*ISNUMBER(SEARCH(LEFT(C91,FIND(",",C91&amp;",")-1),LeaseLock!$C$2:$C$500))),LeaseLock!$F$2:$F$500)&amp;" - no payment"))))),"")</f>
        <v/>
      </c>
      <c r="L91" s="1144" t="s">
        <v>6826</v>
      </c>
      <c r="Q91" s="1115"/>
      <c r="R91" s="1115"/>
      <c r="S91" s="1115"/>
      <c r="T91" s="1115"/>
      <c r="U91" s="1115"/>
      <c r="V91" s="1115"/>
      <c r="W91" s="1115"/>
      <c r="X91" s="1115"/>
      <c r="Y91" s="1115"/>
      <c r="Z91" s="1134"/>
    </row>
    <row r="92" spans="1:26" ht="12" customHeight="1">
      <c r="A92" s="1138" cm="1">
        <f t="array" ref="A92">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60</v>
      </c>
      <c r="B92" s="1139" t="str" cm="1">
        <f t="array" ref="B92">IF($A92="","",INDEX('resident aged receivable'!$B:$B,$A92))</f>
        <v>S27-421</v>
      </c>
      <c r="C92" s="1139" t="str" cm="1">
        <f t="array" ref="C92">IF($A92="","",INDEX('resident aged receivable'!$D:$D,$A92))</f>
        <v>Sunday, Prince</v>
      </c>
      <c r="D92" s="1140" cm="1">
        <f t="array" ref="D92">IF($A92="","",INDEX('resident aged receivable'!$F:$F,$A92))</f>
        <v>45601</v>
      </c>
      <c r="E92" s="1140" cm="1">
        <f t="array" ref="E92">IF($A92="","",_xlfn.LET(_xlpm.leaseEnd,INDEX('resident aged receivable'!$H:$H,$A92),_xlpm.moLookup,IFERROR(_xlfn.LET(_xlpm.lastFirst,C92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46025</v>
      </c>
      <c r="F92" s="1141" t="str">
        <f t="shared" si="2"/>
        <v>IPS</v>
      </c>
      <c r="G92" s="1142" t="str" cm="1">
        <f t="array" ref="G92">IF($A92="","",IF(COUNTIF($N$3:$N$24,C92)&gt;0,"Former",_xlfn.LET(_xlpm.s,INDEX('resident aged receivable'!$E:$E,$A92),IF(ISNUMBER(SEARCH("Eviction",_xlpm.s)),"Eviction",IF(ISNUMBER(SEARCH("Skip",_xlpm.s)),"Skip",IF(ISNUMBER(SEARCH("Past",_xlpm.s))+ISNUMBER(SEARCH("Collections",_xlpm.s)),"Former",_xlpm.s))))))</f>
        <v>Former</v>
      </c>
      <c r="H92" s="1143" cm="1">
        <f t="array" ref="H92">IF($A92="","",INDEX('resident aged receivable'!$I:$I,$A92))</f>
        <v>1125.6300000000001</v>
      </c>
      <c r="I92" s="1143" cm="1">
        <f t="array" ref="I92">IF($A92="","",INDEX('resident aged receivable'!$J:$J,$A92))</f>
        <v>0</v>
      </c>
      <c r="J92" s="1143" cm="1">
        <f t="array" ref="J92">IF($A92="","",INDEX('resident aged receivable'!$K:$K,$A92))</f>
        <v>68.66</v>
      </c>
      <c r="K92" s="1163" t="str" cm="1">
        <f t="array" ref="K92">IFERROR(IF(B92="","",IF(SUMPRODUCT((LeaseLock!$D$2:$D$500=B92)*ISNUMBER(SEARCH(LEFT(C92,FIND(",",C92&amp;",")-1),LeaseLock!$C$2:$C$500)))=0,"",IF(LOOKUP(2,1/((LeaseLock!$D$2:$D$500=B92)*ISNUMBER(SEARCH(LEFT(C92,FIND(",",C92&amp;",")-1),LeaseLock!$C$2:$C$500))),LeaseLock!$F$2:$F$500)="Claim Denied","Claim Denied ("&amp;LOOKUP(2,1/((LeaseLock!$D$2:$D$500=B92)*ISNUMBER(SEARCH(LEFT(C92,FIND(",",C92&amp;",")-1),LeaseLock!$C$2:$C$500))),LeaseLock!$G$2:$G$500)&amp;")",IF(LOOKUP(2,1/((LeaseLock!$D$2:$D$500=B92)*ISNUMBER(SEARCH(LEFT(C92,FIND(",",C92&amp;",")-1),LeaseLock!$C$2:$C$500))),LeaseLock!$F$2:$F$500)="Open","Open - "&amp;LOOKUP(2,1/((LeaseLock!$D$2:$D$500=B92)*ISNUMBER(SEARCH(LEFT(C92,FIND(",",C92&amp;",")-1),LeaseLock!$C$2:$C$500))),LeaseLock!$G$2:$G$500),IF(LOOKUP(2,1/((LeaseLock!$D$2:$D$500=B92)*ISNUMBER(SEARCH(LEFT(C92,FIND(",",C92&amp;",")-1),LeaseLock!$C$2:$C$500))),LeaseLock!$M$2:$M$500)&gt;0,LOOKUP(2,1/((LeaseLock!$D$2:$D$500=B92)*ISNUMBER(SEARCH(LEFT(C92,FIND(",",C92&amp;",")-1),LeaseLock!$C$2:$C$500))),LeaseLock!$F$2:$F$500)&amp;" - $"&amp;TEXT(LOOKUP(2,1/((LeaseLock!$D$2:$D$500=B92)*ISNUMBER(SEARCH(LEFT(C92,FIND(",",C92&amp;",")-1),LeaseLock!$C$2:$C$500))),LeaseLock!$M$2:$M$500),"#,##0.00")&amp;" paid",LOOKUP(2,1/((LeaseLock!$D$2:$D$500=B92)*ISNUMBER(SEARCH(LEFT(C92,FIND(",",C92&amp;",")-1),LeaseLock!$C$2:$C$500))),LeaseLock!$F$2:$F$500)&amp;" - no payment"))))),"")</f>
        <v>Closed - $750.00 paid</v>
      </c>
      <c r="L92" s="1144" t="s">
        <v>6827</v>
      </c>
      <c r="Q92" s="1115"/>
      <c r="R92" s="1115"/>
      <c r="S92" s="1115"/>
      <c r="T92" s="1115"/>
      <c r="U92" s="1115"/>
      <c r="V92" s="1115"/>
      <c r="W92" s="1115"/>
      <c r="X92" s="1115"/>
      <c r="Y92" s="1115"/>
      <c r="Z92" s="1147"/>
    </row>
    <row r="93" spans="1:26" ht="12" customHeight="1">
      <c r="A93" s="1138" cm="1">
        <f t="array" ref="A93">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17</v>
      </c>
      <c r="B93" s="1139" t="str" cm="1">
        <f t="array" ref="B93">IF($A93="","",INDEX('resident aged receivable'!$B:$B,$A93))</f>
        <v>N07-2050</v>
      </c>
      <c r="C93" s="1139" t="str" cm="1">
        <f t="array" ref="C93">IF($A93="","",INDEX('resident aged receivable'!$D:$D,$A93))</f>
        <v>Fonwo, Nicholas</v>
      </c>
      <c r="D93" s="1140" cm="1">
        <f t="array" ref="D93">IF($A93="","",INDEX('resident aged receivable'!$F:$F,$A93))</f>
        <v>45682</v>
      </c>
      <c r="E93" s="1140" cm="1">
        <f t="array" ref="E93">IF($A93="","",_xlfn.LET(_xlpm.leaseEnd,INDEX('resident aged receivable'!$H:$H,$A93),_xlpm.moLookup,IFERROR(_xlfn.LET(_xlpm.lastFirst,C93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46109</v>
      </c>
      <c r="F93" s="1141" t="str">
        <f t="shared" si="2"/>
        <v>IPS</v>
      </c>
      <c r="G93" s="1142" t="str" cm="1">
        <f t="array" ref="G93">IF($A93="","",IF(COUNTIF($N$3:$N$24,C93)&gt;0,"Former",_xlfn.LET(_xlpm.s,INDEX('resident aged receivable'!$E:$E,$A93),IF(ISNUMBER(SEARCH("Eviction",_xlpm.s)),"Eviction",IF(ISNUMBER(SEARCH("Skip",_xlpm.s)),"Skip",IF(ISNUMBER(SEARCH("Past",_xlpm.s))+ISNUMBER(SEARCH("Collections",_xlpm.s)),"Former",_xlpm.s))))))</f>
        <v>Former</v>
      </c>
      <c r="H93" s="1143" cm="1">
        <f t="array" ref="H93">IF($A93="","",INDEX('resident aged receivable'!$I:$I,$A93))</f>
        <v>1099.25</v>
      </c>
      <c r="I93" s="1143" cm="1">
        <f t="array" ref="I93">IF($A93="","",INDEX('resident aged receivable'!$J:$J,$A93))</f>
        <v>1099.25</v>
      </c>
      <c r="J93" s="1143" cm="1">
        <f t="array" ref="J93">IF($A93="","",INDEX('resident aged receivable'!$K:$K,$A93))</f>
        <v>0</v>
      </c>
      <c r="K93" s="1163" t="str" cm="1">
        <f t="array" ref="K93">IFERROR(IF(B93="","",IF(SUMPRODUCT((LeaseLock!$D$2:$D$500=B93)*ISNUMBER(SEARCH(LEFT(C93,FIND(",",C93&amp;",")-1),LeaseLock!$C$2:$C$500)))=0,"",IF(LOOKUP(2,1/((LeaseLock!$D$2:$D$500=B93)*ISNUMBER(SEARCH(LEFT(C93,FIND(",",C93&amp;",")-1),LeaseLock!$C$2:$C$500))),LeaseLock!$F$2:$F$500)="Claim Denied","Claim Denied ("&amp;LOOKUP(2,1/((LeaseLock!$D$2:$D$500=B93)*ISNUMBER(SEARCH(LEFT(C93,FIND(",",C93&amp;",")-1),LeaseLock!$C$2:$C$500))),LeaseLock!$G$2:$G$500)&amp;")",IF(LOOKUP(2,1/((LeaseLock!$D$2:$D$500=B93)*ISNUMBER(SEARCH(LEFT(C93,FIND(",",C93&amp;",")-1),LeaseLock!$C$2:$C$500))),LeaseLock!$F$2:$F$500)="Open","Open - "&amp;LOOKUP(2,1/((LeaseLock!$D$2:$D$500=B93)*ISNUMBER(SEARCH(LEFT(C93,FIND(",",C93&amp;",")-1),LeaseLock!$C$2:$C$500))),LeaseLock!$G$2:$G$500),IF(LOOKUP(2,1/((LeaseLock!$D$2:$D$500=B93)*ISNUMBER(SEARCH(LEFT(C93,FIND(",",C93&amp;",")-1),LeaseLock!$C$2:$C$500))),LeaseLock!$M$2:$M$500)&gt;0,LOOKUP(2,1/((LeaseLock!$D$2:$D$500=B93)*ISNUMBER(SEARCH(LEFT(C93,FIND(",",C93&amp;",")-1),LeaseLock!$C$2:$C$500))),LeaseLock!$F$2:$F$500)&amp;" - $"&amp;TEXT(LOOKUP(2,1/((LeaseLock!$D$2:$D$500=B93)*ISNUMBER(SEARCH(LEFT(C93,FIND(",",C93&amp;",")-1),LeaseLock!$C$2:$C$500))),LeaseLock!$M$2:$M$500),"#,##0.00")&amp;" paid",LOOKUP(2,1/((LeaseLock!$D$2:$D$500=B93)*ISNUMBER(SEARCH(LEFT(C93,FIND(",",C93&amp;",")-1),LeaseLock!$C$2:$C$500))),LeaseLock!$F$2:$F$500)&amp;" - no payment"))))),"")</f>
        <v/>
      </c>
      <c r="L93" s="1144"/>
      <c r="Q93" s="1115"/>
      <c r="R93" s="1115"/>
      <c r="S93" s="1115"/>
      <c r="T93" s="1115"/>
      <c r="U93" s="1115"/>
      <c r="V93" s="1115"/>
      <c r="W93" s="1115"/>
      <c r="X93" s="1115"/>
      <c r="Y93" s="1115"/>
      <c r="Z93" s="1147"/>
    </row>
    <row r="94" spans="1:26" ht="12" customHeight="1">
      <c r="A94" s="1138" cm="1">
        <f t="array" ref="A94">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189</v>
      </c>
      <c r="B94" s="1139" t="str" cm="1">
        <f t="array" ref="B94">IF($A94="","",INDEX('resident aged receivable'!$B:$B,$A94))</f>
        <v>W25-2-1029</v>
      </c>
      <c r="C94" s="1139" t="str" cm="1">
        <f t="array" ref="C94">IF($A94="","",INDEX('resident aged receivable'!$D:$D,$A94))</f>
        <v>Lennan, Trevion</v>
      </c>
      <c r="D94" s="1140" cm="1">
        <f t="array" ref="D94">IF($A94="","",INDEX('resident aged receivable'!$F:$F,$A94))</f>
        <v>45698</v>
      </c>
      <c r="E94" s="1140" cm="1">
        <f t="array" ref="E94">IF($A94="","",_xlfn.LET(_xlpm.leaseEnd,INDEX('resident aged receivable'!$H:$H,$A94),_xlpm.moLookup,IFERROR(_xlfn.LET(_xlpm.lastFirst,C94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46125</v>
      </c>
      <c r="F94" s="1141" t="str">
        <f t="shared" si="2"/>
        <v>IPS</v>
      </c>
      <c r="G94" s="1142" t="str" cm="1">
        <f t="array" ref="G94">IF($A94="","",IF(COUNTIF($N$3:$N$24,C94)&gt;0,"Former",_xlfn.LET(_xlpm.s,INDEX('resident aged receivable'!$E:$E,$A94),IF(ISNUMBER(SEARCH("Eviction",_xlpm.s)),"Eviction",IF(ISNUMBER(SEARCH("Skip",_xlpm.s)),"Skip",IF(ISNUMBER(SEARCH("Past",_xlpm.s))+ISNUMBER(SEARCH("Collections",_xlpm.s)),"Former",_xlpm.s))))))</f>
        <v>Former</v>
      </c>
      <c r="H94" s="1143" cm="1">
        <f t="array" ref="H94">IF($A94="","",INDEX('resident aged receivable'!$I:$I,$A94))</f>
        <v>1079.67</v>
      </c>
      <c r="I94" s="1143" cm="1">
        <f t="array" ref="I94">IF($A94="","",INDEX('resident aged receivable'!$J:$J,$A94))</f>
        <v>1079.67</v>
      </c>
      <c r="J94" s="1143" cm="1">
        <f t="array" ref="J94">IF($A94="","",INDEX('resident aged receivable'!$K:$K,$A94))</f>
        <v>0</v>
      </c>
      <c r="K94" s="1163" t="str" cm="1">
        <f t="array" ref="K94">IFERROR(IF(B94="","",IF(SUMPRODUCT((LeaseLock!$D$2:$D$500=B94)*ISNUMBER(SEARCH(LEFT(C94,FIND(",",C94&amp;",")-1),LeaseLock!$C$2:$C$500)))=0,"",IF(LOOKUP(2,1/((LeaseLock!$D$2:$D$500=B94)*ISNUMBER(SEARCH(LEFT(C94,FIND(",",C94&amp;",")-1),LeaseLock!$C$2:$C$500))),LeaseLock!$F$2:$F$500)="Claim Denied","Claim Denied ("&amp;LOOKUP(2,1/((LeaseLock!$D$2:$D$500=B94)*ISNUMBER(SEARCH(LEFT(C94,FIND(",",C94&amp;",")-1),LeaseLock!$C$2:$C$500))),LeaseLock!$G$2:$G$500)&amp;")",IF(LOOKUP(2,1/((LeaseLock!$D$2:$D$500=B94)*ISNUMBER(SEARCH(LEFT(C94,FIND(",",C94&amp;",")-1),LeaseLock!$C$2:$C$500))),LeaseLock!$F$2:$F$500)="Open","Open - "&amp;LOOKUP(2,1/((LeaseLock!$D$2:$D$500=B94)*ISNUMBER(SEARCH(LEFT(C94,FIND(",",C94&amp;",")-1),LeaseLock!$C$2:$C$500))),LeaseLock!$G$2:$G$500),IF(LOOKUP(2,1/((LeaseLock!$D$2:$D$500=B94)*ISNUMBER(SEARCH(LEFT(C94,FIND(",",C94&amp;",")-1),LeaseLock!$C$2:$C$500))),LeaseLock!$M$2:$M$500)&gt;0,LOOKUP(2,1/((LeaseLock!$D$2:$D$500=B94)*ISNUMBER(SEARCH(LEFT(C94,FIND(",",C94&amp;",")-1),LeaseLock!$C$2:$C$500))),LeaseLock!$F$2:$F$500)&amp;" - $"&amp;TEXT(LOOKUP(2,1/((LeaseLock!$D$2:$D$500=B94)*ISNUMBER(SEARCH(LEFT(C94,FIND(",",C94&amp;",")-1),LeaseLock!$C$2:$C$500))),LeaseLock!$M$2:$M$500),"#,##0.00")&amp;" paid",LOOKUP(2,1/((LeaseLock!$D$2:$D$500=B94)*ISNUMBER(SEARCH(LEFT(C94,FIND(",",C94&amp;",")-1),LeaseLock!$C$2:$C$500))),LeaseLock!$F$2:$F$500)&amp;" - no payment"))))),"")</f>
        <v/>
      </c>
      <c r="L94" s="1144"/>
      <c r="Q94" s="1115"/>
      <c r="R94" s="1115"/>
      <c r="S94" s="1115"/>
      <c r="T94" s="1115"/>
      <c r="U94" s="1115"/>
      <c r="V94" s="1115"/>
      <c r="W94" s="1115"/>
      <c r="X94" s="1115"/>
      <c r="Y94" s="1115"/>
      <c r="Z94" s="1115"/>
    </row>
    <row r="95" spans="1:26" ht="12" customHeight="1">
      <c r="A95" s="1138" cm="1">
        <f t="array" ref="A95">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18</v>
      </c>
      <c r="B95" s="1139" t="str" cm="1">
        <f t="array" ref="B95">IF($A95="","",INDEX('resident aged receivable'!$B:$B,$A95))</f>
        <v>N07-2052</v>
      </c>
      <c r="C95" s="1139" t="str" cm="1">
        <f t="array" ref="C95">IF($A95="","",INDEX('resident aged receivable'!$D:$D,$A95))</f>
        <v>Alejandro, Victor</v>
      </c>
      <c r="D95" s="1140" cm="1">
        <f t="array" ref="D95">IF($A95="","",INDEX('resident aged receivable'!$F:$F,$A95))</f>
        <v>45535</v>
      </c>
      <c r="E95" s="1140" cm="1">
        <f t="array" ref="E95">IF($A95="","",_xlfn.LET(_xlpm.leaseEnd,INDEX('resident aged receivable'!$H:$H,$A95),_xlpm.moLookup,IFERROR(_xlfn.LET(_xlpm.lastFirst,C95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46099</v>
      </c>
      <c r="F95" s="1141" t="str">
        <f t="shared" si="2"/>
        <v>IPS</v>
      </c>
      <c r="G95" s="1142" t="str" cm="1">
        <f t="array" ref="G95">IF($A95="","",IF(COUNTIF($N$3:$N$24,C95)&gt;0,"Former",_xlfn.LET(_xlpm.s,INDEX('resident aged receivable'!$E:$E,$A95),IF(ISNUMBER(SEARCH("Eviction",_xlpm.s)),"Eviction",IF(ISNUMBER(SEARCH("Skip",_xlpm.s)),"Skip",IF(ISNUMBER(SEARCH("Past",_xlpm.s))+ISNUMBER(SEARCH("Collections",_xlpm.s)),"Former",_xlpm.s))))))</f>
        <v>Former</v>
      </c>
      <c r="H95" s="1143" cm="1">
        <f t="array" ref="H95">IF($A95="","",INDEX('resident aged receivable'!$I:$I,$A95))</f>
        <v>1015.84</v>
      </c>
      <c r="I95" s="1143" cm="1">
        <f t="array" ref="I95">IF($A95="","",INDEX('resident aged receivable'!$J:$J,$A95))</f>
        <v>0</v>
      </c>
      <c r="J95" s="1143" cm="1">
        <f t="array" ref="J95">IF($A95="","",INDEX('resident aged receivable'!$K:$K,$A95))</f>
        <v>1015.84</v>
      </c>
      <c r="K95" s="1163" t="str" cm="1">
        <f t="array" ref="K95">IFERROR(IF(B95="","",IF(SUMPRODUCT((LeaseLock!$D$2:$D$500=B95)*ISNUMBER(SEARCH(LEFT(C95,FIND(",",C95&amp;",")-1),LeaseLock!$C$2:$C$500)))=0,"",IF(LOOKUP(2,1/((LeaseLock!$D$2:$D$500=B95)*ISNUMBER(SEARCH(LEFT(C95,FIND(",",C95&amp;",")-1),LeaseLock!$C$2:$C$500))),LeaseLock!$F$2:$F$500)="Claim Denied","Claim Denied ("&amp;LOOKUP(2,1/((LeaseLock!$D$2:$D$500=B95)*ISNUMBER(SEARCH(LEFT(C95,FIND(",",C95&amp;",")-1),LeaseLock!$C$2:$C$500))),LeaseLock!$G$2:$G$500)&amp;")",IF(LOOKUP(2,1/((LeaseLock!$D$2:$D$500=B95)*ISNUMBER(SEARCH(LEFT(C95,FIND(",",C95&amp;",")-1),LeaseLock!$C$2:$C$500))),LeaseLock!$F$2:$F$500)="Open","Open - "&amp;LOOKUP(2,1/((LeaseLock!$D$2:$D$500=B95)*ISNUMBER(SEARCH(LEFT(C95,FIND(",",C95&amp;",")-1),LeaseLock!$C$2:$C$500))),LeaseLock!$G$2:$G$500),IF(LOOKUP(2,1/((LeaseLock!$D$2:$D$500=B95)*ISNUMBER(SEARCH(LEFT(C95,FIND(",",C95&amp;",")-1),LeaseLock!$C$2:$C$500))),LeaseLock!$M$2:$M$500)&gt;0,LOOKUP(2,1/((LeaseLock!$D$2:$D$500=B95)*ISNUMBER(SEARCH(LEFT(C95,FIND(",",C95&amp;",")-1),LeaseLock!$C$2:$C$500))),LeaseLock!$F$2:$F$500)&amp;" - $"&amp;TEXT(LOOKUP(2,1/((LeaseLock!$D$2:$D$500=B95)*ISNUMBER(SEARCH(LEFT(C95,FIND(",",C95&amp;",")-1),LeaseLock!$C$2:$C$500))),LeaseLock!$M$2:$M$500),"#,##0.00")&amp;" paid",LOOKUP(2,1/((LeaseLock!$D$2:$D$500=B95)*ISNUMBER(SEARCH(LEFT(C95,FIND(",",C95&amp;",")-1),LeaseLock!$C$2:$C$500))),LeaseLock!$F$2:$F$500)&amp;" - no payment"))))),"")</f>
        <v/>
      </c>
      <c r="L95" s="1144"/>
      <c r="Q95" s="1115"/>
      <c r="R95" s="1115"/>
      <c r="S95" s="1115"/>
      <c r="T95" s="1115"/>
      <c r="U95" s="1115"/>
      <c r="V95" s="1115"/>
      <c r="W95" s="1115"/>
      <c r="X95" s="1115"/>
      <c r="Y95" s="1115"/>
      <c r="Z95" s="1115"/>
    </row>
    <row r="96" spans="1:26" ht="12" customHeight="1">
      <c r="A96" s="1138" cm="1">
        <f t="array" ref="A96">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178</v>
      </c>
      <c r="B96" s="1139" t="str" cm="1">
        <f t="array" ref="B96">IF($A96="","",INDEX('resident aged receivable'!$B:$B,$A96))</f>
        <v>W21-2-2057</v>
      </c>
      <c r="C96" s="1139" t="str" cm="1">
        <f t="array" ref="C96">IF($A96="","",INDEX('resident aged receivable'!$D:$D,$A96))</f>
        <v>Roof, Earl</v>
      </c>
      <c r="D96" s="1140" cm="1">
        <f t="array" ref="D96">IF($A96="","",INDEX('resident aged receivable'!$F:$F,$A96))</f>
        <v>44681</v>
      </c>
      <c r="E96" s="1140" cm="1">
        <f t="array" ref="E96">IF($A96="","",_xlfn.LET(_xlpm.leaseEnd,INDEX('resident aged receivable'!$H:$H,$A96),_xlpm.moLookup,IFERROR(_xlfn.LET(_xlpm.lastFirst,C96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46326</v>
      </c>
      <c r="F96" s="1141" t="str">
        <f t="shared" si="2"/>
        <v>IPS</v>
      </c>
      <c r="G96" s="1142" t="str" cm="1">
        <f t="array" ref="G96">IF($A96="","",IF(COUNTIF($N$3:$N$24,C96)&gt;0,"Former",_xlfn.LET(_xlpm.s,INDEX('resident aged receivable'!$E:$E,$A96),IF(ISNUMBER(SEARCH("Eviction",_xlpm.s)),"Eviction",IF(ISNUMBER(SEARCH("Skip",_xlpm.s)),"Skip",IF(ISNUMBER(SEARCH("Past",_xlpm.s))+ISNUMBER(SEARCH("Collections",_xlpm.s)),"Former",_xlpm.s))))))</f>
        <v>Skip</v>
      </c>
      <c r="H96" s="1143" cm="1">
        <f t="array" ref="H96">IF($A96="","",INDEX('resident aged receivable'!$I:$I,$A96))</f>
        <v>994.13</v>
      </c>
      <c r="I96" s="1143" cm="1">
        <f t="array" ref="I96">IF($A96="","",INDEX('resident aged receivable'!$J:$J,$A96))</f>
        <v>994.13</v>
      </c>
      <c r="J96" s="1143" cm="1">
        <f t="array" ref="J96">IF($A96="","",INDEX('resident aged receivable'!$K:$K,$A96))</f>
        <v>0</v>
      </c>
      <c r="K96" s="1163" t="str" cm="1">
        <f t="array" ref="K96">IFERROR(IF(B96="","",IF(SUMPRODUCT((LeaseLock!$D$2:$D$500=B96)*ISNUMBER(SEARCH(LEFT(C96,FIND(",",C96&amp;",")-1),LeaseLock!$C$2:$C$500)))=0,"",IF(LOOKUP(2,1/((LeaseLock!$D$2:$D$500=B96)*ISNUMBER(SEARCH(LEFT(C96,FIND(",",C96&amp;",")-1),LeaseLock!$C$2:$C$500))),LeaseLock!$F$2:$F$500)="Claim Denied","Claim Denied ("&amp;LOOKUP(2,1/((LeaseLock!$D$2:$D$500=B96)*ISNUMBER(SEARCH(LEFT(C96,FIND(",",C96&amp;",")-1),LeaseLock!$C$2:$C$500))),LeaseLock!$G$2:$G$500)&amp;")",IF(LOOKUP(2,1/((LeaseLock!$D$2:$D$500=B96)*ISNUMBER(SEARCH(LEFT(C96,FIND(",",C96&amp;",")-1),LeaseLock!$C$2:$C$500))),LeaseLock!$F$2:$F$500)="Open","Open - "&amp;LOOKUP(2,1/((LeaseLock!$D$2:$D$500=B96)*ISNUMBER(SEARCH(LEFT(C96,FIND(",",C96&amp;",")-1),LeaseLock!$C$2:$C$500))),LeaseLock!$G$2:$G$500),IF(LOOKUP(2,1/((LeaseLock!$D$2:$D$500=B96)*ISNUMBER(SEARCH(LEFT(C96,FIND(",",C96&amp;",")-1),LeaseLock!$C$2:$C$500))),LeaseLock!$M$2:$M$500)&gt;0,LOOKUP(2,1/((LeaseLock!$D$2:$D$500=B96)*ISNUMBER(SEARCH(LEFT(C96,FIND(",",C96&amp;",")-1),LeaseLock!$C$2:$C$500))),LeaseLock!$F$2:$F$500)&amp;" - $"&amp;TEXT(LOOKUP(2,1/((LeaseLock!$D$2:$D$500=B96)*ISNUMBER(SEARCH(LEFT(C96,FIND(",",C96&amp;",")-1),LeaseLock!$C$2:$C$500))),LeaseLock!$M$2:$M$500),"#,##0.00")&amp;" paid",LOOKUP(2,1/((LeaseLock!$D$2:$D$500=B96)*ISNUMBER(SEARCH(LEFT(C96,FIND(",",C96&amp;",")-1),LeaseLock!$C$2:$C$500))),LeaseLock!$F$2:$F$500)&amp;" - no payment"))))),"")</f>
        <v/>
      </c>
      <c r="L96" s="1144"/>
      <c r="Q96" s="1115"/>
      <c r="R96" s="1115"/>
      <c r="S96" s="1115"/>
      <c r="T96" s="1115"/>
      <c r="U96" s="1115"/>
      <c r="V96" s="1115"/>
      <c r="W96" s="1115"/>
      <c r="X96" s="1115"/>
      <c r="Y96" s="1115"/>
      <c r="Z96" s="1115"/>
    </row>
    <row r="97" spans="1:26" ht="12" customHeight="1">
      <c r="A97" s="1138" cm="1">
        <f t="array" ref="A97">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140</v>
      </c>
      <c r="B97" s="1139" t="str" cm="1">
        <f t="array" ref="B97">IF($A97="","",INDEX('resident aged receivable'!$B:$B,$A97))</f>
        <v>W13-1-1306</v>
      </c>
      <c r="C97" s="1139" t="str" cm="1">
        <f t="array" ref="C97">IF($A97="","",INDEX('resident aged receivable'!$D:$D,$A97))</f>
        <v>Lawal, Temitope</v>
      </c>
      <c r="D97" s="1140" cm="1">
        <f t="array" ref="D97">IF($A97="","",INDEX('resident aged receivable'!$F:$F,$A97))</f>
        <v>44194</v>
      </c>
      <c r="E97" s="1140" cm="1">
        <f t="array" ref="E97">IF($A97="","",_xlfn.LET(_xlpm.leaseEnd,INDEX('resident aged receivable'!$H:$H,$A97),_xlpm.moLookup,IFERROR(_xlfn.LET(_xlpm.lastFirst,C97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46112</v>
      </c>
      <c r="F97" s="1141" t="str">
        <f t="shared" si="2"/>
        <v>IPS</v>
      </c>
      <c r="G97" s="1142" t="str" cm="1">
        <f t="array" ref="G97">IF($A97="","",IF(COUNTIF($N$3:$N$24,C97)&gt;0,"Former",_xlfn.LET(_xlpm.s,INDEX('resident aged receivable'!$E:$E,$A97),IF(ISNUMBER(SEARCH("Eviction",_xlpm.s)),"Eviction",IF(ISNUMBER(SEARCH("Skip",_xlpm.s)),"Skip",IF(ISNUMBER(SEARCH("Past",_xlpm.s))+ISNUMBER(SEARCH("Collections",_xlpm.s)),"Former",_xlpm.s))))))</f>
        <v>Former</v>
      </c>
      <c r="H97" s="1143" cm="1">
        <f t="array" ref="H97">IF($A97="","",INDEX('resident aged receivable'!$I:$I,$A97))</f>
        <v>937.06</v>
      </c>
      <c r="I97" s="1143" cm="1">
        <f t="array" ref="I97">IF($A97="","",INDEX('resident aged receivable'!$J:$J,$A97))</f>
        <v>0</v>
      </c>
      <c r="J97" s="1143" cm="1">
        <f t="array" ref="J97">IF($A97="","",INDEX('resident aged receivable'!$K:$K,$A97))</f>
        <v>90.03</v>
      </c>
      <c r="K97" s="1163" t="str" cm="1">
        <f t="array" ref="K97">IFERROR(IF(B97="","",IF(SUMPRODUCT((LeaseLock!$D$2:$D$500=B97)*ISNUMBER(SEARCH(LEFT(C97,FIND(",",C97&amp;",")-1),LeaseLock!$C$2:$C$500)))=0,"",IF(LOOKUP(2,1/((LeaseLock!$D$2:$D$500=B97)*ISNUMBER(SEARCH(LEFT(C97,FIND(",",C97&amp;",")-1),LeaseLock!$C$2:$C$500))),LeaseLock!$F$2:$F$500)="Claim Denied","Claim Denied ("&amp;LOOKUP(2,1/((LeaseLock!$D$2:$D$500=B97)*ISNUMBER(SEARCH(LEFT(C97,FIND(",",C97&amp;",")-1),LeaseLock!$C$2:$C$500))),LeaseLock!$G$2:$G$500)&amp;")",IF(LOOKUP(2,1/((LeaseLock!$D$2:$D$500=B97)*ISNUMBER(SEARCH(LEFT(C97,FIND(",",C97&amp;",")-1),LeaseLock!$C$2:$C$500))),LeaseLock!$F$2:$F$500)="Open","Open - "&amp;LOOKUP(2,1/((LeaseLock!$D$2:$D$500=B97)*ISNUMBER(SEARCH(LEFT(C97,FIND(",",C97&amp;",")-1),LeaseLock!$C$2:$C$500))),LeaseLock!$G$2:$G$500),IF(LOOKUP(2,1/((LeaseLock!$D$2:$D$500=B97)*ISNUMBER(SEARCH(LEFT(C97,FIND(",",C97&amp;",")-1),LeaseLock!$C$2:$C$500))),LeaseLock!$M$2:$M$500)&gt;0,LOOKUP(2,1/((LeaseLock!$D$2:$D$500=B97)*ISNUMBER(SEARCH(LEFT(C97,FIND(",",C97&amp;",")-1),LeaseLock!$C$2:$C$500))),LeaseLock!$F$2:$F$500)&amp;" - $"&amp;TEXT(LOOKUP(2,1/((LeaseLock!$D$2:$D$500=B97)*ISNUMBER(SEARCH(LEFT(C97,FIND(",",C97&amp;",")-1),LeaseLock!$C$2:$C$500))),LeaseLock!$M$2:$M$500),"#,##0.00")&amp;" paid",LOOKUP(2,1/((LeaseLock!$D$2:$D$500=B97)*ISNUMBER(SEARCH(LEFT(C97,FIND(",",C97&amp;",")-1),LeaseLock!$C$2:$C$500))),LeaseLock!$F$2:$F$500)&amp;" - no payment"))))),"")</f>
        <v/>
      </c>
      <c r="L97" s="1144"/>
      <c r="Q97" s="1115"/>
      <c r="R97" s="1115"/>
      <c r="S97" s="1115"/>
      <c r="T97" s="1115"/>
      <c r="U97" s="1115"/>
      <c r="V97" s="1115"/>
      <c r="W97" s="1115"/>
      <c r="X97" s="1115"/>
      <c r="Y97" s="1115"/>
      <c r="Z97" s="1115"/>
    </row>
    <row r="98" spans="1:26" ht="12" customHeight="1">
      <c r="A98" s="1138" cm="1">
        <f t="array" ref="A98">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49</v>
      </c>
      <c r="B98" s="1139" t="str" cm="1">
        <f t="array" ref="B98">IF($A98="","",INDEX('resident aged receivable'!$B:$B,$A98))</f>
        <v>N20-2089</v>
      </c>
      <c r="C98" s="1139" t="str" cm="1">
        <f t="array" ref="C98">IF($A98="","",INDEX('resident aged receivable'!$D:$D,$A98))</f>
        <v>Hernandez, Andres</v>
      </c>
      <c r="D98" s="1140" cm="1">
        <f t="array" ref="D98">IF($A98="","",INDEX('resident aged receivable'!$F:$F,$A98))</f>
        <v>45762</v>
      </c>
      <c r="E98" s="1140" cm="1">
        <f t="array" ref="E98">IF($A98="","",_xlfn.LET(_xlpm.leaseEnd,INDEX('resident aged receivable'!$H:$H,$A98),_xlpm.moLookup,IFERROR(_xlfn.LET(_xlpm.lastFirst,C98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46491</v>
      </c>
      <c r="F98" s="1141" t="str">
        <f t="shared" si="2"/>
        <v>IPS</v>
      </c>
      <c r="G98" s="1142" t="str" cm="1">
        <f t="array" ref="G98">IF($A98="","",IF(COUNTIF($N$3:$N$24,C98)&gt;0,"Former",_xlfn.LET(_xlpm.s,INDEX('resident aged receivable'!$E:$E,$A98),IF(ISNUMBER(SEARCH("Eviction",_xlpm.s)),"Eviction",IF(ISNUMBER(SEARCH("Skip",_xlpm.s)),"Skip",IF(ISNUMBER(SEARCH("Past",_xlpm.s))+ISNUMBER(SEARCH("Collections",_xlpm.s)),"Former",_xlpm.s))))))</f>
        <v>Skip</v>
      </c>
      <c r="H98" s="1143" cm="1">
        <f t="array" ref="H98">IF($A98="","",INDEX('resident aged receivable'!$I:$I,$A98))</f>
        <v>900.18</v>
      </c>
      <c r="I98" s="1143" cm="1">
        <f t="array" ref="I98">IF($A98="","",INDEX('resident aged receivable'!$J:$J,$A98))</f>
        <v>839.31</v>
      </c>
      <c r="J98" s="1143" cm="1">
        <f t="array" ref="J98">IF($A98="","",INDEX('resident aged receivable'!$K:$K,$A98))</f>
        <v>60.87</v>
      </c>
      <c r="K98" s="1163" t="str" cm="1">
        <f t="array" ref="K98">IFERROR(IF(B98="","",IF(SUMPRODUCT((LeaseLock!$D$2:$D$500=B98)*ISNUMBER(SEARCH(LEFT(C98,FIND(",",C98&amp;",")-1),LeaseLock!$C$2:$C$500)))=0,"",IF(LOOKUP(2,1/((LeaseLock!$D$2:$D$500=B98)*ISNUMBER(SEARCH(LEFT(C98,FIND(",",C98&amp;",")-1),LeaseLock!$C$2:$C$500))),LeaseLock!$F$2:$F$500)="Claim Denied","Claim Denied ("&amp;LOOKUP(2,1/((LeaseLock!$D$2:$D$500=B98)*ISNUMBER(SEARCH(LEFT(C98,FIND(",",C98&amp;",")-1),LeaseLock!$C$2:$C$500))),LeaseLock!$G$2:$G$500)&amp;")",IF(LOOKUP(2,1/((LeaseLock!$D$2:$D$500=B98)*ISNUMBER(SEARCH(LEFT(C98,FIND(",",C98&amp;",")-1),LeaseLock!$C$2:$C$500))),LeaseLock!$F$2:$F$500)="Open","Open - "&amp;LOOKUP(2,1/((LeaseLock!$D$2:$D$500=B98)*ISNUMBER(SEARCH(LEFT(C98,FIND(",",C98&amp;",")-1),LeaseLock!$C$2:$C$500))),LeaseLock!$G$2:$G$500),IF(LOOKUP(2,1/((LeaseLock!$D$2:$D$500=B98)*ISNUMBER(SEARCH(LEFT(C98,FIND(",",C98&amp;",")-1),LeaseLock!$C$2:$C$500))),LeaseLock!$M$2:$M$500)&gt;0,LOOKUP(2,1/((LeaseLock!$D$2:$D$500=B98)*ISNUMBER(SEARCH(LEFT(C98,FIND(",",C98&amp;",")-1),LeaseLock!$C$2:$C$500))),LeaseLock!$F$2:$F$500)&amp;" - $"&amp;TEXT(LOOKUP(2,1/((LeaseLock!$D$2:$D$500=B98)*ISNUMBER(SEARCH(LEFT(C98,FIND(",",C98&amp;",")-1),LeaseLock!$C$2:$C$500))),LeaseLock!$M$2:$M$500),"#,##0.00")&amp;" paid",LOOKUP(2,1/((LeaseLock!$D$2:$D$500=B98)*ISNUMBER(SEARCH(LEFT(C98,FIND(",",C98&amp;",")-1),LeaseLock!$C$2:$C$500))),LeaseLock!$F$2:$F$500)&amp;" - no payment"))))),"")</f>
        <v/>
      </c>
      <c r="L98" s="1144"/>
      <c r="Q98" s="1115"/>
      <c r="R98" s="1115"/>
      <c r="S98" s="1115"/>
      <c r="T98" s="1115"/>
      <c r="U98" s="1115"/>
      <c r="V98" s="1115"/>
      <c r="W98" s="1115"/>
      <c r="X98" s="1115"/>
      <c r="Y98" s="1115"/>
      <c r="Z98" s="1115"/>
    </row>
    <row r="99" spans="1:26" ht="12" customHeight="1">
      <c r="A99" s="1138" cm="1">
        <f t="array" ref="A99">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42</v>
      </c>
      <c r="B99" s="1139" t="str" cm="1">
        <f t="array" ref="B99">IF($A99="","",INDEX('resident aged receivable'!$B:$B,$A99))</f>
        <v>N19-2076</v>
      </c>
      <c r="C99" s="1139" t="str" cm="1">
        <f t="array" ref="C99">IF($A99="","",INDEX('resident aged receivable'!$D:$D,$A99))</f>
        <v>Williams, Stephanie</v>
      </c>
      <c r="D99" s="1140" cm="1">
        <f t="array" ref="D99">IF($A99="","",INDEX('resident aged receivable'!$F:$F,$A99))</f>
        <v>45863</v>
      </c>
      <c r="E99" s="1140" cm="1">
        <f t="array" ref="E99">IF($A99="","",_xlfn.LET(_xlpm.leaseEnd,INDEX('resident aged receivable'!$H:$H,$A99),_xlpm.moLookup,IFERROR(_xlfn.LET(_xlpm.lastFirst,C99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46227</v>
      </c>
      <c r="F99" s="1141" t="str">
        <f t="shared" si="2"/>
        <v>IPS</v>
      </c>
      <c r="G99" s="1142" t="str" cm="1">
        <f t="array" ref="G99">IF($A99="","",IF(COUNTIF($N$3:$N$24,C99)&gt;0,"Former",_xlfn.LET(_xlpm.s,INDEX('resident aged receivable'!$E:$E,$A99),IF(ISNUMBER(SEARCH("Eviction",_xlpm.s)),"Eviction",IF(ISNUMBER(SEARCH("Skip",_xlpm.s)),"Skip",IF(ISNUMBER(SEARCH("Past",_xlpm.s))+ISNUMBER(SEARCH("Collections",_xlpm.s)),"Former",_xlpm.s))))))</f>
        <v>Skip</v>
      </c>
      <c r="H99" s="1143" cm="1">
        <f t="array" ref="H99">IF($A99="","",INDEX('resident aged receivable'!$I:$I,$A99))</f>
        <v>883.02</v>
      </c>
      <c r="I99" s="1143" cm="1">
        <f t="array" ref="I99">IF($A99="","",INDEX('resident aged receivable'!$J:$J,$A99))</f>
        <v>0</v>
      </c>
      <c r="J99" s="1143" cm="1">
        <f t="array" ref="J99">IF($A99="","",INDEX('resident aged receivable'!$K:$K,$A99))</f>
        <v>62.6</v>
      </c>
      <c r="K99" s="1163" t="str" cm="1">
        <f t="array" ref="K99">IFERROR(IF(B99="","",IF(SUMPRODUCT((LeaseLock!$D$2:$D$500=B99)*ISNUMBER(SEARCH(LEFT(C99,FIND(",",C99&amp;",")-1),LeaseLock!$C$2:$C$500)))=0,"",IF(LOOKUP(2,1/((LeaseLock!$D$2:$D$500=B99)*ISNUMBER(SEARCH(LEFT(C99,FIND(",",C99&amp;",")-1),LeaseLock!$C$2:$C$500))),LeaseLock!$F$2:$F$500)="Claim Denied","Claim Denied ("&amp;LOOKUP(2,1/((LeaseLock!$D$2:$D$500=B99)*ISNUMBER(SEARCH(LEFT(C99,FIND(",",C99&amp;",")-1),LeaseLock!$C$2:$C$500))),LeaseLock!$G$2:$G$500)&amp;")",IF(LOOKUP(2,1/((LeaseLock!$D$2:$D$500=B99)*ISNUMBER(SEARCH(LEFT(C99,FIND(",",C99&amp;",")-1),LeaseLock!$C$2:$C$500))),LeaseLock!$F$2:$F$500)="Open","Open - "&amp;LOOKUP(2,1/((LeaseLock!$D$2:$D$500=B99)*ISNUMBER(SEARCH(LEFT(C99,FIND(",",C99&amp;",")-1),LeaseLock!$C$2:$C$500))),LeaseLock!$G$2:$G$500),IF(LOOKUP(2,1/((LeaseLock!$D$2:$D$500=B99)*ISNUMBER(SEARCH(LEFT(C99,FIND(",",C99&amp;",")-1),LeaseLock!$C$2:$C$500))),LeaseLock!$M$2:$M$500)&gt;0,LOOKUP(2,1/((LeaseLock!$D$2:$D$500=B99)*ISNUMBER(SEARCH(LEFT(C99,FIND(",",C99&amp;",")-1),LeaseLock!$C$2:$C$500))),LeaseLock!$F$2:$F$500)&amp;" - $"&amp;TEXT(LOOKUP(2,1/((LeaseLock!$D$2:$D$500=B99)*ISNUMBER(SEARCH(LEFT(C99,FIND(",",C99&amp;",")-1),LeaseLock!$C$2:$C$500))),LeaseLock!$M$2:$M$500),"#,##0.00")&amp;" paid",LOOKUP(2,1/((LeaseLock!$D$2:$D$500=B99)*ISNUMBER(SEARCH(LEFT(C99,FIND(",",C99&amp;",")-1),LeaseLock!$C$2:$C$500))),LeaseLock!$F$2:$F$500)&amp;" - no payment"))))),"")</f>
        <v>Closed - $750.00 paid</v>
      </c>
      <c r="L99" s="1144" t="s">
        <v>6828</v>
      </c>
      <c r="Q99" s="1115"/>
      <c r="R99" s="1115"/>
      <c r="S99" s="1115"/>
      <c r="T99" s="1115"/>
      <c r="U99" s="1115"/>
      <c r="V99" s="1115"/>
      <c r="W99" s="1115"/>
      <c r="X99" s="1115"/>
      <c r="Y99" s="1115"/>
      <c r="Z99" s="1115"/>
    </row>
    <row r="100" spans="1:26" ht="12" customHeight="1">
      <c r="A100" s="1138" cm="1">
        <f t="array" ref="A100">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111</v>
      </c>
      <c r="B100" s="1139" t="str" cm="1">
        <f t="array" ref="B100">IF($A100="","",INDEX('resident aged receivable'!$B:$B,$A100))</f>
        <v>W07-1-0701</v>
      </c>
      <c r="C100" s="1139" t="str" cm="1">
        <f t="array" ref="C100">IF($A100="","",INDEX('resident aged receivable'!$D:$D,$A100))</f>
        <v>Mendoza, Karina</v>
      </c>
      <c r="D100" s="1140" cm="1">
        <f t="array" ref="D100">IF($A100="","",INDEX('resident aged receivable'!$F:$F,$A100))</f>
        <v>45596</v>
      </c>
      <c r="E100" s="1140" cm="1">
        <f t="array" ref="E100">IF($A100="","",_xlfn.LET(_xlpm.leaseEnd,INDEX('resident aged receivable'!$H:$H,$A100),_xlpm.moLookup,IFERROR(_xlfn.LET(_xlpm.lastFirst,C100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46113</v>
      </c>
      <c r="F100" s="1141" t="str">
        <f t="shared" si="2"/>
        <v>IPS</v>
      </c>
      <c r="G100" s="1142" t="str" cm="1">
        <f t="array" ref="G100">IF($A100="","",IF(COUNTIF($N$3:$N$24,C100)&gt;0,"Former",_xlfn.LET(_xlpm.s,INDEX('resident aged receivable'!$E:$E,$A100),IF(ISNUMBER(SEARCH("Eviction",_xlpm.s)),"Eviction",IF(ISNUMBER(SEARCH("Skip",_xlpm.s)),"Skip",IF(ISNUMBER(SEARCH("Past",_xlpm.s))+ISNUMBER(SEARCH("Collections",_xlpm.s)),"Former",_xlpm.s))))))</f>
        <v>Former</v>
      </c>
      <c r="H100" s="1143" cm="1">
        <f t="array" ref="H100">IF($A100="","",INDEX('resident aged receivable'!$I:$I,$A100))</f>
        <v>835.45</v>
      </c>
      <c r="I100" s="1143" cm="1">
        <f t="array" ref="I100">IF($A100="","",INDEX('resident aged receivable'!$J:$J,$A100))</f>
        <v>835.45</v>
      </c>
      <c r="J100" s="1143" cm="1">
        <f t="array" ref="J100">IF($A100="","",INDEX('resident aged receivable'!$K:$K,$A100))</f>
        <v>0</v>
      </c>
      <c r="K100" s="1163" t="str" cm="1">
        <f t="array" ref="K100">IFERROR(IF(B100="","",IF(SUMPRODUCT((LeaseLock!$D$2:$D$500=B100)*ISNUMBER(SEARCH(LEFT(C100,FIND(",",C100&amp;",")-1),LeaseLock!$C$2:$C$500)))=0,"",IF(LOOKUP(2,1/((LeaseLock!$D$2:$D$500=B100)*ISNUMBER(SEARCH(LEFT(C100,FIND(",",C100&amp;",")-1),LeaseLock!$C$2:$C$500))),LeaseLock!$F$2:$F$500)="Claim Denied","Claim Denied ("&amp;LOOKUP(2,1/((LeaseLock!$D$2:$D$500=B100)*ISNUMBER(SEARCH(LEFT(C100,FIND(",",C100&amp;",")-1),LeaseLock!$C$2:$C$500))),LeaseLock!$G$2:$G$500)&amp;")",IF(LOOKUP(2,1/((LeaseLock!$D$2:$D$500=B100)*ISNUMBER(SEARCH(LEFT(C100,FIND(",",C100&amp;",")-1),LeaseLock!$C$2:$C$500))),LeaseLock!$F$2:$F$500)="Open","Open - "&amp;LOOKUP(2,1/((LeaseLock!$D$2:$D$500=B100)*ISNUMBER(SEARCH(LEFT(C100,FIND(",",C100&amp;",")-1),LeaseLock!$C$2:$C$500))),LeaseLock!$G$2:$G$500),IF(LOOKUP(2,1/((LeaseLock!$D$2:$D$500=B100)*ISNUMBER(SEARCH(LEFT(C100,FIND(",",C100&amp;",")-1),LeaseLock!$C$2:$C$500))),LeaseLock!$M$2:$M$500)&gt;0,LOOKUP(2,1/((LeaseLock!$D$2:$D$500=B100)*ISNUMBER(SEARCH(LEFT(C100,FIND(",",C100&amp;",")-1),LeaseLock!$C$2:$C$500))),LeaseLock!$F$2:$F$500)&amp;" - $"&amp;TEXT(LOOKUP(2,1/((LeaseLock!$D$2:$D$500=B100)*ISNUMBER(SEARCH(LEFT(C100,FIND(",",C100&amp;",")-1),LeaseLock!$C$2:$C$500))),LeaseLock!$M$2:$M$500),"#,##0.00")&amp;" paid",LOOKUP(2,1/((LeaseLock!$D$2:$D$500=B100)*ISNUMBER(SEARCH(LEFT(C100,FIND(",",C100&amp;",")-1),LeaseLock!$C$2:$C$500))),LeaseLock!$F$2:$F$500)&amp;" - no payment"))))),"")</f>
        <v/>
      </c>
      <c r="L100" s="1144" t="s">
        <v>6824</v>
      </c>
      <c r="Q100" s="1115"/>
      <c r="R100" s="1115"/>
      <c r="S100" s="1115"/>
      <c r="T100" s="1115"/>
      <c r="U100" s="1115"/>
      <c r="V100" s="1115"/>
      <c r="W100" s="1115"/>
      <c r="X100" s="1115"/>
      <c r="Y100" s="1115"/>
      <c r="Z100" s="1115"/>
    </row>
    <row r="101" spans="1:26" ht="12" customHeight="1">
      <c r="A101" s="1138" cm="1">
        <f t="array" ref="A101">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142</v>
      </c>
      <c r="B101" s="1139" t="str" cm="1">
        <f t="array" ref="B101">IF($A101="","",INDEX('resident aged receivable'!$B:$B,$A101))</f>
        <v>W13-1-1319</v>
      </c>
      <c r="C101" s="1139" t="str" cm="1">
        <f t="array" ref="C101">IF($A101="","",INDEX('resident aged receivable'!$D:$D,$A101))</f>
        <v>Rodriguez, Daniel</v>
      </c>
      <c r="D101" s="1140" cm="1">
        <f t="array" ref="D101">IF($A101="","",INDEX('resident aged receivable'!$F:$F,$A101))</f>
        <v>45612</v>
      </c>
      <c r="E101" s="1140" cm="1">
        <f t="array" ref="E101">IF($A101="","",_xlfn.LET(_xlpm.leaseEnd,INDEX('resident aged receivable'!$H:$H,$A101),_xlpm.moLookup,IFERROR(_xlfn.LET(_xlpm.lastFirst,C101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46116</v>
      </c>
      <c r="F101" s="1141" t="str">
        <f t="shared" si="2"/>
        <v>IPS</v>
      </c>
      <c r="G101" s="1142" t="str" cm="1">
        <f t="array" ref="G101">IF($A101="","",IF(COUNTIF($N$3:$N$24,C101)&gt;0,"Former",_xlfn.LET(_xlpm.s,INDEX('resident aged receivable'!$E:$E,$A101),IF(ISNUMBER(SEARCH("Eviction",_xlpm.s)),"Eviction",IF(ISNUMBER(SEARCH("Skip",_xlpm.s)),"Skip",IF(ISNUMBER(SEARCH("Past",_xlpm.s))+ISNUMBER(SEARCH("Collections",_xlpm.s)),"Former",_xlpm.s))))))</f>
        <v>Former</v>
      </c>
      <c r="H101" s="1143" cm="1">
        <f t="array" ref="H101">IF($A101="","",INDEX('resident aged receivable'!$I:$I,$A101))</f>
        <v>777.49</v>
      </c>
      <c r="I101" s="1143" cm="1">
        <f t="array" ref="I101">IF($A101="","",INDEX('resident aged receivable'!$J:$J,$A101))</f>
        <v>777.49</v>
      </c>
      <c r="J101" s="1143" cm="1">
        <f t="array" ref="J101">IF($A101="","",INDEX('resident aged receivable'!$K:$K,$A101))</f>
        <v>0</v>
      </c>
      <c r="K101" s="1163" t="str" cm="1">
        <f t="array" ref="K101">IFERROR(IF(B101="","",IF(SUMPRODUCT((LeaseLock!$D$2:$D$500=B101)*ISNUMBER(SEARCH(LEFT(C101,FIND(",",C101&amp;",")-1),LeaseLock!$C$2:$C$500)))=0,"",IF(LOOKUP(2,1/((LeaseLock!$D$2:$D$500=B101)*ISNUMBER(SEARCH(LEFT(C101,FIND(",",C101&amp;",")-1),LeaseLock!$C$2:$C$500))),LeaseLock!$F$2:$F$500)="Claim Denied","Claim Denied ("&amp;LOOKUP(2,1/((LeaseLock!$D$2:$D$500=B101)*ISNUMBER(SEARCH(LEFT(C101,FIND(",",C101&amp;",")-1),LeaseLock!$C$2:$C$500))),LeaseLock!$G$2:$G$500)&amp;")",IF(LOOKUP(2,1/((LeaseLock!$D$2:$D$500=B101)*ISNUMBER(SEARCH(LEFT(C101,FIND(",",C101&amp;",")-1),LeaseLock!$C$2:$C$500))),LeaseLock!$F$2:$F$500)="Open","Open - "&amp;LOOKUP(2,1/((LeaseLock!$D$2:$D$500=B101)*ISNUMBER(SEARCH(LEFT(C101,FIND(",",C101&amp;",")-1),LeaseLock!$C$2:$C$500))),LeaseLock!$G$2:$G$500),IF(LOOKUP(2,1/((LeaseLock!$D$2:$D$500=B101)*ISNUMBER(SEARCH(LEFT(C101,FIND(",",C101&amp;",")-1),LeaseLock!$C$2:$C$500))),LeaseLock!$M$2:$M$500)&gt;0,LOOKUP(2,1/((LeaseLock!$D$2:$D$500=B101)*ISNUMBER(SEARCH(LEFT(C101,FIND(",",C101&amp;",")-1),LeaseLock!$C$2:$C$500))),LeaseLock!$F$2:$F$500)&amp;" - $"&amp;TEXT(LOOKUP(2,1/((LeaseLock!$D$2:$D$500=B101)*ISNUMBER(SEARCH(LEFT(C101,FIND(",",C101&amp;",")-1),LeaseLock!$C$2:$C$500))),LeaseLock!$M$2:$M$500),"#,##0.00")&amp;" paid",LOOKUP(2,1/((LeaseLock!$D$2:$D$500=B101)*ISNUMBER(SEARCH(LEFT(C101,FIND(",",C101&amp;",")-1),LeaseLock!$C$2:$C$500))),LeaseLock!$F$2:$F$500)&amp;" - no payment"))))),"")</f>
        <v/>
      </c>
      <c r="L101" s="1144"/>
      <c r="Q101" s="1115"/>
      <c r="R101" s="1115"/>
      <c r="S101" s="1115"/>
      <c r="T101" s="1115"/>
      <c r="U101" s="1115"/>
      <c r="V101" s="1115"/>
      <c r="W101" s="1115"/>
      <c r="X101" s="1115"/>
      <c r="Y101" s="1115"/>
      <c r="Z101" s="1115"/>
    </row>
    <row r="102" spans="1:26" ht="12" customHeight="1">
      <c r="A102" s="1138" cm="1">
        <f t="array" ref="A102">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110</v>
      </c>
      <c r="B102" s="1139" t="str" cm="1">
        <f t="array" ref="B102">IF($A102="","",INDEX('resident aged receivable'!$B:$B,$A102))</f>
        <v>W06-1-0613</v>
      </c>
      <c r="C102" s="1139" t="str" cm="1">
        <f t="array" ref="C102">IF($A102="","",INDEX('resident aged receivable'!$D:$D,$A102))</f>
        <v>Roman, Jose</v>
      </c>
      <c r="D102" s="1140" cm="1">
        <f t="array" ref="D102">IF($A102="","",INDEX('resident aged receivable'!$F:$F,$A102))</f>
        <v>45674</v>
      </c>
      <c r="E102" s="1140" cm="1">
        <f t="array" ref="E102">IF($A102="","",_xlfn.LET(_xlpm.leaseEnd,INDEX('resident aged receivable'!$H:$H,$A102),_xlpm.moLookup,IFERROR(_xlfn.LET(_xlpm.lastFirst,C102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46038</v>
      </c>
      <c r="F102" s="1141" t="str">
        <f t="shared" si="2"/>
        <v>IPS</v>
      </c>
      <c r="G102" s="1142" t="str" cm="1">
        <f t="array" ref="G102">IF($A102="","",IF(COUNTIF($N$3:$N$24,C102)&gt;0,"Former",_xlfn.LET(_xlpm.s,INDEX('resident aged receivable'!$E:$E,$A102),IF(ISNUMBER(SEARCH("Eviction",_xlpm.s)),"Eviction",IF(ISNUMBER(SEARCH("Skip",_xlpm.s)),"Skip",IF(ISNUMBER(SEARCH("Past",_xlpm.s))+ISNUMBER(SEARCH("Collections",_xlpm.s)),"Former",_xlpm.s))))))</f>
        <v>Former</v>
      </c>
      <c r="H102" s="1143" cm="1">
        <f t="array" ref="H102">IF($A102="","",INDEX('resident aged receivable'!$I:$I,$A102))</f>
        <v>746.4</v>
      </c>
      <c r="I102" s="1143" cm="1">
        <f t="array" ref="I102">IF($A102="","",INDEX('resident aged receivable'!$J:$J,$A102))</f>
        <v>0</v>
      </c>
      <c r="J102" s="1143" cm="1">
        <f t="array" ref="J102">IF($A102="","",INDEX('resident aged receivable'!$K:$K,$A102))</f>
        <v>71.19</v>
      </c>
      <c r="K102" s="1163" t="str" cm="1">
        <f t="array" ref="K102">IFERROR(IF(B102="","",IF(SUMPRODUCT((LeaseLock!$D$2:$D$500=B102)*ISNUMBER(SEARCH(LEFT(C102,FIND(",",C102&amp;",")-1),LeaseLock!$C$2:$C$500)))=0,"",IF(LOOKUP(2,1/((LeaseLock!$D$2:$D$500=B102)*ISNUMBER(SEARCH(LEFT(C102,FIND(",",C102&amp;",")-1),LeaseLock!$C$2:$C$500))),LeaseLock!$F$2:$F$500)="Claim Denied","Claim Denied ("&amp;LOOKUP(2,1/((LeaseLock!$D$2:$D$500=B102)*ISNUMBER(SEARCH(LEFT(C102,FIND(",",C102&amp;",")-1),LeaseLock!$C$2:$C$500))),LeaseLock!$G$2:$G$500)&amp;")",IF(LOOKUP(2,1/((LeaseLock!$D$2:$D$500=B102)*ISNUMBER(SEARCH(LEFT(C102,FIND(",",C102&amp;",")-1),LeaseLock!$C$2:$C$500))),LeaseLock!$F$2:$F$500)="Open","Open - "&amp;LOOKUP(2,1/((LeaseLock!$D$2:$D$500=B102)*ISNUMBER(SEARCH(LEFT(C102,FIND(",",C102&amp;",")-1),LeaseLock!$C$2:$C$500))),LeaseLock!$G$2:$G$500),IF(LOOKUP(2,1/((LeaseLock!$D$2:$D$500=B102)*ISNUMBER(SEARCH(LEFT(C102,FIND(",",C102&amp;",")-1),LeaseLock!$C$2:$C$500))),LeaseLock!$M$2:$M$500)&gt;0,LOOKUP(2,1/((LeaseLock!$D$2:$D$500=B102)*ISNUMBER(SEARCH(LEFT(C102,FIND(",",C102&amp;",")-1),LeaseLock!$C$2:$C$500))),LeaseLock!$F$2:$F$500)&amp;" - $"&amp;TEXT(LOOKUP(2,1/((LeaseLock!$D$2:$D$500=B102)*ISNUMBER(SEARCH(LEFT(C102,FIND(",",C102&amp;",")-1),LeaseLock!$C$2:$C$500))),LeaseLock!$M$2:$M$500),"#,##0.00")&amp;" paid",LOOKUP(2,1/((LeaseLock!$D$2:$D$500=B102)*ISNUMBER(SEARCH(LEFT(C102,FIND(",",C102&amp;",")-1),LeaseLock!$C$2:$C$500))),LeaseLock!$F$2:$F$500)&amp;" - no payment"))))),"")</f>
        <v/>
      </c>
      <c r="L102" s="1144"/>
      <c r="Q102" s="1115"/>
      <c r="R102" s="1115"/>
      <c r="S102" s="1115"/>
      <c r="T102" s="1115"/>
      <c r="U102" s="1115"/>
      <c r="V102" s="1115"/>
      <c r="W102" s="1115"/>
      <c r="X102" s="1115"/>
      <c r="Y102" s="1115"/>
      <c r="Z102" s="1115"/>
    </row>
    <row r="103" spans="1:26" ht="12" customHeight="1">
      <c r="A103" s="1138" cm="1">
        <f t="array" ref="A103">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20</v>
      </c>
      <c r="B103" s="1139" t="str" cm="1">
        <f t="array" ref="B103">IF($A103="","",INDEX('resident aged receivable'!$B:$B,$A103))</f>
        <v>N09-1035</v>
      </c>
      <c r="C103" s="1139" t="str" cm="1">
        <f t="array" ref="C103">IF($A103="","",INDEX('resident aged receivable'!$D:$D,$A103))</f>
        <v>Lewis, Christopher</v>
      </c>
      <c r="D103" s="1140" cm="1">
        <f t="array" ref="D103">IF($A103="","",INDEX('resident aged receivable'!$F:$F,$A103))</f>
        <v>45274</v>
      </c>
      <c r="E103" s="1140" cm="1">
        <f t="array" ref="E103">IF($A103="","",_xlfn.LET(_xlpm.leaseEnd,INDEX('resident aged receivable'!$H:$H,$A103),_xlpm.moLookup,IFERROR(_xlfn.LET(_xlpm.lastFirst,C103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46009</v>
      </c>
      <c r="F103" s="1141" t="str">
        <f t="shared" si="2"/>
        <v>IPS</v>
      </c>
      <c r="G103" s="1142" t="str" cm="1">
        <f t="array" ref="G103">IF($A103="","",IF(COUNTIF($N$3:$N$24,C103)&gt;0,"Former",_xlfn.LET(_xlpm.s,INDEX('resident aged receivable'!$E:$E,$A103),IF(ISNUMBER(SEARCH("Eviction",_xlpm.s)),"Eviction",IF(ISNUMBER(SEARCH("Skip",_xlpm.s)),"Skip",IF(ISNUMBER(SEARCH("Past",_xlpm.s))+ISNUMBER(SEARCH("Collections",_xlpm.s)),"Former",_xlpm.s))))))</f>
        <v>Former</v>
      </c>
      <c r="H103" s="1143" cm="1">
        <f t="array" ref="H103">IF($A103="","",INDEX('resident aged receivable'!$I:$I,$A103))</f>
        <v>728.27</v>
      </c>
      <c r="I103" s="1143" cm="1">
        <f t="array" ref="I103">IF($A103="","",INDEX('resident aged receivable'!$J:$J,$A103))</f>
        <v>0</v>
      </c>
      <c r="J103" s="1143" cm="1">
        <f t="array" ref="J103">IF($A103="","",INDEX('resident aged receivable'!$K:$K,$A103))</f>
        <v>54.5</v>
      </c>
      <c r="K103" s="1163" t="str" cm="1">
        <f t="array" ref="K103">IFERROR(IF(B103="","",IF(SUMPRODUCT((LeaseLock!$D$2:$D$500=B103)*ISNUMBER(SEARCH(LEFT(C103,FIND(",",C103&amp;",")-1),LeaseLock!$C$2:$C$500)))=0,"",IF(LOOKUP(2,1/((LeaseLock!$D$2:$D$500=B103)*ISNUMBER(SEARCH(LEFT(C103,FIND(",",C103&amp;",")-1),LeaseLock!$C$2:$C$500))),LeaseLock!$F$2:$F$500)="Claim Denied","Claim Denied ("&amp;LOOKUP(2,1/((LeaseLock!$D$2:$D$500=B103)*ISNUMBER(SEARCH(LEFT(C103,FIND(",",C103&amp;",")-1),LeaseLock!$C$2:$C$500))),LeaseLock!$G$2:$G$500)&amp;")",IF(LOOKUP(2,1/((LeaseLock!$D$2:$D$500=B103)*ISNUMBER(SEARCH(LEFT(C103,FIND(",",C103&amp;",")-1),LeaseLock!$C$2:$C$500))),LeaseLock!$F$2:$F$500)="Open","Open - "&amp;LOOKUP(2,1/((LeaseLock!$D$2:$D$500=B103)*ISNUMBER(SEARCH(LEFT(C103,FIND(",",C103&amp;",")-1),LeaseLock!$C$2:$C$500))),LeaseLock!$G$2:$G$500),IF(LOOKUP(2,1/((LeaseLock!$D$2:$D$500=B103)*ISNUMBER(SEARCH(LEFT(C103,FIND(",",C103&amp;",")-1),LeaseLock!$C$2:$C$500))),LeaseLock!$M$2:$M$500)&gt;0,LOOKUP(2,1/((LeaseLock!$D$2:$D$500=B103)*ISNUMBER(SEARCH(LEFT(C103,FIND(",",C103&amp;",")-1),LeaseLock!$C$2:$C$500))),LeaseLock!$F$2:$F$500)&amp;" - $"&amp;TEXT(LOOKUP(2,1/((LeaseLock!$D$2:$D$500=B103)*ISNUMBER(SEARCH(LEFT(C103,FIND(",",C103&amp;",")-1),LeaseLock!$C$2:$C$500))),LeaseLock!$M$2:$M$500),"#,##0.00")&amp;" paid",LOOKUP(2,1/((LeaseLock!$D$2:$D$500=B103)*ISNUMBER(SEARCH(LEFT(C103,FIND(",",C103&amp;",")-1),LeaseLock!$C$2:$C$500))),LeaseLock!$F$2:$F$500)&amp;" - no payment"))))),"")</f>
        <v>Closed - $522.58 paid</v>
      </c>
      <c r="L103" s="1144" t="s">
        <v>6829</v>
      </c>
      <c r="Q103" s="1115"/>
      <c r="R103" s="1115"/>
      <c r="S103" s="1115"/>
      <c r="T103" s="1115"/>
      <c r="U103" s="1115"/>
      <c r="V103" s="1115"/>
      <c r="W103" s="1115"/>
      <c r="X103" s="1115"/>
      <c r="Y103" s="1115"/>
      <c r="Z103" s="1115"/>
    </row>
    <row r="104" spans="1:26" ht="12" customHeight="1">
      <c r="A104" s="1138" cm="1">
        <f t="array" ref="A104">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187</v>
      </c>
      <c r="B104" s="1139" t="str" cm="1">
        <f t="array" ref="B104">IF($A104="","",INDEX('resident aged receivable'!$B:$B,$A104))</f>
        <v>W24-2-1038</v>
      </c>
      <c r="C104" s="1139" t="str" cm="1">
        <f t="array" ref="C104">IF($A104="","",INDEX('resident aged receivable'!$D:$D,$A104))</f>
        <v>Rodriguez, Mariela</v>
      </c>
      <c r="D104" s="1140" cm="1">
        <f t="array" ref="D104">IF($A104="","",INDEX('resident aged receivable'!$F:$F,$A104))</f>
        <v>45334</v>
      </c>
      <c r="E104" s="1140" cm="1">
        <f t="array" ref="E104">IF($A104="","",_xlfn.LET(_xlpm.leaseEnd,INDEX('resident aged receivable'!$H:$H,$A104),_xlpm.moLookup,IFERROR(_xlfn.LET(_xlpm.lastFirst,C104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46123</v>
      </c>
      <c r="F104" s="1141" t="str">
        <f t="shared" si="2"/>
        <v>IPS</v>
      </c>
      <c r="G104" s="1142" t="str" cm="1">
        <f t="array" ref="G104">IF($A104="","",IF(COUNTIF($N$3:$N$24,C104)&gt;0,"Former",_xlfn.LET(_xlpm.s,INDEX('resident aged receivable'!$E:$E,$A104),IF(ISNUMBER(SEARCH("Eviction",_xlpm.s)),"Eviction",IF(ISNUMBER(SEARCH("Skip",_xlpm.s)),"Skip",IF(ISNUMBER(SEARCH("Past",_xlpm.s))+ISNUMBER(SEARCH("Collections",_xlpm.s)),"Former",_xlpm.s))))))</f>
        <v>Former</v>
      </c>
      <c r="H104" s="1143" cm="1">
        <f t="array" ref="H104">IF($A104="","",INDEX('resident aged receivable'!$I:$I,$A104))</f>
        <v>437.21</v>
      </c>
      <c r="I104" s="1143" cm="1">
        <f t="array" ref="I104">IF($A104="","",INDEX('resident aged receivable'!$J:$J,$A104))</f>
        <v>437.21</v>
      </c>
      <c r="J104" s="1143" cm="1">
        <f t="array" ref="J104">IF($A104="","",INDEX('resident aged receivable'!$K:$K,$A104))</f>
        <v>0</v>
      </c>
      <c r="K104" s="1163" t="str" cm="1">
        <f t="array" ref="K104">IFERROR(IF(B104="","",IF(SUMPRODUCT((LeaseLock!$D$2:$D$500=B104)*ISNUMBER(SEARCH(LEFT(C104,FIND(",",C104&amp;",")-1),LeaseLock!$C$2:$C$500)))=0,"",IF(LOOKUP(2,1/((LeaseLock!$D$2:$D$500=B104)*ISNUMBER(SEARCH(LEFT(C104,FIND(",",C104&amp;",")-1),LeaseLock!$C$2:$C$500))),LeaseLock!$F$2:$F$500)="Claim Denied","Claim Denied ("&amp;LOOKUP(2,1/((LeaseLock!$D$2:$D$500=B104)*ISNUMBER(SEARCH(LEFT(C104,FIND(",",C104&amp;",")-1),LeaseLock!$C$2:$C$500))),LeaseLock!$G$2:$G$500)&amp;")",IF(LOOKUP(2,1/((LeaseLock!$D$2:$D$500=B104)*ISNUMBER(SEARCH(LEFT(C104,FIND(",",C104&amp;",")-1),LeaseLock!$C$2:$C$500))),LeaseLock!$F$2:$F$500)="Open","Open - "&amp;LOOKUP(2,1/((LeaseLock!$D$2:$D$500=B104)*ISNUMBER(SEARCH(LEFT(C104,FIND(",",C104&amp;",")-1),LeaseLock!$C$2:$C$500))),LeaseLock!$G$2:$G$500),IF(LOOKUP(2,1/((LeaseLock!$D$2:$D$500=B104)*ISNUMBER(SEARCH(LEFT(C104,FIND(",",C104&amp;",")-1),LeaseLock!$C$2:$C$500))),LeaseLock!$M$2:$M$500)&gt;0,LOOKUP(2,1/((LeaseLock!$D$2:$D$500=B104)*ISNUMBER(SEARCH(LEFT(C104,FIND(",",C104&amp;",")-1),LeaseLock!$C$2:$C$500))),LeaseLock!$F$2:$F$500)&amp;" - $"&amp;TEXT(LOOKUP(2,1/((LeaseLock!$D$2:$D$500=B104)*ISNUMBER(SEARCH(LEFT(C104,FIND(",",C104&amp;",")-1),LeaseLock!$C$2:$C$500))),LeaseLock!$M$2:$M$500),"#,##0.00")&amp;" paid",LOOKUP(2,1/((LeaseLock!$D$2:$D$500=B104)*ISNUMBER(SEARCH(LEFT(C104,FIND(",",C104&amp;",")-1),LeaseLock!$C$2:$C$500))),LeaseLock!$F$2:$F$500)&amp;" - no payment"))))),"")</f>
        <v/>
      </c>
      <c r="L104" s="1144"/>
      <c r="Q104" s="1115"/>
      <c r="R104" s="1115"/>
      <c r="S104" s="1115"/>
      <c r="T104" s="1115"/>
      <c r="U104" s="1115"/>
      <c r="V104" s="1115"/>
      <c r="W104" s="1115"/>
      <c r="X104" s="1115"/>
      <c r="Y104" s="1115"/>
      <c r="Z104" s="1115"/>
    </row>
    <row r="105" spans="1:26" ht="12" customHeight="1">
      <c r="A105" s="1138" cm="1">
        <f t="array" ref="A105">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29</v>
      </c>
      <c r="B105" s="1139" t="str" cm="1">
        <f t="array" ref="B105">IF($A105="","",INDEX('resident aged receivable'!$B:$B,$A105))</f>
        <v>N13-1056</v>
      </c>
      <c r="C105" s="1139" t="str" cm="1">
        <f t="array" ref="C105">IF($A105="","",INDEX('resident aged receivable'!$D:$D,$A105))</f>
        <v>Susana, Nely</v>
      </c>
      <c r="D105" s="1140" cm="1">
        <f t="array" ref="D105">IF($A105="","",INDEX('resident aged receivable'!$F:$F,$A105))</f>
        <v>45596</v>
      </c>
      <c r="E105" s="1140" cm="1">
        <f t="array" ref="E105">IF($A105="","",_xlfn.LET(_xlpm.leaseEnd,INDEX('resident aged receivable'!$H:$H,$A105),_xlpm.moLookup,IFERROR(_xlfn.LET(_xlpm.lastFirst,C105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46024</v>
      </c>
      <c r="F105" s="1141" t="str">
        <f t="shared" si="2"/>
        <v>IPS</v>
      </c>
      <c r="G105" s="1142" t="str" cm="1">
        <f t="array" ref="G105">IF($A105="","",IF(COUNTIF($N$3:$N$24,C105)&gt;0,"Former",_xlfn.LET(_xlpm.s,INDEX('resident aged receivable'!$E:$E,$A105),IF(ISNUMBER(SEARCH("Eviction",_xlpm.s)),"Eviction",IF(ISNUMBER(SEARCH("Skip",_xlpm.s)),"Skip",IF(ISNUMBER(SEARCH("Past",_xlpm.s))+ISNUMBER(SEARCH("Collections",_xlpm.s)),"Former",_xlpm.s))))))</f>
        <v>Former</v>
      </c>
      <c r="H105" s="1143" cm="1">
        <f t="array" ref="H105">IF($A105="","",INDEX('resident aged receivable'!$I:$I,$A105))</f>
        <v>410.84</v>
      </c>
      <c r="I105" s="1143" cm="1">
        <f t="array" ref="I105">IF($A105="","",INDEX('resident aged receivable'!$J:$J,$A105))</f>
        <v>0</v>
      </c>
      <c r="J105" s="1143" cm="1">
        <f t="array" ref="J105">IF($A105="","",INDEX('resident aged receivable'!$K:$K,$A105))</f>
        <v>77.28</v>
      </c>
      <c r="K105" s="1163" t="str" cm="1">
        <f t="array" ref="K105">IFERROR(IF(B105="","",IF(SUMPRODUCT((LeaseLock!$D$2:$D$500=B105)*ISNUMBER(SEARCH(LEFT(C105,FIND(",",C105&amp;",")-1),LeaseLock!$C$2:$C$500)))=0,"",IF(LOOKUP(2,1/((LeaseLock!$D$2:$D$500=B105)*ISNUMBER(SEARCH(LEFT(C105,FIND(",",C105&amp;",")-1),LeaseLock!$C$2:$C$500))),LeaseLock!$F$2:$F$500)="Claim Denied","Claim Denied ("&amp;LOOKUP(2,1/((LeaseLock!$D$2:$D$500=B105)*ISNUMBER(SEARCH(LEFT(C105,FIND(",",C105&amp;",")-1),LeaseLock!$C$2:$C$500))),LeaseLock!$G$2:$G$500)&amp;")",IF(LOOKUP(2,1/((LeaseLock!$D$2:$D$500=B105)*ISNUMBER(SEARCH(LEFT(C105,FIND(",",C105&amp;",")-1),LeaseLock!$C$2:$C$500))),LeaseLock!$F$2:$F$500)="Open","Open - "&amp;LOOKUP(2,1/((LeaseLock!$D$2:$D$500=B105)*ISNUMBER(SEARCH(LEFT(C105,FIND(",",C105&amp;",")-1),LeaseLock!$C$2:$C$500))),LeaseLock!$G$2:$G$500),IF(LOOKUP(2,1/((LeaseLock!$D$2:$D$500=B105)*ISNUMBER(SEARCH(LEFT(C105,FIND(",",C105&amp;",")-1),LeaseLock!$C$2:$C$500))),LeaseLock!$M$2:$M$500)&gt;0,LOOKUP(2,1/((LeaseLock!$D$2:$D$500=B105)*ISNUMBER(SEARCH(LEFT(C105,FIND(",",C105&amp;",")-1),LeaseLock!$C$2:$C$500))),LeaseLock!$F$2:$F$500)&amp;" - $"&amp;TEXT(LOOKUP(2,1/((LeaseLock!$D$2:$D$500=B105)*ISNUMBER(SEARCH(LEFT(C105,FIND(",",C105&amp;",")-1),LeaseLock!$C$2:$C$500))),LeaseLock!$M$2:$M$500),"#,##0.00")&amp;" paid",LOOKUP(2,1/((LeaseLock!$D$2:$D$500=B105)*ISNUMBER(SEARCH(LEFT(C105,FIND(",",C105&amp;",")-1),LeaseLock!$C$2:$C$500))),LeaseLock!$F$2:$F$500)&amp;" - no payment"))))),"")</f>
        <v>Closed - $85.00 paid</v>
      </c>
      <c r="L105" s="1144"/>
      <c r="Q105" s="1115"/>
      <c r="R105" s="1115"/>
      <c r="S105" s="1115"/>
      <c r="T105" s="1115"/>
      <c r="U105" s="1115"/>
      <c r="V105" s="1115"/>
      <c r="W105" s="1115"/>
      <c r="X105" s="1115"/>
      <c r="Y105" s="1115"/>
      <c r="Z105" s="1115"/>
    </row>
    <row r="106" spans="1:26" ht="12" customHeight="1">
      <c r="A106" s="1138" cm="1">
        <f t="array" ref="A106">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5</v>
      </c>
      <c r="B106" s="1139" t="str" cm="1">
        <f t="array" ref="B106">IF($A106="","",INDEX('resident aged receivable'!$B:$B,$A106))</f>
        <v>N01-3003</v>
      </c>
      <c r="C106" s="1139" t="str" cm="1">
        <f t="array" ref="C106">IF($A106="","",INDEX('resident aged receivable'!$D:$D,$A106))</f>
        <v>Emeribe, Ikechukwu</v>
      </c>
      <c r="D106" s="1140" cm="1">
        <f t="array" ref="D106">IF($A106="","",INDEX('resident aged receivable'!$F:$F,$A106))</f>
        <v>44230</v>
      </c>
      <c r="E106" s="1140" cm="1">
        <f t="array" ref="E106">IF($A106="","",_xlfn.LET(_xlpm.leaseEnd,INDEX('resident aged receivable'!$H:$H,$A106),_xlpm.moLookup,IFERROR(_xlfn.LET(_xlpm.lastFirst,C106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46025</v>
      </c>
      <c r="F106" s="1141" t="str">
        <f t="shared" si="2"/>
        <v>IPS</v>
      </c>
      <c r="G106" s="1142" t="str" cm="1">
        <f t="array" ref="G106">IF($A106="","",IF(COUNTIF($N$3:$N$24,C106)&gt;0,"Former",_xlfn.LET(_xlpm.s,INDEX('resident aged receivable'!$E:$E,$A106),IF(ISNUMBER(SEARCH("Eviction",_xlpm.s)),"Eviction",IF(ISNUMBER(SEARCH("Skip",_xlpm.s)),"Skip",IF(ISNUMBER(SEARCH("Past",_xlpm.s))+ISNUMBER(SEARCH("Collections",_xlpm.s)),"Former",_xlpm.s))))))</f>
        <v>Former</v>
      </c>
      <c r="H106" s="1143" cm="1">
        <f t="array" ref="H106">IF($A106="","",INDEX('resident aged receivable'!$I:$I,$A106))</f>
        <v>407.54</v>
      </c>
      <c r="I106" s="1143" cm="1">
        <f t="array" ref="I106">IF($A106="","",INDEX('resident aged receivable'!$J:$J,$A106))</f>
        <v>0</v>
      </c>
      <c r="J106" s="1143" cm="1">
        <f t="array" ref="J106">IF($A106="","",INDEX('resident aged receivable'!$K:$K,$A106))</f>
        <v>69.180000000000007</v>
      </c>
      <c r="K106" s="1163" t="str" cm="1">
        <f t="array" ref="K106">IFERROR(IF(B106="","",IF(SUMPRODUCT((LeaseLock!$D$2:$D$500=B106)*ISNUMBER(SEARCH(LEFT(C106,FIND(",",C106&amp;",")-1),LeaseLock!$C$2:$C$500)))=0,"",IF(LOOKUP(2,1/((LeaseLock!$D$2:$D$500=B106)*ISNUMBER(SEARCH(LEFT(C106,FIND(",",C106&amp;",")-1),LeaseLock!$C$2:$C$500))),LeaseLock!$F$2:$F$500)="Claim Denied","Claim Denied ("&amp;LOOKUP(2,1/((LeaseLock!$D$2:$D$500=B106)*ISNUMBER(SEARCH(LEFT(C106,FIND(",",C106&amp;",")-1),LeaseLock!$C$2:$C$500))),LeaseLock!$G$2:$G$500)&amp;")",IF(LOOKUP(2,1/((LeaseLock!$D$2:$D$500=B106)*ISNUMBER(SEARCH(LEFT(C106,FIND(",",C106&amp;",")-1),LeaseLock!$C$2:$C$500))),LeaseLock!$F$2:$F$500)="Open","Open - "&amp;LOOKUP(2,1/((LeaseLock!$D$2:$D$500=B106)*ISNUMBER(SEARCH(LEFT(C106,FIND(",",C106&amp;",")-1),LeaseLock!$C$2:$C$500))),LeaseLock!$G$2:$G$500),IF(LOOKUP(2,1/((LeaseLock!$D$2:$D$500=B106)*ISNUMBER(SEARCH(LEFT(C106,FIND(",",C106&amp;",")-1),LeaseLock!$C$2:$C$500))),LeaseLock!$M$2:$M$500)&gt;0,LOOKUP(2,1/((LeaseLock!$D$2:$D$500=B106)*ISNUMBER(SEARCH(LEFT(C106,FIND(",",C106&amp;",")-1),LeaseLock!$C$2:$C$500))),LeaseLock!$F$2:$F$500)&amp;" - $"&amp;TEXT(LOOKUP(2,1/((LeaseLock!$D$2:$D$500=B106)*ISNUMBER(SEARCH(LEFT(C106,FIND(",",C106&amp;",")-1),LeaseLock!$C$2:$C$500))),LeaseLock!$M$2:$M$500),"#,##0.00")&amp;" paid",LOOKUP(2,1/((LeaseLock!$D$2:$D$500=B106)*ISNUMBER(SEARCH(LEFT(C106,FIND(",",C106&amp;",")-1),LeaseLock!$C$2:$C$500))),LeaseLock!$F$2:$F$500)&amp;" - no payment"))))),"")</f>
        <v/>
      </c>
      <c r="L106" s="1144"/>
      <c r="Q106" s="1115"/>
      <c r="R106" s="1115"/>
      <c r="S106" s="1115"/>
      <c r="T106" s="1115"/>
      <c r="U106" s="1115"/>
      <c r="V106" s="1115"/>
      <c r="W106" s="1115"/>
      <c r="X106" s="1115"/>
      <c r="Y106" s="1115"/>
      <c r="Z106" s="1115"/>
    </row>
    <row r="107" spans="1:26" ht="12" customHeight="1">
      <c r="A107" s="1138" cm="1">
        <f t="array" ref="A107">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146</v>
      </c>
      <c r="B107" s="1139" t="str" cm="1">
        <f t="array" ref="B107">IF($A107="","",INDEX('resident aged receivable'!$B:$B,$A107))</f>
        <v>W14-1-1403</v>
      </c>
      <c r="C107" s="1139" t="str" cm="1">
        <f t="array" ref="C107">IF($A107="","",INDEX('resident aged receivable'!$D:$D,$A107))</f>
        <v>Dennis, Christy</v>
      </c>
      <c r="D107" s="1140" cm="1">
        <f t="array" ref="D107">IF($A107="","",INDEX('resident aged receivable'!$F:$F,$A107))</f>
        <v>45196</v>
      </c>
      <c r="E107" s="1140" cm="1">
        <f t="array" ref="E107">IF($A107="","",_xlfn.LET(_xlpm.leaseEnd,INDEX('resident aged receivable'!$H:$H,$A107),_xlpm.moLookup,IFERROR(_xlfn.LET(_xlpm.lastFirst,C107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46295</v>
      </c>
      <c r="F107" s="1141" t="str">
        <f t="shared" si="2"/>
        <v>IPS</v>
      </c>
      <c r="G107" s="1142" t="str" cm="1">
        <f t="array" ref="G107">IF($A107="","",IF(COUNTIF($N$3:$N$24,C107)&gt;0,"Former",_xlfn.LET(_xlpm.s,INDEX('resident aged receivable'!$E:$E,$A107),IF(ISNUMBER(SEARCH("Eviction",_xlpm.s)),"Eviction",IF(ISNUMBER(SEARCH("Skip",_xlpm.s)),"Skip",IF(ISNUMBER(SEARCH("Past",_xlpm.s))+ISNUMBER(SEARCH("Collections",_xlpm.s)),"Former",_xlpm.s))))))</f>
        <v>Skip</v>
      </c>
      <c r="H107" s="1143" cm="1">
        <f t="array" ref="H107">IF($A107="","",INDEX('resident aged receivable'!$I:$I,$A107))</f>
        <v>401.22</v>
      </c>
      <c r="I107" s="1143" cm="1">
        <f t="array" ref="I107">IF($A107="","",INDEX('resident aged receivable'!$J:$J,$A107))</f>
        <v>0</v>
      </c>
      <c r="J107" s="1143" cm="1">
        <f t="array" ref="J107">IF($A107="","",INDEX('resident aged receivable'!$K:$K,$A107))</f>
        <v>401.22</v>
      </c>
      <c r="K107" s="1163" t="str" cm="1">
        <f t="array" ref="K107">IFERROR(IF(B107="","",IF(SUMPRODUCT((LeaseLock!$D$2:$D$500=B107)*ISNUMBER(SEARCH(LEFT(C107,FIND(",",C107&amp;",")-1),LeaseLock!$C$2:$C$500)))=0,"",IF(LOOKUP(2,1/((LeaseLock!$D$2:$D$500=B107)*ISNUMBER(SEARCH(LEFT(C107,FIND(",",C107&amp;",")-1),LeaseLock!$C$2:$C$500))),LeaseLock!$F$2:$F$500)="Claim Denied","Claim Denied ("&amp;LOOKUP(2,1/((LeaseLock!$D$2:$D$500=B107)*ISNUMBER(SEARCH(LEFT(C107,FIND(",",C107&amp;",")-1),LeaseLock!$C$2:$C$500))),LeaseLock!$G$2:$G$500)&amp;")",IF(LOOKUP(2,1/((LeaseLock!$D$2:$D$500=B107)*ISNUMBER(SEARCH(LEFT(C107,FIND(",",C107&amp;",")-1),LeaseLock!$C$2:$C$500))),LeaseLock!$F$2:$F$500)="Open","Open - "&amp;LOOKUP(2,1/((LeaseLock!$D$2:$D$500=B107)*ISNUMBER(SEARCH(LEFT(C107,FIND(",",C107&amp;",")-1),LeaseLock!$C$2:$C$500))),LeaseLock!$G$2:$G$500),IF(LOOKUP(2,1/((LeaseLock!$D$2:$D$500=B107)*ISNUMBER(SEARCH(LEFT(C107,FIND(",",C107&amp;",")-1),LeaseLock!$C$2:$C$500))),LeaseLock!$M$2:$M$500)&gt;0,LOOKUP(2,1/((LeaseLock!$D$2:$D$500=B107)*ISNUMBER(SEARCH(LEFT(C107,FIND(",",C107&amp;",")-1),LeaseLock!$C$2:$C$500))),LeaseLock!$F$2:$F$500)&amp;" - $"&amp;TEXT(LOOKUP(2,1/((LeaseLock!$D$2:$D$500=B107)*ISNUMBER(SEARCH(LEFT(C107,FIND(",",C107&amp;",")-1),LeaseLock!$C$2:$C$500))),LeaseLock!$M$2:$M$500),"#,##0.00")&amp;" paid",LOOKUP(2,1/((LeaseLock!$D$2:$D$500=B107)*ISNUMBER(SEARCH(LEFT(C107,FIND(",",C107&amp;",")-1),LeaseLock!$C$2:$C$500))),LeaseLock!$F$2:$F$500)&amp;" - no payment"))))),"")</f>
        <v/>
      </c>
      <c r="L107" s="1144" t="s">
        <v>6830</v>
      </c>
      <c r="Q107" s="1115"/>
      <c r="R107" s="1115"/>
      <c r="S107" s="1115"/>
      <c r="T107" s="1115"/>
      <c r="U107" s="1115"/>
      <c r="V107" s="1115"/>
      <c r="W107" s="1115"/>
      <c r="X107" s="1115"/>
      <c r="Y107" s="1115"/>
      <c r="Z107" s="1115"/>
    </row>
    <row r="108" spans="1:26" ht="12" customHeight="1">
      <c r="A108" s="1138" cm="1">
        <f t="array" ref="A108">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125</v>
      </c>
      <c r="B108" s="1139" t="str" cm="1">
        <f t="array" ref="B108">IF($A108="","",INDEX('resident aged receivable'!$B:$B,$A108))</f>
        <v>W09-1-0913</v>
      </c>
      <c r="C108" s="1139" t="str" cm="1">
        <f t="array" ref="C108">IF($A108="","",INDEX('resident aged receivable'!$D:$D,$A108))</f>
        <v>Ramos, Jose</v>
      </c>
      <c r="D108" s="1140" cm="1">
        <f t="array" ref="D108">IF($A108="","",INDEX('resident aged receivable'!$F:$F,$A108))</f>
        <v>45626</v>
      </c>
      <c r="E108" s="1140" cm="1">
        <f t="array" ref="E108">IF($A108="","",_xlfn.LET(_xlpm.leaseEnd,INDEX('resident aged receivable'!$H:$H,$A108),_xlpm.moLookup,IFERROR(_xlfn.LET(_xlpm.lastFirst,C108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46112</v>
      </c>
      <c r="F108" s="1141" t="str">
        <f t="shared" si="2"/>
        <v>IPS</v>
      </c>
      <c r="G108" s="1142" t="str" cm="1">
        <f t="array" ref="G108">IF($A108="","",IF(COUNTIF($N$3:$N$24,C108)&gt;0,"Former",_xlfn.LET(_xlpm.s,INDEX('resident aged receivable'!$E:$E,$A108),IF(ISNUMBER(SEARCH("Eviction",_xlpm.s)),"Eviction",IF(ISNUMBER(SEARCH("Skip",_xlpm.s)),"Skip",IF(ISNUMBER(SEARCH("Past",_xlpm.s))+ISNUMBER(SEARCH("Collections",_xlpm.s)),"Former",_xlpm.s))))))</f>
        <v>Former</v>
      </c>
      <c r="H108" s="1143" cm="1">
        <f t="array" ref="H108">IF($A108="","",INDEX('resident aged receivable'!$I:$I,$A108))</f>
        <v>378.57</v>
      </c>
      <c r="I108" s="1143" cm="1">
        <f t="array" ref="I108">IF($A108="","",INDEX('resident aged receivable'!$J:$J,$A108))</f>
        <v>0</v>
      </c>
      <c r="J108" s="1143" cm="1">
        <f t="array" ref="J108">IF($A108="","",INDEX('resident aged receivable'!$K:$K,$A108))</f>
        <v>71.19</v>
      </c>
      <c r="K108" s="1163" t="str" cm="1">
        <f t="array" ref="K108">IFERROR(IF(B108="","",IF(SUMPRODUCT((LeaseLock!$D$2:$D$500=B108)*ISNUMBER(SEARCH(LEFT(C108,FIND(",",C108&amp;",")-1),LeaseLock!$C$2:$C$500)))=0,"",IF(LOOKUP(2,1/((LeaseLock!$D$2:$D$500=B108)*ISNUMBER(SEARCH(LEFT(C108,FIND(",",C108&amp;",")-1),LeaseLock!$C$2:$C$500))),LeaseLock!$F$2:$F$500)="Claim Denied","Claim Denied ("&amp;LOOKUP(2,1/((LeaseLock!$D$2:$D$500=B108)*ISNUMBER(SEARCH(LEFT(C108,FIND(",",C108&amp;",")-1),LeaseLock!$C$2:$C$500))),LeaseLock!$G$2:$G$500)&amp;")",IF(LOOKUP(2,1/((LeaseLock!$D$2:$D$500=B108)*ISNUMBER(SEARCH(LEFT(C108,FIND(",",C108&amp;",")-1),LeaseLock!$C$2:$C$500))),LeaseLock!$F$2:$F$500)="Open","Open - "&amp;LOOKUP(2,1/((LeaseLock!$D$2:$D$500=B108)*ISNUMBER(SEARCH(LEFT(C108,FIND(",",C108&amp;",")-1),LeaseLock!$C$2:$C$500))),LeaseLock!$G$2:$G$500),IF(LOOKUP(2,1/((LeaseLock!$D$2:$D$500=B108)*ISNUMBER(SEARCH(LEFT(C108,FIND(",",C108&amp;",")-1),LeaseLock!$C$2:$C$500))),LeaseLock!$M$2:$M$500)&gt;0,LOOKUP(2,1/((LeaseLock!$D$2:$D$500=B108)*ISNUMBER(SEARCH(LEFT(C108,FIND(",",C108&amp;",")-1),LeaseLock!$C$2:$C$500))),LeaseLock!$F$2:$F$500)&amp;" - $"&amp;TEXT(LOOKUP(2,1/((LeaseLock!$D$2:$D$500=B108)*ISNUMBER(SEARCH(LEFT(C108,FIND(",",C108&amp;",")-1),LeaseLock!$C$2:$C$500))),LeaseLock!$M$2:$M$500),"#,##0.00")&amp;" paid",LOOKUP(2,1/((LeaseLock!$D$2:$D$500=B108)*ISNUMBER(SEARCH(LEFT(C108,FIND(",",C108&amp;",")-1),LeaseLock!$C$2:$C$500))),LeaseLock!$F$2:$F$500)&amp;" - no payment"))))),"")</f>
        <v/>
      </c>
      <c r="L108" s="1144"/>
      <c r="Q108" s="1115"/>
      <c r="R108" s="1115"/>
      <c r="S108" s="1115"/>
      <c r="T108" s="1115"/>
      <c r="U108" s="1115"/>
      <c r="V108" s="1115"/>
      <c r="W108" s="1115"/>
      <c r="X108" s="1115"/>
      <c r="Y108" s="1115"/>
      <c r="Z108" s="1115"/>
    </row>
    <row r="109" spans="1:26" ht="12" customHeight="1">
      <c r="A109" s="1138" cm="1">
        <f t="array" ref="A109">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194</v>
      </c>
      <c r="B109" s="1139" t="str" cm="1">
        <f t="array" ref="B109">IF($A109="","",INDEX('resident aged receivable'!$B:$B,$A109))</f>
        <v>W28-2-2018</v>
      </c>
      <c r="C109" s="1139" t="str" cm="1">
        <f t="array" ref="C109">IF($A109="","",INDEX('resident aged receivable'!$D:$D,$A109))</f>
        <v>Giles, Avelaura</v>
      </c>
      <c r="D109" s="1140" cm="1">
        <f t="array" ref="D109">IF($A109="","",INDEX('resident aged receivable'!$F:$F,$A109))</f>
        <v>41132</v>
      </c>
      <c r="E109" s="1140" cm="1">
        <f t="array" ref="E109">IF($A109="","",_xlfn.LET(_xlpm.leaseEnd,INDEX('resident aged receivable'!$H:$H,$A109),_xlpm.moLookup,IFERROR(_xlfn.LET(_xlpm.lastFirst,C109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46081</v>
      </c>
      <c r="F109" s="1141" t="str">
        <f t="shared" si="2"/>
        <v>IPS</v>
      </c>
      <c r="G109" s="1142" t="str" cm="1">
        <f t="array" ref="G109">IF($A109="","",IF(COUNTIF($N$3:$N$24,C109)&gt;0,"Former",_xlfn.LET(_xlpm.s,INDEX('resident aged receivable'!$E:$E,$A109),IF(ISNUMBER(SEARCH("Eviction",_xlpm.s)),"Eviction",IF(ISNUMBER(SEARCH("Skip",_xlpm.s)),"Skip",IF(ISNUMBER(SEARCH("Past",_xlpm.s))+ISNUMBER(SEARCH("Collections",_xlpm.s)),"Former",_xlpm.s))))))</f>
        <v>Skip</v>
      </c>
      <c r="H109" s="1143" cm="1">
        <f t="array" ref="H109">IF($A109="","",INDEX('resident aged receivable'!$I:$I,$A109))</f>
        <v>370.03</v>
      </c>
      <c r="I109" s="1143" cm="1">
        <f t="array" ref="I109">IF($A109="","",INDEX('resident aged receivable'!$J:$J,$A109))</f>
        <v>0</v>
      </c>
      <c r="J109" s="1143" cm="1">
        <f t="array" ref="J109">IF($A109="","",INDEX('resident aged receivable'!$K:$K,$A109))</f>
        <v>370.03</v>
      </c>
      <c r="K109" s="1163" t="str" cm="1">
        <f t="array" ref="K109">IFERROR(IF(B109="","",IF(SUMPRODUCT((LeaseLock!$D$2:$D$500=B109)*ISNUMBER(SEARCH(LEFT(C109,FIND(",",C109&amp;",")-1),LeaseLock!$C$2:$C$500)))=0,"",IF(LOOKUP(2,1/((LeaseLock!$D$2:$D$500=B109)*ISNUMBER(SEARCH(LEFT(C109,FIND(",",C109&amp;",")-1),LeaseLock!$C$2:$C$500))),LeaseLock!$F$2:$F$500)="Claim Denied","Claim Denied ("&amp;LOOKUP(2,1/((LeaseLock!$D$2:$D$500=B109)*ISNUMBER(SEARCH(LEFT(C109,FIND(",",C109&amp;",")-1),LeaseLock!$C$2:$C$500))),LeaseLock!$G$2:$G$500)&amp;")",IF(LOOKUP(2,1/((LeaseLock!$D$2:$D$500=B109)*ISNUMBER(SEARCH(LEFT(C109,FIND(",",C109&amp;",")-1),LeaseLock!$C$2:$C$500))),LeaseLock!$F$2:$F$500)="Open","Open - "&amp;LOOKUP(2,1/((LeaseLock!$D$2:$D$500=B109)*ISNUMBER(SEARCH(LEFT(C109,FIND(",",C109&amp;",")-1),LeaseLock!$C$2:$C$500))),LeaseLock!$G$2:$G$500),IF(LOOKUP(2,1/((LeaseLock!$D$2:$D$500=B109)*ISNUMBER(SEARCH(LEFT(C109,FIND(",",C109&amp;",")-1),LeaseLock!$C$2:$C$500))),LeaseLock!$M$2:$M$500)&gt;0,LOOKUP(2,1/((LeaseLock!$D$2:$D$500=B109)*ISNUMBER(SEARCH(LEFT(C109,FIND(",",C109&amp;",")-1),LeaseLock!$C$2:$C$500))),LeaseLock!$F$2:$F$500)&amp;" - $"&amp;TEXT(LOOKUP(2,1/((LeaseLock!$D$2:$D$500=B109)*ISNUMBER(SEARCH(LEFT(C109,FIND(",",C109&amp;",")-1),LeaseLock!$C$2:$C$500))),LeaseLock!$M$2:$M$500),"#,##0.00")&amp;" paid",LOOKUP(2,1/((LeaseLock!$D$2:$D$500=B109)*ISNUMBER(SEARCH(LEFT(C109,FIND(",",C109&amp;",")-1),LeaseLock!$C$2:$C$500))),LeaseLock!$F$2:$F$500)&amp;" - no payment"))))),"")</f>
        <v/>
      </c>
      <c r="L109" s="1144"/>
      <c r="Q109" s="1115"/>
      <c r="R109" s="1115"/>
      <c r="S109" s="1115"/>
      <c r="T109" s="1115"/>
      <c r="U109" s="1115"/>
      <c r="V109" s="1115"/>
      <c r="W109" s="1115"/>
      <c r="X109" s="1115"/>
      <c r="Y109" s="1115"/>
      <c r="Z109" s="1115"/>
    </row>
    <row r="110" spans="1:26" ht="12" customHeight="1">
      <c r="A110" s="1138" cm="1">
        <f t="array" ref="A110">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185</v>
      </c>
      <c r="B110" s="1139" t="str" cm="1">
        <f t="array" ref="B110">IF($A110="","",INDEX('resident aged receivable'!$B:$B,$A110))</f>
        <v>W23-2-2047</v>
      </c>
      <c r="C110" s="1139" t="str" cm="1">
        <f t="array" ref="C110">IF($A110="","",INDEX('resident aged receivable'!$D:$D,$A110))</f>
        <v>Barr, Ebony</v>
      </c>
      <c r="D110" s="1140" cm="1">
        <f t="array" ref="D110">IF($A110="","",INDEX('resident aged receivable'!$F:$F,$A110))</f>
        <v>44946</v>
      </c>
      <c r="E110" s="1140" cm="1">
        <f t="array" ref="E110">IF($A110="","",_xlfn.LET(_xlpm.leaseEnd,INDEX('resident aged receivable'!$H:$H,$A110),_xlpm.moLookup,IFERROR(_xlfn.LET(_xlpm.lastFirst,C110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46092</v>
      </c>
      <c r="F110" s="1141" t="str">
        <f t="shared" si="2"/>
        <v>IPS</v>
      </c>
      <c r="G110" s="1142" t="str" cm="1">
        <f t="array" ref="G110">IF($A110="","",IF(COUNTIF($N$3:$N$24,C110)&gt;0,"Former",_xlfn.LET(_xlpm.s,INDEX('resident aged receivable'!$E:$E,$A110),IF(ISNUMBER(SEARCH("Eviction",_xlpm.s)),"Eviction",IF(ISNUMBER(SEARCH("Skip",_xlpm.s)),"Skip",IF(ISNUMBER(SEARCH("Past",_xlpm.s))+ISNUMBER(SEARCH("Collections",_xlpm.s)),"Former",_xlpm.s))))))</f>
        <v>Former</v>
      </c>
      <c r="H110" s="1143" cm="1">
        <f t="array" ref="H110">IF($A110="","",INDEX('resident aged receivable'!$I:$I,$A110))</f>
        <v>347.59</v>
      </c>
      <c r="I110" s="1143" cm="1">
        <f t="array" ref="I110">IF($A110="","",INDEX('resident aged receivable'!$J:$J,$A110))</f>
        <v>50</v>
      </c>
      <c r="J110" s="1143" cm="1">
        <f t="array" ref="J110">IF($A110="","",INDEX('resident aged receivable'!$K:$K,$A110))</f>
        <v>297.58999999999997</v>
      </c>
      <c r="K110" s="1163" t="str" cm="1">
        <f t="array" ref="K110">IFERROR(IF(B110="","",IF(SUMPRODUCT((LeaseLock!$D$2:$D$500=B110)*ISNUMBER(SEARCH(LEFT(C110,FIND(",",C110&amp;",")-1),LeaseLock!$C$2:$C$500)))=0,"",IF(LOOKUP(2,1/((LeaseLock!$D$2:$D$500=B110)*ISNUMBER(SEARCH(LEFT(C110,FIND(",",C110&amp;",")-1),LeaseLock!$C$2:$C$500))),LeaseLock!$F$2:$F$500)="Claim Denied","Claim Denied ("&amp;LOOKUP(2,1/((LeaseLock!$D$2:$D$500=B110)*ISNUMBER(SEARCH(LEFT(C110,FIND(",",C110&amp;",")-1),LeaseLock!$C$2:$C$500))),LeaseLock!$G$2:$G$500)&amp;")",IF(LOOKUP(2,1/((LeaseLock!$D$2:$D$500=B110)*ISNUMBER(SEARCH(LEFT(C110,FIND(",",C110&amp;",")-1),LeaseLock!$C$2:$C$500))),LeaseLock!$F$2:$F$500)="Open","Open - "&amp;LOOKUP(2,1/((LeaseLock!$D$2:$D$500=B110)*ISNUMBER(SEARCH(LEFT(C110,FIND(",",C110&amp;",")-1),LeaseLock!$C$2:$C$500))),LeaseLock!$G$2:$G$500),IF(LOOKUP(2,1/((LeaseLock!$D$2:$D$500=B110)*ISNUMBER(SEARCH(LEFT(C110,FIND(",",C110&amp;",")-1),LeaseLock!$C$2:$C$500))),LeaseLock!$M$2:$M$500)&gt;0,LOOKUP(2,1/((LeaseLock!$D$2:$D$500=B110)*ISNUMBER(SEARCH(LEFT(C110,FIND(",",C110&amp;",")-1),LeaseLock!$C$2:$C$500))),LeaseLock!$F$2:$F$500)&amp;" - $"&amp;TEXT(LOOKUP(2,1/((LeaseLock!$D$2:$D$500=B110)*ISNUMBER(SEARCH(LEFT(C110,FIND(",",C110&amp;",")-1),LeaseLock!$C$2:$C$500))),LeaseLock!$M$2:$M$500),"#,##0.00")&amp;" paid",LOOKUP(2,1/((LeaseLock!$D$2:$D$500=B110)*ISNUMBER(SEARCH(LEFT(C110,FIND(",",C110&amp;",")-1),LeaseLock!$C$2:$C$500))),LeaseLock!$F$2:$F$500)&amp;" - no payment"))))),"")</f>
        <v/>
      </c>
      <c r="L110" s="1144"/>
      <c r="Q110" s="1115"/>
      <c r="R110" s="1115"/>
      <c r="S110" s="1115"/>
      <c r="T110" s="1115"/>
      <c r="U110" s="1115"/>
      <c r="V110" s="1115"/>
      <c r="W110" s="1115"/>
      <c r="X110" s="1115"/>
      <c r="Y110" s="1115"/>
      <c r="Z110" s="1115"/>
    </row>
    <row r="111" spans="1:26" ht="12" customHeight="1">
      <c r="A111" s="1138" cm="1">
        <f t="array" ref="A111">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32</v>
      </c>
      <c r="B111" s="1139" t="str" cm="1">
        <f t="array" ref="B111">IF($A111="","",INDEX('resident aged receivable'!$B:$B,$A111))</f>
        <v>N14-1063</v>
      </c>
      <c r="C111" s="1139" t="str" cm="1">
        <f t="array" ref="C111">IF($A111="","",INDEX('resident aged receivable'!$D:$D,$A111))</f>
        <v>Catalan, Yacqueline</v>
      </c>
      <c r="D111" s="1140" cm="1">
        <f t="array" ref="D111">IF($A111="","",INDEX('resident aged receivable'!$F:$F,$A111))</f>
        <v>45107</v>
      </c>
      <c r="E111" s="1140" cm="1">
        <f t="array" ref="E111">IF($A111="","",_xlfn.LET(_xlpm.leaseEnd,INDEX('resident aged receivable'!$H:$H,$A111),_xlpm.moLookup,IFERROR(_xlfn.LET(_xlpm.lastFirst,C111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46053</v>
      </c>
      <c r="F111" s="1141" t="str">
        <f t="shared" si="2"/>
        <v>IPS</v>
      </c>
      <c r="G111" s="1142" t="str" cm="1">
        <f t="array" ref="G111">IF($A111="","",IF(COUNTIF($N$3:$N$24,C111)&gt;0,"Former",_xlfn.LET(_xlpm.s,INDEX('resident aged receivable'!$E:$E,$A111),IF(ISNUMBER(SEARCH("Eviction",_xlpm.s)),"Eviction",IF(ISNUMBER(SEARCH("Skip",_xlpm.s)),"Skip",IF(ISNUMBER(SEARCH("Past",_xlpm.s))+ISNUMBER(SEARCH("Collections",_xlpm.s)),"Former",_xlpm.s))))))</f>
        <v>Skip</v>
      </c>
      <c r="H111" s="1143" cm="1">
        <f t="array" ref="H111">IF($A111="","",INDEX('resident aged receivable'!$I:$I,$A111))</f>
        <v>330.65</v>
      </c>
      <c r="I111" s="1143" cm="1">
        <f t="array" ref="I111">IF($A111="","",INDEX('resident aged receivable'!$J:$J,$A111))</f>
        <v>0</v>
      </c>
      <c r="J111" s="1143" cm="1">
        <f t="array" ref="J111">IF($A111="","",INDEX('resident aged receivable'!$K:$K,$A111))</f>
        <v>75.55</v>
      </c>
      <c r="K111" s="1163" t="str" cm="1">
        <f t="array" ref="K111">IFERROR(IF(B111="","",IF(SUMPRODUCT((LeaseLock!$D$2:$D$500=B111)*ISNUMBER(SEARCH(LEFT(C111,FIND(",",C111&amp;",")-1),LeaseLock!$C$2:$C$500)))=0,"",IF(LOOKUP(2,1/((LeaseLock!$D$2:$D$500=B111)*ISNUMBER(SEARCH(LEFT(C111,FIND(",",C111&amp;",")-1),LeaseLock!$C$2:$C$500))),LeaseLock!$F$2:$F$500)="Claim Denied","Claim Denied ("&amp;LOOKUP(2,1/((LeaseLock!$D$2:$D$500=B111)*ISNUMBER(SEARCH(LEFT(C111,FIND(",",C111&amp;",")-1),LeaseLock!$C$2:$C$500))),LeaseLock!$G$2:$G$500)&amp;")",IF(LOOKUP(2,1/((LeaseLock!$D$2:$D$500=B111)*ISNUMBER(SEARCH(LEFT(C111,FIND(",",C111&amp;",")-1),LeaseLock!$C$2:$C$500))),LeaseLock!$F$2:$F$500)="Open","Open - "&amp;LOOKUP(2,1/((LeaseLock!$D$2:$D$500=B111)*ISNUMBER(SEARCH(LEFT(C111,FIND(",",C111&amp;",")-1),LeaseLock!$C$2:$C$500))),LeaseLock!$G$2:$G$500),IF(LOOKUP(2,1/((LeaseLock!$D$2:$D$500=B111)*ISNUMBER(SEARCH(LEFT(C111,FIND(",",C111&amp;",")-1),LeaseLock!$C$2:$C$500))),LeaseLock!$M$2:$M$500)&gt;0,LOOKUP(2,1/((LeaseLock!$D$2:$D$500=B111)*ISNUMBER(SEARCH(LEFT(C111,FIND(",",C111&amp;",")-1),LeaseLock!$C$2:$C$500))),LeaseLock!$F$2:$F$500)&amp;" - $"&amp;TEXT(LOOKUP(2,1/((LeaseLock!$D$2:$D$500=B111)*ISNUMBER(SEARCH(LEFT(C111,FIND(",",C111&amp;",")-1),LeaseLock!$C$2:$C$500))),LeaseLock!$M$2:$M$500),"#,##0.00")&amp;" paid",LOOKUP(2,1/((LeaseLock!$D$2:$D$500=B111)*ISNUMBER(SEARCH(LEFT(C111,FIND(",",C111&amp;",")-1),LeaseLock!$C$2:$C$500))),LeaseLock!$F$2:$F$500)&amp;" - no payment"))))),"")</f>
        <v/>
      </c>
      <c r="L111" s="1144"/>
      <c r="Q111" s="1115"/>
      <c r="R111" s="1115"/>
      <c r="S111" s="1115"/>
      <c r="T111" s="1115"/>
      <c r="U111" s="1115"/>
      <c r="V111" s="1115"/>
      <c r="W111" s="1115"/>
      <c r="X111" s="1115"/>
      <c r="Y111" s="1115"/>
      <c r="Z111" s="1115"/>
    </row>
    <row r="112" spans="1:26" ht="12" customHeight="1">
      <c r="A112" s="1138" cm="1">
        <f t="array" ref="A112">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155</v>
      </c>
      <c r="B112" s="1139" t="str" cm="1">
        <f t="array" ref="B112">IF($A112="","",INDEX('resident aged receivable'!$B:$B,$A112))</f>
        <v>W15-2-2089</v>
      </c>
      <c r="C112" s="1139" t="str" cm="1">
        <f t="array" ref="C112">IF($A112="","",INDEX('resident aged receivable'!$D:$D,$A112))</f>
        <v>Palomino, Keiry</v>
      </c>
      <c r="D112" s="1140" cm="1">
        <f t="array" ref="D112">IF($A112="","",INDEX('resident aged receivable'!$F:$F,$A112))</f>
        <v>45230</v>
      </c>
      <c r="E112" s="1140" cm="1">
        <f t="array" ref="E112">IF($A112="","",_xlfn.LET(_xlpm.leaseEnd,INDEX('resident aged receivable'!$H:$H,$A112),_xlpm.moLookup,IFERROR(_xlfn.LET(_xlpm.lastFirst,C112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46060</v>
      </c>
      <c r="F112" s="1141" t="str">
        <f t="shared" si="2"/>
        <v>IPS</v>
      </c>
      <c r="G112" s="1142" t="str" cm="1">
        <f t="array" ref="G112">IF($A112="","",IF(COUNTIF($N$3:$N$24,C112)&gt;0,"Former",_xlfn.LET(_xlpm.s,INDEX('resident aged receivable'!$E:$E,$A112),IF(ISNUMBER(SEARCH("Eviction",_xlpm.s)),"Eviction",IF(ISNUMBER(SEARCH("Skip",_xlpm.s)),"Skip",IF(ISNUMBER(SEARCH("Past",_xlpm.s))+ISNUMBER(SEARCH("Collections",_xlpm.s)),"Former",_xlpm.s))))))</f>
        <v>Former</v>
      </c>
      <c r="H112" s="1143" cm="1">
        <f t="array" ref="H112">IF($A112="","",INDEX('resident aged receivable'!$I:$I,$A112))</f>
        <v>329.6</v>
      </c>
      <c r="I112" s="1143" cm="1">
        <f t="array" ref="I112">IF($A112="","",INDEX('resident aged receivable'!$J:$J,$A112))</f>
        <v>0</v>
      </c>
      <c r="J112" s="1143" cm="1">
        <f t="array" ref="J112">IF($A112="","",INDEX('resident aged receivable'!$K:$K,$A112))</f>
        <v>95.05</v>
      </c>
      <c r="K112" s="1163" t="str" cm="1">
        <f t="array" ref="K112">IFERROR(IF(B112="","",IF(SUMPRODUCT((LeaseLock!$D$2:$D$500=B112)*ISNUMBER(SEARCH(LEFT(C112,FIND(",",C112&amp;",")-1),LeaseLock!$C$2:$C$500)))=0,"",IF(LOOKUP(2,1/((LeaseLock!$D$2:$D$500=B112)*ISNUMBER(SEARCH(LEFT(C112,FIND(",",C112&amp;",")-1),LeaseLock!$C$2:$C$500))),LeaseLock!$F$2:$F$500)="Claim Denied","Claim Denied ("&amp;LOOKUP(2,1/((LeaseLock!$D$2:$D$500=B112)*ISNUMBER(SEARCH(LEFT(C112,FIND(",",C112&amp;",")-1),LeaseLock!$C$2:$C$500))),LeaseLock!$G$2:$G$500)&amp;")",IF(LOOKUP(2,1/((LeaseLock!$D$2:$D$500=B112)*ISNUMBER(SEARCH(LEFT(C112,FIND(",",C112&amp;",")-1),LeaseLock!$C$2:$C$500))),LeaseLock!$F$2:$F$500)="Open","Open - "&amp;LOOKUP(2,1/((LeaseLock!$D$2:$D$500=B112)*ISNUMBER(SEARCH(LEFT(C112,FIND(",",C112&amp;",")-1),LeaseLock!$C$2:$C$500))),LeaseLock!$G$2:$G$500),IF(LOOKUP(2,1/((LeaseLock!$D$2:$D$500=B112)*ISNUMBER(SEARCH(LEFT(C112,FIND(",",C112&amp;",")-1),LeaseLock!$C$2:$C$500))),LeaseLock!$M$2:$M$500)&gt;0,LOOKUP(2,1/((LeaseLock!$D$2:$D$500=B112)*ISNUMBER(SEARCH(LEFT(C112,FIND(",",C112&amp;",")-1),LeaseLock!$C$2:$C$500))),LeaseLock!$F$2:$F$500)&amp;" - $"&amp;TEXT(LOOKUP(2,1/((LeaseLock!$D$2:$D$500=B112)*ISNUMBER(SEARCH(LEFT(C112,FIND(",",C112&amp;",")-1),LeaseLock!$C$2:$C$500))),LeaseLock!$M$2:$M$500),"#,##0.00")&amp;" paid",LOOKUP(2,1/((LeaseLock!$D$2:$D$500=B112)*ISNUMBER(SEARCH(LEFT(C112,FIND(",",C112&amp;",")-1),LeaseLock!$C$2:$C$500))),LeaseLock!$F$2:$F$500)&amp;" - no payment"))))),"")</f>
        <v>Closed - $312.50 paid</v>
      </c>
      <c r="L112" s="1148"/>
      <c r="M112" s="1134"/>
      <c r="N112" s="1134"/>
      <c r="Q112" s="1115"/>
      <c r="R112" s="1115"/>
      <c r="S112" s="1115"/>
      <c r="T112" s="1115"/>
      <c r="U112" s="1115"/>
      <c r="V112" s="1115"/>
      <c r="W112" s="1115"/>
      <c r="X112" s="1115"/>
      <c r="Y112" s="1115"/>
      <c r="Z112" s="1115"/>
    </row>
    <row r="113" spans="1:26" ht="12" customHeight="1">
      <c r="A113" s="1138" cm="1">
        <f t="array" ref="A113">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52</v>
      </c>
      <c r="B113" s="1139" t="str" cm="1">
        <f t="array" ref="B113">IF($A113="","",INDEX('resident aged receivable'!$B:$B,$A113))</f>
        <v>N25-1103</v>
      </c>
      <c r="C113" s="1139" t="str" cm="1">
        <f t="array" ref="C113">IF($A113="","",INDEX('resident aged receivable'!$D:$D,$A113))</f>
        <v>Ugiomoh, Jude</v>
      </c>
      <c r="D113" s="1140" cm="1">
        <f t="array" ref="D113">IF($A113="","",INDEX('resident aged receivable'!$F:$F,$A113))</f>
        <v>45292</v>
      </c>
      <c r="E113" s="1140" cm="1">
        <f t="array" ref="E113">IF($A113="","",_xlfn.LET(_xlpm.leaseEnd,INDEX('resident aged receivable'!$H:$H,$A113),_xlpm.moLookup,IFERROR(_xlfn.LET(_xlpm.lastFirst,C113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46081</v>
      </c>
      <c r="F113" s="1141" t="str">
        <f t="shared" ref="F113:F134" si="3">IF(D113="","",IF(D113&lt;DATE(2025,12,15),"IPS","CAF"))</f>
        <v>IPS</v>
      </c>
      <c r="G113" s="1142" t="str" cm="1">
        <f t="array" ref="G113">IF($A113="","",IF(COUNTIF($N$3:$N$24,C113)&gt;0,"Former",_xlfn.LET(_xlpm.s,INDEX('resident aged receivable'!$E:$E,$A113),IF(ISNUMBER(SEARCH("Eviction",_xlpm.s)),"Eviction",IF(ISNUMBER(SEARCH("Skip",_xlpm.s)),"Skip",IF(ISNUMBER(SEARCH("Past",_xlpm.s))+ISNUMBER(SEARCH("Collections",_xlpm.s)),"Former",_xlpm.s))))))</f>
        <v>Former</v>
      </c>
      <c r="H113" s="1143" cm="1">
        <f t="array" ref="H113">IF($A113="","",INDEX('resident aged receivable'!$I:$I,$A113))</f>
        <v>325</v>
      </c>
      <c r="I113" s="1143" cm="1">
        <f t="array" ref="I113">IF($A113="","",INDEX('resident aged receivable'!$J:$J,$A113))</f>
        <v>0</v>
      </c>
      <c r="J113" s="1143" cm="1">
        <f t="array" ref="J113">IF($A113="","",INDEX('resident aged receivable'!$K:$K,$A113))</f>
        <v>325</v>
      </c>
      <c r="K113" s="1163" t="str" cm="1">
        <f t="array" ref="K113">IFERROR(IF(B113="","",IF(SUMPRODUCT((LeaseLock!$D$2:$D$500=B113)*ISNUMBER(SEARCH(LEFT(C113,FIND(",",C113&amp;",")-1),LeaseLock!$C$2:$C$500)))=0,"",IF(LOOKUP(2,1/((LeaseLock!$D$2:$D$500=B113)*ISNUMBER(SEARCH(LEFT(C113,FIND(",",C113&amp;",")-1),LeaseLock!$C$2:$C$500))),LeaseLock!$F$2:$F$500)="Claim Denied","Claim Denied ("&amp;LOOKUP(2,1/((LeaseLock!$D$2:$D$500=B113)*ISNUMBER(SEARCH(LEFT(C113,FIND(",",C113&amp;",")-1),LeaseLock!$C$2:$C$500))),LeaseLock!$G$2:$G$500)&amp;")",IF(LOOKUP(2,1/((LeaseLock!$D$2:$D$500=B113)*ISNUMBER(SEARCH(LEFT(C113,FIND(",",C113&amp;",")-1),LeaseLock!$C$2:$C$500))),LeaseLock!$F$2:$F$500)="Open","Open - "&amp;LOOKUP(2,1/((LeaseLock!$D$2:$D$500=B113)*ISNUMBER(SEARCH(LEFT(C113,FIND(",",C113&amp;",")-1),LeaseLock!$C$2:$C$500))),LeaseLock!$G$2:$G$500),IF(LOOKUP(2,1/((LeaseLock!$D$2:$D$500=B113)*ISNUMBER(SEARCH(LEFT(C113,FIND(",",C113&amp;",")-1),LeaseLock!$C$2:$C$500))),LeaseLock!$M$2:$M$500)&gt;0,LOOKUP(2,1/((LeaseLock!$D$2:$D$500=B113)*ISNUMBER(SEARCH(LEFT(C113,FIND(",",C113&amp;",")-1),LeaseLock!$C$2:$C$500))),LeaseLock!$F$2:$F$500)&amp;" - $"&amp;TEXT(LOOKUP(2,1/((LeaseLock!$D$2:$D$500=B113)*ISNUMBER(SEARCH(LEFT(C113,FIND(",",C113&amp;",")-1),LeaseLock!$C$2:$C$500))),LeaseLock!$M$2:$M$500),"#,##0.00")&amp;" paid",LOOKUP(2,1/((LeaseLock!$D$2:$D$500=B113)*ISNUMBER(SEARCH(LEFT(C113,FIND(",",C113&amp;",")-1),LeaseLock!$C$2:$C$500))),LeaseLock!$F$2:$F$500)&amp;" - no payment"))))),"")</f>
        <v/>
      </c>
      <c r="L113" s="1148"/>
      <c r="M113" s="1134"/>
      <c r="N113" s="1134"/>
      <c r="Q113" s="1115"/>
      <c r="R113" s="1115"/>
      <c r="S113" s="1115"/>
      <c r="T113" s="1115"/>
      <c r="U113" s="1115"/>
      <c r="V113" s="1115"/>
      <c r="W113" s="1115"/>
      <c r="X113" s="1115"/>
      <c r="Y113" s="1115"/>
      <c r="Z113" s="1115"/>
    </row>
    <row r="114" spans="1:26" ht="12" customHeight="1">
      <c r="A114" s="1138" cm="1">
        <f t="array" ref="A114">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109</v>
      </c>
      <c r="B114" s="1139" t="str" cm="1">
        <f t="array" ref="B114">IF($A114="","",INDEX('resident aged receivable'!$B:$B,$A114))</f>
        <v>W06-1-0609</v>
      </c>
      <c r="C114" s="1139" t="str" cm="1">
        <f t="array" ref="C114">IF($A114="","",INDEX('resident aged receivable'!$D:$D,$A114))</f>
        <v>Mavungo, Ramon</v>
      </c>
      <c r="D114" s="1140" cm="1">
        <f t="array" ref="D114">IF($A114="","",INDEX('resident aged receivable'!$F:$F,$A114))</f>
        <v>45654</v>
      </c>
      <c r="E114" s="1140" cm="1">
        <f t="array" ref="E114">IF($A114="","",_xlfn.LET(_xlpm.leaseEnd,INDEX('resident aged receivable'!$H:$H,$A114),_xlpm.moLookup,IFERROR(_xlfn.LET(_xlpm.lastFirst,C114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46083</v>
      </c>
      <c r="F114" s="1141" t="str">
        <f t="shared" si="3"/>
        <v>IPS</v>
      </c>
      <c r="G114" s="1142" t="str" cm="1">
        <f t="array" ref="G114">IF($A114="","",IF(COUNTIF($N$3:$N$24,C114)&gt;0,"Former",_xlfn.LET(_xlpm.s,INDEX('resident aged receivable'!$E:$E,$A114),IF(ISNUMBER(SEARCH("Eviction",_xlpm.s)),"Eviction",IF(ISNUMBER(SEARCH("Skip",_xlpm.s)),"Skip",IF(ISNUMBER(SEARCH("Past",_xlpm.s))+ISNUMBER(SEARCH("Collections",_xlpm.s)),"Former",_xlpm.s))))))</f>
        <v>Skip</v>
      </c>
      <c r="H114" s="1143" cm="1">
        <f t="array" ref="H114">IF($A114="","",INDEX('resident aged receivable'!$I:$I,$A114))</f>
        <v>318.19</v>
      </c>
      <c r="I114" s="1143" cm="1">
        <f t="array" ref="I114">IF($A114="","",INDEX('resident aged receivable'!$J:$J,$A114))</f>
        <v>0</v>
      </c>
      <c r="J114" s="1143" cm="1">
        <f t="array" ref="J114">IF($A114="","",INDEX('resident aged receivable'!$K:$K,$A114))</f>
        <v>318.19</v>
      </c>
      <c r="K114" s="1163" t="str" cm="1">
        <f t="array" ref="K114">IFERROR(IF(B114="","",IF(SUMPRODUCT((LeaseLock!$D$2:$D$500=B114)*ISNUMBER(SEARCH(LEFT(C114,FIND(",",C114&amp;",")-1),LeaseLock!$C$2:$C$500)))=0,"",IF(LOOKUP(2,1/((LeaseLock!$D$2:$D$500=B114)*ISNUMBER(SEARCH(LEFT(C114,FIND(",",C114&amp;",")-1),LeaseLock!$C$2:$C$500))),LeaseLock!$F$2:$F$500)="Claim Denied","Claim Denied ("&amp;LOOKUP(2,1/((LeaseLock!$D$2:$D$500=B114)*ISNUMBER(SEARCH(LEFT(C114,FIND(",",C114&amp;",")-1),LeaseLock!$C$2:$C$500))),LeaseLock!$G$2:$G$500)&amp;")",IF(LOOKUP(2,1/((LeaseLock!$D$2:$D$500=B114)*ISNUMBER(SEARCH(LEFT(C114,FIND(",",C114&amp;",")-1),LeaseLock!$C$2:$C$500))),LeaseLock!$F$2:$F$500)="Open","Open - "&amp;LOOKUP(2,1/((LeaseLock!$D$2:$D$500=B114)*ISNUMBER(SEARCH(LEFT(C114,FIND(",",C114&amp;",")-1),LeaseLock!$C$2:$C$500))),LeaseLock!$G$2:$G$500),IF(LOOKUP(2,1/((LeaseLock!$D$2:$D$500=B114)*ISNUMBER(SEARCH(LEFT(C114,FIND(",",C114&amp;",")-1),LeaseLock!$C$2:$C$500))),LeaseLock!$M$2:$M$500)&gt;0,LOOKUP(2,1/((LeaseLock!$D$2:$D$500=B114)*ISNUMBER(SEARCH(LEFT(C114,FIND(",",C114&amp;",")-1),LeaseLock!$C$2:$C$500))),LeaseLock!$F$2:$F$500)&amp;" - $"&amp;TEXT(LOOKUP(2,1/((LeaseLock!$D$2:$D$500=B114)*ISNUMBER(SEARCH(LEFT(C114,FIND(",",C114&amp;",")-1),LeaseLock!$C$2:$C$500))),LeaseLock!$M$2:$M$500),"#,##0.00")&amp;" paid",LOOKUP(2,1/((LeaseLock!$D$2:$D$500=B114)*ISNUMBER(SEARCH(LEFT(C114,FIND(",",C114&amp;",")-1),LeaseLock!$C$2:$C$500))),LeaseLock!$F$2:$F$500)&amp;" - no payment"))))),"")</f>
        <v/>
      </c>
      <c r="L114" s="1148"/>
      <c r="M114" s="1134"/>
      <c r="N114" s="1134"/>
      <c r="Q114" s="1115"/>
      <c r="R114" s="1115"/>
      <c r="S114" s="1115"/>
      <c r="T114" s="1115"/>
      <c r="U114" s="1115"/>
      <c r="V114" s="1115"/>
      <c r="W114" s="1115"/>
      <c r="X114" s="1115"/>
      <c r="Y114" s="1115"/>
      <c r="Z114" s="1115"/>
    </row>
    <row r="115" spans="1:26" ht="12" customHeight="1">
      <c r="A115" s="1138" cm="1">
        <f t="array" ref="A115">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71</v>
      </c>
      <c r="B115" s="1139" t="str" cm="1">
        <f t="array" ref="B115">IF($A115="","",INDEX('resident aged receivable'!$B:$B,$A115))</f>
        <v>S31-119</v>
      </c>
      <c r="C115" s="1139" t="str" cm="1">
        <f t="array" ref="C115">IF($A115="","",INDEX('resident aged receivable'!$D:$D,$A115))</f>
        <v>Nunez, Raul</v>
      </c>
      <c r="D115" s="1140" cm="1">
        <f t="array" ref="D115">IF($A115="","",INDEX('resident aged receivable'!$F:$F,$A115))</f>
        <v>45384</v>
      </c>
      <c r="E115" s="1140" cm="1">
        <f t="array" ref="E115">IF($A115="","",_xlfn.LET(_xlpm.leaseEnd,INDEX('resident aged receivable'!$H:$H,$A115),_xlpm.moLookup,IFERROR(_xlfn.LET(_xlpm.lastFirst,C115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46113</v>
      </c>
      <c r="F115" s="1141" t="str">
        <f t="shared" si="3"/>
        <v>IPS</v>
      </c>
      <c r="G115" s="1142" t="str" cm="1">
        <f t="array" ref="G115">IF($A115="","",IF(COUNTIF($N$3:$N$24,C115)&gt;0,"Former",_xlfn.LET(_xlpm.s,INDEX('resident aged receivable'!$E:$E,$A115),IF(ISNUMBER(SEARCH("Eviction",_xlpm.s)),"Eviction",IF(ISNUMBER(SEARCH("Skip",_xlpm.s)),"Skip",IF(ISNUMBER(SEARCH("Past",_xlpm.s))+ISNUMBER(SEARCH("Collections",_xlpm.s)),"Former",_xlpm.s))))))</f>
        <v>Former</v>
      </c>
      <c r="H115" s="1143" cm="1">
        <f t="array" ref="H115">IF($A115="","",INDEX('resident aged receivable'!$I:$I,$A115))</f>
        <v>308.06</v>
      </c>
      <c r="I115" s="1143" cm="1">
        <f t="array" ref="I115">IF($A115="","",INDEX('resident aged receivable'!$J:$J,$A115))</f>
        <v>0</v>
      </c>
      <c r="J115" s="1143" cm="1">
        <f t="array" ref="J115">IF($A115="","",INDEX('resident aged receivable'!$K:$K,$A115))</f>
        <v>308.06</v>
      </c>
      <c r="K115" s="1163" t="str" cm="1">
        <f t="array" ref="K115">IFERROR(IF(B115="","",IF(SUMPRODUCT((LeaseLock!$D$2:$D$500=B115)*ISNUMBER(SEARCH(LEFT(C115,FIND(",",C115&amp;",")-1),LeaseLock!$C$2:$C$500)))=0,"",IF(LOOKUP(2,1/((LeaseLock!$D$2:$D$500=B115)*ISNUMBER(SEARCH(LEFT(C115,FIND(",",C115&amp;",")-1),LeaseLock!$C$2:$C$500))),LeaseLock!$F$2:$F$500)="Claim Denied","Claim Denied ("&amp;LOOKUP(2,1/((LeaseLock!$D$2:$D$500=B115)*ISNUMBER(SEARCH(LEFT(C115,FIND(",",C115&amp;",")-1),LeaseLock!$C$2:$C$500))),LeaseLock!$G$2:$G$500)&amp;")",IF(LOOKUP(2,1/((LeaseLock!$D$2:$D$500=B115)*ISNUMBER(SEARCH(LEFT(C115,FIND(",",C115&amp;",")-1),LeaseLock!$C$2:$C$500))),LeaseLock!$F$2:$F$500)="Open","Open - "&amp;LOOKUP(2,1/((LeaseLock!$D$2:$D$500=B115)*ISNUMBER(SEARCH(LEFT(C115,FIND(",",C115&amp;",")-1),LeaseLock!$C$2:$C$500))),LeaseLock!$G$2:$G$500),IF(LOOKUP(2,1/((LeaseLock!$D$2:$D$500=B115)*ISNUMBER(SEARCH(LEFT(C115,FIND(",",C115&amp;",")-1),LeaseLock!$C$2:$C$500))),LeaseLock!$M$2:$M$500)&gt;0,LOOKUP(2,1/((LeaseLock!$D$2:$D$500=B115)*ISNUMBER(SEARCH(LEFT(C115,FIND(",",C115&amp;",")-1),LeaseLock!$C$2:$C$500))),LeaseLock!$F$2:$F$500)&amp;" - $"&amp;TEXT(LOOKUP(2,1/((LeaseLock!$D$2:$D$500=B115)*ISNUMBER(SEARCH(LEFT(C115,FIND(",",C115&amp;",")-1),LeaseLock!$C$2:$C$500))),LeaseLock!$M$2:$M$500),"#,##0.00")&amp;" paid",LOOKUP(2,1/((LeaseLock!$D$2:$D$500=B115)*ISNUMBER(SEARCH(LEFT(C115,FIND(",",C115&amp;",")-1),LeaseLock!$C$2:$C$500))),LeaseLock!$F$2:$F$500)&amp;" - no payment"))))),"")</f>
        <v>Closed - $712.28 paid</v>
      </c>
      <c r="L115" s="1148"/>
      <c r="M115" s="1134"/>
      <c r="N115" s="1134"/>
      <c r="Q115" s="1115"/>
      <c r="R115" s="1115"/>
      <c r="S115" s="1115"/>
      <c r="T115" s="1115"/>
      <c r="U115" s="1115"/>
      <c r="V115" s="1115"/>
      <c r="W115" s="1115"/>
      <c r="X115" s="1115"/>
      <c r="Y115" s="1115"/>
      <c r="Z115" s="1115"/>
    </row>
    <row r="116" spans="1:26" ht="12" customHeight="1">
      <c r="A116" s="1138" cm="1">
        <f t="array" ref="A116">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160</v>
      </c>
      <c r="B116" s="1139" t="str" cm="1">
        <f t="array" ref="B116">IF($A116="","",INDEX('resident aged receivable'!$B:$B,$A116))</f>
        <v>W16-2-1083</v>
      </c>
      <c r="C116" s="1139" t="str" cm="1">
        <f t="array" ref="C116">IF($A116="","",INDEX('resident aged receivable'!$D:$D,$A116))</f>
        <v>Newman, Alexandria</v>
      </c>
      <c r="D116" s="1140" cm="1">
        <f t="array" ref="D116">IF($A116="","",INDEX('resident aged receivable'!$F:$F,$A116))</f>
        <v>45343</v>
      </c>
      <c r="E116" s="1140" cm="1">
        <f t="array" ref="E116">IF($A116="","",_xlfn.LET(_xlpm.leaseEnd,INDEX('resident aged receivable'!$H:$H,$A116),_xlpm.moLookup,IFERROR(_xlfn.LET(_xlpm.lastFirst,C116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46112</v>
      </c>
      <c r="F116" s="1141" t="str">
        <f t="shared" si="3"/>
        <v>IPS</v>
      </c>
      <c r="G116" s="1142" t="str" cm="1">
        <f t="array" ref="G116">IF($A116="","",IF(COUNTIF($N$3:$N$24,C116)&gt;0,"Former",_xlfn.LET(_xlpm.s,INDEX('resident aged receivable'!$E:$E,$A116),IF(ISNUMBER(SEARCH("Eviction",_xlpm.s)),"Eviction",IF(ISNUMBER(SEARCH("Skip",_xlpm.s)),"Skip",IF(ISNUMBER(SEARCH("Past",_xlpm.s))+ISNUMBER(SEARCH("Collections",_xlpm.s)),"Former",_xlpm.s))))))</f>
        <v>Former</v>
      </c>
      <c r="H116" s="1143" cm="1">
        <f t="array" ref="H116">IF($A116="","",INDEX('resident aged receivable'!$I:$I,$A116))</f>
        <v>290</v>
      </c>
      <c r="I116" s="1143" cm="1">
        <f t="array" ref="I116">IF($A116="","",INDEX('resident aged receivable'!$J:$J,$A116))</f>
        <v>290</v>
      </c>
      <c r="J116" s="1143" cm="1">
        <f t="array" ref="J116">IF($A116="","",INDEX('resident aged receivable'!$K:$K,$A116))</f>
        <v>0</v>
      </c>
      <c r="K116" s="1163" t="str" cm="1">
        <f t="array" ref="K116">IFERROR(IF(B116="","",IF(SUMPRODUCT((LeaseLock!$D$2:$D$500=B116)*ISNUMBER(SEARCH(LEFT(C116,FIND(",",C116&amp;",")-1),LeaseLock!$C$2:$C$500)))=0,"",IF(LOOKUP(2,1/((LeaseLock!$D$2:$D$500=B116)*ISNUMBER(SEARCH(LEFT(C116,FIND(",",C116&amp;",")-1),LeaseLock!$C$2:$C$500))),LeaseLock!$F$2:$F$500)="Claim Denied","Claim Denied ("&amp;LOOKUP(2,1/((LeaseLock!$D$2:$D$500=B116)*ISNUMBER(SEARCH(LEFT(C116,FIND(",",C116&amp;",")-1),LeaseLock!$C$2:$C$500))),LeaseLock!$G$2:$G$500)&amp;")",IF(LOOKUP(2,1/((LeaseLock!$D$2:$D$500=B116)*ISNUMBER(SEARCH(LEFT(C116,FIND(",",C116&amp;",")-1),LeaseLock!$C$2:$C$500))),LeaseLock!$F$2:$F$500)="Open","Open - "&amp;LOOKUP(2,1/((LeaseLock!$D$2:$D$500=B116)*ISNUMBER(SEARCH(LEFT(C116,FIND(",",C116&amp;",")-1),LeaseLock!$C$2:$C$500))),LeaseLock!$G$2:$G$500),IF(LOOKUP(2,1/((LeaseLock!$D$2:$D$500=B116)*ISNUMBER(SEARCH(LEFT(C116,FIND(",",C116&amp;",")-1),LeaseLock!$C$2:$C$500))),LeaseLock!$M$2:$M$500)&gt;0,LOOKUP(2,1/((LeaseLock!$D$2:$D$500=B116)*ISNUMBER(SEARCH(LEFT(C116,FIND(",",C116&amp;",")-1),LeaseLock!$C$2:$C$500))),LeaseLock!$F$2:$F$500)&amp;" - $"&amp;TEXT(LOOKUP(2,1/((LeaseLock!$D$2:$D$500=B116)*ISNUMBER(SEARCH(LEFT(C116,FIND(",",C116&amp;",")-1),LeaseLock!$C$2:$C$500))),LeaseLock!$M$2:$M$500),"#,##0.00")&amp;" paid",LOOKUP(2,1/((LeaseLock!$D$2:$D$500=B116)*ISNUMBER(SEARCH(LEFT(C116,FIND(",",C116&amp;",")-1),LeaseLock!$C$2:$C$500))),LeaseLock!$F$2:$F$500)&amp;" - no payment"))))),"")</f>
        <v/>
      </c>
      <c r="L116" s="1148"/>
      <c r="M116" s="1134"/>
      <c r="N116" s="1134"/>
      <c r="Q116" s="1115"/>
      <c r="R116" s="1115"/>
      <c r="S116" s="1115"/>
      <c r="T116" s="1115"/>
      <c r="U116" s="1115"/>
      <c r="V116" s="1115"/>
      <c r="W116" s="1115"/>
      <c r="X116" s="1115"/>
      <c r="Y116" s="1115"/>
      <c r="Z116" s="1115"/>
    </row>
    <row r="117" spans="1:26" ht="12" customHeight="1">
      <c r="A117" s="1138" cm="1">
        <f t="array" ref="A117">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85</v>
      </c>
      <c r="B117" s="1139" t="str" cm="1">
        <f t="array" ref="B117">IF($A117="","",INDEX('resident aged receivable'!$B:$B,$A117))</f>
        <v>W01-1-0111</v>
      </c>
      <c r="C117" s="1139" t="str" cm="1">
        <f t="array" ref="C117">IF($A117="","",INDEX('resident aged receivable'!$D:$D,$A117))</f>
        <v>Mendieta, Isaac</v>
      </c>
      <c r="D117" s="1140" cm="1">
        <f t="array" ref="D117">IF($A117="","",INDEX('resident aged receivable'!$F:$F,$A117))</f>
        <v>45670</v>
      </c>
      <c r="E117" s="1140" cm="1">
        <f t="array" ref="E117">IF($A117="","",_xlfn.LET(_xlpm.leaseEnd,INDEX('resident aged receivable'!$H:$H,$A117),_xlpm.moLookup,IFERROR(_xlfn.LET(_xlpm.lastFirst,C117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46034</v>
      </c>
      <c r="F117" s="1141" t="str">
        <f t="shared" si="3"/>
        <v>IPS</v>
      </c>
      <c r="G117" s="1142" t="str" cm="1">
        <f t="array" ref="G117">IF($A117="","",IF(COUNTIF($N$3:$N$24,C117)&gt;0,"Former",_xlfn.LET(_xlpm.s,INDEX('resident aged receivable'!$E:$E,$A117),IF(ISNUMBER(SEARCH("Eviction",_xlpm.s)),"Eviction",IF(ISNUMBER(SEARCH("Skip",_xlpm.s)),"Skip",IF(ISNUMBER(SEARCH("Past",_xlpm.s))+ISNUMBER(SEARCH("Collections",_xlpm.s)),"Former",_xlpm.s))))))</f>
        <v>Former</v>
      </c>
      <c r="H117" s="1143" cm="1">
        <f t="array" ref="H117">IF($A117="","",INDEX('resident aged receivable'!$I:$I,$A117))</f>
        <v>267.57</v>
      </c>
      <c r="I117" s="1143" cm="1">
        <f t="array" ref="I117">IF($A117="","",INDEX('resident aged receivable'!$J:$J,$A117))</f>
        <v>0</v>
      </c>
      <c r="J117" s="1143" cm="1">
        <f t="array" ref="J117">IF($A117="","",INDEX('resident aged receivable'!$K:$K,$A117))</f>
        <v>71.19</v>
      </c>
      <c r="K117" s="1163" t="str" cm="1">
        <f t="array" ref="K117">IFERROR(IF(B117="","",IF(SUMPRODUCT((LeaseLock!$D$2:$D$500=B117)*ISNUMBER(SEARCH(LEFT(C117,FIND(",",C117&amp;",")-1),LeaseLock!$C$2:$C$500)))=0,"",IF(LOOKUP(2,1/((LeaseLock!$D$2:$D$500=B117)*ISNUMBER(SEARCH(LEFT(C117,FIND(",",C117&amp;",")-1),LeaseLock!$C$2:$C$500))),LeaseLock!$F$2:$F$500)="Claim Denied","Claim Denied ("&amp;LOOKUP(2,1/((LeaseLock!$D$2:$D$500=B117)*ISNUMBER(SEARCH(LEFT(C117,FIND(",",C117&amp;",")-1),LeaseLock!$C$2:$C$500))),LeaseLock!$G$2:$G$500)&amp;")",IF(LOOKUP(2,1/((LeaseLock!$D$2:$D$500=B117)*ISNUMBER(SEARCH(LEFT(C117,FIND(",",C117&amp;",")-1),LeaseLock!$C$2:$C$500))),LeaseLock!$F$2:$F$500)="Open","Open - "&amp;LOOKUP(2,1/((LeaseLock!$D$2:$D$500=B117)*ISNUMBER(SEARCH(LEFT(C117,FIND(",",C117&amp;",")-1),LeaseLock!$C$2:$C$500))),LeaseLock!$G$2:$G$500),IF(LOOKUP(2,1/((LeaseLock!$D$2:$D$500=B117)*ISNUMBER(SEARCH(LEFT(C117,FIND(",",C117&amp;",")-1),LeaseLock!$C$2:$C$500))),LeaseLock!$M$2:$M$500)&gt;0,LOOKUP(2,1/((LeaseLock!$D$2:$D$500=B117)*ISNUMBER(SEARCH(LEFT(C117,FIND(",",C117&amp;",")-1),LeaseLock!$C$2:$C$500))),LeaseLock!$F$2:$F$500)&amp;" - $"&amp;TEXT(LOOKUP(2,1/((LeaseLock!$D$2:$D$500=B117)*ISNUMBER(SEARCH(LEFT(C117,FIND(",",C117&amp;",")-1),LeaseLock!$C$2:$C$500))),LeaseLock!$M$2:$M$500),"#,##0.00")&amp;" paid",LOOKUP(2,1/((LeaseLock!$D$2:$D$500=B117)*ISNUMBER(SEARCH(LEFT(C117,FIND(",",C117&amp;",")-1),LeaseLock!$C$2:$C$500))),LeaseLock!$F$2:$F$500)&amp;" - no payment"))))),"")</f>
        <v/>
      </c>
      <c r="L117" s="1148" t="s">
        <v>6831</v>
      </c>
      <c r="M117" s="1134"/>
      <c r="N117" s="1134"/>
      <c r="Q117" s="1115"/>
      <c r="R117" s="1115"/>
      <c r="S117" s="1115"/>
      <c r="T117" s="1115"/>
      <c r="U117" s="1115"/>
      <c r="V117" s="1115"/>
      <c r="W117" s="1115"/>
      <c r="X117" s="1115"/>
      <c r="Y117" s="1115"/>
      <c r="Z117" s="1115"/>
    </row>
    <row r="118" spans="1:26" ht="12" customHeight="1">
      <c r="A118" s="1138" cm="1">
        <f t="array" ref="A118">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41</v>
      </c>
      <c r="B118" s="1139" t="str" cm="1">
        <f t="array" ref="B118">IF($A118="","",INDEX('resident aged receivable'!$B:$B,$A118))</f>
        <v>N19-1080</v>
      </c>
      <c r="C118" s="1139" t="str" cm="1">
        <f t="array" ref="C118">IF($A118="","",INDEX('resident aged receivable'!$D:$D,$A118))</f>
        <v>Dominguez, Amanda</v>
      </c>
      <c r="D118" s="1140" cm="1">
        <f t="array" ref="D118">IF($A118="","",INDEX('resident aged receivable'!$F:$F,$A118))</f>
        <v>44988</v>
      </c>
      <c r="E118" s="1140" cm="1">
        <f t="array" ref="E118">IF($A118="","",_xlfn.LET(_xlpm.leaseEnd,INDEX('resident aged receivable'!$H:$H,$A118),_xlpm.moLookup,IFERROR(_xlfn.LET(_xlpm.lastFirst,C118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46081</v>
      </c>
      <c r="F118" s="1141" t="str">
        <f t="shared" si="3"/>
        <v>IPS</v>
      </c>
      <c r="G118" s="1142" t="str" cm="1">
        <f t="array" ref="G118">IF($A118="","",IF(COUNTIF($N$3:$N$24,C118)&gt;0,"Former",_xlfn.LET(_xlpm.s,INDEX('resident aged receivable'!$E:$E,$A118),IF(ISNUMBER(SEARCH("Eviction",_xlpm.s)),"Eviction",IF(ISNUMBER(SEARCH("Skip",_xlpm.s)),"Skip",IF(ISNUMBER(SEARCH("Past",_xlpm.s))+ISNUMBER(SEARCH("Collections",_xlpm.s)),"Former",_xlpm.s))))))</f>
        <v>Former</v>
      </c>
      <c r="H118" s="1143" cm="1">
        <f t="array" ref="H118">IF($A118="","",INDEX('resident aged receivable'!$I:$I,$A118))</f>
        <v>193.16</v>
      </c>
      <c r="I118" s="1143" cm="1">
        <f t="array" ref="I118">IF($A118="","",INDEX('resident aged receivable'!$J:$J,$A118))</f>
        <v>0</v>
      </c>
      <c r="J118" s="1143" cm="1">
        <f t="array" ref="J118">IF($A118="","",INDEX('resident aged receivable'!$K:$K,$A118))</f>
        <v>62.6</v>
      </c>
      <c r="K118" s="1163" t="str" cm="1">
        <f t="array" ref="K118">IFERROR(IF(B118="","",IF(SUMPRODUCT((LeaseLock!$D$2:$D$500=B118)*ISNUMBER(SEARCH(LEFT(C118,FIND(",",C118&amp;",")-1),LeaseLock!$C$2:$C$500)))=0,"",IF(LOOKUP(2,1/((LeaseLock!$D$2:$D$500=B118)*ISNUMBER(SEARCH(LEFT(C118,FIND(",",C118&amp;",")-1),LeaseLock!$C$2:$C$500))),LeaseLock!$F$2:$F$500)="Claim Denied","Claim Denied ("&amp;LOOKUP(2,1/((LeaseLock!$D$2:$D$500=B118)*ISNUMBER(SEARCH(LEFT(C118,FIND(",",C118&amp;",")-1),LeaseLock!$C$2:$C$500))),LeaseLock!$G$2:$G$500)&amp;")",IF(LOOKUP(2,1/((LeaseLock!$D$2:$D$500=B118)*ISNUMBER(SEARCH(LEFT(C118,FIND(",",C118&amp;",")-1),LeaseLock!$C$2:$C$500))),LeaseLock!$F$2:$F$500)="Open","Open - "&amp;LOOKUP(2,1/((LeaseLock!$D$2:$D$500=B118)*ISNUMBER(SEARCH(LEFT(C118,FIND(",",C118&amp;",")-1),LeaseLock!$C$2:$C$500))),LeaseLock!$G$2:$G$500),IF(LOOKUP(2,1/((LeaseLock!$D$2:$D$500=B118)*ISNUMBER(SEARCH(LEFT(C118,FIND(",",C118&amp;",")-1),LeaseLock!$C$2:$C$500))),LeaseLock!$M$2:$M$500)&gt;0,LOOKUP(2,1/((LeaseLock!$D$2:$D$500=B118)*ISNUMBER(SEARCH(LEFT(C118,FIND(",",C118&amp;",")-1),LeaseLock!$C$2:$C$500))),LeaseLock!$F$2:$F$500)&amp;" - $"&amp;TEXT(LOOKUP(2,1/((LeaseLock!$D$2:$D$500=B118)*ISNUMBER(SEARCH(LEFT(C118,FIND(",",C118&amp;",")-1),LeaseLock!$C$2:$C$500))),LeaseLock!$M$2:$M$500),"#,##0.00")&amp;" paid",LOOKUP(2,1/((LeaseLock!$D$2:$D$500=B118)*ISNUMBER(SEARCH(LEFT(C118,FIND(",",C118&amp;",")-1),LeaseLock!$C$2:$C$500))),LeaseLock!$F$2:$F$500)&amp;" - no payment"))))),"")</f>
        <v>Closed - $89.64 paid</v>
      </c>
      <c r="L118" s="1148" t="s">
        <v>6832</v>
      </c>
      <c r="M118" s="1134"/>
      <c r="N118" s="1134"/>
      <c r="Q118" s="1115"/>
      <c r="R118" s="1115"/>
      <c r="S118" s="1115"/>
      <c r="T118" s="1115"/>
      <c r="U118" s="1115"/>
      <c r="V118" s="1115"/>
      <c r="W118" s="1115"/>
      <c r="X118" s="1115"/>
      <c r="Y118" s="1115"/>
      <c r="Z118" s="1115"/>
    </row>
    <row r="119" spans="1:26" ht="12" customHeight="1">
      <c r="A119" s="1138" cm="1">
        <f t="array" ref="A119">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166</v>
      </c>
      <c r="B119" s="1139" t="str" cm="1">
        <f t="array" ref="B119">IF($A119="","",INDEX('resident aged receivable'!$B:$B,$A119))</f>
        <v>W17-2-2079</v>
      </c>
      <c r="C119" s="1139" t="str" cm="1">
        <f t="array" ref="C119">IF($A119="","",INDEX('resident aged receivable'!$D:$D,$A119))</f>
        <v>Hernandez, Amanda</v>
      </c>
      <c r="D119" s="1140" cm="1">
        <f t="array" ref="D119">IF($A119="","",INDEX('resident aged receivable'!$F:$F,$A119))</f>
        <v>44562</v>
      </c>
      <c r="E119" s="1140" cm="1">
        <f t="array" ref="E119">IF($A119="","",_xlfn.LET(_xlpm.leaseEnd,INDEX('resident aged receivable'!$H:$H,$A119),_xlpm.moLookup,IFERROR(_xlfn.LET(_xlpm.lastFirst,C119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46027</v>
      </c>
      <c r="F119" s="1141" t="str">
        <f t="shared" si="3"/>
        <v>IPS</v>
      </c>
      <c r="G119" s="1142" t="str" cm="1">
        <f t="array" ref="G119">IF($A119="","",IF(COUNTIF($N$3:$N$24,C119)&gt;0,"Former",_xlfn.LET(_xlpm.s,INDEX('resident aged receivable'!$E:$E,$A119),IF(ISNUMBER(SEARCH("Eviction",_xlpm.s)),"Eviction",IF(ISNUMBER(SEARCH("Skip",_xlpm.s)),"Skip",IF(ISNUMBER(SEARCH("Past",_xlpm.s))+ISNUMBER(SEARCH("Collections",_xlpm.s)),"Former",_xlpm.s))))))</f>
        <v>Former</v>
      </c>
      <c r="H119" s="1143" cm="1">
        <f t="array" ref="H119">IF($A119="","",INDEX('resident aged receivable'!$I:$I,$A119))</f>
        <v>152.38</v>
      </c>
      <c r="I119" s="1143" cm="1">
        <f t="array" ref="I119">IF($A119="","",INDEX('resident aged receivable'!$J:$J,$A119))</f>
        <v>0</v>
      </c>
      <c r="J119" s="1143" cm="1">
        <f t="array" ref="J119">IF($A119="","",INDEX('resident aged receivable'!$K:$K,$A119))</f>
        <v>76.19</v>
      </c>
      <c r="K119" s="1163" t="str" cm="1">
        <f t="array" ref="K119">IFERROR(IF(B119="","",IF(SUMPRODUCT((LeaseLock!$D$2:$D$500=B119)*ISNUMBER(SEARCH(LEFT(C119,FIND(",",C119&amp;",")-1),LeaseLock!$C$2:$C$500)))=0,"",IF(LOOKUP(2,1/((LeaseLock!$D$2:$D$500=B119)*ISNUMBER(SEARCH(LEFT(C119,FIND(",",C119&amp;",")-1),LeaseLock!$C$2:$C$500))),LeaseLock!$F$2:$F$500)="Claim Denied","Claim Denied ("&amp;LOOKUP(2,1/((LeaseLock!$D$2:$D$500=B119)*ISNUMBER(SEARCH(LEFT(C119,FIND(",",C119&amp;",")-1),LeaseLock!$C$2:$C$500))),LeaseLock!$G$2:$G$500)&amp;")",IF(LOOKUP(2,1/((LeaseLock!$D$2:$D$500=B119)*ISNUMBER(SEARCH(LEFT(C119,FIND(",",C119&amp;",")-1),LeaseLock!$C$2:$C$500))),LeaseLock!$F$2:$F$500)="Open","Open - "&amp;LOOKUP(2,1/((LeaseLock!$D$2:$D$500=B119)*ISNUMBER(SEARCH(LEFT(C119,FIND(",",C119&amp;",")-1),LeaseLock!$C$2:$C$500))),LeaseLock!$G$2:$G$500),IF(LOOKUP(2,1/((LeaseLock!$D$2:$D$500=B119)*ISNUMBER(SEARCH(LEFT(C119,FIND(",",C119&amp;",")-1),LeaseLock!$C$2:$C$500))),LeaseLock!$M$2:$M$500)&gt;0,LOOKUP(2,1/((LeaseLock!$D$2:$D$500=B119)*ISNUMBER(SEARCH(LEFT(C119,FIND(",",C119&amp;",")-1),LeaseLock!$C$2:$C$500))),LeaseLock!$F$2:$F$500)&amp;" - $"&amp;TEXT(LOOKUP(2,1/((LeaseLock!$D$2:$D$500=B119)*ISNUMBER(SEARCH(LEFT(C119,FIND(",",C119&amp;",")-1),LeaseLock!$C$2:$C$500))),LeaseLock!$M$2:$M$500),"#,##0.00")&amp;" paid",LOOKUP(2,1/((LeaseLock!$D$2:$D$500=B119)*ISNUMBER(SEARCH(LEFT(C119,FIND(",",C119&amp;",")-1),LeaseLock!$C$2:$C$500))),LeaseLock!$F$2:$F$500)&amp;" - no payment"))))),"")</f>
        <v/>
      </c>
      <c r="L119" s="1148"/>
      <c r="M119" s="1134"/>
      <c r="N119" s="1134"/>
      <c r="Q119" s="1115"/>
      <c r="R119" s="1115"/>
      <c r="S119" s="1115"/>
      <c r="T119" s="1115"/>
      <c r="U119" s="1115"/>
      <c r="V119" s="1115"/>
      <c r="W119" s="1115"/>
      <c r="X119" s="1115"/>
      <c r="Y119" s="1115"/>
      <c r="Z119" s="1115"/>
    </row>
    <row r="120" spans="1:26" ht="12" customHeight="1">
      <c r="A120" s="1138" cm="1">
        <f t="array" ref="A120">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43</v>
      </c>
      <c r="B120" s="1139" t="str" cm="1">
        <f t="array" ref="B120">IF($A120="","",INDEX('resident aged receivable'!$B:$B,$A120))</f>
        <v>N19-2078</v>
      </c>
      <c r="C120" s="1139" t="str" cm="1">
        <f t="array" ref="C120">IF($A120="","",INDEX('resident aged receivable'!$D:$D,$A120))</f>
        <v>Rocha, Osvaldo</v>
      </c>
      <c r="D120" s="1140" cm="1">
        <f t="array" ref="D120">IF($A120="","",INDEX('resident aged receivable'!$F:$F,$A120))</f>
        <v>45252</v>
      </c>
      <c r="E120" s="1140" cm="1">
        <f t="array" ref="E120">IF($A120="","",_xlfn.LET(_xlpm.leaseEnd,INDEX('resident aged receivable'!$H:$H,$A120),_xlpm.moLookup,IFERROR(_xlfn.LET(_xlpm.lastFirst,C120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46037</v>
      </c>
      <c r="F120" s="1141" t="str">
        <f t="shared" si="3"/>
        <v>IPS</v>
      </c>
      <c r="G120" s="1142" t="str" cm="1">
        <f t="array" ref="G120">IF($A120="","",IF(COUNTIF($N$3:$N$24,C120)&gt;0,"Former",_xlfn.LET(_xlpm.s,INDEX('resident aged receivable'!$E:$E,$A120),IF(ISNUMBER(SEARCH("Eviction",_xlpm.s)),"Eviction",IF(ISNUMBER(SEARCH("Skip",_xlpm.s)),"Skip",IF(ISNUMBER(SEARCH("Past",_xlpm.s))+ISNUMBER(SEARCH("Collections",_xlpm.s)),"Former",_xlpm.s))))))</f>
        <v>Former</v>
      </c>
      <c r="H120" s="1143" cm="1">
        <f t="array" ref="H120">IF($A120="","",INDEX('resident aged receivable'!$I:$I,$A120))</f>
        <v>125.2</v>
      </c>
      <c r="I120" s="1143" cm="1">
        <f t="array" ref="I120">IF($A120="","",INDEX('resident aged receivable'!$J:$J,$A120))</f>
        <v>0</v>
      </c>
      <c r="J120" s="1143" cm="1">
        <f t="array" ref="J120">IF($A120="","",INDEX('resident aged receivable'!$K:$K,$A120))</f>
        <v>62.6</v>
      </c>
      <c r="K120" s="1163" t="str" cm="1">
        <f t="array" ref="K120">IFERROR(IF(B120="","",IF(SUMPRODUCT((LeaseLock!$D$2:$D$500=B120)*ISNUMBER(SEARCH(LEFT(C120,FIND(",",C120&amp;",")-1),LeaseLock!$C$2:$C$500)))=0,"",IF(LOOKUP(2,1/((LeaseLock!$D$2:$D$500=B120)*ISNUMBER(SEARCH(LEFT(C120,FIND(",",C120&amp;",")-1),LeaseLock!$C$2:$C$500))),LeaseLock!$F$2:$F$500)="Claim Denied","Claim Denied ("&amp;LOOKUP(2,1/((LeaseLock!$D$2:$D$500=B120)*ISNUMBER(SEARCH(LEFT(C120,FIND(",",C120&amp;",")-1),LeaseLock!$C$2:$C$500))),LeaseLock!$G$2:$G$500)&amp;")",IF(LOOKUP(2,1/((LeaseLock!$D$2:$D$500=B120)*ISNUMBER(SEARCH(LEFT(C120,FIND(",",C120&amp;",")-1),LeaseLock!$C$2:$C$500))),LeaseLock!$F$2:$F$500)="Open","Open - "&amp;LOOKUP(2,1/((LeaseLock!$D$2:$D$500=B120)*ISNUMBER(SEARCH(LEFT(C120,FIND(",",C120&amp;",")-1),LeaseLock!$C$2:$C$500))),LeaseLock!$G$2:$G$500),IF(LOOKUP(2,1/((LeaseLock!$D$2:$D$500=B120)*ISNUMBER(SEARCH(LEFT(C120,FIND(",",C120&amp;",")-1),LeaseLock!$C$2:$C$500))),LeaseLock!$M$2:$M$500)&gt;0,LOOKUP(2,1/((LeaseLock!$D$2:$D$500=B120)*ISNUMBER(SEARCH(LEFT(C120,FIND(",",C120&amp;",")-1),LeaseLock!$C$2:$C$500))),LeaseLock!$F$2:$F$500)&amp;" - $"&amp;TEXT(LOOKUP(2,1/((LeaseLock!$D$2:$D$500=B120)*ISNUMBER(SEARCH(LEFT(C120,FIND(",",C120&amp;",")-1),LeaseLock!$C$2:$C$500))),LeaseLock!$M$2:$M$500),"#,##0.00")&amp;" paid",LOOKUP(2,1/((LeaseLock!$D$2:$D$500=B120)*ISNUMBER(SEARCH(LEFT(C120,FIND(",",C120&amp;",")-1),LeaseLock!$C$2:$C$500))),LeaseLock!$F$2:$F$500)&amp;" - no payment"))))),"")</f>
        <v/>
      </c>
      <c r="L120" s="1148" t="s">
        <v>6833</v>
      </c>
      <c r="M120" s="1134"/>
      <c r="N120" s="1134"/>
      <c r="Q120" s="1115"/>
      <c r="R120" s="1115"/>
      <c r="S120" s="1115"/>
      <c r="T120" s="1115"/>
      <c r="U120" s="1115"/>
      <c r="V120" s="1115"/>
      <c r="W120" s="1115"/>
      <c r="X120" s="1115"/>
      <c r="Y120" s="1115"/>
      <c r="Z120" s="1115"/>
    </row>
    <row r="121" spans="1:26" ht="12" customHeight="1">
      <c r="A121" s="1138" cm="1">
        <f t="array" ref="A121">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45</v>
      </c>
      <c r="B121" s="1139" t="str" cm="1">
        <f t="array" ref="B121">IF($A121="","",INDEX('resident aged receivable'!$B:$B,$A121))</f>
        <v>N20-1089</v>
      </c>
      <c r="C121" s="1139" t="str" cm="1">
        <f t="array" ref="C121">IF($A121="","",INDEX('resident aged receivable'!$D:$D,$A121))</f>
        <v>Ihenyen, Jude</v>
      </c>
      <c r="D121" s="1140" cm="1">
        <f t="array" ref="D121">IF($A121="","",INDEX('resident aged receivable'!$F:$F,$A121))</f>
        <v>43855</v>
      </c>
      <c r="E121" s="1140" cm="1">
        <f t="array" ref="E121">IF($A121="","",_xlfn.LET(_xlpm.leaseEnd,INDEX('resident aged receivable'!$H:$H,$A121),_xlpm.moLookup,IFERROR(_xlfn.LET(_xlpm.lastFirst,C121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46055</v>
      </c>
      <c r="F121" s="1141" t="str">
        <f t="shared" si="3"/>
        <v>IPS</v>
      </c>
      <c r="G121" s="1142" t="str" cm="1">
        <f t="array" ref="G121">IF($A121="","",IF(COUNTIF($N$3:$N$24,C121)&gt;0,"Former",_xlfn.LET(_xlpm.s,INDEX('resident aged receivable'!$E:$E,$A121),IF(ISNUMBER(SEARCH("Eviction",_xlpm.s)),"Eviction",IF(ISNUMBER(SEARCH("Skip",_xlpm.s)),"Skip",IF(ISNUMBER(SEARCH("Past",_xlpm.s))+ISNUMBER(SEARCH("Collections",_xlpm.s)),"Former",_xlpm.s))))))</f>
        <v>Former</v>
      </c>
      <c r="H121" s="1143" cm="1">
        <f t="array" ref="H121">IF($A121="","",INDEX('resident aged receivable'!$I:$I,$A121))</f>
        <v>103.61</v>
      </c>
      <c r="I121" s="1143" cm="1">
        <f t="array" ref="I121">IF($A121="","",INDEX('resident aged receivable'!$J:$J,$A121))</f>
        <v>0</v>
      </c>
      <c r="J121" s="1143" cm="1">
        <f t="array" ref="J121">IF($A121="","",INDEX('resident aged receivable'!$K:$K,$A121))</f>
        <v>60.87</v>
      </c>
      <c r="K121" s="1163" t="str" cm="1">
        <f t="array" ref="K121">IFERROR(IF(B121="","",IF(SUMPRODUCT((LeaseLock!$D$2:$D$500=B121)*ISNUMBER(SEARCH(LEFT(C121,FIND(",",C121&amp;",")-1),LeaseLock!$C$2:$C$500)))=0,"",IF(LOOKUP(2,1/((LeaseLock!$D$2:$D$500=B121)*ISNUMBER(SEARCH(LEFT(C121,FIND(",",C121&amp;",")-1),LeaseLock!$C$2:$C$500))),LeaseLock!$F$2:$F$500)="Claim Denied","Claim Denied ("&amp;LOOKUP(2,1/((LeaseLock!$D$2:$D$500=B121)*ISNUMBER(SEARCH(LEFT(C121,FIND(",",C121&amp;",")-1),LeaseLock!$C$2:$C$500))),LeaseLock!$G$2:$G$500)&amp;")",IF(LOOKUP(2,1/((LeaseLock!$D$2:$D$500=B121)*ISNUMBER(SEARCH(LEFT(C121,FIND(",",C121&amp;",")-1),LeaseLock!$C$2:$C$500))),LeaseLock!$F$2:$F$500)="Open","Open - "&amp;LOOKUP(2,1/((LeaseLock!$D$2:$D$500=B121)*ISNUMBER(SEARCH(LEFT(C121,FIND(",",C121&amp;",")-1),LeaseLock!$C$2:$C$500))),LeaseLock!$G$2:$G$500),IF(LOOKUP(2,1/((LeaseLock!$D$2:$D$500=B121)*ISNUMBER(SEARCH(LEFT(C121,FIND(",",C121&amp;",")-1),LeaseLock!$C$2:$C$500))),LeaseLock!$M$2:$M$500)&gt;0,LOOKUP(2,1/((LeaseLock!$D$2:$D$500=B121)*ISNUMBER(SEARCH(LEFT(C121,FIND(",",C121&amp;",")-1),LeaseLock!$C$2:$C$500))),LeaseLock!$F$2:$F$500)&amp;" - $"&amp;TEXT(LOOKUP(2,1/((LeaseLock!$D$2:$D$500=B121)*ISNUMBER(SEARCH(LEFT(C121,FIND(",",C121&amp;",")-1),LeaseLock!$C$2:$C$500))),LeaseLock!$M$2:$M$500),"#,##0.00")&amp;" paid",LOOKUP(2,1/((LeaseLock!$D$2:$D$500=B121)*ISNUMBER(SEARCH(LEFT(C121,FIND(",",C121&amp;",")-1),LeaseLock!$C$2:$C$500))),LeaseLock!$F$2:$F$500)&amp;" - no payment"))))),"")</f>
        <v/>
      </c>
      <c r="L121" s="1148" t="s">
        <v>6834</v>
      </c>
      <c r="M121" s="1134"/>
      <c r="N121" s="1134"/>
      <c r="Q121" s="1115"/>
      <c r="R121" s="1115"/>
      <c r="S121" s="1115"/>
      <c r="T121" s="1115"/>
      <c r="U121" s="1115"/>
      <c r="V121" s="1115"/>
      <c r="W121" s="1115"/>
      <c r="X121" s="1115"/>
      <c r="Y121" s="1115"/>
      <c r="Z121" s="1115"/>
    </row>
    <row r="122" spans="1:26" ht="12" customHeight="1">
      <c r="A122" s="1138" cm="1">
        <f t="array" ref="A122">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169</v>
      </c>
      <c r="B122" s="1139" t="str" cm="1">
        <f t="array" ref="B122">IF($A122="","",INDEX('resident aged receivable'!$B:$B,$A122))</f>
        <v>W18-2-1073</v>
      </c>
      <c r="C122" s="1139" t="str" cm="1">
        <f t="array" ref="C122">IF($A122="","",INDEX('resident aged receivable'!$D:$D,$A122))</f>
        <v>Diaz, Noemi</v>
      </c>
      <c r="D122" s="1140" cm="1">
        <f t="array" ref="D122">IF($A122="","",INDEX('resident aged receivable'!$F:$F,$A122))</f>
        <v>45226</v>
      </c>
      <c r="E122" s="1140" cm="1">
        <f t="array" ref="E122">IF($A122="","",_xlfn.LET(_xlpm.leaseEnd,INDEX('resident aged receivable'!$H:$H,$A122),_xlpm.moLookup,IFERROR(_xlfn.LET(_xlpm.lastFirst,C122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46079</v>
      </c>
      <c r="F122" s="1141" t="str">
        <f t="shared" si="3"/>
        <v>IPS</v>
      </c>
      <c r="G122" s="1142" t="str" cm="1">
        <f t="array" ref="G122">IF($A122="","",IF(COUNTIF($N$3:$N$24,C122)&gt;0,"Former",_xlfn.LET(_xlpm.s,INDEX('resident aged receivable'!$E:$E,$A122),IF(ISNUMBER(SEARCH("Eviction",_xlpm.s)),"Eviction",IF(ISNUMBER(SEARCH("Skip",_xlpm.s)),"Skip",IF(ISNUMBER(SEARCH("Past",_xlpm.s))+ISNUMBER(SEARCH("Collections",_xlpm.s)),"Former",_xlpm.s))))))</f>
        <v>Former</v>
      </c>
      <c r="H122" s="1143" cm="1">
        <f t="array" ref="H122">IF($A122="","",INDEX('resident aged receivable'!$I:$I,$A122))</f>
        <v>99.65</v>
      </c>
      <c r="I122" s="1143" cm="1">
        <f t="array" ref="I122">IF($A122="","",INDEX('resident aged receivable'!$J:$J,$A122))</f>
        <v>0</v>
      </c>
      <c r="J122" s="1143" cm="1">
        <f t="array" ref="J122">IF($A122="","",INDEX('resident aged receivable'!$K:$K,$A122))</f>
        <v>99.65</v>
      </c>
      <c r="K122" s="1163" t="str" cm="1">
        <f t="array" ref="K122">IFERROR(IF(B122="","",IF(SUMPRODUCT((LeaseLock!$D$2:$D$500=B122)*ISNUMBER(SEARCH(LEFT(C122,FIND(",",C122&amp;",")-1),LeaseLock!$C$2:$C$500)))=0,"",IF(LOOKUP(2,1/((LeaseLock!$D$2:$D$500=B122)*ISNUMBER(SEARCH(LEFT(C122,FIND(",",C122&amp;",")-1),LeaseLock!$C$2:$C$500))),LeaseLock!$F$2:$F$500)="Claim Denied","Claim Denied ("&amp;LOOKUP(2,1/((LeaseLock!$D$2:$D$500=B122)*ISNUMBER(SEARCH(LEFT(C122,FIND(",",C122&amp;",")-1),LeaseLock!$C$2:$C$500))),LeaseLock!$G$2:$G$500)&amp;")",IF(LOOKUP(2,1/((LeaseLock!$D$2:$D$500=B122)*ISNUMBER(SEARCH(LEFT(C122,FIND(",",C122&amp;",")-1),LeaseLock!$C$2:$C$500))),LeaseLock!$F$2:$F$500)="Open","Open - "&amp;LOOKUP(2,1/((LeaseLock!$D$2:$D$500=B122)*ISNUMBER(SEARCH(LEFT(C122,FIND(",",C122&amp;",")-1),LeaseLock!$C$2:$C$500))),LeaseLock!$G$2:$G$500),IF(LOOKUP(2,1/((LeaseLock!$D$2:$D$500=B122)*ISNUMBER(SEARCH(LEFT(C122,FIND(",",C122&amp;",")-1),LeaseLock!$C$2:$C$500))),LeaseLock!$M$2:$M$500)&gt;0,LOOKUP(2,1/((LeaseLock!$D$2:$D$500=B122)*ISNUMBER(SEARCH(LEFT(C122,FIND(",",C122&amp;",")-1),LeaseLock!$C$2:$C$500))),LeaseLock!$F$2:$F$500)&amp;" - $"&amp;TEXT(LOOKUP(2,1/((LeaseLock!$D$2:$D$500=B122)*ISNUMBER(SEARCH(LEFT(C122,FIND(",",C122&amp;",")-1),LeaseLock!$C$2:$C$500))),LeaseLock!$M$2:$M$500),"#,##0.00")&amp;" paid",LOOKUP(2,1/((LeaseLock!$D$2:$D$500=B122)*ISNUMBER(SEARCH(LEFT(C122,FIND(",",C122&amp;",")-1),LeaseLock!$C$2:$C$500))),LeaseLock!$F$2:$F$500)&amp;" - no payment"))))),"")</f>
        <v/>
      </c>
      <c r="L122" s="1148"/>
      <c r="M122" s="1134"/>
      <c r="N122" s="1134"/>
      <c r="Q122" s="1115"/>
      <c r="R122" s="1115"/>
      <c r="S122" s="1115"/>
      <c r="T122" s="1115"/>
      <c r="U122" s="1115"/>
      <c r="V122" s="1115"/>
      <c r="W122" s="1115"/>
      <c r="X122" s="1115"/>
      <c r="Y122" s="1115"/>
      <c r="Z122" s="1115"/>
    </row>
    <row r="123" spans="1:26" ht="12" customHeight="1">
      <c r="A123" s="1138" cm="1">
        <f t="array" ref="A123">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97</v>
      </c>
      <c r="B123" s="1139" t="str" cm="1">
        <f t="array" ref="B123">IF($A123="","",INDEX('resident aged receivable'!$B:$B,$A123))</f>
        <v>W04-1-0410</v>
      </c>
      <c r="C123" s="1139" t="str" cm="1">
        <f t="array" ref="C123">IF($A123="","",INDEX('resident aged receivable'!$D:$D,$A123))</f>
        <v>Beltran, Rosio</v>
      </c>
      <c r="D123" s="1140" cm="1">
        <f t="array" ref="D123">IF($A123="","",INDEX('resident aged receivable'!$F:$F,$A123))</f>
        <v>45677</v>
      </c>
      <c r="E123" s="1140" cm="1">
        <f t="array" ref="E123">IF($A123="","",_xlfn.LET(_xlpm.leaseEnd,INDEX('resident aged receivable'!$H:$H,$A123),_xlpm.moLookup,IFERROR(_xlfn.LET(_xlpm.lastFirst,C123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46055</v>
      </c>
      <c r="F123" s="1141" t="str">
        <f t="shared" si="3"/>
        <v>IPS</v>
      </c>
      <c r="G123" s="1142" t="str" cm="1">
        <f t="array" ref="G123">IF($A123="","",IF(COUNTIF($N$3:$N$24,C123)&gt;0,"Former",_xlfn.LET(_xlpm.s,INDEX('resident aged receivable'!$E:$E,$A123),IF(ISNUMBER(SEARCH("Eviction",_xlpm.s)),"Eviction",IF(ISNUMBER(SEARCH("Skip",_xlpm.s)),"Skip",IF(ISNUMBER(SEARCH("Past",_xlpm.s))+ISNUMBER(SEARCH("Collections",_xlpm.s)),"Former",_xlpm.s))))))</f>
        <v>Former</v>
      </c>
      <c r="H123" s="1143" cm="1">
        <f t="array" ref="H123">IF($A123="","",INDEX('resident aged receivable'!$I:$I,$A123))</f>
        <v>93.66</v>
      </c>
      <c r="I123" s="1143" cm="1">
        <f t="array" ref="I123">IF($A123="","",INDEX('resident aged receivable'!$J:$J,$A123))</f>
        <v>0</v>
      </c>
      <c r="J123" s="1143" cm="1">
        <f t="array" ref="J123">IF($A123="","",INDEX('resident aged receivable'!$K:$K,$A123))</f>
        <v>93.66</v>
      </c>
      <c r="K123" s="1163" t="str" cm="1">
        <f t="array" ref="K123">IFERROR(IF(B123="","",IF(SUMPRODUCT((LeaseLock!$D$2:$D$500=B123)*ISNUMBER(SEARCH(LEFT(C123,FIND(",",C123&amp;",")-1),LeaseLock!$C$2:$C$500)))=0,"",IF(LOOKUP(2,1/((LeaseLock!$D$2:$D$500=B123)*ISNUMBER(SEARCH(LEFT(C123,FIND(",",C123&amp;",")-1),LeaseLock!$C$2:$C$500))),LeaseLock!$F$2:$F$500)="Claim Denied","Claim Denied ("&amp;LOOKUP(2,1/((LeaseLock!$D$2:$D$500=B123)*ISNUMBER(SEARCH(LEFT(C123,FIND(",",C123&amp;",")-1),LeaseLock!$C$2:$C$500))),LeaseLock!$G$2:$G$500)&amp;")",IF(LOOKUP(2,1/((LeaseLock!$D$2:$D$500=B123)*ISNUMBER(SEARCH(LEFT(C123,FIND(",",C123&amp;",")-1),LeaseLock!$C$2:$C$500))),LeaseLock!$F$2:$F$500)="Open","Open - "&amp;LOOKUP(2,1/((LeaseLock!$D$2:$D$500=B123)*ISNUMBER(SEARCH(LEFT(C123,FIND(",",C123&amp;",")-1),LeaseLock!$C$2:$C$500))),LeaseLock!$G$2:$G$500),IF(LOOKUP(2,1/((LeaseLock!$D$2:$D$500=B123)*ISNUMBER(SEARCH(LEFT(C123,FIND(",",C123&amp;",")-1),LeaseLock!$C$2:$C$500))),LeaseLock!$M$2:$M$500)&gt;0,LOOKUP(2,1/((LeaseLock!$D$2:$D$500=B123)*ISNUMBER(SEARCH(LEFT(C123,FIND(",",C123&amp;",")-1),LeaseLock!$C$2:$C$500))),LeaseLock!$F$2:$F$500)&amp;" - $"&amp;TEXT(LOOKUP(2,1/((LeaseLock!$D$2:$D$500=B123)*ISNUMBER(SEARCH(LEFT(C123,FIND(",",C123&amp;",")-1),LeaseLock!$C$2:$C$500))),LeaseLock!$M$2:$M$500),"#,##0.00")&amp;" paid",LOOKUP(2,1/((LeaseLock!$D$2:$D$500=B123)*ISNUMBER(SEARCH(LEFT(C123,FIND(",",C123&amp;",")-1),LeaseLock!$C$2:$C$500))),LeaseLock!$F$2:$F$500)&amp;" - no payment"))))),"")</f>
        <v/>
      </c>
      <c r="L123" s="1148" t="s">
        <v>6835</v>
      </c>
      <c r="M123" s="1134"/>
      <c r="N123" s="1134"/>
      <c r="Q123" s="1115"/>
      <c r="R123" s="1115"/>
      <c r="S123" s="1115"/>
      <c r="T123" s="1115"/>
      <c r="U123" s="1115"/>
      <c r="V123" s="1115"/>
      <c r="W123" s="1115"/>
      <c r="X123" s="1115"/>
      <c r="Y123" s="1115"/>
      <c r="Z123" s="1115"/>
    </row>
    <row r="124" spans="1:26" ht="12" customHeight="1">
      <c r="A124" s="1138" cm="1">
        <f t="array" ref="A124">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75</v>
      </c>
      <c r="B124" s="1139" t="str" cm="1">
        <f t="array" ref="B124">IF($A124="","",INDEX('resident aged receivable'!$B:$B,$A124))</f>
        <v>S34-141</v>
      </c>
      <c r="C124" s="1139" t="str" cm="1">
        <f t="array" ref="C124">IF($A124="","",INDEX('resident aged receivable'!$D:$D,$A124))</f>
        <v>Aguilera, Angelica</v>
      </c>
      <c r="D124" s="1140" cm="1">
        <f t="array" ref="D124">IF($A124="","",INDEX('resident aged receivable'!$F:$F,$A124))</f>
        <v>44986</v>
      </c>
      <c r="E124" s="1140" cm="1">
        <f t="array" ref="E124">IF($A124="","",_xlfn.LET(_xlpm.leaseEnd,INDEX('resident aged receivable'!$H:$H,$A124),_xlpm.moLookup,IFERROR(_xlfn.LET(_xlpm.lastFirst,C124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46081</v>
      </c>
      <c r="F124" s="1141" t="str">
        <f t="shared" si="3"/>
        <v>IPS</v>
      </c>
      <c r="G124" s="1142" t="str" cm="1">
        <f t="array" ref="G124">IF($A124="","",IF(COUNTIF($N$3:$N$24,C124)&gt;0,"Former",_xlfn.LET(_xlpm.s,INDEX('resident aged receivable'!$E:$E,$A124),IF(ISNUMBER(SEARCH("Eviction",_xlpm.s)),"Eviction",IF(ISNUMBER(SEARCH("Skip",_xlpm.s)),"Skip",IF(ISNUMBER(SEARCH("Past",_xlpm.s))+ISNUMBER(SEARCH("Collections",_xlpm.s)),"Former",_xlpm.s))))))</f>
        <v>Former</v>
      </c>
      <c r="H124" s="1143" cm="1">
        <f t="array" ref="H124">IF($A124="","",INDEX('resident aged receivable'!$I:$I,$A124))</f>
        <v>93.02</v>
      </c>
      <c r="I124" s="1143" cm="1">
        <f t="array" ref="I124">IF($A124="","",INDEX('resident aged receivable'!$J:$J,$A124))</f>
        <v>0</v>
      </c>
      <c r="J124" s="1143" cm="1">
        <f t="array" ref="J124">IF($A124="","",INDEX('resident aged receivable'!$K:$K,$A124))</f>
        <v>93.02</v>
      </c>
      <c r="K124" s="1163" t="str" cm="1">
        <f t="array" ref="K124">IFERROR(IF(B124="","",IF(SUMPRODUCT((LeaseLock!$D$2:$D$500=B124)*ISNUMBER(SEARCH(LEFT(C124,FIND(",",C124&amp;",")-1),LeaseLock!$C$2:$C$500)))=0,"",IF(LOOKUP(2,1/((LeaseLock!$D$2:$D$500=B124)*ISNUMBER(SEARCH(LEFT(C124,FIND(",",C124&amp;",")-1),LeaseLock!$C$2:$C$500))),LeaseLock!$F$2:$F$500)="Claim Denied","Claim Denied ("&amp;LOOKUP(2,1/((LeaseLock!$D$2:$D$500=B124)*ISNUMBER(SEARCH(LEFT(C124,FIND(",",C124&amp;",")-1),LeaseLock!$C$2:$C$500))),LeaseLock!$G$2:$G$500)&amp;")",IF(LOOKUP(2,1/((LeaseLock!$D$2:$D$500=B124)*ISNUMBER(SEARCH(LEFT(C124,FIND(",",C124&amp;",")-1),LeaseLock!$C$2:$C$500))),LeaseLock!$F$2:$F$500)="Open","Open - "&amp;LOOKUP(2,1/((LeaseLock!$D$2:$D$500=B124)*ISNUMBER(SEARCH(LEFT(C124,FIND(",",C124&amp;",")-1),LeaseLock!$C$2:$C$500))),LeaseLock!$G$2:$G$500),IF(LOOKUP(2,1/((LeaseLock!$D$2:$D$500=B124)*ISNUMBER(SEARCH(LEFT(C124,FIND(",",C124&amp;",")-1),LeaseLock!$C$2:$C$500))),LeaseLock!$M$2:$M$500)&gt;0,LOOKUP(2,1/((LeaseLock!$D$2:$D$500=B124)*ISNUMBER(SEARCH(LEFT(C124,FIND(",",C124&amp;",")-1),LeaseLock!$C$2:$C$500))),LeaseLock!$F$2:$F$500)&amp;" - $"&amp;TEXT(LOOKUP(2,1/((LeaseLock!$D$2:$D$500=B124)*ISNUMBER(SEARCH(LEFT(C124,FIND(",",C124&amp;",")-1),LeaseLock!$C$2:$C$500))),LeaseLock!$M$2:$M$500),"#,##0.00")&amp;" paid",LOOKUP(2,1/((LeaseLock!$D$2:$D$500=B124)*ISNUMBER(SEARCH(LEFT(C124,FIND(",",C124&amp;",")-1),LeaseLock!$C$2:$C$500))),LeaseLock!$F$2:$F$500)&amp;" - no payment"))))),"")</f>
        <v/>
      </c>
      <c r="L124" s="1148"/>
      <c r="M124" s="1134"/>
      <c r="N124" s="1134"/>
      <c r="Q124" s="1115"/>
      <c r="R124" s="1115"/>
      <c r="S124" s="1115"/>
      <c r="T124" s="1115"/>
      <c r="U124" s="1115"/>
      <c r="V124" s="1115"/>
      <c r="W124" s="1115"/>
      <c r="X124" s="1115"/>
      <c r="Y124" s="1115"/>
      <c r="Z124" s="1115"/>
    </row>
    <row r="125" spans="1:26" ht="12" customHeight="1">
      <c r="A125" s="1138" cm="1">
        <f t="array" ref="A125">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30</v>
      </c>
      <c r="B125" s="1139" t="str" cm="1">
        <f t="array" ref="B125">IF($A125="","",INDEX('resident aged receivable'!$B:$B,$A125))</f>
        <v>N14-1058</v>
      </c>
      <c r="C125" s="1139" t="str" cm="1">
        <f t="array" ref="C125">IF($A125="","",INDEX('resident aged receivable'!$D:$D,$A125))</f>
        <v>Abuzu, Augustine</v>
      </c>
      <c r="D125" s="1140" cm="1">
        <f t="array" ref="D125">IF($A125="","",INDEX('resident aged receivable'!$F:$F,$A125))</f>
        <v>45828</v>
      </c>
      <c r="E125" s="1140" cm="1">
        <f t="array" ref="E125">IF($A125="","",_xlfn.LET(_xlpm.leaseEnd,INDEX('resident aged receivable'!$H:$H,$A125),_xlpm.moLookup,IFERROR(_xlfn.LET(_xlpm.lastFirst,C125,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46192</v>
      </c>
      <c r="F125" s="1141" t="str">
        <f t="shared" si="3"/>
        <v>IPS</v>
      </c>
      <c r="G125" s="1142" t="str" cm="1">
        <f t="array" ref="G125">IF($A125="","",IF(COUNTIF($N$3:$N$24,C125)&gt;0,"Former",_xlfn.LET(_xlpm.s,INDEX('resident aged receivable'!$E:$E,$A125),IF(ISNUMBER(SEARCH("Eviction",_xlpm.s)),"Eviction",IF(ISNUMBER(SEARCH("Skip",_xlpm.s)),"Skip",IF(ISNUMBER(SEARCH("Past",_xlpm.s))+ISNUMBER(SEARCH("Collections",_xlpm.s)),"Former",_xlpm.s))))))</f>
        <v>Former</v>
      </c>
      <c r="H125" s="1143" cm="1">
        <f t="array" ref="H125">IF($A125="","",INDEX('resident aged receivable'!$I:$I,$A125))</f>
        <v>90.87</v>
      </c>
      <c r="I125" s="1143" cm="1">
        <f t="array" ref="I125">IF($A125="","",INDEX('resident aged receivable'!$J:$J,$A125))</f>
        <v>0</v>
      </c>
      <c r="J125" s="1143" cm="1">
        <f t="array" ref="J125">IF($A125="","",INDEX('resident aged receivable'!$K:$K,$A125))</f>
        <v>0</v>
      </c>
      <c r="K125" s="1163" t="str" cm="1">
        <f t="array" ref="K125">IFERROR(IF(B125="","",IF(SUMPRODUCT((LeaseLock!$D$2:$D$500=B125)*ISNUMBER(SEARCH(LEFT(C125,FIND(",",C125&amp;",")-1),LeaseLock!$C$2:$C$500)))=0,"",IF(LOOKUP(2,1/((LeaseLock!$D$2:$D$500=B125)*ISNUMBER(SEARCH(LEFT(C125,FIND(",",C125&amp;",")-1),LeaseLock!$C$2:$C$500))),LeaseLock!$F$2:$F$500)="Claim Denied","Claim Denied ("&amp;LOOKUP(2,1/((LeaseLock!$D$2:$D$500=B125)*ISNUMBER(SEARCH(LEFT(C125,FIND(",",C125&amp;",")-1),LeaseLock!$C$2:$C$500))),LeaseLock!$G$2:$G$500)&amp;")",IF(LOOKUP(2,1/((LeaseLock!$D$2:$D$500=B125)*ISNUMBER(SEARCH(LEFT(C125,FIND(",",C125&amp;",")-1),LeaseLock!$C$2:$C$500))),LeaseLock!$F$2:$F$500)="Open","Open - "&amp;LOOKUP(2,1/((LeaseLock!$D$2:$D$500=B125)*ISNUMBER(SEARCH(LEFT(C125,FIND(",",C125&amp;",")-1),LeaseLock!$C$2:$C$500))),LeaseLock!$G$2:$G$500),IF(LOOKUP(2,1/((LeaseLock!$D$2:$D$500=B125)*ISNUMBER(SEARCH(LEFT(C125,FIND(",",C125&amp;",")-1),LeaseLock!$C$2:$C$500))),LeaseLock!$M$2:$M$500)&gt;0,LOOKUP(2,1/((LeaseLock!$D$2:$D$500=B125)*ISNUMBER(SEARCH(LEFT(C125,FIND(",",C125&amp;",")-1),LeaseLock!$C$2:$C$500))),LeaseLock!$F$2:$F$500)&amp;" - $"&amp;TEXT(LOOKUP(2,1/((LeaseLock!$D$2:$D$500=B125)*ISNUMBER(SEARCH(LEFT(C125,FIND(",",C125&amp;",")-1),LeaseLock!$C$2:$C$500))),LeaseLock!$M$2:$M$500),"#,##0.00")&amp;" paid",LOOKUP(2,1/((LeaseLock!$D$2:$D$500=B125)*ISNUMBER(SEARCH(LEFT(C125,FIND(",",C125&amp;",")-1),LeaseLock!$C$2:$C$500))),LeaseLock!$F$2:$F$500)&amp;" - no payment"))))),"")</f>
        <v/>
      </c>
      <c r="L125" s="1148"/>
      <c r="M125" s="1134"/>
      <c r="N125" s="1134"/>
      <c r="Q125" s="1115"/>
      <c r="R125" s="1115"/>
      <c r="S125" s="1115"/>
      <c r="T125" s="1115"/>
      <c r="U125" s="1115"/>
      <c r="V125" s="1115"/>
      <c r="W125" s="1115"/>
      <c r="X125" s="1115"/>
      <c r="Y125" s="1115"/>
      <c r="Z125" s="1115"/>
    </row>
    <row r="126" spans="1:26" ht="12" customHeight="1">
      <c r="A126" s="1138" cm="1">
        <f t="array" ref="A126">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38</v>
      </c>
      <c r="B126" s="1139" t="str" cm="1">
        <f t="array" ref="B126">IF($A126="","",INDEX('resident aged receivable'!$B:$B,$A126))</f>
        <v>N18-1086</v>
      </c>
      <c r="C126" s="1139" t="str" cm="1">
        <f t="array" ref="C126">IF($A126="","",INDEX('resident aged receivable'!$D:$D,$A126))</f>
        <v>Yesid, Neider</v>
      </c>
      <c r="D126" s="1140" cm="1">
        <f t="array" ref="D126">IF($A126="","",INDEX('resident aged receivable'!$F:$F,$A126))</f>
        <v>45462</v>
      </c>
      <c r="E126" s="1140" cm="1">
        <f t="array" ref="E126">IF($A126="","",_xlfn.LET(_xlpm.leaseEnd,INDEX('resident aged receivable'!$H:$H,$A126),_xlpm.moLookup,IFERROR(_xlfn.LET(_xlpm.lastFirst,C126,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46053</v>
      </c>
      <c r="F126" s="1141" t="str">
        <f t="shared" si="3"/>
        <v>IPS</v>
      </c>
      <c r="G126" s="1142" t="str" cm="1">
        <f t="array" ref="G126">IF($A126="","",IF(COUNTIF($N$3:$N$24,C126)&gt;0,"Former",_xlfn.LET(_xlpm.s,INDEX('resident aged receivable'!$E:$E,$A126),IF(ISNUMBER(SEARCH("Eviction",_xlpm.s)),"Eviction",IF(ISNUMBER(SEARCH("Skip",_xlpm.s)),"Skip",IF(ISNUMBER(SEARCH("Past",_xlpm.s))+ISNUMBER(SEARCH("Collections",_xlpm.s)),"Former",_xlpm.s))))))</f>
        <v>Former</v>
      </c>
      <c r="H126" s="1143" cm="1">
        <f t="array" ref="H126">IF($A126="","",INDEX('resident aged receivable'!$I:$I,$A126))</f>
        <v>81.650000000000006</v>
      </c>
      <c r="I126" s="1143" cm="1">
        <f t="array" ref="I126">IF($A126="","",INDEX('resident aged receivable'!$J:$J,$A126))</f>
        <v>0</v>
      </c>
      <c r="J126" s="1143" cm="1">
        <f t="array" ref="J126">IF($A126="","",INDEX('resident aged receivable'!$K:$K,$A126))</f>
        <v>81.650000000000006</v>
      </c>
      <c r="K126" s="1163" t="str" cm="1">
        <f t="array" ref="K126">IFERROR(IF(B126="","",IF(SUMPRODUCT((LeaseLock!$D$2:$D$500=B126)*ISNUMBER(SEARCH(LEFT(C126,FIND(",",C126&amp;",")-1),LeaseLock!$C$2:$C$500)))=0,"",IF(LOOKUP(2,1/((LeaseLock!$D$2:$D$500=B126)*ISNUMBER(SEARCH(LEFT(C126,FIND(",",C126&amp;",")-1),LeaseLock!$C$2:$C$500))),LeaseLock!$F$2:$F$500)="Claim Denied","Claim Denied ("&amp;LOOKUP(2,1/((LeaseLock!$D$2:$D$500=B126)*ISNUMBER(SEARCH(LEFT(C126,FIND(",",C126&amp;",")-1),LeaseLock!$C$2:$C$500))),LeaseLock!$G$2:$G$500)&amp;")",IF(LOOKUP(2,1/((LeaseLock!$D$2:$D$500=B126)*ISNUMBER(SEARCH(LEFT(C126,FIND(",",C126&amp;",")-1),LeaseLock!$C$2:$C$500))),LeaseLock!$F$2:$F$500)="Open","Open - "&amp;LOOKUP(2,1/((LeaseLock!$D$2:$D$500=B126)*ISNUMBER(SEARCH(LEFT(C126,FIND(",",C126&amp;",")-1),LeaseLock!$C$2:$C$500))),LeaseLock!$G$2:$G$500),IF(LOOKUP(2,1/((LeaseLock!$D$2:$D$500=B126)*ISNUMBER(SEARCH(LEFT(C126,FIND(",",C126&amp;",")-1),LeaseLock!$C$2:$C$500))),LeaseLock!$M$2:$M$500)&gt;0,LOOKUP(2,1/((LeaseLock!$D$2:$D$500=B126)*ISNUMBER(SEARCH(LEFT(C126,FIND(",",C126&amp;",")-1),LeaseLock!$C$2:$C$500))),LeaseLock!$F$2:$F$500)&amp;" - $"&amp;TEXT(LOOKUP(2,1/((LeaseLock!$D$2:$D$500=B126)*ISNUMBER(SEARCH(LEFT(C126,FIND(",",C126&amp;",")-1),LeaseLock!$C$2:$C$500))),LeaseLock!$M$2:$M$500),"#,##0.00")&amp;" paid",LOOKUP(2,1/((LeaseLock!$D$2:$D$500=B126)*ISNUMBER(SEARCH(LEFT(C126,FIND(",",C126&amp;",")-1),LeaseLock!$C$2:$C$500))),LeaseLock!$F$2:$F$500)&amp;" - no payment"))))),"")</f>
        <v/>
      </c>
      <c r="L126" s="1148" t="s">
        <v>6836</v>
      </c>
      <c r="M126" s="1134"/>
      <c r="N126" s="1134"/>
      <c r="Q126" s="1115"/>
      <c r="R126" s="1115"/>
      <c r="S126" s="1115"/>
      <c r="T126" s="1115"/>
      <c r="U126" s="1115"/>
      <c r="V126" s="1115"/>
      <c r="W126" s="1115"/>
      <c r="X126" s="1115"/>
      <c r="Y126" s="1115"/>
      <c r="Z126" s="1115"/>
    </row>
    <row r="127" spans="1:26" ht="12" customHeight="1">
      <c r="A127" s="1138" cm="1">
        <f t="array" ref="A127">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133</v>
      </c>
      <c r="B127" s="1139" t="str" cm="1">
        <f t="array" ref="B127">IF($A127="","",INDEX('resident aged receivable'!$B:$B,$A127))</f>
        <v>W11-1-1111</v>
      </c>
      <c r="C127" s="1139" t="str" cm="1">
        <f t="array" ref="C127">IF($A127="","",INDEX('resident aged receivable'!$D:$D,$A127))</f>
        <v>Berko, Henry</v>
      </c>
      <c r="D127" s="1140" cm="1">
        <f t="array" ref="D127">IF($A127="","",INDEX('resident aged receivable'!$F:$F,$A127))</f>
        <v>44076</v>
      </c>
      <c r="E127" s="1140" cm="1">
        <f t="array" ref="E127">IF($A127="","",_xlfn.LET(_xlpm.leaseEnd,INDEX('resident aged receivable'!$H:$H,$A127),_xlpm.moLookup,IFERROR(_xlfn.LET(_xlpm.lastFirst,C127,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46053</v>
      </c>
      <c r="F127" s="1141" t="str">
        <f t="shared" si="3"/>
        <v>IPS</v>
      </c>
      <c r="G127" s="1142" t="str" cm="1">
        <f t="array" ref="G127">IF($A127="","",IF(COUNTIF($N$3:$N$24,C127)&gt;0,"Former",_xlfn.LET(_xlpm.s,INDEX('resident aged receivable'!$E:$E,$A127),IF(ISNUMBER(SEARCH("Eviction",_xlpm.s)),"Eviction",IF(ISNUMBER(SEARCH("Skip",_xlpm.s)),"Skip",IF(ISNUMBER(SEARCH("Past",_xlpm.s))+ISNUMBER(SEARCH("Collections",_xlpm.s)),"Former",_xlpm.s))))))</f>
        <v>Former</v>
      </c>
      <c r="H127" s="1143" cm="1">
        <f t="array" ref="H127">IF($A127="","",INDEX('resident aged receivable'!$I:$I,$A127))</f>
        <v>71.19</v>
      </c>
      <c r="I127" s="1143" cm="1">
        <f t="array" ref="I127">IF($A127="","",INDEX('resident aged receivable'!$J:$J,$A127))</f>
        <v>0</v>
      </c>
      <c r="J127" s="1143" cm="1">
        <f t="array" ref="J127">IF($A127="","",INDEX('resident aged receivable'!$K:$K,$A127))</f>
        <v>71.19</v>
      </c>
      <c r="K127" s="1163" t="str" cm="1">
        <f t="array" ref="K127">IFERROR(IF(B127="","",IF(SUMPRODUCT((LeaseLock!$D$2:$D$500=B127)*ISNUMBER(SEARCH(LEFT(C127,FIND(",",C127&amp;",")-1),LeaseLock!$C$2:$C$500)))=0,"",IF(LOOKUP(2,1/((LeaseLock!$D$2:$D$500=B127)*ISNUMBER(SEARCH(LEFT(C127,FIND(",",C127&amp;",")-1),LeaseLock!$C$2:$C$500))),LeaseLock!$F$2:$F$500)="Claim Denied","Claim Denied ("&amp;LOOKUP(2,1/((LeaseLock!$D$2:$D$500=B127)*ISNUMBER(SEARCH(LEFT(C127,FIND(",",C127&amp;",")-1),LeaseLock!$C$2:$C$500))),LeaseLock!$G$2:$G$500)&amp;")",IF(LOOKUP(2,1/((LeaseLock!$D$2:$D$500=B127)*ISNUMBER(SEARCH(LEFT(C127,FIND(",",C127&amp;",")-1),LeaseLock!$C$2:$C$500))),LeaseLock!$F$2:$F$500)="Open","Open - "&amp;LOOKUP(2,1/((LeaseLock!$D$2:$D$500=B127)*ISNUMBER(SEARCH(LEFT(C127,FIND(",",C127&amp;",")-1),LeaseLock!$C$2:$C$500))),LeaseLock!$G$2:$G$500),IF(LOOKUP(2,1/((LeaseLock!$D$2:$D$500=B127)*ISNUMBER(SEARCH(LEFT(C127,FIND(",",C127&amp;",")-1),LeaseLock!$C$2:$C$500))),LeaseLock!$M$2:$M$500)&gt;0,LOOKUP(2,1/((LeaseLock!$D$2:$D$500=B127)*ISNUMBER(SEARCH(LEFT(C127,FIND(",",C127&amp;",")-1),LeaseLock!$C$2:$C$500))),LeaseLock!$F$2:$F$500)&amp;" - $"&amp;TEXT(LOOKUP(2,1/((LeaseLock!$D$2:$D$500=B127)*ISNUMBER(SEARCH(LEFT(C127,FIND(",",C127&amp;",")-1),LeaseLock!$C$2:$C$500))),LeaseLock!$M$2:$M$500),"#,##0.00")&amp;" paid",LOOKUP(2,1/((LeaseLock!$D$2:$D$500=B127)*ISNUMBER(SEARCH(LEFT(C127,FIND(",",C127&amp;",")-1),LeaseLock!$C$2:$C$500))),LeaseLock!$F$2:$F$500)&amp;" - no payment"))))),"")</f>
        <v/>
      </c>
      <c r="L127" s="1148"/>
      <c r="M127" s="1134"/>
      <c r="N127" s="1134"/>
      <c r="Q127" s="1115"/>
      <c r="R127" s="1115"/>
      <c r="S127" s="1115"/>
      <c r="T127" s="1115"/>
      <c r="U127" s="1115"/>
      <c r="V127" s="1115"/>
      <c r="W127" s="1115"/>
      <c r="X127" s="1115"/>
      <c r="Y127" s="1115"/>
      <c r="Z127" s="1115"/>
    </row>
    <row r="128" spans="1:26" ht="12" customHeight="1">
      <c r="A128" s="1138" cm="1">
        <f t="array" ref="A128">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103</v>
      </c>
      <c r="B128" s="1139" t="str" cm="1">
        <f t="array" ref="B128">IF($A128="","",INDEX('resident aged receivable'!$B:$B,$A128))</f>
        <v>W05-1-0510</v>
      </c>
      <c r="C128" s="1139" t="str" cm="1">
        <f t="array" ref="C128">IF($A128="","",INDEX('resident aged receivable'!$D:$D,$A128))</f>
        <v>Adeoye, Emmanuel</v>
      </c>
      <c r="D128" s="1140" cm="1">
        <f t="array" ref="D128">IF($A128="","",INDEX('resident aged receivable'!$F:$F,$A128))</f>
        <v>45643</v>
      </c>
      <c r="E128" s="1140" cm="1">
        <f t="array" ref="E128">IF($A128="","",_xlfn.LET(_xlpm.leaseEnd,INDEX('resident aged receivable'!$H:$H,$A128),_xlpm.moLookup,IFERROR(_xlfn.LET(_xlpm.lastFirst,C128,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46069</v>
      </c>
      <c r="F128" s="1141" t="str">
        <f t="shared" si="3"/>
        <v>IPS</v>
      </c>
      <c r="G128" s="1142" t="str" cm="1">
        <f t="array" ref="G128">IF($A128="","",IF(COUNTIF($N$3:$N$24,C128)&gt;0,"Former",_xlfn.LET(_xlpm.s,INDEX('resident aged receivable'!$E:$E,$A128),IF(ISNUMBER(SEARCH("Eviction",_xlpm.s)),"Eviction",IF(ISNUMBER(SEARCH("Skip",_xlpm.s)),"Skip",IF(ISNUMBER(SEARCH("Past",_xlpm.s))+ISNUMBER(SEARCH("Collections",_xlpm.s)),"Former",_xlpm.s))))))</f>
        <v>Former</v>
      </c>
      <c r="H128" s="1143" cm="1">
        <f t="array" ref="H128">IF($A128="","",INDEX('resident aged receivable'!$I:$I,$A128))</f>
        <v>70.11</v>
      </c>
      <c r="I128" s="1143" cm="1">
        <f t="array" ref="I128">IF($A128="","",INDEX('resident aged receivable'!$J:$J,$A128))</f>
        <v>0</v>
      </c>
      <c r="J128" s="1143" cm="1">
        <f t="array" ref="J128">IF($A128="","",INDEX('resident aged receivable'!$K:$K,$A128))</f>
        <v>70.11</v>
      </c>
      <c r="K128" s="1163" t="str" cm="1">
        <f t="array" ref="K128">IFERROR(IF(B128="","",IF(SUMPRODUCT((LeaseLock!$D$2:$D$500=B128)*ISNUMBER(SEARCH(LEFT(C128,FIND(",",C128&amp;",")-1),LeaseLock!$C$2:$C$500)))=0,"",IF(LOOKUP(2,1/((LeaseLock!$D$2:$D$500=B128)*ISNUMBER(SEARCH(LEFT(C128,FIND(",",C128&amp;",")-1),LeaseLock!$C$2:$C$500))),LeaseLock!$F$2:$F$500)="Claim Denied","Claim Denied ("&amp;LOOKUP(2,1/((LeaseLock!$D$2:$D$500=B128)*ISNUMBER(SEARCH(LEFT(C128,FIND(",",C128&amp;",")-1),LeaseLock!$C$2:$C$500))),LeaseLock!$G$2:$G$500)&amp;")",IF(LOOKUP(2,1/((LeaseLock!$D$2:$D$500=B128)*ISNUMBER(SEARCH(LEFT(C128,FIND(",",C128&amp;",")-1),LeaseLock!$C$2:$C$500))),LeaseLock!$F$2:$F$500)="Open","Open - "&amp;LOOKUP(2,1/((LeaseLock!$D$2:$D$500=B128)*ISNUMBER(SEARCH(LEFT(C128,FIND(",",C128&amp;",")-1),LeaseLock!$C$2:$C$500))),LeaseLock!$G$2:$G$500),IF(LOOKUP(2,1/((LeaseLock!$D$2:$D$500=B128)*ISNUMBER(SEARCH(LEFT(C128,FIND(",",C128&amp;",")-1),LeaseLock!$C$2:$C$500))),LeaseLock!$M$2:$M$500)&gt;0,LOOKUP(2,1/((LeaseLock!$D$2:$D$500=B128)*ISNUMBER(SEARCH(LEFT(C128,FIND(",",C128&amp;",")-1),LeaseLock!$C$2:$C$500))),LeaseLock!$F$2:$F$500)&amp;" - $"&amp;TEXT(LOOKUP(2,1/((LeaseLock!$D$2:$D$500=B128)*ISNUMBER(SEARCH(LEFT(C128,FIND(",",C128&amp;",")-1),LeaseLock!$C$2:$C$500))),LeaseLock!$M$2:$M$500),"#,##0.00")&amp;" paid",LOOKUP(2,1/((LeaseLock!$D$2:$D$500=B128)*ISNUMBER(SEARCH(LEFT(C128,FIND(",",C128&amp;",")-1),LeaseLock!$C$2:$C$500))),LeaseLock!$F$2:$F$500)&amp;" - no payment"))))),"")</f>
        <v/>
      </c>
      <c r="L128" s="1148"/>
      <c r="M128" s="1134"/>
      <c r="N128" s="1134"/>
      <c r="Q128" s="1115"/>
      <c r="R128" s="1115"/>
      <c r="S128" s="1115"/>
      <c r="T128" s="1115"/>
      <c r="U128" s="1115"/>
      <c r="V128" s="1115"/>
      <c r="W128" s="1115"/>
      <c r="X128" s="1115"/>
      <c r="Y128" s="1115"/>
      <c r="Z128" s="1115"/>
    </row>
    <row r="129" spans="1:26" ht="12" customHeight="1">
      <c r="A129" s="1138" cm="1">
        <f t="array" ref="A129">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64</v>
      </c>
      <c r="B129" s="1139" t="str" cm="1">
        <f t="array" ref="B129">IF($A129="","",INDEX('resident aged receivable'!$B:$B,$A129))</f>
        <v>S28-101</v>
      </c>
      <c r="C129" s="1139" t="str" cm="1">
        <f t="array" ref="C129">IF($A129="","",INDEX('resident aged receivable'!$D:$D,$A129))</f>
        <v>Rodriguez, Maurico</v>
      </c>
      <c r="D129" s="1140" cm="1">
        <f t="array" ref="D129">IF($A129="","",INDEX('resident aged receivable'!$F:$F,$A129))</f>
        <v>41913</v>
      </c>
      <c r="E129" s="1140" cm="1">
        <f t="array" ref="E129">IF($A129="","",_xlfn.LET(_xlpm.leaseEnd,INDEX('resident aged receivable'!$H:$H,$A129),_xlpm.moLookup,IFERROR(_xlfn.LET(_xlpm.lastFirst,C129,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46081</v>
      </c>
      <c r="F129" s="1141" t="str">
        <f t="shared" si="3"/>
        <v>IPS</v>
      </c>
      <c r="G129" s="1142" t="str" cm="1">
        <f t="array" ref="G129">IF($A129="","",IF(COUNTIF($N$3:$N$24,C129)&gt;0,"Former",_xlfn.LET(_xlpm.s,INDEX('resident aged receivable'!$E:$E,$A129),IF(ISNUMBER(SEARCH("Eviction",_xlpm.s)),"Eviction",IF(ISNUMBER(SEARCH("Skip",_xlpm.s)),"Skip",IF(ISNUMBER(SEARCH("Past",_xlpm.s))+ISNUMBER(SEARCH("Collections",_xlpm.s)),"Former",_xlpm.s))))))</f>
        <v>Former</v>
      </c>
      <c r="H129" s="1143" cm="1">
        <f t="array" ref="H129">IF($A129="","",INDEX('resident aged receivable'!$I:$I,$A129))</f>
        <v>65.53</v>
      </c>
      <c r="I129" s="1143" cm="1">
        <f t="array" ref="I129">IF($A129="","",INDEX('resident aged receivable'!$J:$J,$A129))</f>
        <v>0</v>
      </c>
      <c r="J129" s="1143" cm="1">
        <f t="array" ref="J129">IF($A129="","",INDEX('resident aged receivable'!$K:$K,$A129))</f>
        <v>65.53</v>
      </c>
      <c r="K129" s="1163" t="str" cm="1">
        <f t="array" ref="K129">IFERROR(IF(B129="","",IF(SUMPRODUCT((LeaseLock!$D$2:$D$500=B129)*ISNUMBER(SEARCH(LEFT(C129,FIND(",",C129&amp;",")-1),LeaseLock!$C$2:$C$500)))=0,"",IF(LOOKUP(2,1/((LeaseLock!$D$2:$D$500=B129)*ISNUMBER(SEARCH(LEFT(C129,FIND(",",C129&amp;",")-1),LeaseLock!$C$2:$C$500))),LeaseLock!$F$2:$F$500)="Claim Denied","Claim Denied ("&amp;LOOKUP(2,1/((LeaseLock!$D$2:$D$500=B129)*ISNUMBER(SEARCH(LEFT(C129,FIND(",",C129&amp;",")-1),LeaseLock!$C$2:$C$500))),LeaseLock!$G$2:$G$500)&amp;")",IF(LOOKUP(2,1/((LeaseLock!$D$2:$D$500=B129)*ISNUMBER(SEARCH(LEFT(C129,FIND(",",C129&amp;",")-1),LeaseLock!$C$2:$C$500))),LeaseLock!$F$2:$F$500)="Open","Open - "&amp;LOOKUP(2,1/((LeaseLock!$D$2:$D$500=B129)*ISNUMBER(SEARCH(LEFT(C129,FIND(",",C129&amp;",")-1),LeaseLock!$C$2:$C$500))),LeaseLock!$G$2:$G$500),IF(LOOKUP(2,1/((LeaseLock!$D$2:$D$500=B129)*ISNUMBER(SEARCH(LEFT(C129,FIND(",",C129&amp;",")-1),LeaseLock!$C$2:$C$500))),LeaseLock!$M$2:$M$500)&gt;0,LOOKUP(2,1/((LeaseLock!$D$2:$D$500=B129)*ISNUMBER(SEARCH(LEFT(C129,FIND(",",C129&amp;",")-1),LeaseLock!$C$2:$C$500))),LeaseLock!$F$2:$F$500)&amp;" - $"&amp;TEXT(LOOKUP(2,1/((LeaseLock!$D$2:$D$500=B129)*ISNUMBER(SEARCH(LEFT(C129,FIND(",",C129&amp;",")-1),LeaseLock!$C$2:$C$500))),LeaseLock!$M$2:$M$500),"#,##0.00")&amp;" paid",LOOKUP(2,1/((LeaseLock!$D$2:$D$500=B129)*ISNUMBER(SEARCH(LEFT(C129,FIND(",",C129&amp;",")-1),LeaseLock!$C$2:$C$500))),LeaseLock!$F$2:$F$500)&amp;" - no payment"))))),"")</f>
        <v/>
      </c>
      <c r="L129" s="1148"/>
      <c r="M129" s="1134"/>
      <c r="N129" s="1134"/>
      <c r="Q129" s="1115"/>
      <c r="R129" s="1115"/>
      <c r="S129" s="1115"/>
      <c r="T129" s="1115"/>
      <c r="U129" s="1115"/>
      <c r="V129" s="1115"/>
      <c r="W129" s="1115"/>
      <c r="X129" s="1115"/>
      <c r="Y129" s="1115"/>
      <c r="Z129" s="1115"/>
    </row>
    <row r="130" spans="1:26" ht="12" customHeight="1">
      <c r="A130" s="1138" cm="1">
        <f t="array" ref="A130">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16</v>
      </c>
      <c r="B130" s="1139" t="str" cm="1">
        <f t="array" ref="B130">IF($A130="","",INDEX('resident aged receivable'!$B:$B,$A130))</f>
        <v>N06-1031</v>
      </c>
      <c r="C130" s="1139" t="str" cm="1">
        <f t="array" ref="C130">IF($A130="","",INDEX('resident aged receivable'!$D:$D,$A130))</f>
        <v>Fairley, Azreal</v>
      </c>
      <c r="D130" s="1140" cm="1">
        <f t="array" ref="D130">IF($A130="","",INDEX('resident aged receivable'!$F:$F,$A130))</f>
        <v>43259</v>
      </c>
      <c r="E130" s="1140" cm="1">
        <f t="array" ref="E130">IF($A130="","",_xlfn.LET(_xlpm.leaseEnd,INDEX('resident aged receivable'!$H:$H,$A130),_xlpm.moLookup,IFERROR(_xlfn.LET(_xlpm.lastFirst,C130,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46053</v>
      </c>
      <c r="F130" s="1141" t="str">
        <f t="shared" si="3"/>
        <v>IPS</v>
      </c>
      <c r="G130" s="1142" t="str" cm="1">
        <f t="array" ref="G130">IF($A130="","",IF(COUNTIF($N$3:$N$24,C130)&gt;0,"Former",_xlfn.LET(_xlpm.s,INDEX('resident aged receivable'!$E:$E,$A130),IF(ISNUMBER(SEARCH("Eviction",_xlpm.s)),"Eviction",IF(ISNUMBER(SEARCH("Skip",_xlpm.s)),"Skip",IF(ISNUMBER(SEARCH("Past",_xlpm.s))+ISNUMBER(SEARCH("Collections",_xlpm.s)),"Former",_xlpm.s))))))</f>
        <v>Skip</v>
      </c>
      <c r="H130" s="1143" cm="1">
        <f t="array" ref="H130">IF($A130="","",INDEX('resident aged receivable'!$I:$I,$A130))</f>
        <v>62.6</v>
      </c>
      <c r="I130" s="1143" cm="1">
        <f t="array" ref="I130">IF($A130="","",INDEX('resident aged receivable'!$J:$J,$A130))</f>
        <v>0</v>
      </c>
      <c r="J130" s="1143" cm="1">
        <f t="array" ref="J130">IF($A130="","",INDEX('resident aged receivable'!$K:$K,$A130))</f>
        <v>62.6</v>
      </c>
      <c r="K130" s="1163" t="str" cm="1">
        <f t="array" ref="K130">IFERROR(IF(B130="","",IF(SUMPRODUCT((LeaseLock!$D$2:$D$500=B130)*ISNUMBER(SEARCH(LEFT(C130,FIND(",",C130&amp;",")-1),LeaseLock!$C$2:$C$500)))=0,"",IF(LOOKUP(2,1/((LeaseLock!$D$2:$D$500=B130)*ISNUMBER(SEARCH(LEFT(C130,FIND(",",C130&amp;",")-1),LeaseLock!$C$2:$C$500))),LeaseLock!$F$2:$F$500)="Claim Denied","Claim Denied ("&amp;LOOKUP(2,1/((LeaseLock!$D$2:$D$500=B130)*ISNUMBER(SEARCH(LEFT(C130,FIND(",",C130&amp;",")-1),LeaseLock!$C$2:$C$500))),LeaseLock!$G$2:$G$500)&amp;")",IF(LOOKUP(2,1/((LeaseLock!$D$2:$D$500=B130)*ISNUMBER(SEARCH(LEFT(C130,FIND(",",C130&amp;",")-1),LeaseLock!$C$2:$C$500))),LeaseLock!$F$2:$F$500)="Open","Open - "&amp;LOOKUP(2,1/((LeaseLock!$D$2:$D$500=B130)*ISNUMBER(SEARCH(LEFT(C130,FIND(",",C130&amp;",")-1),LeaseLock!$C$2:$C$500))),LeaseLock!$G$2:$G$500),IF(LOOKUP(2,1/((LeaseLock!$D$2:$D$500=B130)*ISNUMBER(SEARCH(LEFT(C130,FIND(",",C130&amp;",")-1),LeaseLock!$C$2:$C$500))),LeaseLock!$M$2:$M$500)&gt;0,LOOKUP(2,1/((LeaseLock!$D$2:$D$500=B130)*ISNUMBER(SEARCH(LEFT(C130,FIND(",",C130&amp;",")-1),LeaseLock!$C$2:$C$500))),LeaseLock!$F$2:$F$500)&amp;" - $"&amp;TEXT(LOOKUP(2,1/((LeaseLock!$D$2:$D$500=B130)*ISNUMBER(SEARCH(LEFT(C130,FIND(",",C130&amp;",")-1),LeaseLock!$C$2:$C$500))),LeaseLock!$M$2:$M$500),"#,##0.00")&amp;" paid",LOOKUP(2,1/((LeaseLock!$D$2:$D$500=B130)*ISNUMBER(SEARCH(LEFT(C130,FIND(",",C130&amp;",")-1),LeaseLock!$C$2:$C$500))),LeaseLock!$F$2:$F$500)&amp;" - no payment"))))),"")</f>
        <v/>
      </c>
      <c r="L130" s="1148"/>
      <c r="M130" s="1134"/>
      <c r="N130" s="1134"/>
      <c r="Q130" s="1115"/>
      <c r="R130" s="1115"/>
      <c r="S130" s="1115"/>
      <c r="T130" s="1115"/>
      <c r="U130" s="1115"/>
      <c r="V130" s="1115"/>
      <c r="W130" s="1115"/>
      <c r="X130" s="1115"/>
      <c r="Y130" s="1115"/>
      <c r="Z130" s="1115"/>
    </row>
    <row r="131" spans="1:26" ht="12" customHeight="1">
      <c r="A131" s="1138" cm="1">
        <f t="array" ref="A131">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78</v>
      </c>
      <c r="B131" s="1139" t="str" cm="1">
        <f t="array" ref="B131">IF($A131="","",INDEX('resident aged receivable'!$B:$B,$A131))</f>
        <v>S38-153</v>
      </c>
      <c r="C131" s="1139" t="str" cm="1">
        <f t="array" ref="C131">IF($A131="","",INDEX('resident aged receivable'!$D:$D,$A131))</f>
        <v>Randall, Sherry</v>
      </c>
      <c r="D131" s="1140" cm="1">
        <f t="array" ref="D131">IF($A131="","",INDEX('resident aged receivable'!$F:$F,$A131))</f>
        <v>45780</v>
      </c>
      <c r="E131" s="1140" cm="1">
        <f t="array" ref="E131">IF($A131="","",_xlfn.LET(_xlpm.leaseEnd,INDEX('resident aged receivable'!$H:$H,$A131),_xlpm.moLookup,IFERROR(_xlfn.LET(_xlpm.lastFirst,C131,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46142</v>
      </c>
      <c r="F131" s="1141" t="str">
        <f t="shared" si="3"/>
        <v>IPS</v>
      </c>
      <c r="G131" s="1142" t="str" cm="1">
        <f t="array" ref="G131">IF($A131="","",IF(COUNTIF($N$3:$N$24,C131)&gt;0,"Former",_xlfn.LET(_xlpm.s,INDEX('resident aged receivable'!$E:$E,$A131),IF(ISNUMBER(SEARCH("Eviction",_xlpm.s)),"Eviction",IF(ISNUMBER(SEARCH("Skip",_xlpm.s)),"Skip",IF(ISNUMBER(SEARCH("Past",_xlpm.s))+ISNUMBER(SEARCH("Collections",_xlpm.s)),"Former",_xlpm.s))))))</f>
        <v>Former</v>
      </c>
      <c r="H131" s="1143" cm="1">
        <f t="array" ref="H131">IF($A131="","",INDEX('resident aged receivable'!$I:$I,$A131))</f>
        <v>59.67</v>
      </c>
      <c r="I131" s="1143" cm="1">
        <f t="array" ref="I131">IF($A131="","",INDEX('resident aged receivable'!$J:$J,$A131))</f>
        <v>0</v>
      </c>
      <c r="J131" s="1143" cm="1">
        <f t="array" ref="J131">IF($A131="","",INDEX('resident aged receivable'!$K:$K,$A131))</f>
        <v>59.67</v>
      </c>
      <c r="K131" s="1163" t="str" cm="1">
        <f t="array" ref="K131">IFERROR(IF(B131="","",IF(SUMPRODUCT((LeaseLock!$D$2:$D$500=B131)*ISNUMBER(SEARCH(LEFT(C131,FIND(",",C131&amp;",")-1),LeaseLock!$C$2:$C$500)))=0,"",IF(LOOKUP(2,1/((LeaseLock!$D$2:$D$500=B131)*ISNUMBER(SEARCH(LEFT(C131,FIND(",",C131&amp;",")-1),LeaseLock!$C$2:$C$500))),LeaseLock!$F$2:$F$500)="Claim Denied","Claim Denied ("&amp;LOOKUP(2,1/((LeaseLock!$D$2:$D$500=B131)*ISNUMBER(SEARCH(LEFT(C131,FIND(",",C131&amp;",")-1),LeaseLock!$C$2:$C$500))),LeaseLock!$G$2:$G$500)&amp;")",IF(LOOKUP(2,1/((LeaseLock!$D$2:$D$500=B131)*ISNUMBER(SEARCH(LEFT(C131,FIND(",",C131&amp;",")-1),LeaseLock!$C$2:$C$500))),LeaseLock!$F$2:$F$500)="Open","Open - "&amp;LOOKUP(2,1/((LeaseLock!$D$2:$D$500=B131)*ISNUMBER(SEARCH(LEFT(C131,FIND(",",C131&amp;",")-1),LeaseLock!$C$2:$C$500))),LeaseLock!$G$2:$G$500),IF(LOOKUP(2,1/((LeaseLock!$D$2:$D$500=B131)*ISNUMBER(SEARCH(LEFT(C131,FIND(",",C131&amp;",")-1),LeaseLock!$C$2:$C$500))),LeaseLock!$M$2:$M$500)&gt;0,LOOKUP(2,1/((LeaseLock!$D$2:$D$500=B131)*ISNUMBER(SEARCH(LEFT(C131,FIND(",",C131&amp;",")-1),LeaseLock!$C$2:$C$500))),LeaseLock!$F$2:$F$500)&amp;" - $"&amp;TEXT(LOOKUP(2,1/((LeaseLock!$D$2:$D$500=B131)*ISNUMBER(SEARCH(LEFT(C131,FIND(",",C131&amp;",")-1),LeaseLock!$C$2:$C$500))),LeaseLock!$M$2:$M$500),"#,##0.00")&amp;" paid",LOOKUP(2,1/((LeaseLock!$D$2:$D$500=B131)*ISNUMBER(SEARCH(LEFT(C131,FIND(",",C131&amp;",")-1),LeaseLock!$C$2:$C$500))),LeaseLock!$F$2:$F$500)&amp;" - no payment"))))),"")</f>
        <v/>
      </c>
      <c r="L131" s="1148"/>
      <c r="M131" s="1134"/>
      <c r="N131" s="1134"/>
      <c r="Q131" s="1115"/>
      <c r="R131" s="1115"/>
      <c r="S131" s="1115"/>
      <c r="T131" s="1115"/>
      <c r="U131" s="1115"/>
      <c r="V131" s="1115"/>
      <c r="W131" s="1115"/>
      <c r="X131" s="1115"/>
      <c r="Y131" s="1115"/>
      <c r="Z131" s="1115"/>
    </row>
    <row r="132" spans="1:26" ht="12" customHeight="1">
      <c r="A132" s="1138" cm="1">
        <f t="array" ref="A132">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2</v>
      </c>
      <c r="B132" s="1139" t="str" cm="1">
        <f t="array" ref="B132">IF($A132="","",INDEX('resident aged receivable'!$B:$B,$A132))</f>
        <v>N01-1003</v>
      </c>
      <c r="C132" s="1139" t="str" cm="1">
        <f t="array" ref="C132">IF($A132="","",INDEX('resident aged receivable'!$D:$D,$A132))</f>
        <v>Andemariam, Nehom</v>
      </c>
      <c r="D132" s="1140" cm="1">
        <f t="array" ref="D132">IF($A132="","",INDEX('resident aged receivable'!$F:$F,$A132))</f>
        <v>45586</v>
      </c>
      <c r="E132" s="1140" cm="1">
        <f t="array" ref="E132">IF($A132="","",_xlfn.LET(_xlpm.leaseEnd,INDEX('resident aged receivable'!$H:$H,$A132),_xlpm.moLookup,IFERROR(_xlfn.LET(_xlpm.lastFirst,C132,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46011</v>
      </c>
      <c r="F132" s="1141" t="str">
        <f t="shared" si="3"/>
        <v>IPS</v>
      </c>
      <c r="G132" s="1142" t="str" cm="1">
        <f t="array" ref="G132">IF($A132="","",IF(COUNTIF($N$3:$N$24,C132)&gt;0,"Former",_xlfn.LET(_xlpm.s,INDEX('resident aged receivable'!$E:$E,$A132),IF(ISNUMBER(SEARCH("Eviction",_xlpm.s)),"Eviction",IF(ISNUMBER(SEARCH("Skip",_xlpm.s)),"Skip",IF(ISNUMBER(SEARCH("Past",_xlpm.s))+ISNUMBER(SEARCH("Collections",_xlpm.s)),"Former",_xlpm.s))))))</f>
        <v>Former</v>
      </c>
      <c r="H132" s="1143" cm="1">
        <f t="array" ref="H132">IF($A132="","",INDEX('resident aged receivable'!$I:$I,$A132))</f>
        <v>58.25</v>
      </c>
      <c r="I132" s="1143" cm="1">
        <f t="array" ref="I132">IF($A132="","",INDEX('resident aged receivable'!$J:$J,$A132))</f>
        <v>0</v>
      </c>
      <c r="J132" s="1143" cm="1">
        <f t="array" ref="J132">IF($A132="","",INDEX('resident aged receivable'!$K:$K,$A132))</f>
        <v>58.25</v>
      </c>
      <c r="K132" s="1163" t="str" cm="1">
        <f t="array" ref="K132">IFERROR(IF(B132="","",IF(SUMPRODUCT((LeaseLock!$D$2:$D$500=B132)*ISNUMBER(SEARCH(LEFT(C132,FIND(",",C132&amp;",")-1),LeaseLock!$C$2:$C$500)))=0,"",IF(LOOKUP(2,1/((LeaseLock!$D$2:$D$500=B132)*ISNUMBER(SEARCH(LEFT(C132,FIND(",",C132&amp;",")-1),LeaseLock!$C$2:$C$500))),LeaseLock!$F$2:$F$500)="Claim Denied","Claim Denied ("&amp;LOOKUP(2,1/((LeaseLock!$D$2:$D$500=B132)*ISNUMBER(SEARCH(LEFT(C132,FIND(",",C132&amp;",")-1),LeaseLock!$C$2:$C$500))),LeaseLock!$G$2:$G$500)&amp;")",IF(LOOKUP(2,1/((LeaseLock!$D$2:$D$500=B132)*ISNUMBER(SEARCH(LEFT(C132,FIND(",",C132&amp;",")-1),LeaseLock!$C$2:$C$500))),LeaseLock!$F$2:$F$500)="Open","Open - "&amp;LOOKUP(2,1/((LeaseLock!$D$2:$D$500=B132)*ISNUMBER(SEARCH(LEFT(C132,FIND(",",C132&amp;",")-1),LeaseLock!$C$2:$C$500))),LeaseLock!$G$2:$G$500),IF(LOOKUP(2,1/((LeaseLock!$D$2:$D$500=B132)*ISNUMBER(SEARCH(LEFT(C132,FIND(",",C132&amp;",")-1),LeaseLock!$C$2:$C$500))),LeaseLock!$M$2:$M$500)&gt;0,LOOKUP(2,1/((LeaseLock!$D$2:$D$500=B132)*ISNUMBER(SEARCH(LEFT(C132,FIND(",",C132&amp;",")-1),LeaseLock!$C$2:$C$500))),LeaseLock!$F$2:$F$500)&amp;" - $"&amp;TEXT(LOOKUP(2,1/((LeaseLock!$D$2:$D$500=B132)*ISNUMBER(SEARCH(LEFT(C132,FIND(",",C132&amp;",")-1),LeaseLock!$C$2:$C$500))),LeaseLock!$M$2:$M$500),"#,##0.00")&amp;" paid",LOOKUP(2,1/((LeaseLock!$D$2:$D$500=B132)*ISNUMBER(SEARCH(LEFT(C132,FIND(",",C132&amp;",")-1),LeaseLock!$C$2:$C$500))),LeaseLock!$F$2:$F$500)&amp;" - no payment"))))),"")</f>
        <v/>
      </c>
      <c r="L132" s="1148"/>
      <c r="M132" s="1134"/>
      <c r="N132" s="1134"/>
      <c r="Q132" s="1115"/>
      <c r="R132" s="1115"/>
      <c r="S132" s="1115"/>
      <c r="T132" s="1115"/>
      <c r="U132" s="1115"/>
      <c r="V132" s="1115"/>
      <c r="W132" s="1115"/>
      <c r="X132" s="1115"/>
      <c r="Y132" s="1115"/>
      <c r="Z132" s="1115"/>
    </row>
    <row r="133" spans="1:26" ht="12" customHeight="1">
      <c r="A133" s="1138" cm="1">
        <f t="array" ref="A133">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107</v>
      </c>
      <c r="B133" s="1139" t="str" cm="1">
        <f t="array" ref="B133">IF($A133="","",INDEX('resident aged receivable'!$B:$B,$A133))</f>
        <v>W05-1-0524</v>
      </c>
      <c r="C133" s="1139" t="str" cm="1">
        <f t="array" ref="C133">IF($A133="","",INDEX('resident aged receivable'!$D:$D,$A133))</f>
        <v>Ramones, Yeferson</v>
      </c>
      <c r="D133" s="1140" cm="1">
        <f t="array" ref="D133">IF($A133="","",INDEX('resident aged receivable'!$F:$F,$A133))</f>
        <v>45745</v>
      </c>
      <c r="E133" s="1140" cm="1">
        <f t="array" ref="E133">IF($A133="","",_xlfn.LET(_xlpm.leaseEnd,INDEX('resident aged receivable'!$H:$H,$A133),_xlpm.moLookup,IFERROR(_xlfn.LET(_xlpm.lastFirst,C133,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46113</v>
      </c>
      <c r="F133" s="1141" t="str">
        <f t="shared" si="3"/>
        <v>IPS</v>
      </c>
      <c r="G133" s="1142" t="str" cm="1">
        <f t="array" ref="G133">IF($A133="","",IF(COUNTIF($N$3:$N$24,C133)&gt;0,"Former",_xlfn.LET(_xlpm.s,INDEX('resident aged receivable'!$E:$E,$A133),IF(ISNUMBER(SEARCH("Eviction",_xlpm.s)),"Eviction",IF(ISNUMBER(SEARCH("Skip",_xlpm.s)),"Skip",IF(ISNUMBER(SEARCH("Past",_xlpm.s))+ISNUMBER(SEARCH("Collections",_xlpm.s)),"Former",_xlpm.s))))))</f>
        <v>Former</v>
      </c>
      <c r="H133" s="1143" cm="1">
        <f t="array" ref="H133">IF($A133="","",INDEX('resident aged receivable'!$I:$I,$A133))</f>
        <v>35</v>
      </c>
      <c r="I133" s="1143" cm="1">
        <f t="array" ref="I133">IF($A133="","",INDEX('resident aged receivable'!$J:$J,$A133))</f>
        <v>35</v>
      </c>
      <c r="J133" s="1143" cm="1">
        <f t="array" ref="J133">IF($A133="","",INDEX('resident aged receivable'!$K:$K,$A133))</f>
        <v>0</v>
      </c>
      <c r="K133" s="1163" t="str" cm="1">
        <f t="array" ref="K133">IFERROR(IF(B133="","",IF(SUMPRODUCT((LeaseLock!$D$2:$D$500=B133)*ISNUMBER(SEARCH(LEFT(C133,FIND(",",C133&amp;",")-1),LeaseLock!$C$2:$C$500)))=0,"",IF(LOOKUP(2,1/((LeaseLock!$D$2:$D$500=B133)*ISNUMBER(SEARCH(LEFT(C133,FIND(",",C133&amp;",")-1),LeaseLock!$C$2:$C$500))),LeaseLock!$F$2:$F$500)="Claim Denied","Claim Denied ("&amp;LOOKUP(2,1/((LeaseLock!$D$2:$D$500=B133)*ISNUMBER(SEARCH(LEFT(C133,FIND(",",C133&amp;",")-1),LeaseLock!$C$2:$C$500))),LeaseLock!$G$2:$G$500)&amp;")",IF(LOOKUP(2,1/((LeaseLock!$D$2:$D$500=B133)*ISNUMBER(SEARCH(LEFT(C133,FIND(",",C133&amp;",")-1),LeaseLock!$C$2:$C$500))),LeaseLock!$F$2:$F$500)="Open","Open - "&amp;LOOKUP(2,1/((LeaseLock!$D$2:$D$500=B133)*ISNUMBER(SEARCH(LEFT(C133,FIND(",",C133&amp;",")-1),LeaseLock!$C$2:$C$500))),LeaseLock!$G$2:$G$500),IF(LOOKUP(2,1/((LeaseLock!$D$2:$D$500=B133)*ISNUMBER(SEARCH(LEFT(C133,FIND(",",C133&amp;",")-1),LeaseLock!$C$2:$C$500))),LeaseLock!$M$2:$M$500)&gt;0,LOOKUP(2,1/((LeaseLock!$D$2:$D$500=B133)*ISNUMBER(SEARCH(LEFT(C133,FIND(",",C133&amp;",")-1),LeaseLock!$C$2:$C$500))),LeaseLock!$F$2:$F$500)&amp;" - $"&amp;TEXT(LOOKUP(2,1/((LeaseLock!$D$2:$D$500=B133)*ISNUMBER(SEARCH(LEFT(C133,FIND(",",C133&amp;",")-1),LeaseLock!$C$2:$C$500))),LeaseLock!$M$2:$M$500),"#,##0.00")&amp;" paid",LOOKUP(2,1/((LeaseLock!$D$2:$D$500=B133)*ISNUMBER(SEARCH(LEFT(C133,FIND(",",C133&amp;",")-1),LeaseLock!$C$2:$C$500))),LeaseLock!$F$2:$F$500)&amp;" - no payment"))))),"")</f>
        <v/>
      </c>
      <c r="L133" s="1148"/>
      <c r="M133" s="1134"/>
      <c r="N133" s="1134"/>
      <c r="Q133" s="1115"/>
      <c r="R133" s="1115"/>
      <c r="S133" s="1115"/>
      <c r="T133" s="1115"/>
      <c r="U133" s="1115"/>
      <c r="V133" s="1115"/>
      <c r="W133" s="1115"/>
      <c r="X133" s="1115"/>
      <c r="Y133" s="1115"/>
      <c r="Z133" s="1115"/>
    </row>
    <row r="134" spans="1:26" ht="12" hidden="1" customHeight="1">
      <c r="A134" s="1138" t="str" cm="1">
        <f t="array" ref="A134">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
      </c>
      <c r="B134" s="1139" t="str" cm="1">
        <f t="array" ref="B134">IF($A134="","",INDEX('resident aged receivable'!$B:$B,$A134))</f>
        <v/>
      </c>
      <c r="C134" s="1139" t="str" cm="1">
        <f t="array" ref="C134">IF($A134="","",INDEX('resident aged receivable'!$D:$D,$A134))</f>
        <v/>
      </c>
      <c r="D134" s="1140" t="str" cm="1">
        <f t="array" ref="D134">IF($A134="","",INDEX('resident aged receivable'!$F:$F,$A134))</f>
        <v/>
      </c>
      <c r="E134" s="1140" t="str" cm="1">
        <f t="array" ref="E134">IF($A134="","",_xlfn.LET(_xlpm.leaseEnd,INDEX('resident aged receivable'!$H:$H,$A134),_xlpm.moLookup,IFERROR(_xlfn.LET(_xlpm.lastFirst,C134,_xlpm.lastName,IFERROR(TRIM(LEFT(_xlpm.lastFirst,FIND(",",_xlpm.lastFirst)-1)),_xlpm.lastFirst),_xlpm.firstName,IFERROR(TRIM(MID(_xlpm.lastFirst,FIND(",",_xlpm.lastFirst)+1,100)),""),_xlpm.matches,IF((ISNUMBER(SEARCH(_xlpm.lastName,Move_Outs_ResMan!$C$8:$C$500)))*(ISNUMBER(SEARCH(_xlpm.firstName,Move_Outs_ResMan!$C$8:$C$500))),Move_Outs_ResMan!$G$8:$G$500),_xlpm.maxDate,MAX(_xlpm.matches),IF(_xlpm.maxDate=0,"",_xlpm.maxDate)),""),IF(ISNUMBER(_xlpm.leaseEnd),_xlpm.leaseEnd,IF(_xlpm.moLookup="","",_xlpm.moLookup))))</f>
        <v/>
      </c>
      <c r="F134" s="1141" t="str">
        <f t="shared" si="3"/>
        <v/>
      </c>
      <c r="G134" s="1142" t="str" cm="1">
        <f t="array" ref="G134">IF($A134="","",IF(COUNTIF($N$3:$N$24,C134)&gt;0,"Former",_xlfn.LET(_xlpm.s,INDEX('resident aged receivable'!$E:$E,$A134),IF(ISNUMBER(SEARCH("Eviction",_xlpm.s)),"Eviction",IF(ISNUMBER(SEARCH("Skip",_xlpm.s)),"Skip",IF(ISNUMBER(SEARCH("Past",_xlpm.s))+ISNUMBER(SEARCH("Collections",_xlpm.s)),"Former",_xlpm.s))))))</f>
        <v/>
      </c>
      <c r="H134" s="1143" t="str" cm="1">
        <f t="array" ref="H134">IF($A134="","",INDEX('resident aged receivable'!$I:$I,$A134))</f>
        <v/>
      </c>
      <c r="I134" s="1143" t="str" cm="1">
        <f t="array" ref="I134">IF($A134="","",INDEX('resident aged receivable'!$J:$J,$A134))</f>
        <v/>
      </c>
      <c r="J134" s="1143" t="str" cm="1">
        <f t="array" ref="J134">IF($A134="","",INDEX('resident aged receivable'!$K:$K,$A134))</f>
        <v/>
      </c>
      <c r="K134" s="1163" t="str" cm="1">
        <f t="array" ref="K134">IFERROR(IF(B134="","",IF(SUMPRODUCT((LeaseLock!$D$2:$D$500=B134)*ISNUMBER(SEARCH(LEFT(C134,FIND(",",C134&amp;",")-1),LeaseLock!$C$2:$C$500)))=0,"",IF(LOOKUP(2,1/((LeaseLock!$D$2:$D$500=B134)*ISNUMBER(SEARCH(LEFT(C134,FIND(",",C134&amp;",")-1),LeaseLock!$C$2:$C$500))),LeaseLock!$F$2:$F$500)="Claim Denied","Claim Denied ("&amp;LOOKUP(2,1/((LeaseLock!$D$2:$D$500=B134)*ISNUMBER(SEARCH(LEFT(C134,FIND(",",C134&amp;",")-1),LeaseLock!$C$2:$C$500))),LeaseLock!$G$2:$G$500)&amp;")",IF(LOOKUP(2,1/((LeaseLock!$D$2:$D$500=B134)*ISNUMBER(SEARCH(LEFT(C134,FIND(",",C134&amp;",")-1),LeaseLock!$C$2:$C$500))),LeaseLock!$F$2:$F$500)="Open","Open - "&amp;LOOKUP(2,1/((LeaseLock!$D$2:$D$500=B134)*ISNUMBER(SEARCH(LEFT(C134,FIND(",",C134&amp;",")-1),LeaseLock!$C$2:$C$500))),LeaseLock!$G$2:$G$500),IF(LOOKUP(2,1/((LeaseLock!$D$2:$D$500=B134)*ISNUMBER(SEARCH(LEFT(C134,FIND(",",C134&amp;",")-1),LeaseLock!$C$2:$C$500))),LeaseLock!$M$2:$M$500)&gt;0,LOOKUP(2,1/((LeaseLock!$D$2:$D$500=B134)*ISNUMBER(SEARCH(LEFT(C134,FIND(",",C134&amp;",")-1),LeaseLock!$C$2:$C$500))),LeaseLock!$F$2:$F$500)&amp;" - $"&amp;TEXT(LOOKUP(2,1/((LeaseLock!$D$2:$D$500=B134)*ISNUMBER(SEARCH(LEFT(C134,FIND(",",C134&amp;",")-1),LeaseLock!$C$2:$C$500))),LeaseLock!$M$2:$M$500),"#,##0.00")&amp;" paid",LOOKUP(2,1/((LeaseLock!$D$2:$D$500=B134)*ISNUMBER(SEARCH(LEFT(C134,FIND(",",C134&amp;",")-1),LeaseLock!$C$2:$C$500))),LeaseLock!$F$2:$F$500)&amp;" - no payment"))))),"")</f>
        <v/>
      </c>
      <c r="L134" s="1148"/>
      <c r="M134" s="1134"/>
      <c r="N134" s="1134"/>
      <c r="Q134" s="1115"/>
      <c r="R134" s="1115"/>
      <c r="S134" s="1115"/>
      <c r="T134" s="1115"/>
      <c r="U134" s="1115"/>
      <c r="V134" s="1115"/>
      <c r="W134" s="1115"/>
      <c r="X134" s="1115"/>
      <c r="Y134" s="1115"/>
      <c r="Z134" s="1115"/>
    </row>
    <row r="135" spans="1:26" ht="12" customHeight="1">
      <c r="A135" s="1138" t="str" cm="1">
        <f t="array" ref="A135">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
      </c>
      <c r="B135" s="1149" t="str" cm="1">
        <f t="array" ref="B135">"TOTAL ("&amp;SUMPRODUCT(((ISNUMBER(SEARCH("Eviction",'resident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receivable'!$I$2:$I$500&gt;0))&amp;" accounts)"</f>
        <v>TOTAL (121 accounts)</v>
      </c>
      <c r="C135" s="1150"/>
      <c r="D135" s="1150"/>
      <c r="E135" s="1150"/>
      <c r="F135" s="1150"/>
      <c r="G135" s="1150"/>
      <c r="H135" s="1151">
        <f>SUM(H17:H134)</f>
        <v>455871.65000000014</v>
      </c>
      <c r="I135" s="1151">
        <f>SUM(I17:I134)</f>
        <v>81163.199999999997</v>
      </c>
      <c r="J135" s="1151">
        <f>SUM(J17:J134)</f>
        <v>104243.85000000002</v>
      </c>
      <c r="K135" s="1165"/>
      <c r="L135" s="1150"/>
      <c r="M135" s="1134"/>
      <c r="N135" s="1134"/>
      <c r="Q135" s="1115"/>
      <c r="R135" s="1115"/>
      <c r="S135" s="1115"/>
      <c r="T135" s="1115"/>
      <c r="U135" s="1115"/>
      <c r="V135" s="1115"/>
      <c r="W135" s="1115"/>
      <c r="X135" s="1115"/>
      <c r="Y135" s="1115"/>
      <c r="Z135" s="1115"/>
    </row>
    <row r="136" spans="1:26" ht="12" customHeight="1">
      <c r="A136" s="1138" t="str" cm="1">
        <f t="array" ref="A136">IFERROR(_xlfn.LET(_xlpm.n,ROW()-12,_xlpm.adj,IF((((ISNUMBER(SEARCH("Eviction",'resident aged receivable'!$E$2:$E$500)))+(ISNUMBER(SEARCH("Past",'resident aged receivable'!$E$2:$E$500)))+(ISNUMBER(SEARCH("Skip",'resident aged receivable'!$E$2:$E$500)))+(ISNUMBER(SEARCH("Collections",'resident aged receivable'!$E$2:$E$500)))+(COUNTIF($N$3:$N$24,'resident aged receivable'!$D$2:$D$500)&gt;0))&gt;0)*(COUNTIF($P$3:$P$24,'resident aged receivable'!$D$2:$D$500)=0)*('resident aged receivable'!$I$2:$I$500&gt;0),'resident aged receivable'!$I$2:$I$500-ROW('resident aged receivable'!$I$2:$I$500)/1000000),_xlpm.tgt,LARGE(_xlpm.adj,_xlpm.n),MATCH(_xlpm.tgt,_xlpm.adj,0)+1),"")</f>
        <v/>
      </c>
      <c r="B136" s="1134"/>
      <c r="C136" s="1134"/>
      <c r="D136" s="1134"/>
      <c r="E136" s="1134"/>
      <c r="F136" s="1134"/>
      <c r="G136" s="1134"/>
      <c r="H136" s="1134"/>
      <c r="I136" s="1134"/>
      <c r="J136" s="1134"/>
      <c r="K136" s="1134"/>
      <c r="L136" s="1134"/>
      <c r="M136" s="1134"/>
      <c r="N136" s="1134"/>
      <c r="Q136" s="1115"/>
      <c r="R136" s="1115"/>
      <c r="S136" s="1115"/>
      <c r="T136" s="1115"/>
      <c r="U136" s="1115"/>
      <c r="V136" s="1115"/>
      <c r="W136" s="1115"/>
      <c r="X136" s="1115"/>
      <c r="Y136" s="1115"/>
      <c r="Z136" s="1115"/>
    </row>
    <row r="137" spans="1:26" ht="12" customHeight="1">
      <c r="A137" s="1134"/>
      <c r="B137" s="1152" t="str">
        <f>CONCATENATE("CURRENT RESIDENTS (≥ ",TEXT($H$3,"$#,##0"),")")</f>
        <v>CURRENT RESIDENTS (≥ $750)</v>
      </c>
      <c r="C137" s="1152"/>
      <c r="D137" s="1152"/>
      <c r="E137" s="1152"/>
      <c r="F137" s="1152"/>
      <c r="G137" s="1152"/>
      <c r="H137" s="1152"/>
      <c r="I137" s="1152"/>
      <c r="J137" s="1152"/>
      <c r="K137" s="1152"/>
      <c r="L137" s="1152"/>
      <c r="M137" s="1134"/>
      <c r="N137" s="1134"/>
      <c r="Q137" s="1115"/>
      <c r="R137" s="1115"/>
      <c r="S137" s="1115"/>
      <c r="T137" s="1115"/>
      <c r="U137" s="1115"/>
      <c r="V137" s="1115"/>
      <c r="W137" s="1115"/>
      <c r="X137" s="1115"/>
      <c r="Y137" s="1115"/>
      <c r="Z137" s="1115"/>
    </row>
    <row r="138" spans="1:26" ht="12" customHeight="1">
      <c r="A138" s="1134"/>
      <c r="B138" s="1136" t="s">
        <v>496</v>
      </c>
      <c r="C138" s="1136" t="s">
        <v>497</v>
      </c>
      <c r="D138" s="1136" t="s">
        <v>498</v>
      </c>
      <c r="E138" s="1136" t="s">
        <v>499</v>
      </c>
      <c r="F138" s="1136" t="s">
        <v>500</v>
      </c>
      <c r="G138" s="1136" t="s">
        <v>340</v>
      </c>
      <c r="H138" s="1136" t="s">
        <v>501</v>
      </c>
      <c r="I138" s="1136" t="s">
        <v>502</v>
      </c>
      <c r="J138" s="1136" t="s">
        <v>503</v>
      </c>
      <c r="K138" s="1136"/>
      <c r="L138" s="1136" t="s">
        <v>506</v>
      </c>
      <c r="M138" s="1134"/>
      <c r="N138" s="1134"/>
      <c r="Q138" s="1115"/>
      <c r="R138" s="1115"/>
      <c r="S138" s="1115"/>
      <c r="T138" s="1115"/>
      <c r="U138" s="1115"/>
      <c r="V138" s="1115"/>
      <c r="W138" s="1115"/>
      <c r="X138" s="1115"/>
      <c r="Y138" s="1115"/>
      <c r="Z138" s="1115"/>
    </row>
    <row r="139" spans="1:26" ht="12" customHeight="1">
      <c r="A139" s="1138" cm="1">
        <f t="array" ref="A139">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108</v>
      </c>
      <c r="B139" s="1139" t="str" cm="1">
        <f t="array" ref="B139">IF($A139="","",INDEX('resident aged receivable'!$B:$B,$A139))</f>
        <v>W06-1-0605</v>
      </c>
      <c r="C139" s="1139" t="str" cm="1">
        <f t="array" ref="C139">IF($A139="","",INDEX('resident aged receivable'!$D:$D,$A139))</f>
        <v>Sanders, Dwayne</v>
      </c>
      <c r="D139" s="1140" cm="1">
        <f t="array" ref="D139">IF($A139="","",INDEX('resident aged receivable'!$F:$F,$A139))</f>
        <v>43964</v>
      </c>
      <c r="E139" s="1140" t="str" cm="1">
        <f t="array" ref="E139">IF($A139="","",_xlfn.LET(_xlpm.leaseEnd,INDEX('resident aged receivable'!$H:$H,$A139),_xlpm.s,INDEX('resident aged receivable'!$E:$E,$A139),IF(ISNUMBER(SEARCH("Current",_xlpm.s))+ISNUMBER(SEARCH("Notice",_xlpm.s)),"",IF(ISNUMBER(_xlpm.leaseEnd),_xlpm.leaseEnd,""))))</f>
        <v/>
      </c>
      <c r="F139" s="1139" t="str">
        <f t="shared" ref="F139:F181" si="4">IF(D139="","",IF(D139&lt;DATE(2025,12,15),"IPS","CAF"))</f>
        <v>IPS</v>
      </c>
      <c r="G139" s="1142" t="str" cm="1">
        <f t="array" ref="G139">IF($A139="","",IF(COUNTIF($N$3:$N$24,C139)&gt;0,"Former",_xlfn.LET(_xlpm.s,INDEX('resident aged receivable'!$E:$E,$A139),IF(ISNUMBER(SEARCH("Eviction",_xlpm.s)),"Eviction",IF(ISNUMBER(SEARCH("Skip",_xlpm.s)),"Skip",IF(ISNUMBER(SEARCH("Past",_xlpm.s))+ISNUMBER(SEARCH("Collections",_xlpm.s)),"Former",_xlpm.s))))))</f>
        <v>Eviction</v>
      </c>
      <c r="H139" s="1153" cm="1">
        <f t="array" ref="H139">IF($A139="","",INDEX('resident aged receivable'!$I:$I,$A139))</f>
        <v>33692.089999999997</v>
      </c>
      <c r="I139" s="1153" cm="1">
        <f t="array" ref="I139">IF($A139="","",INDEX('resident aged receivable'!$J:$J,$A139))</f>
        <v>1516.78</v>
      </c>
      <c r="J139" s="1153" cm="1">
        <f t="array" ref="J139">IF($A139="","",INDEX('resident aged receivable'!$K:$K,$A139))</f>
        <v>1530.19</v>
      </c>
      <c r="K139" s="1163" t="str" cm="1">
        <f t="array" ref="K139">IFERROR(IF(B139="","",IF(SUMPRODUCT((LeaseLock!$D$2:$D$500=B139)*ISNUMBER(SEARCH(LEFT(C139,FIND(",",C139&amp;",")-1),LeaseLock!$C$2:$C$500)))=0,"",IF(LOOKUP(2,1/((LeaseLock!$D$2:$D$500=B139)*ISNUMBER(SEARCH(LEFT(C139,FIND(",",C139&amp;",")-1),LeaseLock!$C$2:$C$500))),LeaseLock!$F$2:$F$500)="Claim Denied","Claim Denied ("&amp;LOOKUP(2,1/((LeaseLock!$D$2:$D$500=B139)*ISNUMBER(SEARCH(LEFT(C139,FIND(",",C139&amp;",")-1),LeaseLock!$C$2:$C$500))),LeaseLock!$G$2:$G$500)&amp;")",IF(LOOKUP(2,1/((LeaseLock!$D$2:$D$500=B139)*ISNUMBER(SEARCH(LEFT(C139,FIND(",",C139&amp;",")-1),LeaseLock!$C$2:$C$500))),LeaseLock!$F$2:$F$500)="Open","Open - "&amp;LOOKUP(2,1/((LeaseLock!$D$2:$D$500=B139)*ISNUMBER(SEARCH(LEFT(C139,FIND(",",C139&amp;",")-1),LeaseLock!$C$2:$C$500))),LeaseLock!$G$2:$G$500),IF(LOOKUP(2,1/((LeaseLock!$D$2:$D$500=B139)*ISNUMBER(SEARCH(LEFT(C139,FIND(",",C139&amp;",")-1),LeaseLock!$C$2:$C$500))),LeaseLock!$M$2:$M$500)&gt;0,LOOKUP(2,1/((LeaseLock!$D$2:$D$500=B139)*ISNUMBER(SEARCH(LEFT(C139,FIND(",",C139&amp;",")-1),LeaseLock!$C$2:$C$500))),LeaseLock!$F$2:$F$500)&amp;" - $"&amp;TEXT(LOOKUP(2,1/((LeaseLock!$D$2:$D$500=B139)*ISNUMBER(SEARCH(LEFT(C139,FIND(",",C139&amp;",")-1),LeaseLock!$C$2:$C$500))),LeaseLock!$M$2:$M$500),"#,##0.00")&amp;" paid",LOOKUP(2,1/((LeaseLock!$D$2:$D$500=B139)*ISNUMBER(SEARCH(LEFT(C139,FIND(",",C139&amp;",")-1),LeaseLock!$C$2:$C$500))),LeaseLock!$F$2:$F$500)&amp;" - no payment"))))),"")</f>
        <v/>
      </c>
      <c r="L139" s="1148" t="s">
        <v>7549</v>
      </c>
      <c r="M139" s="1134"/>
      <c r="N139" s="1134"/>
      <c r="Q139" s="1115"/>
      <c r="R139" s="1115"/>
      <c r="S139" s="1115"/>
      <c r="T139" s="1115"/>
      <c r="U139" s="1115"/>
      <c r="V139" s="1115"/>
      <c r="W139" s="1115"/>
      <c r="X139" s="1115"/>
      <c r="Y139" s="1115"/>
      <c r="Z139" s="1115"/>
    </row>
    <row r="140" spans="1:26" ht="12" customHeight="1">
      <c r="A140" s="1138" cm="1">
        <f t="array" ref="A140">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134</v>
      </c>
      <c r="B140" s="1139" t="str" cm="1">
        <f t="array" ref="B140">IF($A140="","",INDEX('resident aged receivable'!$B:$B,$A140))</f>
        <v>W12-1-1202</v>
      </c>
      <c r="C140" s="1139" t="str" cm="1">
        <f t="array" ref="C140">IF($A140="","",INDEX('resident aged receivable'!$D:$D,$A140))</f>
        <v>Harris, Mahogany</v>
      </c>
      <c r="D140" s="1140" cm="1">
        <f t="array" ref="D140">IF($A140="","",INDEX('resident aged receivable'!$F:$F,$A140))</f>
        <v>45569</v>
      </c>
      <c r="E140" s="1140" t="str" cm="1">
        <f t="array" ref="E140">IF($A140="","",_xlfn.LET(_xlpm.leaseEnd,INDEX('resident aged receivable'!$H:$H,$A140),_xlpm.s,INDEX('resident aged receivable'!$E:$E,$A140),IF(ISNUMBER(SEARCH("Current",_xlpm.s))+ISNUMBER(SEARCH("Notice",_xlpm.s)),"",IF(ISNUMBER(_xlpm.leaseEnd),_xlpm.leaseEnd,""))))</f>
        <v/>
      </c>
      <c r="F140" s="1139" t="str">
        <f t="shared" si="4"/>
        <v>IPS</v>
      </c>
      <c r="G140" s="1142" t="str" cm="1">
        <f t="array" ref="G140">IF($A140="","",IF(COUNTIF($N$3:$N$24,C140)&gt;0,"Former",_xlfn.LET(_xlpm.s,INDEX('resident aged receivable'!$E:$E,$A140),IF(ISNUMBER(SEARCH("Eviction",_xlpm.s)),"Eviction",IF(ISNUMBER(SEARCH("Skip",_xlpm.s)),"Skip",IF(ISNUMBER(SEARCH("Past",_xlpm.s))+ISNUMBER(SEARCH("Collections",_xlpm.s)),"Former",_xlpm.s))))))</f>
        <v>Eviction</v>
      </c>
      <c r="H140" s="1153" cm="1">
        <f t="array" ref="H140">IF($A140="","",INDEX('resident aged receivable'!$I:$I,$A140))</f>
        <v>31361.23</v>
      </c>
      <c r="I140" s="1153" cm="1">
        <f t="array" ref="I140">IF($A140="","",INDEX('resident aged receivable'!$J:$J,$A140))</f>
        <v>1750.14</v>
      </c>
      <c r="J140" s="1153" cm="1">
        <f t="array" ref="J140">IF($A140="","",INDEX('resident aged receivable'!$K:$K,$A140))</f>
        <v>3143.75</v>
      </c>
      <c r="K140" s="1163" t="str" cm="1">
        <f t="array" ref="K140">IFERROR(IF(B140="","",IF(SUMPRODUCT((LeaseLock!$D$2:$D$500=B140)*ISNUMBER(SEARCH(LEFT(C140,FIND(",",C140&amp;",")-1),LeaseLock!$C$2:$C$500)))=0,"",IF(LOOKUP(2,1/((LeaseLock!$D$2:$D$500=B140)*ISNUMBER(SEARCH(LEFT(C140,FIND(",",C140&amp;",")-1),LeaseLock!$C$2:$C$500))),LeaseLock!$F$2:$F$500)="Claim Denied","Claim Denied ("&amp;LOOKUP(2,1/((LeaseLock!$D$2:$D$500=B140)*ISNUMBER(SEARCH(LEFT(C140,FIND(",",C140&amp;",")-1),LeaseLock!$C$2:$C$500))),LeaseLock!$G$2:$G$500)&amp;")",IF(LOOKUP(2,1/((LeaseLock!$D$2:$D$500=B140)*ISNUMBER(SEARCH(LEFT(C140,FIND(",",C140&amp;",")-1),LeaseLock!$C$2:$C$500))),LeaseLock!$F$2:$F$500)="Open","Open - "&amp;LOOKUP(2,1/((LeaseLock!$D$2:$D$500=B140)*ISNUMBER(SEARCH(LEFT(C140,FIND(",",C140&amp;",")-1),LeaseLock!$C$2:$C$500))),LeaseLock!$G$2:$G$500),IF(LOOKUP(2,1/((LeaseLock!$D$2:$D$500=B140)*ISNUMBER(SEARCH(LEFT(C140,FIND(",",C140&amp;",")-1),LeaseLock!$C$2:$C$500))),LeaseLock!$M$2:$M$500)&gt;0,LOOKUP(2,1/((LeaseLock!$D$2:$D$500=B140)*ISNUMBER(SEARCH(LEFT(C140,FIND(",",C140&amp;",")-1),LeaseLock!$C$2:$C$500))),LeaseLock!$F$2:$F$500)&amp;" - $"&amp;TEXT(LOOKUP(2,1/((LeaseLock!$D$2:$D$500=B140)*ISNUMBER(SEARCH(LEFT(C140,FIND(",",C140&amp;",")-1),LeaseLock!$C$2:$C$500))),LeaseLock!$M$2:$M$500),"#,##0.00")&amp;" paid",LOOKUP(2,1/((LeaseLock!$D$2:$D$500=B140)*ISNUMBER(SEARCH(LEFT(C140,FIND(",",C140&amp;",")-1),LeaseLock!$C$2:$C$500))),LeaseLock!$F$2:$F$500)&amp;" - no payment"))))),"")</f>
        <v/>
      </c>
      <c r="L140" s="1148" t="s">
        <v>6744</v>
      </c>
      <c r="M140" s="1134"/>
      <c r="N140" s="1134"/>
      <c r="Q140" s="1115"/>
      <c r="R140" s="1115"/>
      <c r="S140" s="1115"/>
      <c r="T140" s="1115"/>
      <c r="U140" s="1115"/>
      <c r="V140" s="1115"/>
      <c r="W140" s="1115"/>
      <c r="X140" s="1115"/>
      <c r="Y140" s="1115"/>
      <c r="Z140" s="1115"/>
    </row>
    <row r="141" spans="1:26" ht="12" customHeight="1">
      <c r="A141" s="1138" cm="1">
        <f t="array" ref="A141">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188</v>
      </c>
      <c r="B141" s="1139" t="str" cm="1">
        <f t="array" ref="B141">IF($A141="","",INDEX('resident aged receivable'!$B:$B,$A141))</f>
        <v>W24-2-2039</v>
      </c>
      <c r="C141" s="1139" t="str" cm="1">
        <f t="array" ref="C141">IF($A141="","",INDEX('resident aged receivable'!$D:$D,$A141))</f>
        <v>Fridia, Rodrinesha</v>
      </c>
      <c r="D141" s="1140" cm="1">
        <f t="array" ref="D141">IF($A141="","",INDEX('resident aged receivable'!$F:$F,$A141))</f>
        <v>45590</v>
      </c>
      <c r="E141" s="1140" t="str" cm="1">
        <f t="array" ref="E141">IF($A141="","",_xlfn.LET(_xlpm.leaseEnd,INDEX('resident aged receivable'!$H:$H,$A141),_xlpm.s,INDEX('resident aged receivable'!$E:$E,$A141),IF(ISNUMBER(SEARCH("Current",_xlpm.s))+ISNUMBER(SEARCH("Notice",_xlpm.s)),"",IF(ISNUMBER(_xlpm.leaseEnd),_xlpm.leaseEnd,""))))</f>
        <v/>
      </c>
      <c r="F141" s="1139" t="str">
        <f t="shared" si="4"/>
        <v>IPS</v>
      </c>
      <c r="G141" s="1142" t="str" cm="1">
        <f t="array" ref="G141">IF($A141="","",IF(COUNTIF($N$3:$N$24,C141)&gt;0,"Former",_xlfn.LET(_xlpm.s,INDEX('resident aged receivable'!$E:$E,$A141),IF(ISNUMBER(SEARCH("Eviction",_xlpm.s)),"Eviction",IF(ISNUMBER(SEARCH("Skip",_xlpm.s)),"Skip",IF(ISNUMBER(SEARCH("Past",_xlpm.s))+ISNUMBER(SEARCH("Collections",_xlpm.s)),"Former",_xlpm.s))))))</f>
        <v>Eviction</v>
      </c>
      <c r="H141" s="1153" cm="1">
        <f t="array" ref="H141">IF($A141="","",INDEX('resident aged receivable'!$I:$I,$A141))</f>
        <v>16796.77</v>
      </c>
      <c r="I141" s="1153" cm="1">
        <f t="array" ref="I141">IF($A141="","",INDEX('resident aged receivable'!$J:$J,$A141))</f>
        <v>1290.3699999999999</v>
      </c>
      <c r="J141" s="1153" cm="1">
        <f t="array" ref="J141">IF($A141="","",INDEX('resident aged receivable'!$K:$K,$A141))</f>
        <v>1301.1300000000001</v>
      </c>
      <c r="K141" s="1163" t="str" cm="1">
        <f t="array" ref="K141">IFERROR(IF(B141="","",IF(SUMPRODUCT((LeaseLock!$D$2:$D$500=B141)*ISNUMBER(SEARCH(LEFT(C141,FIND(",",C141&amp;",")-1),LeaseLock!$C$2:$C$500)))=0,"",IF(LOOKUP(2,1/((LeaseLock!$D$2:$D$500=B141)*ISNUMBER(SEARCH(LEFT(C141,FIND(",",C141&amp;",")-1),LeaseLock!$C$2:$C$500))),LeaseLock!$F$2:$F$500)="Claim Denied","Claim Denied ("&amp;LOOKUP(2,1/((LeaseLock!$D$2:$D$500=B141)*ISNUMBER(SEARCH(LEFT(C141,FIND(",",C141&amp;",")-1),LeaseLock!$C$2:$C$500))),LeaseLock!$G$2:$G$500)&amp;")",IF(LOOKUP(2,1/((LeaseLock!$D$2:$D$500=B141)*ISNUMBER(SEARCH(LEFT(C141,FIND(",",C141&amp;",")-1),LeaseLock!$C$2:$C$500))),LeaseLock!$F$2:$F$500)="Open","Open - "&amp;LOOKUP(2,1/((LeaseLock!$D$2:$D$500=B141)*ISNUMBER(SEARCH(LEFT(C141,FIND(",",C141&amp;",")-1),LeaseLock!$C$2:$C$500))),LeaseLock!$G$2:$G$500),IF(LOOKUP(2,1/((LeaseLock!$D$2:$D$500=B141)*ISNUMBER(SEARCH(LEFT(C141,FIND(",",C141&amp;",")-1),LeaseLock!$C$2:$C$500))),LeaseLock!$M$2:$M$500)&gt;0,LOOKUP(2,1/((LeaseLock!$D$2:$D$500=B141)*ISNUMBER(SEARCH(LEFT(C141,FIND(",",C141&amp;",")-1),LeaseLock!$C$2:$C$500))),LeaseLock!$F$2:$F$500)&amp;" - $"&amp;TEXT(LOOKUP(2,1/((LeaseLock!$D$2:$D$500=B141)*ISNUMBER(SEARCH(LEFT(C141,FIND(",",C141&amp;",")-1),LeaseLock!$C$2:$C$500))),LeaseLock!$M$2:$M$500),"#,##0.00")&amp;" paid",LOOKUP(2,1/((LeaseLock!$D$2:$D$500=B141)*ISNUMBER(SEARCH(LEFT(C141,FIND(",",C141&amp;",")-1),LeaseLock!$C$2:$C$500))),LeaseLock!$F$2:$F$500)&amp;" - no payment"))))),"")</f>
        <v/>
      </c>
      <c r="L141" s="1148" t="s">
        <v>6744</v>
      </c>
      <c r="M141" s="1134"/>
      <c r="N141" s="1134"/>
      <c r="Q141" s="1115"/>
      <c r="R141" s="1115"/>
      <c r="S141" s="1115"/>
      <c r="T141" s="1115"/>
      <c r="U141" s="1115"/>
      <c r="V141" s="1115"/>
      <c r="W141" s="1115"/>
      <c r="X141" s="1115"/>
      <c r="Y141" s="1115"/>
      <c r="Z141" s="1115"/>
    </row>
    <row r="142" spans="1:26" ht="12" customHeight="1">
      <c r="A142" s="1138" cm="1">
        <f t="array" ref="A142">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174</v>
      </c>
      <c r="B142" s="1139" t="str" cm="1">
        <f t="array" ref="B142">IF($A142="","",INDEX('resident aged receivable'!$B:$B,$A142))</f>
        <v>W20-2-2065</v>
      </c>
      <c r="C142" s="1139" t="str" cm="1">
        <f t="array" ref="C142">IF($A142="","",INDEX('resident aged receivable'!$D:$D,$A142))</f>
        <v>Simpson, William</v>
      </c>
      <c r="D142" s="1140" cm="1">
        <f t="array" ref="D142">IF($A142="","",INDEX('resident aged receivable'!$F:$F,$A142))</f>
        <v>45848</v>
      </c>
      <c r="E142" s="1140" t="str" cm="1">
        <f t="array" ref="E142">IF($A142="","",_xlfn.LET(_xlpm.leaseEnd,INDEX('resident aged receivable'!$H:$H,$A142),_xlpm.s,INDEX('resident aged receivable'!$E:$E,$A142),IF(ISNUMBER(SEARCH("Current",_xlpm.s))+ISNUMBER(SEARCH("Notice",_xlpm.s)),"",IF(ISNUMBER(_xlpm.leaseEnd),_xlpm.leaseEnd,""))))</f>
        <v/>
      </c>
      <c r="F142" s="1139" t="str">
        <f t="shared" si="4"/>
        <v>IPS</v>
      </c>
      <c r="G142" s="1142" t="str" cm="1">
        <f t="array" ref="G142">IF($A142="","",IF(COUNTIF($N$3:$N$24,C142)&gt;0,"Former",_xlfn.LET(_xlpm.s,INDEX('resident aged receivable'!$E:$E,$A142),IF(ISNUMBER(SEARCH("Eviction",_xlpm.s)),"Eviction",IF(ISNUMBER(SEARCH("Skip",_xlpm.s)),"Skip",IF(ISNUMBER(SEARCH("Past",_xlpm.s))+ISNUMBER(SEARCH("Collections",_xlpm.s)),"Former",_xlpm.s))))))</f>
        <v>Eviction</v>
      </c>
      <c r="H142" s="1153" cm="1">
        <f t="array" ref="H142">IF($A142="","",INDEX('resident aged receivable'!$I:$I,$A142))</f>
        <v>15031.72</v>
      </c>
      <c r="I142" s="1153" cm="1">
        <f t="array" ref="I142">IF($A142="","",INDEX('resident aged receivable'!$J:$J,$A142))</f>
        <v>1613.83</v>
      </c>
      <c r="J142" s="1153" cm="1">
        <f t="array" ref="J142">IF($A142="","",INDEX('resident aged receivable'!$K:$K,$A142))</f>
        <v>1622.66</v>
      </c>
      <c r="K142" s="1163" t="str" cm="1">
        <f t="array" ref="K142">IFERROR(IF(B142="","",IF(SUMPRODUCT((LeaseLock!$D$2:$D$500=B142)*ISNUMBER(SEARCH(LEFT(C142,FIND(",",C142&amp;",")-1),LeaseLock!$C$2:$C$500)))=0,"",IF(LOOKUP(2,1/((LeaseLock!$D$2:$D$500=B142)*ISNUMBER(SEARCH(LEFT(C142,FIND(",",C142&amp;",")-1),LeaseLock!$C$2:$C$500))),LeaseLock!$F$2:$F$500)="Claim Denied","Claim Denied ("&amp;LOOKUP(2,1/((LeaseLock!$D$2:$D$500=B142)*ISNUMBER(SEARCH(LEFT(C142,FIND(",",C142&amp;",")-1),LeaseLock!$C$2:$C$500))),LeaseLock!$G$2:$G$500)&amp;")",IF(LOOKUP(2,1/((LeaseLock!$D$2:$D$500=B142)*ISNUMBER(SEARCH(LEFT(C142,FIND(",",C142&amp;",")-1),LeaseLock!$C$2:$C$500))),LeaseLock!$F$2:$F$500)="Open","Open - "&amp;LOOKUP(2,1/((LeaseLock!$D$2:$D$500=B142)*ISNUMBER(SEARCH(LEFT(C142,FIND(",",C142&amp;",")-1),LeaseLock!$C$2:$C$500))),LeaseLock!$G$2:$G$500),IF(LOOKUP(2,1/((LeaseLock!$D$2:$D$500=B142)*ISNUMBER(SEARCH(LEFT(C142,FIND(",",C142&amp;",")-1),LeaseLock!$C$2:$C$500))),LeaseLock!$M$2:$M$500)&gt;0,LOOKUP(2,1/((LeaseLock!$D$2:$D$500=B142)*ISNUMBER(SEARCH(LEFT(C142,FIND(",",C142&amp;",")-1),LeaseLock!$C$2:$C$500))),LeaseLock!$F$2:$F$500)&amp;" - $"&amp;TEXT(LOOKUP(2,1/((LeaseLock!$D$2:$D$500=B142)*ISNUMBER(SEARCH(LEFT(C142,FIND(",",C142&amp;",")-1),LeaseLock!$C$2:$C$500))),LeaseLock!$M$2:$M$500),"#,##0.00")&amp;" paid",LOOKUP(2,1/((LeaseLock!$D$2:$D$500=B142)*ISNUMBER(SEARCH(LEFT(C142,FIND(",",C142&amp;",")-1),LeaseLock!$C$2:$C$500))),LeaseLock!$F$2:$F$500)&amp;" - no payment"))))),"")</f>
        <v/>
      </c>
      <c r="L142" s="1148" t="s">
        <v>6744</v>
      </c>
      <c r="M142" s="1134"/>
      <c r="N142" s="1134"/>
      <c r="Q142" s="1115"/>
      <c r="R142" s="1115"/>
      <c r="S142" s="1115"/>
      <c r="T142" s="1115"/>
      <c r="U142" s="1115"/>
      <c r="V142" s="1115"/>
      <c r="W142" s="1115"/>
      <c r="X142" s="1115"/>
      <c r="Y142" s="1115"/>
      <c r="Z142" s="1115"/>
    </row>
    <row r="143" spans="1:26" ht="12" customHeight="1">
      <c r="A143" s="1138" cm="1">
        <f t="array" ref="A143">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171</v>
      </c>
      <c r="B143" s="1139" t="str" cm="1">
        <f t="array" ref="B143">IF($A143="","",INDEX('resident aged receivable'!$B:$B,$A143))</f>
        <v>W19-2-2067</v>
      </c>
      <c r="C143" s="1139" t="str" cm="1">
        <f t="array" ref="C143">IF($A143="","",INDEX('resident aged receivable'!$D:$D,$A143))</f>
        <v>Taylor, Talika</v>
      </c>
      <c r="D143" s="1140" cm="1">
        <f t="array" ref="D143">IF($A143="","",INDEX('resident aged receivable'!$F:$F,$A143))</f>
        <v>45818</v>
      </c>
      <c r="E143" s="1140" t="str" cm="1">
        <f t="array" ref="E143">IF($A143="","",_xlfn.LET(_xlpm.leaseEnd,INDEX('resident aged receivable'!$H:$H,$A143),_xlpm.s,INDEX('resident aged receivable'!$E:$E,$A143),IF(ISNUMBER(SEARCH("Current",_xlpm.s))+ISNUMBER(SEARCH("Notice",_xlpm.s)),"",IF(ISNUMBER(_xlpm.leaseEnd),_xlpm.leaseEnd,""))))</f>
        <v/>
      </c>
      <c r="F143" s="1139" t="str">
        <f t="shared" si="4"/>
        <v>IPS</v>
      </c>
      <c r="G143" s="1142" t="str" cm="1">
        <f t="array" ref="G143">IF($A143="","",IF(COUNTIF($N$3:$N$24,C143)&gt;0,"Former",_xlfn.LET(_xlpm.s,INDEX('resident aged receivable'!$E:$E,$A143),IF(ISNUMBER(SEARCH("Eviction",_xlpm.s)),"Eviction",IF(ISNUMBER(SEARCH("Skip",_xlpm.s)),"Skip",IF(ISNUMBER(SEARCH("Past",_xlpm.s))+ISNUMBER(SEARCH("Collections",_xlpm.s)),"Former",_xlpm.s))))))</f>
        <v>Eviction</v>
      </c>
      <c r="H143" s="1153" cm="1">
        <f t="array" ref="H143">IF($A143="","",INDEX('resident aged receivable'!$I:$I,$A143))</f>
        <v>13628.68</v>
      </c>
      <c r="I143" s="1153" cm="1">
        <f t="array" ref="I143">IF($A143="","",INDEX('resident aged receivable'!$J:$J,$A143))</f>
        <v>1727.83</v>
      </c>
      <c r="J143" s="1153" cm="1">
        <f t="array" ref="J143">IF($A143="","",INDEX('resident aged receivable'!$K:$K,$A143))</f>
        <v>1736.66</v>
      </c>
      <c r="K143" s="1163" t="str" cm="1">
        <f t="array" ref="K143">IFERROR(IF(B143="","",IF(SUMPRODUCT((LeaseLock!$D$2:$D$500=B143)*ISNUMBER(SEARCH(LEFT(C143,FIND(",",C143&amp;",")-1),LeaseLock!$C$2:$C$500)))=0,"",IF(LOOKUP(2,1/((LeaseLock!$D$2:$D$500=B143)*ISNUMBER(SEARCH(LEFT(C143,FIND(",",C143&amp;",")-1),LeaseLock!$C$2:$C$500))),LeaseLock!$F$2:$F$500)="Claim Denied","Claim Denied ("&amp;LOOKUP(2,1/((LeaseLock!$D$2:$D$500=B143)*ISNUMBER(SEARCH(LEFT(C143,FIND(",",C143&amp;",")-1),LeaseLock!$C$2:$C$500))),LeaseLock!$G$2:$G$500)&amp;")",IF(LOOKUP(2,1/((LeaseLock!$D$2:$D$500=B143)*ISNUMBER(SEARCH(LEFT(C143,FIND(",",C143&amp;",")-1),LeaseLock!$C$2:$C$500))),LeaseLock!$F$2:$F$500)="Open","Open - "&amp;LOOKUP(2,1/((LeaseLock!$D$2:$D$500=B143)*ISNUMBER(SEARCH(LEFT(C143,FIND(",",C143&amp;",")-1),LeaseLock!$C$2:$C$500))),LeaseLock!$G$2:$G$500),IF(LOOKUP(2,1/((LeaseLock!$D$2:$D$500=B143)*ISNUMBER(SEARCH(LEFT(C143,FIND(",",C143&amp;",")-1),LeaseLock!$C$2:$C$500))),LeaseLock!$M$2:$M$500)&gt;0,LOOKUP(2,1/((LeaseLock!$D$2:$D$500=B143)*ISNUMBER(SEARCH(LEFT(C143,FIND(",",C143&amp;",")-1),LeaseLock!$C$2:$C$500))),LeaseLock!$F$2:$F$500)&amp;" - $"&amp;TEXT(LOOKUP(2,1/((LeaseLock!$D$2:$D$500=B143)*ISNUMBER(SEARCH(LEFT(C143,FIND(",",C143&amp;",")-1),LeaseLock!$C$2:$C$500))),LeaseLock!$M$2:$M$500),"#,##0.00")&amp;" paid",LOOKUP(2,1/((LeaseLock!$D$2:$D$500=B143)*ISNUMBER(SEARCH(LEFT(C143,FIND(",",C143&amp;",")-1),LeaseLock!$C$2:$C$500))),LeaseLock!$F$2:$F$500)&amp;" - no payment"))))),"")</f>
        <v/>
      </c>
      <c r="L143" s="1148" t="s">
        <v>6744</v>
      </c>
      <c r="M143" s="1134"/>
      <c r="N143" s="1134"/>
      <c r="Q143" s="1115"/>
      <c r="R143" s="1115"/>
      <c r="S143" s="1115"/>
      <c r="T143" s="1115"/>
      <c r="U143" s="1115"/>
      <c r="V143" s="1115"/>
      <c r="W143" s="1115"/>
      <c r="X143" s="1115"/>
      <c r="Y143" s="1115"/>
      <c r="Z143" s="1115"/>
    </row>
    <row r="144" spans="1:26" ht="12" customHeight="1">
      <c r="A144" s="1138" cm="1">
        <f t="array" ref="A144">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21</v>
      </c>
      <c r="B144" s="1139" t="str" cm="1">
        <f t="array" ref="B144">IF($A144="","",INDEX('resident aged receivable'!$B:$B,$A144))</f>
        <v>N09-1037</v>
      </c>
      <c r="C144" s="1139" t="str" cm="1">
        <f t="array" ref="C144">IF($A144="","",INDEX('resident aged receivable'!$D:$D,$A144))</f>
        <v>Flores, Estanislao</v>
      </c>
      <c r="D144" s="1140" cm="1">
        <f t="array" ref="D144">IF($A144="","",INDEX('resident aged receivable'!$F:$F,$A144))</f>
        <v>45646</v>
      </c>
      <c r="E144" s="1140" t="str" cm="1">
        <f t="array" ref="E144">IF($A144="","",_xlfn.LET(_xlpm.leaseEnd,INDEX('resident aged receivable'!$H:$H,$A144),_xlpm.s,INDEX('resident aged receivable'!$E:$E,$A144),IF(ISNUMBER(SEARCH("Current",_xlpm.s))+ISNUMBER(SEARCH("Notice",_xlpm.s)),"",IF(ISNUMBER(_xlpm.leaseEnd),_xlpm.leaseEnd,""))))</f>
        <v/>
      </c>
      <c r="F144" s="1139" t="str">
        <f t="shared" si="4"/>
        <v>IPS</v>
      </c>
      <c r="G144" s="1142" t="str" cm="1">
        <f t="array" ref="G144">IF($A144="","",IF(COUNTIF($N$3:$N$24,C144)&gt;0,"Former",_xlfn.LET(_xlpm.s,INDEX('resident aged receivable'!$E:$E,$A144),IF(ISNUMBER(SEARCH("Eviction",_xlpm.s)),"Eviction",IF(ISNUMBER(SEARCH("Skip",_xlpm.s)),"Skip",IF(ISNUMBER(SEARCH("Past",_xlpm.s))+ISNUMBER(SEARCH("Collections",_xlpm.s)),"Former",_xlpm.s))))))</f>
        <v>Current - Month To Month</v>
      </c>
      <c r="H144" s="1153" cm="1">
        <f t="array" ref="H144">IF($A144="","",INDEX('resident aged receivable'!$I:$I,$A144))</f>
        <v>12771.92</v>
      </c>
      <c r="I144" s="1153" cm="1">
        <f t="array" ref="I144">IF($A144="","",INDEX('resident aged receivable'!$J:$J,$A144))</f>
        <v>1013.2</v>
      </c>
      <c r="J144" s="1153" cm="1">
        <f t="array" ref="J144">IF($A144="","",INDEX('resident aged receivable'!$K:$K,$A144))</f>
        <v>1019.25</v>
      </c>
      <c r="K144" s="1163" t="str" cm="1">
        <f t="array" ref="K144">IFERROR(IF(B144="","",IF(SUMPRODUCT((LeaseLock!$D$2:$D$500=B144)*ISNUMBER(SEARCH(LEFT(C144,FIND(",",C144&amp;",")-1),LeaseLock!$C$2:$C$500)))=0,"",IF(LOOKUP(2,1/((LeaseLock!$D$2:$D$500=B144)*ISNUMBER(SEARCH(LEFT(C144,FIND(",",C144&amp;",")-1),LeaseLock!$C$2:$C$500))),LeaseLock!$F$2:$F$500)="Claim Denied","Claim Denied ("&amp;LOOKUP(2,1/((LeaseLock!$D$2:$D$500=B144)*ISNUMBER(SEARCH(LEFT(C144,FIND(",",C144&amp;",")-1),LeaseLock!$C$2:$C$500))),LeaseLock!$G$2:$G$500)&amp;")",IF(LOOKUP(2,1/((LeaseLock!$D$2:$D$500=B144)*ISNUMBER(SEARCH(LEFT(C144,FIND(",",C144&amp;",")-1),LeaseLock!$C$2:$C$500))),LeaseLock!$F$2:$F$500)="Open","Open - "&amp;LOOKUP(2,1/((LeaseLock!$D$2:$D$500=B144)*ISNUMBER(SEARCH(LEFT(C144,FIND(",",C144&amp;",")-1),LeaseLock!$C$2:$C$500))),LeaseLock!$G$2:$G$500),IF(LOOKUP(2,1/((LeaseLock!$D$2:$D$500=B144)*ISNUMBER(SEARCH(LEFT(C144,FIND(",",C144&amp;",")-1),LeaseLock!$C$2:$C$500))),LeaseLock!$M$2:$M$500)&gt;0,LOOKUP(2,1/((LeaseLock!$D$2:$D$500=B144)*ISNUMBER(SEARCH(LEFT(C144,FIND(",",C144&amp;",")-1),LeaseLock!$C$2:$C$500))),LeaseLock!$F$2:$F$500)&amp;" - $"&amp;TEXT(LOOKUP(2,1/((LeaseLock!$D$2:$D$500=B144)*ISNUMBER(SEARCH(LEFT(C144,FIND(",",C144&amp;",")-1),LeaseLock!$C$2:$C$500))),LeaseLock!$M$2:$M$500),"#,##0.00")&amp;" paid",LOOKUP(2,1/((LeaseLock!$D$2:$D$500=B144)*ISNUMBER(SEARCH(LEFT(C144,FIND(",",C144&amp;",")-1),LeaseLock!$C$2:$C$500))),LeaseLock!$F$2:$F$500)&amp;" - no payment"))))),"")</f>
        <v/>
      </c>
      <c r="L144" s="1148" t="s">
        <v>6744</v>
      </c>
      <c r="M144" s="1134"/>
      <c r="N144" s="1134"/>
      <c r="Q144" s="1115"/>
      <c r="R144" s="1115"/>
      <c r="S144" s="1115"/>
      <c r="T144" s="1115"/>
      <c r="U144" s="1115"/>
      <c r="V144" s="1115"/>
      <c r="W144" s="1115"/>
      <c r="X144" s="1115"/>
      <c r="Y144" s="1115"/>
      <c r="Z144" s="1115"/>
    </row>
    <row r="145" spans="1:26" ht="12" customHeight="1">
      <c r="A145" s="1138" cm="1">
        <f t="array" ref="A145">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148</v>
      </c>
      <c r="B145" s="1139" t="str" cm="1">
        <f t="array" ref="B145">IF($A145="","",INDEX('resident aged receivable'!$B:$B,$A145))</f>
        <v>W14-1-1416</v>
      </c>
      <c r="C145" s="1139" t="str" cm="1">
        <f t="array" ref="C145">IF($A145="","",INDEX('resident aged receivable'!$D:$D,$A145))</f>
        <v>Allen, Quentin</v>
      </c>
      <c r="D145" s="1140" cm="1">
        <f t="array" ref="D145">IF($A145="","",INDEX('resident aged receivable'!$F:$F,$A145))</f>
        <v>45807</v>
      </c>
      <c r="E145" s="1140" t="str" cm="1">
        <f t="array" ref="E145">IF($A145="","",_xlfn.LET(_xlpm.leaseEnd,INDEX('resident aged receivable'!$H:$H,$A145),_xlpm.s,INDEX('resident aged receivable'!$E:$E,$A145),IF(ISNUMBER(SEARCH("Current",_xlpm.s))+ISNUMBER(SEARCH("Notice",_xlpm.s)),"",IF(ISNUMBER(_xlpm.leaseEnd),_xlpm.leaseEnd,""))))</f>
        <v/>
      </c>
      <c r="F145" s="1139" t="str">
        <f t="shared" si="4"/>
        <v>IPS</v>
      </c>
      <c r="G145" s="1142" t="str" cm="1">
        <f t="array" ref="G145">IF($A145="","",IF(COUNTIF($N$3:$N$24,C145)&gt;0,"Former",_xlfn.LET(_xlpm.s,INDEX('resident aged receivable'!$E:$E,$A145),IF(ISNUMBER(SEARCH("Eviction",_xlpm.s)),"Eviction",IF(ISNUMBER(SEARCH("Skip",_xlpm.s)),"Skip",IF(ISNUMBER(SEARCH("Past",_xlpm.s))+ISNUMBER(SEARCH("Collections",_xlpm.s)),"Former",_xlpm.s))))))</f>
        <v>Eviction</v>
      </c>
      <c r="H145" s="1153" cm="1">
        <f t="array" ref="H145">IF($A145="","",INDEX('resident aged receivable'!$I:$I,$A145))</f>
        <v>12383.93</v>
      </c>
      <c r="I145" s="1153" cm="1">
        <f t="array" ref="I145">IF($A145="","",INDEX('resident aged receivable'!$J:$J,$A145))</f>
        <v>1173.26</v>
      </c>
      <c r="J145" s="1153" cm="1">
        <f t="array" ref="J145">IF($A145="","",INDEX('resident aged receivable'!$K:$K,$A145))</f>
        <v>1188.1099999999999</v>
      </c>
      <c r="K145" s="1163" t="str" cm="1">
        <f t="array" ref="K145">IFERROR(IF(B145="","",IF(SUMPRODUCT((LeaseLock!$D$2:$D$500=B145)*ISNUMBER(SEARCH(LEFT(C145,FIND(",",C145&amp;",")-1),LeaseLock!$C$2:$C$500)))=0,"",IF(LOOKUP(2,1/((LeaseLock!$D$2:$D$500=B145)*ISNUMBER(SEARCH(LEFT(C145,FIND(",",C145&amp;",")-1),LeaseLock!$C$2:$C$500))),LeaseLock!$F$2:$F$500)="Claim Denied","Claim Denied ("&amp;LOOKUP(2,1/((LeaseLock!$D$2:$D$500=B145)*ISNUMBER(SEARCH(LEFT(C145,FIND(",",C145&amp;",")-1),LeaseLock!$C$2:$C$500))),LeaseLock!$G$2:$G$500)&amp;")",IF(LOOKUP(2,1/((LeaseLock!$D$2:$D$500=B145)*ISNUMBER(SEARCH(LEFT(C145,FIND(",",C145&amp;",")-1),LeaseLock!$C$2:$C$500))),LeaseLock!$F$2:$F$500)="Open","Open - "&amp;LOOKUP(2,1/((LeaseLock!$D$2:$D$500=B145)*ISNUMBER(SEARCH(LEFT(C145,FIND(",",C145&amp;",")-1),LeaseLock!$C$2:$C$500))),LeaseLock!$G$2:$G$500),IF(LOOKUP(2,1/((LeaseLock!$D$2:$D$500=B145)*ISNUMBER(SEARCH(LEFT(C145,FIND(",",C145&amp;",")-1),LeaseLock!$C$2:$C$500))),LeaseLock!$M$2:$M$500)&gt;0,LOOKUP(2,1/((LeaseLock!$D$2:$D$500=B145)*ISNUMBER(SEARCH(LEFT(C145,FIND(",",C145&amp;",")-1),LeaseLock!$C$2:$C$500))),LeaseLock!$F$2:$F$500)&amp;" - $"&amp;TEXT(LOOKUP(2,1/((LeaseLock!$D$2:$D$500=B145)*ISNUMBER(SEARCH(LEFT(C145,FIND(",",C145&amp;",")-1),LeaseLock!$C$2:$C$500))),LeaseLock!$M$2:$M$500),"#,##0.00")&amp;" paid",LOOKUP(2,1/((LeaseLock!$D$2:$D$500=B145)*ISNUMBER(SEARCH(LEFT(C145,FIND(",",C145&amp;",")-1),LeaseLock!$C$2:$C$500))),LeaseLock!$F$2:$F$500)&amp;" - no payment"))))),"")</f>
        <v/>
      </c>
      <c r="L145" s="1148" t="s">
        <v>7550</v>
      </c>
      <c r="M145" s="1134"/>
      <c r="N145" s="1134"/>
      <c r="Q145" s="1115"/>
      <c r="R145" s="1115"/>
      <c r="S145" s="1115"/>
      <c r="T145" s="1115"/>
      <c r="U145" s="1115"/>
      <c r="V145" s="1115"/>
      <c r="W145" s="1115"/>
      <c r="X145" s="1115"/>
      <c r="Y145" s="1115"/>
      <c r="Z145" s="1115"/>
    </row>
    <row r="146" spans="1:26" ht="12" customHeight="1">
      <c r="A146" s="1138" cm="1">
        <f t="array" ref="A146">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58</v>
      </c>
      <c r="B146" s="1139" t="str" cm="1">
        <f t="array" ref="B146">IF($A146="","",INDEX('resident aged receivable'!$B:$B,$A146))</f>
        <v>S26-414</v>
      </c>
      <c r="C146" s="1139" t="str" cm="1">
        <f t="array" ref="C146">IF($A146="","",INDEX('resident aged receivable'!$D:$D,$A146))</f>
        <v>Cooks, Tatiana</v>
      </c>
      <c r="D146" s="1140" cm="1">
        <f t="array" ref="D146">IF($A146="","",INDEX('resident aged receivable'!$F:$F,$A146))</f>
        <v>45890</v>
      </c>
      <c r="E146" s="1140" t="str" cm="1">
        <f t="array" ref="E146">IF($A146="","",_xlfn.LET(_xlpm.leaseEnd,INDEX('resident aged receivable'!$H:$H,$A146),_xlpm.s,INDEX('resident aged receivable'!$E:$E,$A146),IF(ISNUMBER(SEARCH("Current",_xlpm.s))+ISNUMBER(SEARCH("Notice",_xlpm.s)),"",IF(ISNUMBER(_xlpm.leaseEnd),_xlpm.leaseEnd,""))))</f>
        <v/>
      </c>
      <c r="F146" s="1139" t="str">
        <f t="shared" si="4"/>
        <v>IPS</v>
      </c>
      <c r="G146" s="1142" t="str" cm="1">
        <f t="array" ref="G146">IF($A146="","",IF(COUNTIF($N$3:$N$24,C146)&gt;0,"Former",_xlfn.LET(_xlpm.s,INDEX('resident aged receivable'!$E:$E,$A146),IF(ISNUMBER(SEARCH("Eviction",_xlpm.s)),"Eviction",IF(ISNUMBER(SEARCH("Skip",_xlpm.s)),"Skip",IF(ISNUMBER(SEARCH("Past",_xlpm.s))+ISNUMBER(SEARCH("Collections",_xlpm.s)),"Former",_xlpm.s))))))</f>
        <v>Eviction</v>
      </c>
      <c r="H146" s="1153" cm="1">
        <f t="array" ref="H146">IF($A146="","",INDEX('resident aged receivable'!$I:$I,$A146))</f>
        <v>11003.35</v>
      </c>
      <c r="I146" s="1153" cm="1">
        <f t="array" ref="I146">IF($A146="","",INDEX('resident aged receivable'!$J:$J,$A146))</f>
        <v>1536.75</v>
      </c>
      <c r="J146" s="1153" cm="1">
        <f t="array" ref="J146">IF($A146="","",INDEX('resident aged receivable'!$K:$K,$A146))</f>
        <v>1535.67</v>
      </c>
      <c r="K146" s="1163" t="str" cm="1">
        <f t="array" ref="K146">IFERROR(IF(B146="","",IF(SUMPRODUCT((LeaseLock!$D$2:$D$500=B146)*ISNUMBER(SEARCH(LEFT(C146,FIND(",",C146&amp;",")-1),LeaseLock!$C$2:$C$500)))=0,"",IF(LOOKUP(2,1/((LeaseLock!$D$2:$D$500=B146)*ISNUMBER(SEARCH(LEFT(C146,FIND(",",C146&amp;",")-1),LeaseLock!$C$2:$C$500))),LeaseLock!$F$2:$F$500)="Claim Denied","Claim Denied ("&amp;LOOKUP(2,1/((LeaseLock!$D$2:$D$500=B146)*ISNUMBER(SEARCH(LEFT(C146,FIND(",",C146&amp;",")-1),LeaseLock!$C$2:$C$500))),LeaseLock!$G$2:$G$500)&amp;")",IF(LOOKUP(2,1/((LeaseLock!$D$2:$D$500=B146)*ISNUMBER(SEARCH(LEFT(C146,FIND(",",C146&amp;",")-1),LeaseLock!$C$2:$C$500))),LeaseLock!$F$2:$F$500)="Open","Open - "&amp;LOOKUP(2,1/((LeaseLock!$D$2:$D$500=B146)*ISNUMBER(SEARCH(LEFT(C146,FIND(",",C146&amp;",")-1),LeaseLock!$C$2:$C$500))),LeaseLock!$G$2:$G$500),IF(LOOKUP(2,1/((LeaseLock!$D$2:$D$500=B146)*ISNUMBER(SEARCH(LEFT(C146,FIND(",",C146&amp;",")-1),LeaseLock!$C$2:$C$500))),LeaseLock!$M$2:$M$500)&gt;0,LOOKUP(2,1/((LeaseLock!$D$2:$D$500=B146)*ISNUMBER(SEARCH(LEFT(C146,FIND(",",C146&amp;",")-1),LeaseLock!$C$2:$C$500))),LeaseLock!$F$2:$F$500)&amp;" - $"&amp;TEXT(LOOKUP(2,1/((LeaseLock!$D$2:$D$500=B146)*ISNUMBER(SEARCH(LEFT(C146,FIND(",",C146&amp;",")-1),LeaseLock!$C$2:$C$500))),LeaseLock!$M$2:$M$500),"#,##0.00")&amp;" paid",LOOKUP(2,1/((LeaseLock!$D$2:$D$500=B146)*ISNUMBER(SEARCH(LEFT(C146,FIND(",",C146&amp;",")-1),LeaseLock!$C$2:$C$500))),LeaseLock!$F$2:$F$500)&amp;" - no payment"))))),"")</f>
        <v/>
      </c>
      <c r="L146" s="1148" t="s">
        <v>6744</v>
      </c>
      <c r="M146" s="1134"/>
      <c r="N146" s="1134"/>
      <c r="Q146" s="1115"/>
      <c r="R146" s="1115"/>
      <c r="S146" s="1115"/>
      <c r="T146" s="1115"/>
      <c r="U146" s="1115"/>
      <c r="V146" s="1115"/>
      <c r="W146" s="1115"/>
      <c r="X146" s="1115"/>
      <c r="Y146" s="1115"/>
      <c r="Z146" s="1115"/>
    </row>
    <row r="147" spans="1:26" ht="12" customHeight="1">
      <c r="A147" s="1138" cm="1">
        <f t="array" ref="A147">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129</v>
      </c>
      <c r="B147" s="1139" t="str" cm="1">
        <f t="array" ref="B147">IF($A147="","",INDEX('resident aged receivable'!$B:$B,$A147))</f>
        <v>W11-1-1105</v>
      </c>
      <c r="C147" s="1139" t="str" cm="1">
        <f t="array" ref="C147">IF($A147="","",INDEX('resident aged receivable'!$D:$D,$A147))</f>
        <v>Hishaw, Ilona</v>
      </c>
      <c r="D147" s="1140" cm="1">
        <f t="array" ref="D147">IF($A147="","",INDEX('resident aged receivable'!$F:$F,$A147))</f>
        <v>45765</v>
      </c>
      <c r="E147" s="1140" t="str" cm="1">
        <f t="array" ref="E147">IF($A147="","",_xlfn.LET(_xlpm.leaseEnd,INDEX('resident aged receivable'!$H:$H,$A147),_xlpm.s,INDEX('resident aged receivable'!$E:$E,$A147),IF(ISNUMBER(SEARCH("Current",_xlpm.s))+ISNUMBER(SEARCH("Notice",_xlpm.s)),"",IF(ISNUMBER(_xlpm.leaseEnd),_xlpm.leaseEnd,""))))</f>
        <v/>
      </c>
      <c r="F147" s="1139" t="str">
        <f t="shared" si="4"/>
        <v>IPS</v>
      </c>
      <c r="G147" s="1142" t="str" cm="1">
        <f t="array" ref="G147">IF($A147="","",IF(COUNTIF($N$3:$N$24,C147)&gt;0,"Former",_xlfn.LET(_xlpm.s,INDEX('resident aged receivable'!$E:$E,$A147),IF(ISNUMBER(SEARCH("Eviction",_xlpm.s)),"Eviction",IF(ISNUMBER(SEARCH("Skip",_xlpm.s)),"Skip",IF(ISNUMBER(SEARCH("Past",_xlpm.s))+ISNUMBER(SEARCH("Collections",_xlpm.s)),"Former",_xlpm.s))))))</f>
        <v>Eviction</v>
      </c>
      <c r="H147" s="1153" cm="1">
        <f t="array" ref="H147">IF($A147="","",INDEX('resident aged receivable'!$I:$I,$A147))</f>
        <v>10105.07</v>
      </c>
      <c r="I147" s="1153" cm="1">
        <f t="array" ref="I147">IF($A147="","",INDEX('resident aged receivable'!$J:$J,$A147))</f>
        <v>1268.78</v>
      </c>
      <c r="J147" s="1153" cm="1">
        <f t="array" ref="J147">IF($A147="","",INDEX('resident aged receivable'!$K:$K,$A147))</f>
        <v>1183.19</v>
      </c>
      <c r="K147" s="1163" t="str" cm="1">
        <f t="array" ref="K147">IFERROR(IF(B147="","",IF(SUMPRODUCT((LeaseLock!$D$2:$D$500=B147)*ISNUMBER(SEARCH(LEFT(C147,FIND(",",C147&amp;",")-1),LeaseLock!$C$2:$C$500)))=0,"",IF(LOOKUP(2,1/((LeaseLock!$D$2:$D$500=B147)*ISNUMBER(SEARCH(LEFT(C147,FIND(",",C147&amp;",")-1),LeaseLock!$C$2:$C$500))),LeaseLock!$F$2:$F$500)="Claim Denied","Claim Denied ("&amp;LOOKUP(2,1/((LeaseLock!$D$2:$D$500=B147)*ISNUMBER(SEARCH(LEFT(C147,FIND(",",C147&amp;",")-1),LeaseLock!$C$2:$C$500))),LeaseLock!$G$2:$G$500)&amp;")",IF(LOOKUP(2,1/((LeaseLock!$D$2:$D$500=B147)*ISNUMBER(SEARCH(LEFT(C147,FIND(",",C147&amp;",")-1),LeaseLock!$C$2:$C$500))),LeaseLock!$F$2:$F$500)="Open","Open - "&amp;LOOKUP(2,1/((LeaseLock!$D$2:$D$500=B147)*ISNUMBER(SEARCH(LEFT(C147,FIND(",",C147&amp;",")-1),LeaseLock!$C$2:$C$500))),LeaseLock!$G$2:$G$500),IF(LOOKUP(2,1/((LeaseLock!$D$2:$D$500=B147)*ISNUMBER(SEARCH(LEFT(C147,FIND(",",C147&amp;",")-1),LeaseLock!$C$2:$C$500))),LeaseLock!$M$2:$M$500)&gt;0,LOOKUP(2,1/((LeaseLock!$D$2:$D$500=B147)*ISNUMBER(SEARCH(LEFT(C147,FIND(",",C147&amp;",")-1),LeaseLock!$C$2:$C$500))),LeaseLock!$F$2:$F$500)&amp;" - $"&amp;TEXT(LOOKUP(2,1/((LeaseLock!$D$2:$D$500=B147)*ISNUMBER(SEARCH(LEFT(C147,FIND(",",C147&amp;",")-1),LeaseLock!$C$2:$C$500))),LeaseLock!$M$2:$M$500),"#,##0.00")&amp;" paid",LOOKUP(2,1/((LeaseLock!$D$2:$D$500=B147)*ISNUMBER(SEARCH(LEFT(C147,FIND(",",C147&amp;",")-1),LeaseLock!$C$2:$C$500))),LeaseLock!$F$2:$F$500)&amp;" - no payment"))))),"")</f>
        <v/>
      </c>
      <c r="L147" s="1148" t="s">
        <v>6744</v>
      </c>
      <c r="M147" s="1134"/>
      <c r="N147" s="1134"/>
      <c r="Q147" s="1115"/>
      <c r="R147" s="1115"/>
      <c r="S147" s="1115"/>
      <c r="T147" s="1115"/>
      <c r="U147" s="1115"/>
      <c r="V147" s="1115"/>
      <c r="W147" s="1115"/>
      <c r="X147" s="1115"/>
      <c r="Y147" s="1115"/>
      <c r="Z147" s="1115"/>
    </row>
    <row r="148" spans="1:26" ht="12" customHeight="1">
      <c r="A148" s="1138" cm="1">
        <f t="array" ref="A148">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23</v>
      </c>
      <c r="B148" s="1139" t="str" cm="1">
        <f t="array" ref="B148">IF($A148="","",INDEX('resident aged receivable'!$B:$B,$A148))</f>
        <v>N10-2038</v>
      </c>
      <c r="C148" s="1139" t="str" cm="1">
        <f t="array" ref="C148">IF($A148="","",INDEX('resident aged receivable'!$D:$D,$A148))</f>
        <v>Dixon, Dewayne</v>
      </c>
      <c r="D148" s="1140" cm="1">
        <f t="array" ref="D148">IF($A148="","",INDEX('resident aged receivable'!$F:$F,$A148))</f>
        <v>45709</v>
      </c>
      <c r="E148" s="1140" t="str" cm="1">
        <f t="array" ref="E148">IF($A148="","",_xlfn.LET(_xlpm.leaseEnd,INDEX('resident aged receivable'!$H:$H,$A148),_xlpm.s,INDEX('resident aged receivable'!$E:$E,$A148),IF(ISNUMBER(SEARCH("Current",_xlpm.s))+ISNUMBER(SEARCH("Notice",_xlpm.s)),"",IF(ISNUMBER(_xlpm.leaseEnd),_xlpm.leaseEnd,""))))</f>
        <v/>
      </c>
      <c r="F148" s="1139" t="str">
        <f t="shared" si="4"/>
        <v>IPS</v>
      </c>
      <c r="G148" s="1142" t="str" cm="1">
        <f t="array" ref="G148">IF($A148="","",IF(COUNTIF($N$3:$N$24,C148)&gt;0,"Former",_xlfn.LET(_xlpm.s,INDEX('resident aged receivable'!$E:$E,$A148),IF(ISNUMBER(SEARCH("Eviction",_xlpm.s)),"Eviction",IF(ISNUMBER(SEARCH("Skip",_xlpm.s)),"Skip",IF(ISNUMBER(SEARCH("Past",_xlpm.s))+ISNUMBER(SEARCH("Collections",_xlpm.s)),"Former",_xlpm.s))))))</f>
        <v>Notice</v>
      </c>
      <c r="H148" s="1153" cm="1">
        <f t="array" ref="H148">IF($A148="","",INDEX('resident aged receivable'!$I:$I,$A148))</f>
        <v>9209.52</v>
      </c>
      <c r="I148" s="1153" cm="1">
        <f t="array" ref="I148">IF($A148="","",INDEX('resident aged receivable'!$J:$J,$A148))</f>
        <v>770.2</v>
      </c>
      <c r="J148" s="1153" cm="1">
        <f t="array" ref="J148">IF($A148="","",INDEX('resident aged receivable'!$K:$K,$A148))</f>
        <v>1088.25</v>
      </c>
      <c r="K148" s="1163" t="str" cm="1">
        <f t="array" ref="K148">IFERROR(IF(B148="","",IF(SUMPRODUCT((LeaseLock!$D$2:$D$500=B148)*ISNUMBER(SEARCH(LEFT(C148,FIND(",",C148&amp;",")-1),LeaseLock!$C$2:$C$500)))=0,"",IF(LOOKUP(2,1/((LeaseLock!$D$2:$D$500=B148)*ISNUMBER(SEARCH(LEFT(C148,FIND(",",C148&amp;",")-1),LeaseLock!$C$2:$C$500))),LeaseLock!$F$2:$F$500)="Claim Denied","Claim Denied ("&amp;LOOKUP(2,1/((LeaseLock!$D$2:$D$500=B148)*ISNUMBER(SEARCH(LEFT(C148,FIND(",",C148&amp;",")-1),LeaseLock!$C$2:$C$500))),LeaseLock!$G$2:$G$500)&amp;")",IF(LOOKUP(2,1/((LeaseLock!$D$2:$D$500=B148)*ISNUMBER(SEARCH(LEFT(C148,FIND(",",C148&amp;",")-1),LeaseLock!$C$2:$C$500))),LeaseLock!$F$2:$F$500)="Open","Open - "&amp;LOOKUP(2,1/((LeaseLock!$D$2:$D$500=B148)*ISNUMBER(SEARCH(LEFT(C148,FIND(",",C148&amp;",")-1),LeaseLock!$C$2:$C$500))),LeaseLock!$G$2:$G$500),IF(LOOKUP(2,1/((LeaseLock!$D$2:$D$500=B148)*ISNUMBER(SEARCH(LEFT(C148,FIND(",",C148&amp;",")-1),LeaseLock!$C$2:$C$500))),LeaseLock!$M$2:$M$500)&gt;0,LOOKUP(2,1/((LeaseLock!$D$2:$D$500=B148)*ISNUMBER(SEARCH(LEFT(C148,FIND(",",C148&amp;",")-1),LeaseLock!$C$2:$C$500))),LeaseLock!$F$2:$F$500)&amp;" - $"&amp;TEXT(LOOKUP(2,1/((LeaseLock!$D$2:$D$500=B148)*ISNUMBER(SEARCH(LEFT(C148,FIND(",",C148&amp;",")-1),LeaseLock!$C$2:$C$500))),LeaseLock!$M$2:$M$500),"#,##0.00")&amp;" paid",LOOKUP(2,1/((LeaseLock!$D$2:$D$500=B148)*ISNUMBER(SEARCH(LEFT(C148,FIND(",",C148&amp;",")-1),LeaseLock!$C$2:$C$500))),LeaseLock!$F$2:$F$500)&amp;" - no payment"))))),"")</f>
        <v/>
      </c>
      <c r="L148" s="1148"/>
      <c r="M148" s="1134"/>
      <c r="N148" s="1134"/>
      <c r="Q148" s="1115"/>
      <c r="R148" s="1115"/>
      <c r="S148" s="1115"/>
      <c r="T148" s="1115"/>
      <c r="U148" s="1115"/>
      <c r="V148" s="1115"/>
      <c r="W148" s="1115"/>
      <c r="X148" s="1115"/>
      <c r="Y148" s="1115"/>
      <c r="Z148" s="1115"/>
    </row>
    <row r="149" spans="1:26" ht="12" customHeight="1">
      <c r="A149" s="1138" cm="1">
        <f t="array" ref="A149">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104</v>
      </c>
      <c r="B149" s="1139" t="str" cm="1">
        <f t="array" ref="B149">IF($A149="","",INDEX('resident aged receivable'!$B:$B,$A149))</f>
        <v>W05-1-0516</v>
      </c>
      <c r="C149" s="1139" t="str" cm="1">
        <f t="array" ref="C149">IF($A149="","",INDEX('resident aged receivable'!$D:$D,$A149))</f>
        <v>Sparks, Dija</v>
      </c>
      <c r="D149" s="1140" cm="1">
        <f t="array" ref="D149">IF($A149="","",INDEX('resident aged receivable'!$F:$F,$A149))</f>
        <v>45521</v>
      </c>
      <c r="E149" s="1140" t="str" cm="1">
        <f t="array" ref="E149">IF($A149="","",_xlfn.LET(_xlpm.leaseEnd,INDEX('resident aged receivable'!$H:$H,$A149),_xlpm.s,INDEX('resident aged receivable'!$E:$E,$A149),IF(ISNUMBER(SEARCH("Current",_xlpm.s))+ISNUMBER(SEARCH("Notice",_xlpm.s)),"",IF(ISNUMBER(_xlpm.leaseEnd),_xlpm.leaseEnd,""))))</f>
        <v/>
      </c>
      <c r="F149" s="1139" t="str">
        <f t="shared" si="4"/>
        <v>IPS</v>
      </c>
      <c r="G149" s="1142" t="str" cm="1">
        <f t="array" ref="G149">IF($A149="","",IF(COUNTIF($N$3:$N$24,C149)&gt;0,"Former",_xlfn.LET(_xlpm.s,INDEX('resident aged receivable'!$E:$E,$A149),IF(ISNUMBER(SEARCH("Eviction",_xlpm.s)),"Eviction",IF(ISNUMBER(SEARCH("Skip",_xlpm.s)),"Skip",IF(ISNUMBER(SEARCH("Past",_xlpm.s))+ISNUMBER(SEARCH("Collections",_xlpm.s)),"Former",_xlpm.s))))))</f>
        <v>Eviction</v>
      </c>
      <c r="H149" s="1153" cm="1">
        <f t="array" ref="H149">IF($A149="","",INDEX('resident aged receivable'!$I:$I,$A149))</f>
        <v>9185.4699999999993</v>
      </c>
      <c r="I149" s="1153" cm="1">
        <f t="array" ref="I149">IF($A149="","",INDEX('resident aged receivable'!$J:$J,$A149))</f>
        <v>1244.26</v>
      </c>
      <c r="J149" s="1153" cm="1">
        <f t="array" ref="J149">IF($A149="","",INDEX('resident aged receivable'!$K:$K,$A149))</f>
        <v>1259.1099999999999</v>
      </c>
      <c r="K149" s="1163" t="str" cm="1">
        <f t="array" ref="K149">IFERROR(IF(B149="","",IF(SUMPRODUCT((LeaseLock!$D$2:$D$500=B149)*ISNUMBER(SEARCH(LEFT(C149,FIND(",",C149&amp;",")-1),LeaseLock!$C$2:$C$500)))=0,"",IF(LOOKUP(2,1/((LeaseLock!$D$2:$D$500=B149)*ISNUMBER(SEARCH(LEFT(C149,FIND(",",C149&amp;",")-1),LeaseLock!$C$2:$C$500))),LeaseLock!$F$2:$F$500)="Claim Denied","Claim Denied ("&amp;LOOKUP(2,1/((LeaseLock!$D$2:$D$500=B149)*ISNUMBER(SEARCH(LEFT(C149,FIND(",",C149&amp;",")-1),LeaseLock!$C$2:$C$500))),LeaseLock!$G$2:$G$500)&amp;")",IF(LOOKUP(2,1/((LeaseLock!$D$2:$D$500=B149)*ISNUMBER(SEARCH(LEFT(C149,FIND(",",C149&amp;",")-1),LeaseLock!$C$2:$C$500))),LeaseLock!$F$2:$F$500)="Open","Open - "&amp;LOOKUP(2,1/((LeaseLock!$D$2:$D$500=B149)*ISNUMBER(SEARCH(LEFT(C149,FIND(",",C149&amp;",")-1),LeaseLock!$C$2:$C$500))),LeaseLock!$G$2:$G$500),IF(LOOKUP(2,1/((LeaseLock!$D$2:$D$500=B149)*ISNUMBER(SEARCH(LEFT(C149,FIND(",",C149&amp;",")-1),LeaseLock!$C$2:$C$500))),LeaseLock!$M$2:$M$500)&gt;0,LOOKUP(2,1/((LeaseLock!$D$2:$D$500=B149)*ISNUMBER(SEARCH(LEFT(C149,FIND(",",C149&amp;",")-1),LeaseLock!$C$2:$C$500))),LeaseLock!$F$2:$F$500)&amp;" - $"&amp;TEXT(LOOKUP(2,1/((LeaseLock!$D$2:$D$500=B149)*ISNUMBER(SEARCH(LEFT(C149,FIND(",",C149&amp;",")-1),LeaseLock!$C$2:$C$500))),LeaseLock!$M$2:$M$500),"#,##0.00")&amp;" paid",LOOKUP(2,1/((LeaseLock!$D$2:$D$500=B149)*ISNUMBER(SEARCH(LEFT(C149,FIND(",",C149&amp;",")-1),LeaseLock!$C$2:$C$500))),LeaseLock!$F$2:$F$500)&amp;" - no payment"))))),"")</f>
        <v/>
      </c>
      <c r="L149" s="1148" t="s">
        <v>6744</v>
      </c>
      <c r="M149" s="1134"/>
      <c r="N149" s="1134"/>
      <c r="Q149" s="1115"/>
      <c r="R149" s="1115"/>
      <c r="S149" s="1115"/>
      <c r="T149" s="1115"/>
      <c r="U149" s="1115"/>
      <c r="V149" s="1115"/>
      <c r="W149" s="1115"/>
      <c r="X149" s="1115"/>
      <c r="Y149" s="1115"/>
      <c r="Z149" s="1115"/>
    </row>
    <row r="150" spans="1:26" ht="12" customHeight="1">
      <c r="A150" s="1138" cm="1">
        <f t="array" ref="A150">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121</v>
      </c>
      <c r="B150" s="1139" t="str" cm="1">
        <f t="array" ref="B150">IF($A150="","",INDEX('resident aged receivable'!$B:$B,$A150))</f>
        <v>W08-1-0808</v>
      </c>
      <c r="C150" s="1139" t="str" cm="1">
        <f t="array" ref="C150">IF($A150="","",INDEX('resident aged receivable'!$D:$D,$A150))</f>
        <v>Santini, Eric</v>
      </c>
      <c r="D150" s="1140" cm="1">
        <f t="array" ref="D150">IF($A150="","",INDEX('resident aged receivable'!$F:$F,$A150))</f>
        <v>44176</v>
      </c>
      <c r="E150" s="1140" t="str" cm="1">
        <f t="array" ref="E150">IF($A150="","",_xlfn.LET(_xlpm.leaseEnd,INDEX('resident aged receivable'!$H:$H,$A150),_xlpm.s,INDEX('resident aged receivable'!$E:$E,$A150),IF(ISNUMBER(SEARCH("Current",_xlpm.s))+ISNUMBER(SEARCH("Notice",_xlpm.s)),"",IF(ISNUMBER(_xlpm.leaseEnd),_xlpm.leaseEnd,""))))</f>
        <v/>
      </c>
      <c r="F150" s="1139" t="str">
        <f t="shared" si="4"/>
        <v>IPS</v>
      </c>
      <c r="G150" s="1142" t="str" cm="1">
        <f t="array" ref="G150">IF($A150="","",IF(COUNTIF($N$3:$N$24,C150)&gt;0,"Former",_xlfn.LET(_xlpm.s,INDEX('resident aged receivable'!$E:$E,$A150),IF(ISNUMBER(SEARCH("Eviction",_xlpm.s)),"Eviction",IF(ISNUMBER(SEARCH("Skip",_xlpm.s)),"Skip",IF(ISNUMBER(SEARCH("Past",_xlpm.s))+ISNUMBER(SEARCH("Collections",_xlpm.s)),"Former",_xlpm.s))))))</f>
        <v>Current - Month To Month</v>
      </c>
      <c r="H150" s="1153" cm="1">
        <f t="array" ref="H150">IF($A150="","",INDEX('resident aged receivable'!$I:$I,$A150))</f>
        <v>8468.5499999999993</v>
      </c>
      <c r="I150" s="1153" cm="1">
        <f t="array" ref="I150">IF($A150="","",INDEX('resident aged receivable'!$J:$J,$A150))</f>
        <v>1372.85</v>
      </c>
      <c r="J150" s="1153" cm="1">
        <f t="array" ref="J150">IF($A150="","",INDEX('resident aged receivable'!$K:$K,$A150))</f>
        <v>1382.66</v>
      </c>
      <c r="K150" s="1163" t="str" cm="1">
        <f t="array" ref="K150">IFERROR(IF(B150="","",IF(SUMPRODUCT((LeaseLock!$D$2:$D$500=B150)*ISNUMBER(SEARCH(LEFT(C150,FIND(",",C150&amp;",")-1),LeaseLock!$C$2:$C$500)))=0,"",IF(LOOKUP(2,1/((LeaseLock!$D$2:$D$500=B150)*ISNUMBER(SEARCH(LEFT(C150,FIND(",",C150&amp;",")-1),LeaseLock!$C$2:$C$500))),LeaseLock!$F$2:$F$500)="Claim Denied","Claim Denied ("&amp;LOOKUP(2,1/((LeaseLock!$D$2:$D$500=B150)*ISNUMBER(SEARCH(LEFT(C150,FIND(",",C150&amp;",")-1),LeaseLock!$C$2:$C$500))),LeaseLock!$G$2:$G$500)&amp;")",IF(LOOKUP(2,1/((LeaseLock!$D$2:$D$500=B150)*ISNUMBER(SEARCH(LEFT(C150,FIND(",",C150&amp;",")-1),LeaseLock!$C$2:$C$500))),LeaseLock!$F$2:$F$500)="Open","Open - "&amp;LOOKUP(2,1/((LeaseLock!$D$2:$D$500=B150)*ISNUMBER(SEARCH(LEFT(C150,FIND(",",C150&amp;",")-1),LeaseLock!$C$2:$C$500))),LeaseLock!$G$2:$G$500),IF(LOOKUP(2,1/((LeaseLock!$D$2:$D$500=B150)*ISNUMBER(SEARCH(LEFT(C150,FIND(",",C150&amp;",")-1),LeaseLock!$C$2:$C$500))),LeaseLock!$M$2:$M$500)&gt;0,LOOKUP(2,1/((LeaseLock!$D$2:$D$500=B150)*ISNUMBER(SEARCH(LEFT(C150,FIND(",",C150&amp;",")-1),LeaseLock!$C$2:$C$500))),LeaseLock!$F$2:$F$500)&amp;" - $"&amp;TEXT(LOOKUP(2,1/((LeaseLock!$D$2:$D$500=B150)*ISNUMBER(SEARCH(LEFT(C150,FIND(",",C150&amp;",")-1),LeaseLock!$C$2:$C$500))),LeaseLock!$M$2:$M$500),"#,##0.00")&amp;" paid",LOOKUP(2,1/((LeaseLock!$D$2:$D$500=B150)*ISNUMBER(SEARCH(LEFT(C150,FIND(",",C150&amp;",")-1),LeaseLock!$C$2:$C$500))),LeaseLock!$F$2:$F$500)&amp;" - no payment"))))),"")</f>
        <v/>
      </c>
      <c r="L150" s="1148"/>
      <c r="M150" s="1134"/>
      <c r="N150" s="1134"/>
      <c r="Q150" s="1115"/>
      <c r="R150" s="1115"/>
      <c r="S150" s="1115"/>
      <c r="T150" s="1115"/>
      <c r="U150" s="1115"/>
      <c r="V150" s="1115"/>
      <c r="W150" s="1115"/>
      <c r="X150" s="1115"/>
      <c r="Y150" s="1115"/>
      <c r="Z150" s="1115"/>
    </row>
    <row r="151" spans="1:26" ht="12" customHeight="1">
      <c r="A151" s="1138" cm="1">
        <f t="array" ref="A151">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183</v>
      </c>
      <c r="B151" s="1139" t="str" cm="1">
        <f t="array" ref="B151">IF($A151="","",INDEX('resident aged receivable'!$B:$B,$A151))</f>
        <v>W23-2-2041</v>
      </c>
      <c r="C151" s="1139" t="str" cm="1">
        <f t="array" ref="C151">IF($A151="","",INDEX('resident aged receivable'!$D:$D,$A151))</f>
        <v>Cortez, Elieser</v>
      </c>
      <c r="D151" s="1140" cm="1">
        <f t="array" ref="D151">IF($A151="","",INDEX('resident aged receivable'!$F:$F,$A151))</f>
        <v>45224</v>
      </c>
      <c r="E151" s="1140" t="str" cm="1">
        <f t="array" ref="E151">IF($A151="","",_xlfn.LET(_xlpm.leaseEnd,INDEX('resident aged receivable'!$H:$H,$A151),_xlpm.s,INDEX('resident aged receivable'!$E:$E,$A151),IF(ISNUMBER(SEARCH("Current",_xlpm.s))+ISNUMBER(SEARCH("Notice",_xlpm.s)),"",IF(ISNUMBER(_xlpm.leaseEnd),_xlpm.leaseEnd,""))))</f>
        <v/>
      </c>
      <c r="F151" s="1139" t="str">
        <f t="shared" si="4"/>
        <v>IPS</v>
      </c>
      <c r="G151" s="1142" t="str" cm="1">
        <f t="array" ref="G151">IF($A151="","",IF(COUNTIF($N$3:$N$24,C151)&gt;0,"Former",_xlfn.LET(_xlpm.s,INDEX('resident aged receivable'!$E:$E,$A151),IF(ISNUMBER(SEARCH("Eviction",_xlpm.s)),"Eviction",IF(ISNUMBER(SEARCH("Skip",_xlpm.s)),"Skip",IF(ISNUMBER(SEARCH("Past",_xlpm.s))+ISNUMBER(SEARCH("Collections",_xlpm.s)),"Former",_xlpm.s))))))</f>
        <v>Current - Month To Month</v>
      </c>
      <c r="H151" s="1153" cm="1">
        <f t="array" ref="H151">IF($A151="","",INDEX('resident aged receivable'!$I:$I,$A151))</f>
        <v>7379.74</v>
      </c>
      <c r="I151" s="1153" cm="1">
        <f t="array" ref="I151">IF($A151="","",INDEX('resident aged receivable'!$J:$J,$A151))</f>
        <v>1450</v>
      </c>
      <c r="J151" s="1153" cm="1">
        <f t="array" ref="J151">IF($A151="","",INDEX('resident aged receivable'!$K:$K,$A151))</f>
        <v>1458.51</v>
      </c>
      <c r="K151" s="1163" t="str" cm="1">
        <f t="array" ref="K151">IFERROR(IF(B151="","",IF(SUMPRODUCT((LeaseLock!$D$2:$D$500=B151)*ISNUMBER(SEARCH(LEFT(C151,FIND(",",C151&amp;",")-1),LeaseLock!$C$2:$C$500)))=0,"",IF(LOOKUP(2,1/((LeaseLock!$D$2:$D$500=B151)*ISNUMBER(SEARCH(LEFT(C151,FIND(",",C151&amp;",")-1),LeaseLock!$C$2:$C$500))),LeaseLock!$F$2:$F$500)="Claim Denied","Claim Denied ("&amp;LOOKUP(2,1/((LeaseLock!$D$2:$D$500=B151)*ISNUMBER(SEARCH(LEFT(C151,FIND(",",C151&amp;",")-1),LeaseLock!$C$2:$C$500))),LeaseLock!$G$2:$G$500)&amp;")",IF(LOOKUP(2,1/((LeaseLock!$D$2:$D$500=B151)*ISNUMBER(SEARCH(LEFT(C151,FIND(",",C151&amp;",")-1),LeaseLock!$C$2:$C$500))),LeaseLock!$F$2:$F$500)="Open","Open - "&amp;LOOKUP(2,1/((LeaseLock!$D$2:$D$500=B151)*ISNUMBER(SEARCH(LEFT(C151,FIND(",",C151&amp;",")-1),LeaseLock!$C$2:$C$500))),LeaseLock!$G$2:$G$500),IF(LOOKUP(2,1/((LeaseLock!$D$2:$D$500=B151)*ISNUMBER(SEARCH(LEFT(C151,FIND(",",C151&amp;",")-1),LeaseLock!$C$2:$C$500))),LeaseLock!$M$2:$M$500)&gt;0,LOOKUP(2,1/((LeaseLock!$D$2:$D$500=B151)*ISNUMBER(SEARCH(LEFT(C151,FIND(",",C151&amp;",")-1),LeaseLock!$C$2:$C$500))),LeaseLock!$F$2:$F$500)&amp;" - $"&amp;TEXT(LOOKUP(2,1/((LeaseLock!$D$2:$D$500=B151)*ISNUMBER(SEARCH(LEFT(C151,FIND(",",C151&amp;",")-1),LeaseLock!$C$2:$C$500))),LeaseLock!$M$2:$M$500),"#,##0.00")&amp;" paid",LOOKUP(2,1/((LeaseLock!$D$2:$D$500=B151)*ISNUMBER(SEARCH(LEFT(C151,FIND(",",C151&amp;",")-1),LeaseLock!$C$2:$C$500))),LeaseLock!$F$2:$F$500)&amp;" - no payment"))))),"")</f>
        <v/>
      </c>
      <c r="L151" s="1148" t="s">
        <v>6744</v>
      </c>
      <c r="M151" s="1134"/>
      <c r="N151" s="1134"/>
      <c r="Q151" s="1115"/>
      <c r="R151" s="1115"/>
      <c r="S151" s="1115"/>
      <c r="T151" s="1115"/>
      <c r="U151" s="1115"/>
      <c r="V151" s="1115"/>
      <c r="W151" s="1115"/>
      <c r="X151" s="1115"/>
      <c r="Y151" s="1115"/>
      <c r="Z151" s="1115"/>
    </row>
    <row r="152" spans="1:26" ht="12" customHeight="1">
      <c r="A152" s="1138" cm="1">
        <f t="array" ref="A152">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122</v>
      </c>
      <c r="B152" s="1139" t="str" cm="1">
        <f t="array" ref="B152">IF($A152="","",INDEX('resident aged receivable'!$B:$B,$A152))</f>
        <v>W08-1-0810</v>
      </c>
      <c r="C152" s="1139" t="str" cm="1">
        <f t="array" ref="C152">IF($A152="","",INDEX('resident aged receivable'!$D:$D,$A152))</f>
        <v>Oliva Cordero, Carlos Jose</v>
      </c>
      <c r="D152" s="1140" cm="1">
        <f t="array" ref="D152">IF($A152="","",INDEX('resident aged receivable'!$F:$F,$A152))</f>
        <v>45596</v>
      </c>
      <c r="E152" s="1140" t="str" cm="1">
        <f t="array" ref="E152">IF($A152="","",_xlfn.LET(_xlpm.leaseEnd,INDEX('resident aged receivable'!$H:$H,$A152),_xlpm.s,INDEX('resident aged receivable'!$E:$E,$A152),IF(ISNUMBER(SEARCH("Current",_xlpm.s))+ISNUMBER(SEARCH("Notice",_xlpm.s)),"",IF(ISNUMBER(_xlpm.leaseEnd),_xlpm.leaseEnd,""))))</f>
        <v/>
      </c>
      <c r="F152" s="1139" t="str">
        <f t="shared" si="4"/>
        <v>IPS</v>
      </c>
      <c r="G152" s="1142" t="str" cm="1">
        <f t="array" ref="G152">IF($A152="","",IF(COUNTIF($N$3:$N$24,C152)&gt;0,"Former",_xlfn.LET(_xlpm.s,INDEX('resident aged receivable'!$E:$E,$A152),IF(ISNUMBER(SEARCH("Eviction",_xlpm.s)),"Eviction",IF(ISNUMBER(SEARCH("Skip",_xlpm.s)),"Skip",IF(ISNUMBER(SEARCH("Past",_xlpm.s))+ISNUMBER(SEARCH("Collections",_xlpm.s)),"Former",_xlpm.s))))))</f>
        <v>Current - Month To Month</v>
      </c>
      <c r="H152" s="1153" cm="1">
        <f t="array" ref="H152">IF($A152="","",INDEX('resident aged receivable'!$I:$I,$A152))</f>
        <v>7142.71</v>
      </c>
      <c r="I152" s="1153" cm="1">
        <f t="array" ref="I152">IF($A152="","",INDEX('resident aged receivable'!$J:$J,$A152))</f>
        <v>1148.78</v>
      </c>
      <c r="J152" s="1153" cm="1">
        <f t="array" ref="J152">IF($A152="","",INDEX('resident aged receivable'!$K:$K,$A152))</f>
        <v>1162.19</v>
      </c>
      <c r="K152" s="1163" t="str" cm="1">
        <f t="array" ref="K152">IFERROR(IF(B152="","",IF(SUMPRODUCT((LeaseLock!$D$2:$D$500=B152)*ISNUMBER(SEARCH(LEFT(C152,FIND(",",C152&amp;",")-1),LeaseLock!$C$2:$C$500)))=0,"",IF(LOOKUP(2,1/((LeaseLock!$D$2:$D$500=B152)*ISNUMBER(SEARCH(LEFT(C152,FIND(",",C152&amp;",")-1),LeaseLock!$C$2:$C$500))),LeaseLock!$F$2:$F$500)="Claim Denied","Claim Denied ("&amp;LOOKUP(2,1/((LeaseLock!$D$2:$D$500=B152)*ISNUMBER(SEARCH(LEFT(C152,FIND(",",C152&amp;",")-1),LeaseLock!$C$2:$C$500))),LeaseLock!$G$2:$G$500)&amp;")",IF(LOOKUP(2,1/((LeaseLock!$D$2:$D$500=B152)*ISNUMBER(SEARCH(LEFT(C152,FIND(",",C152&amp;",")-1),LeaseLock!$C$2:$C$500))),LeaseLock!$F$2:$F$500)="Open","Open - "&amp;LOOKUP(2,1/((LeaseLock!$D$2:$D$500=B152)*ISNUMBER(SEARCH(LEFT(C152,FIND(",",C152&amp;",")-1),LeaseLock!$C$2:$C$500))),LeaseLock!$G$2:$G$500),IF(LOOKUP(2,1/((LeaseLock!$D$2:$D$500=B152)*ISNUMBER(SEARCH(LEFT(C152,FIND(",",C152&amp;",")-1),LeaseLock!$C$2:$C$500))),LeaseLock!$M$2:$M$500)&gt;0,LOOKUP(2,1/((LeaseLock!$D$2:$D$500=B152)*ISNUMBER(SEARCH(LEFT(C152,FIND(",",C152&amp;",")-1),LeaseLock!$C$2:$C$500))),LeaseLock!$F$2:$F$500)&amp;" - $"&amp;TEXT(LOOKUP(2,1/((LeaseLock!$D$2:$D$500=B152)*ISNUMBER(SEARCH(LEFT(C152,FIND(",",C152&amp;",")-1),LeaseLock!$C$2:$C$500))),LeaseLock!$M$2:$M$500),"#,##0.00")&amp;" paid",LOOKUP(2,1/((LeaseLock!$D$2:$D$500=B152)*ISNUMBER(SEARCH(LEFT(C152,FIND(",",C152&amp;",")-1),LeaseLock!$C$2:$C$500))),LeaseLock!$F$2:$F$500)&amp;" - no payment"))))),"")</f>
        <v/>
      </c>
      <c r="L152" s="1148" t="s">
        <v>6744</v>
      </c>
      <c r="M152" s="1134"/>
      <c r="N152" s="1134"/>
      <c r="Q152" s="1115"/>
      <c r="R152" s="1115"/>
      <c r="S152" s="1115"/>
      <c r="T152" s="1115"/>
      <c r="U152" s="1115"/>
      <c r="V152" s="1115"/>
      <c r="W152" s="1115"/>
      <c r="X152" s="1115"/>
      <c r="Y152" s="1115"/>
      <c r="Z152" s="1115"/>
    </row>
    <row r="153" spans="1:26" ht="12" customHeight="1">
      <c r="A153" s="1138" cm="1">
        <f t="array" ref="A153">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84</v>
      </c>
      <c r="B153" s="1139" t="str" cm="1">
        <f t="array" ref="B153">IF($A153="","",INDEX('resident aged receivable'!$B:$B,$A153))</f>
        <v>W01-1-0110</v>
      </c>
      <c r="C153" s="1139" t="str" cm="1">
        <f t="array" ref="C153">IF($A153="","",INDEX('resident aged receivable'!$D:$D,$A153))</f>
        <v>Ortega, Maricela</v>
      </c>
      <c r="D153" s="1140" cm="1">
        <f t="array" ref="D153">IF($A153="","",INDEX('resident aged receivable'!$F:$F,$A153))</f>
        <v>45383</v>
      </c>
      <c r="E153" s="1140" t="str" cm="1">
        <f t="array" ref="E153">IF($A153="","",_xlfn.LET(_xlpm.leaseEnd,INDEX('resident aged receivable'!$H:$H,$A153),_xlpm.s,INDEX('resident aged receivable'!$E:$E,$A153),IF(ISNUMBER(SEARCH("Current",_xlpm.s))+ISNUMBER(SEARCH("Notice",_xlpm.s)),"",IF(ISNUMBER(_xlpm.leaseEnd),_xlpm.leaseEnd,""))))</f>
        <v/>
      </c>
      <c r="F153" s="1139" t="str">
        <f t="shared" si="4"/>
        <v>IPS</v>
      </c>
      <c r="G153" s="1142" t="str" cm="1">
        <f t="array" ref="G153">IF($A153="","",IF(COUNTIF($N$3:$N$24,C153)&gt;0,"Former",_xlfn.LET(_xlpm.s,INDEX('resident aged receivable'!$E:$E,$A153),IF(ISNUMBER(SEARCH("Eviction",_xlpm.s)),"Eviction",IF(ISNUMBER(SEARCH("Skip",_xlpm.s)),"Skip",IF(ISNUMBER(SEARCH("Past",_xlpm.s))+ISNUMBER(SEARCH("Collections",_xlpm.s)),"Former",_xlpm.s))))))</f>
        <v>Current</v>
      </c>
      <c r="H153" s="1153" cm="1">
        <f t="array" ref="H153">IF($A153="","",INDEX('resident aged receivable'!$I:$I,$A153))</f>
        <v>7010.94</v>
      </c>
      <c r="I153" s="1153" cm="1">
        <f t="array" ref="I153">IF($A153="","",INDEX('resident aged receivable'!$J:$J,$A153))</f>
        <v>1378.85</v>
      </c>
      <c r="J153" s="1153" cm="1">
        <f t="array" ref="J153">IF($A153="","",INDEX('resident aged receivable'!$K:$K,$A153))</f>
        <v>1388.66</v>
      </c>
      <c r="K153" s="1163" t="str" cm="1">
        <f t="array" ref="K153">IFERROR(IF(B153="","",IF(SUMPRODUCT((LeaseLock!$D$2:$D$500=B153)*ISNUMBER(SEARCH(LEFT(C153,FIND(",",C153&amp;",")-1),LeaseLock!$C$2:$C$500)))=0,"",IF(LOOKUP(2,1/((LeaseLock!$D$2:$D$500=B153)*ISNUMBER(SEARCH(LEFT(C153,FIND(",",C153&amp;",")-1),LeaseLock!$C$2:$C$500))),LeaseLock!$F$2:$F$500)="Claim Denied","Claim Denied ("&amp;LOOKUP(2,1/((LeaseLock!$D$2:$D$500=B153)*ISNUMBER(SEARCH(LEFT(C153,FIND(",",C153&amp;",")-1),LeaseLock!$C$2:$C$500))),LeaseLock!$G$2:$G$500)&amp;")",IF(LOOKUP(2,1/((LeaseLock!$D$2:$D$500=B153)*ISNUMBER(SEARCH(LEFT(C153,FIND(",",C153&amp;",")-1),LeaseLock!$C$2:$C$500))),LeaseLock!$F$2:$F$500)="Open","Open - "&amp;LOOKUP(2,1/((LeaseLock!$D$2:$D$500=B153)*ISNUMBER(SEARCH(LEFT(C153,FIND(",",C153&amp;",")-1),LeaseLock!$C$2:$C$500))),LeaseLock!$G$2:$G$500),IF(LOOKUP(2,1/((LeaseLock!$D$2:$D$500=B153)*ISNUMBER(SEARCH(LEFT(C153,FIND(",",C153&amp;",")-1),LeaseLock!$C$2:$C$500))),LeaseLock!$M$2:$M$500)&gt;0,LOOKUP(2,1/((LeaseLock!$D$2:$D$500=B153)*ISNUMBER(SEARCH(LEFT(C153,FIND(",",C153&amp;",")-1),LeaseLock!$C$2:$C$500))),LeaseLock!$F$2:$F$500)&amp;" - $"&amp;TEXT(LOOKUP(2,1/((LeaseLock!$D$2:$D$500=B153)*ISNUMBER(SEARCH(LEFT(C153,FIND(",",C153&amp;",")-1),LeaseLock!$C$2:$C$500))),LeaseLock!$M$2:$M$500),"#,##0.00")&amp;" paid",LOOKUP(2,1/((LeaseLock!$D$2:$D$500=B153)*ISNUMBER(SEARCH(LEFT(C153,FIND(",",C153&amp;",")-1),LeaseLock!$C$2:$C$500))),LeaseLock!$F$2:$F$500)&amp;" - no payment"))))),"")</f>
        <v/>
      </c>
      <c r="L153" s="1148" t="s">
        <v>6744</v>
      </c>
      <c r="M153" s="1134"/>
      <c r="N153" s="1134"/>
      <c r="Q153" s="1115"/>
      <c r="R153" s="1115"/>
      <c r="S153" s="1115"/>
      <c r="T153" s="1115"/>
      <c r="U153" s="1115"/>
      <c r="V153" s="1115"/>
      <c r="W153" s="1115"/>
      <c r="X153" s="1115"/>
      <c r="Y153" s="1115"/>
      <c r="Z153" s="1115"/>
    </row>
    <row r="154" spans="1:26" ht="12" customHeight="1">
      <c r="A154" s="1138" cm="1">
        <f t="array" ref="A154">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149</v>
      </c>
      <c r="B154" s="1139" t="str" cm="1">
        <f t="array" ref="B154">IF($A154="","",INDEX('resident aged receivable'!$B:$B,$A154))</f>
        <v>W14-1-1417</v>
      </c>
      <c r="C154" s="1139" t="str" cm="1">
        <f t="array" ref="C154">IF($A154="","",INDEX('resident aged receivable'!$D:$D,$A154))</f>
        <v>Shead, Teaira</v>
      </c>
      <c r="D154" s="1140" cm="1">
        <f t="array" ref="D154">IF($A154="","",INDEX('resident aged receivable'!$F:$F,$A154))</f>
        <v>45899</v>
      </c>
      <c r="E154" s="1140" t="str" cm="1">
        <f t="array" ref="E154">IF($A154="","",_xlfn.LET(_xlpm.leaseEnd,INDEX('resident aged receivable'!$H:$H,$A154),_xlpm.s,INDEX('resident aged receivable'!$E:$E,$A154),IF(ISNUMBER(SEARCH("Current",_xlpm.s))+ISNUMBER(SEARCH("Notice",_xlpm.s)),"",IF(ISNUMBER(_xlpm.leaseEnd),_xlpm.leaseEnd,""))))</f>
        <v/>
      </c>
      <c r="F154" s="1139" t="str">
        <f t="shared" si="4"/>
        <v>IPS</v>
      </c>
      <c r="G154" s="1142" t="str" cm="1">
        <f t="array" ref="G154">IF($A154="","",IF(COUNTIF($N$3:$N$24,C154)&gt;0,"Former",_xlfn.LET(_xlpm.s,INDEX('resident aged receivable'!$E:$E,$A154),IF(ISNUMBER(SEARCH("Eviction",_xlpm.s)),"Eviction",IF(ISNUMBER(SEARCH("Skip",_xlpm.s)),"Skip",IF(ISNUMBER(SEARCH("Past",_xlpm.s))+ISNUMBER(SEARCH("Collections",_xlpm.s)),"Former",_xlpm.s))))))</f>
        <v>Current</v>
      </c>
      <c r="H154" s="1153" cm="1">
        <f t="array" ref="H154">IF($A154="","",INDEX('resident aged receivable'!$I:$I,$A154))</f>
        <v>5446.44</v>
      </c>
      <c r="I154" s="1153" cm="1">
        <f t="array" ref="I154">IF($A154="","",INDEX('resident aged receivable'!$J:$J,$A154))</f>
        <v>1039.26</v>
      </c>
      <c r="J154" s="1153" cm="1">
        <f t="array" ref="J154">IF($A154="","",INDEX('resident aged receivable'!$K:$K,$A154))</f>
        <v>1054.1099999999999</v>
      </c>
      <c r="K154" s="1163" t="str" cm="1">
        <f t="array" ref="K154">IFERROR(IF(B154="","",IF(SUMPRODUCT((LeaseLock!$D$2:$D$500=B154)*ISNUMBER(SEARCH(LEFT(C154,FIND(",",C154&amp;",")-1),LeaseLock!$C$2:$C$500)))=0,"",IF(LOOKUP(2,1/((LeaseLock!$D$2:$D$500=B154)*ISNUMBER(SEARCH(LEFT(C154,FIND(",",C154&amp;",")-1),LeaseLock!$C$2:$C$500))),LeaseLock!$F$2:$F$500)="Claim Denied","Claim Denied ("&amp;LOOKUP(2,1/((LeaseLock!$D$2:$D$500=B154)*ISNUMBER(SEARCH(LEFT(C154,FIND(",",C154&amp;",")-1),LeaseLock!$C$2:$C$500))),LeaseLock!$G$2:$G$500)&amp;")",IF(LOOKUP(2,1/((LeaseLock!$D$2:$D$500=B154)*ISNUMBER(SEARCH(LEFT(C154,FIND(",",C154&amp;",")-1),LeaseLock!$C$2:$C$500))),LeaseLock!$F$2:$F$500)="Open","Open - "&amp;LOOKUP(2,1/((LeaseLock!$D$2:$D$500=B154)*ISNUMBER(SEARCH(LEFT(C154,FIND(",",C154&amp;",")-1),LeaseLock!$C$2:$C$500))),LeaseLock!$G$2:$G$500),IF(LOOKUP(2,1/((LeaseLock!$D$2:$D$500=B154)*ISNUMBER(SEARCH(LEFT(C154,FIND(",",C154&amp;",")-1),LeaseLock!$C$2:$C$500))),LeaseLock!$M$2:$M$500)&gt;0,LOOKUP(2,1/((LeaseLock!$D$2:$D$500=B154)*ISNUMBER(SEARCH(LEFT(C154,FIND(",",C154&amp;",")-1),LeaseLock!$C$2:$C$500))),LeaseLock!$F$2:$F$500)&amp;" - $"&amp;TEXT(LOOKUP(2,1/((LeaseLock!$D$2:$D$500=B154)*ISNUMBER(SEARCH(LEFT(C154,FIND(",",C154&amp;",")-1),LeaseLock!$C$2:$C$500))),LeaseLock!$M$2:$M$500),"#,##0.00")&amp;" paid",LOOKUP(2,1/((LeaseLock!$D$2:$D$500=B154)*ISNUMBER(SEARCH(LEFT(C154,FIND(",",C154&amp;",")-1),LeaseLock!$C$2:$C$500))),LeaseLock!$F$2:$F$500)&amp;" - no payment"))))),"")</f>
        <v/>
      </c>
      <c r="L154" s="1148" t="s">
        <v>6744</v>
      </c>
      <c r="M154" s="1134"/>
      <c r="N154" s="1134"/>
      <c r="Q154" s="1115"/>
      <c r="R154" s="1115"/>
      <c r="S154" s="1115"/>
      <c r="T154" s="1115"/>
      <c r="U154" s="1115"/>
      <c r="V154" s="1115"/>
      <c r="W154" s="1115"/>
      <c r="X154" s="1115"/>
      <c r="Y154" s="1115"/>
      <c r="Z154" s="1115"/>
    </row>
    <row r="155" spans="1:26" ht="12" customHeight="1">
      <c r="A155" s="1138" cm="1">
        <f t="array" ref="A155">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156</v>
      </c>
      <c r="B155" s="1139" t="str" cm="1">
        <f t="array" ref="B155">IF($A155="","",INDEX('resident aged receivable'!$B:$B,$A155))</f>
        <v>W15-2-3088</v>
      </c>
      <c r="C155" s="1139" t="str" cm="1">
        <f t="array" ref="C155">IF($A155="","",INDEX('resident aged receivable'!$D:$D,$A155))</f>
        <v>Clark, Briana</v>
      </c>
      <c r="D155" s="1140" cm="1">
        <f t="array" ref="D155">IF($A155="","",INDEX('resident aged receivable'!$F:$F,$A155))</f>
        <v>45618</v>
      </c>
      <c r="E155" s="1140" t="str" cm="1">
        <f t="array" ref="E155">IF($A155="","",_xlfn.LET(_xlpm.leaseEnd,INDEX('resident aged receivable'!$H:$H,$A155),_xlpm.s,INDEX('resident aged receivable'!$E:$E,$A155),IF(ISNUMBER(SEARCH("Current",_xlpm.s))+ISNUMBER(SEARCH("Notice",_xlpm.s)),"",IF(ISNUMBER(_xlpm.leaseEnd),_xlpm.leaseEnd,""))))</f>
        <v/>
      </c>
      <c r="F155" s="1139" t="str">
        <f t="shared" si="4"/>
        <v>IPS</v>
      </c>
      <c r="G155" s="1142" t="str" cm="1">
        <f t="array" ref="G155">IF($A155="","",IF(COUNTIF($N$3:$N$24,C155)&gt;0,"Former",_xlfn.LET(_xlpm.s,INDEX('resident aged receivable'!$E:$E,$A155),IF(ISNUMBER(SEARCH("Eviction",_xlpm.s)),"Eviction",IF(ISNUMBER(SEARCH("Skip",_xlpm.s)),"Skip",IF(ISNUMBER(SEARCH("Past",_xlpm.s))+ISNUMBER(SEARCH("Collections",_xlpm.s)),"Former",_xlpm.s))))))</f>
        <v>Current - Month To Month</v>
      </c>
      <c r="H155" s="1153" cm="1">
        <f t="array" ref="H155">IF($A155="","",INDEX('resident aged receivable'!$I:$I,$A155))</f>
        <v>5391.76</v>
      </c>
      <c r="I155" s="1153" cm="1">
        <f t="array" ref="I155">IF($A155="","",INDEX('resident aged receivable'!$J:$J,$A155))</f>
        <v>1339.37</v>
      </c>
      <c r="J155" s="1153" cm="1">
        <f t="array" ref="J155">IF($A155="","",INDEX('resident aged receivable'!$K:$K,$A155))</f>
        <v>1350.13</v>
      </c>
      <c r="K155" s="1163" t="str" cm="1">
        <f t="array" ref="K155">IFERROR(IF(B155="","",IF(SUMPRODUCT((LeaseLock!$D$2:$D$500=B155)*ISNUMBER(SEARCH(LEFT(C155,FIND(",",C155&amp;",")-1),LeaseLock!$C$2:$C$500)))=0,"",IF(LOOKUP(2,1/((LeaseLock!$D$2:$D$500=B155)*ISNUMBER(SEARCH(LEFT(C155,FIND(",",C155&amp;",")-1),LeaseLock!$C$2:$C$500))),LeaseLock!$F$2:$F$500)="Claim Denied","Claim Denied ("&amp;LOOKUP(2,1/((LeaseLock!$D$2:$D$500=B155)*ISNUMBER(SEARCH(LEFT(C155,FIND(",",C155&amp;",")-1),LeaseLock!$C$2:$C$500))),LeaseLock!$G$2:$G$500)&amp;")",IF(LOOKUP(2,1/((LeaseLock!$D$2:$D$500=B155)*ISNUMBER(SEARCH(LEFT(C155,FIND(",",C155&amp;",")-1),LeaseLock!$C$2:$C$500))),LeaseLock!$F$2:$F$500)="Open","Open - "&amp;LOOKUP(2,1/((LeaseLock!$D$2:$D$500=B155)*ISNUMBER(SEARCH(LEFT(C155,FIND(",",C155&amp;",")-1),LeaseLock!$C$2:$C$500))),LeaseLock!$G$2:$G$500),IF(LOOKUP(2,1/((LeaseLock!$D$2:$D$500=B155)*ISNUMBER(SEARCH(LEFT(C155,FIND(",",C155&amp;",")-1),LeaseLock!$C$2:$C$500))),LeaseLock!$M$2:$M$500)&gt;0,LOOKUP(2,1/((LeaseLock!$D$2:$D$500=B155)*ISNUMBER(SEARCH(LEFT(C155,FIND(",",C155&amp;",")-1),LeaseLock!$C$2:$C$500))),LeaseLock!$F$2:$F$500)&amp;" - $"&amp;TEXT(LOOKUP(2,1/((LeaseLock!$D$2:$D$500=B155)*ISNUMBER(SEARCH(LEFT(C155,FIND(",",C155&amp;",")-1),LeaseLock!$C$2:$C$500))),LeaseLock!$M$2:$M$500),"#,##0.00")&amp;" paid",LOOKUP(2,1/((LeaseLock!$D$2:$D$500=B155)*ISNUMBER(SEARCH(LEFT(C155,FIND(",",C155&amp;",")-1),LeaseLock!$C$2:$C$500))),LeaseLock!$F$2:$F$500)&amp;" - no payment"))))),"")</f>
        <v/>
      </c>
      <c r="L155" s="1148" t="s">
        <v>6758</v>
      </c>
      <c r="M155" s="1134"/>
      <c r="N155" s="1134"/>
      <c r="Q155" s="1115"/>
      <c r="R155" s="1115"/>
      <c r="S155" s="1115"/>
      <c r="T155" s="1115"/>
      <c r="U155" s="1115"/>
      <c r="V155" s="1115"/>
      <c r="W155" s="1115"/>
      <c r="X155" s="1115"/>
      <c r="Y155" s="1115"/>
      <c r="Z155" s="1115"/>
    </row>
    <row r="156" spans="1:26" ht="12" customHeight="1">
      <c r="A156" s="1138" cm="1">
        <f t="array" ref="A156">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6</v>
      </c>
      <c r="B156" s="1139" t="str" cm="1">
        <f t="array" ref="B156">IF($A156="","",INDEX('resident aged receivable'!$B:$B,$A156))</f>
        <v>N02-1006</v>
      </c>
      <c r="C156" s="1139" t="str" cm="1">
        <f t="array" ref="C156">IF($A156="","",INDEX('resident aged receivable'!$D:$D,$A156))</f>
        <v>Cruz, Miguel</v>
      </c>
      <c r="D156" s="1140" cm="1">
        <f t="array" ref="D156">IF($A156="","",INDEX('resident aged receivable'!$F:$F,$A156))</f>
        <v>43641</v>
      </c>
      <c r="E156" s="1140" t="str" cm="1">
        <f t="array" ref="E156">IF($A156="","",_xlfn.LET(_xlpm.leaseEnd,INDEX('resident aged receivable'!$H:$H,$A156),_xlpm.s,INDEX('resident aged receivable'!$E:$E,$A156),IF(ISNUMBER(SEARCH("Current",_xlpm.s))+ISNUMBER(SEARCH("Notice",_xlpm.s)),"",IF(ISNUMBER(_xlpm.leaseEnd),_xlpm.leaseEnd,""))))</f>
        <v/>
      </c>
      <c r="F156" s="1139" t="str">
        <f t="shared" si="4"/>
        <v>IPS</v>
      </c>
      <c r="G156" s="1142" t="str" cm="1">
        <f t="array" ref="G156">IF($A156="","",IF(COUNTIF($N$3:$N$24,C156)&gt;0,"Former",_xlfn.LET(_xlpm.s,INDEX('resident aged receivable'!$E:$E,$A156),IF(ISNUMBER(SEARCH("Eviction",_xlpm.s)),"Eviction",IF(ISNUMBER(SEARCH("Skip",_xlpm.s)),"Skip",IF(ISNUMBER(SEARCH("Past",_xlpm.s))+ISNUMBER(SEARCH("Collections",_xlpm.s)),"Former",_xlpm.s))))))</f>
        <v>Current</v>
      </c>
      <c r="H156" s="1153" cm="1">
        <f t="array" ref="H156">IF($A156="","",INDEX('resident aged receivable'!$I:$I,$A156))</f>
        <v>4758.42</v>
      </c>
      <c r="I156" s="1153" cm="1">
        <f t="array" ref="I156">IF($A156="","",INDEX('resident aged receivable'!$J:$J,$A156))</f>
        <v>1196.58</v>
      </c>
      <c r="J156" s="1153" cm="1">
        <f t="array" ref="J156">IF($A156="","",INDEX('resident aged receivable'!$K:$K,$A156))</f>
        <v>1187.28</v>
      </c>
      <c r="K156" s="1163" t="str" cm="1">
        <f t="array" ref="K156">IFERROR(IF(B156="","",IF(SUMPRODUCT((LeaseLock!$D$2:$D$500=B156)*ISNUMBER(SEARCH(LEFT(C156,FIND(",",C156&amp;",")-1),LeaseLock!$C$2:$C$500)))=0,"",IF(LOOKUP(2,1/((LeaseLock!$D$2:$D$500=B156)*ISNUMBER(SEARCH(LEFT(C156,FIND(",",C156&amp;",")-1),LeaseLock!$C$2:$C$500))),LeaseLock!$F$2:$F$500)="Claim Denied","Claim Denied ("&amp;LOOKUP(2,1/((LeaseLock!$D$2:$D$500=B156)*ISNUMBER(SEARCH(LEFT(C156,FIND(",",C156&amp;",")-1),LeaseLock!$C$2:$C$500))),LeaseLock!$G$2:$G$500)&amp;")",IF(LOOKUP(2,1/((LeaseLock!$D$2:$D$500=B156)*ISNUMBER(SEARCH(LEFT(C156,FIND(",",C156&amp;",")-1),LeaseLock!$C$2:$C$500))),LeaseLock!$F$2:$F$500)="Open","Open - "&amp;LOOKUP(2,1/((LeaseLock!$D$2:$D$500=B156)*ISNUMBER(SEARCH(LEFT(C156,FIND(",",C156&amp;",")-1),LeaseLock!$C$2:$C$500))),LeaseLock!$G$2:$G$500),IF(LOOKUP(2,1/((LeaseLock!$D$2:$D$500=B156)*ISNUMBER(SEARCH(LEFT(C156,FIND(",",C156&amp;",")-1),LeaseLock!$C$2:$C$500))),LeaseLock!$M$2:$M$500)&gt;0,LOOKUP(2,1/((LeaseLock!$D$2:$D$500=B156)*ISNUMBER(SEARCH(LEFT(C156,FIND(",",C156&amp;",")-1),LeaseLock!$C$2:$C$500))),LeaseLock!$F$2:$F$500)&amp;" - $"&amp;TEXT(LOOKUP(2,1/((LeaseLock!$D$2:$D$500=B156)*ISNUMBER(SEARCH(LEFT(C156,FIND(",",C156&amp;",")-1),LeaseLock!$C$2:$C$500))),LeaseLock!$M$2:$M$500),"#,##0.00")&amp;" paid",LOOKUP(2,1/((LeaseLock!$D$2:$D$500=B156)*ISNUMBER(SEARCH(LEFT(C156,FIND(",",C156&amp;",")-1),LeaseLock!$C$2:$C$500))),LeaseLock!$F$2:$F$500)&amp;" - no payment"))))),"")</f>
        <v/>
      </c>
      <c r="L156" s="1148" t="s">
        <v>6759</v>
      </c>
      <c r="M156" s="1134"/>
      <c r="N156" s="1134"/>
      <c r="Q156" s="1115"/>
      <c r="R156" s="1115"/>
      <c r="S156" s="1115"/>
      <c r="T156" s="1115"/>
      <c r="U156" s="1115"/>
      <c r="V156" s="1115"/>
      <c r="W156" s="1115"/>
      <c r="X156" s="1115"/>
      <c r="Y156" s="1115"/>
      <c r="Z156" s="1115"/>
    </row>
    <row r="157" spans="1:26" ht="12" customHeight="1">
      <c r="A157" s="1138" cm="1">
        <f t="array" ref="A157">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92</v>
      </c>
      <c r="B157" s="1139" t="str" cm="1">
        <f t="array" ref="B157">IF($A157="","",INDEX('resident aged receivable'!$B:$B,$A157))</f>
        <v>W03-1-0306</v>
      </c>
      <c r="C157" s="1139" t="str" cm="1">
        <f t="array" ref="C157">IF($A157="","",INDEX('resident aged receivable'!$D:$D,$A157))</f>
        <v>Akinsitan, Akinwale</v>
      </c>
      <c r="D157" s="1140" cm="1">
        <f t="array" ref="D157">IF($A157="","",INDEX('resident aged receivable'!$F:$F,$A157))</f>
        <v>45632</v>
      </c>
      <c r="E157" s="1140" t="str" cm="1">
        <f t="array" ref="E157">IF($A157="","",_xlfn.LET(_xlpm.leaseEnd,INDEX('resident aged receivable'!$H:$H,$A157),_xlpm.s,INDEX('resident aged receivable'!$E:$E,$A157),IF(ISNUMBER(SEARCH("Current",_xlpm.s))+ISNUMBER(SEARCH("Notice",_xlpm.s)),"",IF(ISNUMBER(_xlpm.leaseEnd),_xlpm.leaseEnd,""))))</f>
        <v/>
      </c>
      <c r="F157" s="1139" t="str">
        <f t="shared" si="4"/>
        <v>IPS</v>
      </c>
      <c r="G157" s="1142" t="str" cm="1">
        <f t="array" ref="G157">IF($A157="","",IF(COUNTIF($N$3:$N$24,C157)&gt;0,"Former",_xlfn.LET(_xlpm.s,INDEX('resident aged receivable'!$E:$E,$A157),IF(ISNUMBER(SEARCH("Eviction",_xlpm.s)),"Eviction",IF(ISNUMBER(SEARCH("Skip",_xlpm.s)),"Skip",IF(ISNUMBER(SEARCH("Past",_xlpm.s))+ISNUMBER(SEARCH("Collections",_xlpm.s)),"Former",_xlpm.s))))))</f>
        <v>Current</v>
      </c>
      <c r="H157" s="1153" cm="1">
        <f t="array" ref="H157">IF($A157="","",INDEX('resident aged receivable'!$I:$I,$A157))</f>
        <v>4668</v>
      </c>
      <c r="I157" s="1153" cm="1">
        <f t="array" ref="I157">IF($A157="","",INDEX('resident aged receivable'!$J:$J,$A157))</f>
        <v>4668</v>
      </c>
      <c r="J157" s="1153" cm="1">
        <f t="array" ref="J157">IF($A157="","",INDEX('resident aged receivable'!$K:$K,$A157))</f>
        <v>0</v>
      </c>
      <c r="K157" s="1163" t="str" cm="1">
        <f t="array" ref="K157">IFERROR(IF(B157="","",IF(SUMPRODUCT((LeaseLock!$D$2:$D$500=B157)*ISNUMBER(SEARCH(LEFT(C157,FIND(",",C157&amp;",")-1),LeaseLock!$C$2:$C$500)))=0,"",IF(LOOKUP(2,1/((LeaseLock!$D$2:$D$500=B157)*ISNUMBER(SEARCH(LEFT(C157,FIND(",",C157&amp;",")-1),LeaseLock!$C$2:$C$500))),LeaseLock!$F$2:$F$500)="Claim Denied","Claim Denied ("&amp;LOOKUP(2,1/((LeaseLock!$D$2:$D$500=B157)*ISNUMBER(SEARCH(LEFT(C157,FIND(",",C157&amp;",")-1),LeaseLock!$C$2:$C$500))),LeaseLock!$G$2:$G$500)&amp;")",IF(LOOKUP(2,1/((LeaseLock!$D$2:$D$500=B157)*ISNUMBER(SEARCH(LEFT(C157,FIND(",",C157&amp;",")-1),LeaseLock!$C$2:$C$500))),LeaseLock!$F$2:$F$500)="Open","Open - "&amp;LOOKUP(2,1/((LeaseLock!$D$2:$D$500=B157)*ISNUMBER(SEARCH(LEFT(C157,FIND(",",C157&amp;",")-1),LeaseLock!$C$2:$C$500))),LeaseLock!$G$2:$G$500),IF(LOOKUP(2,1/((LeaseLock!$D$2:$D$500=B157)*ISNUMBER(SEARCH(LEFT(C157,FIND(",",C157&amp;",")-1),LeaseLock!$C$2:$C$500))),LeaseLock!$M$2:$M$500)&gt;0,LOOKUP(2,1/((LeaseLock!$D$2:$D$500=B157)*ISNUMBER(SEARCH(LEFT(C157,FIND(",",C157&amp;",")-1),LeaseLock!$C$2:$C$500))),LeaseLock!$F$2:$F$500)&amp;" - $"&amp;TEXT(LOOKUP(2,1/((LeaseLock!$D$2:$D$500=B157)*ISNUMBER(SEARCH(LEFT(C157,FIND(",",C157&amp;",")-1),LeaseLock!$C$2:$C$500))),LeaseLock!$M$2:$M$500),"#,##0.00")&amp;" paid",LOOKUP(2,1/((LeaseLock!$D$2:$D$500=B157)*ISNUMBER(SEARCH(LEFT(C157,FIND(",",C157&amp;",")-1),LeaseLock!$C$2:$C$500))),LeaseLock!$F$2:$F$500)&amp;" - no payment"))))),"")</f>
        <v/>
      </c>
      <c r="L157" s="1148" t="s">
        <v>6744</v>
      </c>
      <c r="M157" s="1134"/>
      <c r="N157" s="1134"/>
      <c r="Q157" s="1115"/>
      <c r="R157" s="1115"/>
      <c r="S157" s="1115"/>
      <c r="T157" s="1115"/>
      <c r="U157" s="1115"/>
      <c r="V157" s="1115"/>
      <c r="W157" s="1115"/>
      <c r="X157" s="1115"/>
      <c r="Y157" s="1115"/>
      <c r="Z157" s="1115"/>
    </row>
    <row r="158" spans="1:26" ht="12" customHeight="1">
      <c r="A158" s="1138" cm="1">
        <f t="array" ref="A158">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27</v>
      </c>
      <c r="B158" s="1139" t="str" cm="1">
        <f t="array" ref="B158">IF($A158="","",INDEX('resident aged receivable'!$B:$B,$A158))</f>
        <v>N12-3046</v>
      </c>
      <c r="C158" s="1139" t="str" cm="1">
        <f t="array" ref="C158">IF($A158="","",INDEX('resident aged receivable'!$D:$D,$A158))</f>
        <v>Burton, Allisa</v>
      </c>
      <c r="D158" s="1140" cm="1">
        <f t="array" ref="D158">IF($A158="","",INDEX('resident aged receivable'!$F:$F,$A158))</f>
        <v>45926</v>
      </c>
      <c r="E158" s="1140" t="str" cm="1">
        <f t="array" ref="E158">IF($A158="","",_xlfn.LET(_xlpm.leaseEnd,INDEX('resident aged receivable'!$H:$H,$A158),_xlpm.s,INDEX('resident aged receivable'!$E:$E,$A158),IF(ISNUMBER(SEARCH("Current",_xlpm.s))+ISNUMBER(SEARCH("Notice",_xlpm.s)),"",IF(ISNUMBER(_xlpm.leaseEnd),_xlpm.leaseEnd,""))))</f>
        <v/>
      </c>
      <c r="F158" s="1139" t="str">
        <f t="shared" si="4"/>
        <v>IPS</v>
      </c>
      <c r="G158" s="1142" t="str" cm="1">
        <f t="array" ref="G158">IF($A158="","",IF(COUNTIF($N$3:$N$24,C158)&gt;0,"Former",_xlfn.LET(_xlpm.s,INDEX('resident aged receivable'!$E:$E,$A158),IF(ISNUMBER(SEARCH("Eviction",_xlpm.s)),"Eviction",IF(ISNUMBER(SEARCH("Skip",_xlpm.s)),"Skip",IF(ISNUMBER(SEARCH("Past",_xlpm.s))+ISNUMBER(SEARCH("Collections",_xlpm.s)),"Former",_xlpm.s))))))</f>
        <v>Current</v>
      </c>
      <c r="H158" s="1153" cm="1">
        <f t="array" ref="H158">IF($A158="","",INDEX('resident aged receivable'!$I:$I,$A158))</f>
        <v>4260.3999999999996</v>
      </c>
      <c r="I158" s="1153" cm="1">
        <f t="array" ref="I158">IF($A158="","",INDEX('resident aged receivable'!$J:$J,$A158))</f>
        <v>1015.2</v>
      </c>
      <c r="J158" s="1153" cm="1">
        <f t="array" ref="J158">IF($A158="","",INDEX('resident aged receivable'!$K:$K,$A158))</f>
        <v>1021.25</v>
      </c>
      <c r="K158" s="1163" t="str" cm="1">
        <f t="array" ref="K158">IFERROR(IF(B158="","",IF(SUMPRODUCT((LeaseLock!$D$2:$D$500=B158)*ISNUMBER(SEARCH(LEFT(C158,FIND(",",C158&amp;",")-1),LeaseLock!$C$2:$C$500)))=0,"",IF(LOOKUP(2,1/((LeaseLock!$D$2:$D$500=B158)*ISNUMBER(SEARCH(LEFT(C158,FIND(",",C158&amp;",")-1),LeaseLock!$C$2:$C$500))),LeaseLock!$F$2:$F$500)="Claim Denied","Claim Denied ("&amp;LOOKUP(2,1/((LeaseLock!$D$2:$D$500=B158)*ISNUMBER(SEARCH(LEFT(C158,FIND(",",C158&amp;",")-1),LeaseLock!$C$2:$C$500))),LeaseLock!$G$2:$G$500)&amp;")",IF(LOOKUP(2,1/((LeaseLock!$D$2:$D$500=B158)*ISNUMBER(SEARCH(LEFT(C158,FIND(",",C158&amp;",")-1),LeaseLock!$C$2:$C$500))),LeaseLock!$F$2:$F$500)="Open","Open - "&amp;LOOKUP(2,1/((LeaseLock!$D$2:$D$500=B158)*ISNUMBER(SEARCH(LEFT(C158,FIND(",",C158&amp;",")-1),LeaseLock!$C$2:$C$500))),LeaseLock!$G$2:$G$500),IF(LOOKUP(2,1/((LeaseLock!$D$2:$D$500=B158)*ISNUMBER(SEARCH(LEFT(C158,FIND(",",C158&amp;",")-1),LeaseLock!$C$2:$C$500))),LeaseLock!$M$2:$M$500)&gt;0,LOOKUP(2,1/((LeaseLock!$D$2:$D$500=B158)*ISNUMBER(SEARCH(LEFT(C158,FIND(",",C158&amp;",")-1),LeaseLock!$C$2:$C$500))),LeaseLock!$F$2:$F$500)&amp;" - $"&amp;TEXT(LOOKUP(2,1/((LeaseLock!$D$2:$D$500=B158)*ISNUMBER(SEARCH(LEFT(C158,FIND(",",C158&amp;",")-1),LeaseLock!$C$2:$C$500))),LeaseLock!$M$2:$M$500),"#,##0.00")&amp;" paid",LOOKUP(2,1/((LeaseLock!$D$2:$D$500=B158)*ISNUMBER(SEARCH(LEFT(C158,FIND(",",C158&amp;",")-1),LeaseLock!$C$2:$C$500))),LeaseLock!$F$2:$F$500)&amp;" - no payment"))))),"")</f>
        <v/>
      </c>
      <c r="L158" s="1148" t="s">
        <v>6744</v>
      </c>
      <c r="M158" s="1134"/>
      <c r="N158" s="1134"/>
      <c r="Q158" s="1115"/>
      <c r="R158" s="1115"/>
      <c r="S158" s="1115"/>
      <c r="T158" s="1115"/>
      <c r="U158" s="1115"/>
      <c r="V158" s="1115"/>
      <c r="W158" s="1115"/>
      <c r="X158" s="1115"/>
      <c r="Y158" s="1115"/>
      <c r="Z158" s="1115"/>
    </row>
    <row r="159" spans="1:26" ht="12" customHeight="1">
      <c r="A159" s="1138" cm="1">
        <f t="array" ref="A159">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180</v>
      </c>
      <c r="B159" s="1139" t="str" cm="1">
        <f t="array" ref="B159">IF($A159="","",INDEX('resident aged receivable'!$B:$B,$A159))</f>
        <v>W22-2-1050</v>
      </c>
      <c r="C159" s="1139" t="str" cm="1">
        <f t="array" ref="C159">IF($A159="","",INDEX('resident aged receivable'!$D:$D,$A159))</f>
        <v>Shamar, Malik</v>
      </c>
      <c r="D159" s="1140" cm="1">
        <f t="array" ref="D159">IF($A159="","",INDEX('resident aged receivable'!$F:$F,$A159))</f>
        <v>45955</v>
      </c>
      <c r="E159" s="1140" t="str" cm="1">
        <f t="array" ref="E159">IF($A159="","",_xlfn.LET(_xlpm.leaseEnd,INDEX('resident aged receivable'!$H:$H,$A159),_xlpm.s,INDEX('resident aged receivable'!$E:$E,$A159),IF(ISNUMBER(SEARCH("Current",_xlpm.s))+ISNUMBER(SEARCH("Notice",_xlpm.s)),"",IF(ISNUMBER(_xlpm.leaseEnd),_xlpm.leaseEnd,""))))</f>
        <v/>
      </c>
      <c r="F159" s="1139" t="str">
        <f t="shared" si="4"/>
        <v>IPS</v>
      </c>
      <c r="G159" s="1142" t="str" cm="1">
        <f t="array" ref="G159">IF($A159="","",IF(COUNTIF($N$3:$N$24,C159)&gt;0,"Former",_xlfn.LET(_xlpm.s,INDEX('resident aged receivable'!$E:$E,$A159),IF(ISNUMBER(SEARCH("Eviction",_xlpm.s)),"Eviction",IF(ISNUMBER(SEARCH("Skip",_xlpm.s)),"Skip",IF(ISNUMBER(SEARCH("Past",_xlpm.s))+ISNUMBER(SEARCH("Collections",_xlpm.s)),"Former",_xlpm.s))))))</f>
        <v>Current</v>
      </c>
      <c r="H159" s="1153" cm="1">
        <f t="array" ref="H159">IF($A159="","",INDEX('resident aged receivable'!$I:$I,$A159))</f>
        <v>4077.81</v>
      </c>
      <c r="I159" s="1153" cm="1">
        <f t="array" ref="I159">IF($A159="","",INDEX('resident aged receivable'!$J:$J,$A159))</f>
        <v>1506.83</v>
      </c>
      <c r="J159" s="1153" cm="1">
        <f t="array" ref="J159">IF($A159="","",INDEX('resident aged receivable'!$K:$K,$A159))</f>
        <v>1515.66</v>
      </c>
      <c r="K159" s="1163" t="str" cm="1">
        <f t="array" ref="K159">IFERROR(IF(B159="","",IF(SUMPRODUCT((LeaseLock!$D$2:$D$500=B159)*ISNUMBER(SEARCH(LEFT(C159,FIND(",",C159&amp;",")-1),LeaseLock!$C$2:$C$500)))=0,"",IF(LOOKUP(2,1/((LeaseLock!$D$2:$D$500=B159)*ISNUMBER(SEARCH(LEFT(C159,FIND(",",C159&amp;",")-1),LeaseLock!$C$2:$C$500))),LeaseLock!$F$2:$F$500)="Claim Denied","Claim Denied ("&amp;LOOKUP(2,1/((LeaseLock!$D$2:$D$500=B159)*ISNUMBER(SEARCH(LEFT(C159,FIND(",",C159&amp;",")-1),LeaseLock!$C$2:$C$500))),LeaseLock!$G$2:$G$500)&amp;")",IF(LOOKUP(2,1/((LeaseLock!$D$2:$D$500=B159)*ISNUMBER(SEARCH(LEFT(C159,FIND(",",C159&amp;",")-1),LeaseLock!$C$2:$C$500))),LeaseLock!$F$2:$F$500)="Open","Open - "&amp;LOOKUP(2,1/((LeaseLock!$D$2:$D$500=B159)*ISNUMBER(SEARCH(LEFT(C159,FIND(",",C159&amp;",")-1),LeaseLock!$C$2:$C$500))),LeaseLock!$G$2:$G$500),IF(LOOKUP(2,1/((LeaseLock!$D$2:$D$500=B159)*ISNUMBER(SEARCH(LEFT(C159,FIND(",",C159&amp;",")-1),LeaseLock!$C$2:$C$500))),LeaseLock!$M$2:$M$500)&gt;0,LOOKUP(2,1/((LeaseLock!$D$2:$D$500=B159)*ISNUMBER(SEARCH(LEFT(C159,FIND(",",C159&amp;",")-1),LeaseLock!$C$2:$C$500))),LeaseLock!$F$2:$F$500)&amp;" - $"&amp;TEXT(LOOKUP(2,1/((LeaseLock!$D$2:$D$500=B159)*ISNUMBER(SEARCH(LEFT(C159,FIND(",",C159&amp;",")-1),LeaseLock!$C$2:$C$500))),LeaseLock!$M$2:$M$500),"#,##0.00")&amp;" paid",LOOKUP(2,1/((LeaseLock!$D$2:$D$500=B159)*ISNUMBER(SEARCH(LEFT(C159,FIND(",",C159&amp;",")-1),LeaseLock!$C$2:$C$500))),LeaseLock!$F$2:$F$500)&amp;" - no payment"))))),"")</f>
        <v/>
      </c>
      <c r="L159" s="1148" t="s">
        <v>6744</v>
      </c>
      <c r="M159" s="1134"/>
      <c r="N159" s="1134"/>
      <c r="Q159" s="1115"/>
      <c r="R159" s="1115"/>
      <c r="S159" s="1115"/>
      <c r="T159" s="1115"/>
      <c r="U159" s="1115"/>
      <c r="V159" s="1115"/>
      <c r="W159" s="1115"/>
      <c r="X159" s="1115"/>
      <c r="Y159" s="1115"/>
      <c r="Z159" s="1115"/>
    </row>
    <row r="160" spans="1:26" ht="12" customHeight="1">
      <c r="A160" s="1138" cm="1">
        <f t="array" ref="A160">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112</v>
      </c>
      <c r="B160" s="1139" t="str" cm="1">
        <f t="array" ref="B160">IF($A160="","",INDEX('resident aged receivable'!$B:$B,$A160))</f>
        <v>W07-1-0707</v>
      </c>
      <c r="C160" s="1139" t="str" cm="1">
        <f t="array" ref="C160">IF($A160="","",INDEX('resident aged receivable'!$D:$D,$A160))</f>
        <v>Meraz, Elvira</v>
      </c>
      <c r="D160" s="1140" cm="1">
        <f t="array" ref="D160">IF($A160="","",INDEX('resident aged receivable'!$F:$F,$A160))</f>
        <v>43204</v>
      </c>
      <c r="E160" s="1140" t="str" cm="1">
        <f t="array" ref="E160">IF($A160="","",_xlfn.LET(_xlpm.leaseEnd,INDEX('resident aged receivable'!$H:$H,$A160),_xlpm.s,INDEX('resident aged receivable'!$E:$E,$A160),IF(ISNUMBER(SEARCH("Current",_xlpm.s))+ISNUMBER(SEARCH("Notice",_xlpm.s)),"",IF(ISNUMBER(_xlpm.leaseEnd),_xlpm.leaseEnd,""))))</f>
        <v/>
      </c>
      <c r="F160" s="1139" t="str">
        <f t="shared" si="4"/>
        <v>IPS</v>
      </c>
      <c r="G160" s="1142" t="str" cm="1">
        <f t="array" ref="G160">IF($A160="","",IF(COUNTIF($N$3:$N$24,C160)&gt;0,"Former",_xlfn.LET(_xlpm.s,INDEX('resident aged receivable'!$E:$E,$A160),IF(ISNUMBER(SEARCH("Eviction",_xlpm.s)),"Eviction",IF(ISNUMBER(SEARCH("Skip",_xlpm.s)),"Skip",IF(ISNUMBER(SEARCH("Past",_xlpm.s))+ISNUMBER(SEARCH("Collections",_xlpm.s)),"Former",_xlpm.s))))))</f>
        <v>Eviction</v>
      </c>
      <c r="H160" s="1153" cm="1">
        <f t="array" ref="H160">IF($A160="","",INDEX('resident aged receivable'!$I:$I,$A160))</f>
        <v>3747.08</v>
      </c>
      <c r="I160" s="1153" cm="1">
        <f t="array" ref="I160">IF($A160="","",INDEX('resident aged receivable'!$J:$J,$A160))</f>
        <v>1405.34</v>
      </c>
      <c r="J160" s="1153" cm="1">
        <f t="array" ref="J160">IF($A160="","",INDEX('resident aged receivable'!$K:$K,$A160))</f>
        <v>1124.58</v>
      </c>
      <c r="K160" s="1163" t="str" cm="1">
        <f t="array" ref="K160">IFERROR(IF(B160="","",IF(SUMPRODUCT((LeaseLock!$D$2:$D$500=B160)*ISNUMBER(SEARCH(LEFT(C160,FIND(",",C160&amp;",")-1),LeaseLock!$C$2:$C$500)))=0,"",IF(LOOKUP(2,1/((LeaseLock!$D$2:$D$500=B160)*ISNUMBER(SEARCH(LEFT(C160,FIND(",",C160&amp;",")-1),LeaseLock!$C$2:$C$500))),LeaseLock!$F$2:$F$500)="Claim Denied","Claim Denied ("&amp;LOOKUP(2,1/((LeaseLock!$D$2:$D$500=B160)*ISNUMBER(SEARCH(LEFT(C160,FIND(",",C160&amp;",")-1),LeaseLock!$C$2:$C$500))),LeaseLock!$G$2:$G$500)&amp;")",IF(LOOKUP(2,1/((LeaseLock!$D$2:$D$500=B160)*ISNUMBER(SEARCH(LEFT(C160,FIND(",",C160&amp;",")-1),LeaseLock!$C$2:$C$500))),LeaseLock!$F$2:$F$500)="Open","Open - "&amp;LOOKUP(2,1/((LeaseLock!$D$2:$D$500=B160)*ISNUMBER(SEARCH(LEFT(C160,FIND(",",C160&amp;",")-1),LeaseLock!$C$2:$C$500))),LeaseLock!$G$2:$G$500),IF(LOOKUP(2,1/((LeaseLock!$D$2:$D$500=B160)*ISNUMBER(SEARCH(LEFT(C160,FIND(",",C160&amp;",")-1),LeaseLock!$C$2:$C$500))),LeaseLock!$M$2:$M$500)&gt;0,LOOKUP(2,1/((LeaseLock!$D$2:$D$500=B160)*ISNUMBER(SEARCH(LEFT(C160,FIND(",",C160&amp;",")-1),LeaseLock!$C$2:$C$500))),LeaseLock!$F$2:$F$500)&amp;" - $"&amp;TEXT(LOOKUP(2,1/((LeaseLock!$D$2:$D$500=B160)*ISNUMBER(SEARCH(LEFT(C160,FIND(",",C160&amp;",")-1),LeaseLock!$C$2:$C$500))),LeaseLock!$M$2:$M$500),"#,##0.00")&amp;" paid",LOOKUP(2,1/((LeaseLock!$D$2:$D$500=B160)*ISNUMBER(SEARCH(LEFT(C160,FIND(",",C160&amp;",")-1),LeaseLock!$C$2:$C$500))),LeaseLock!$F$2:$F$500)&amp;" - no payment"))))),"")</f>
        <v/>
      </c>
      <c r="L160" s="1148" t="s">
        <v>6744</v>
      </c>
      <c r="M160" s="1134"/>
      <c r="N160" s="1134"/>
      <c r="Q160" s="1115"/>
      <c r="R160" s="1115"/>
      <c r="S160" s="1115"/>
      <c r="T160" s="1115"/>
      <c r="U160" s="1115"/>
      <c r="V160" s="1115"/>
      <c r="W160" s="1115"/>
      <c r="X160" s="1115"/>
      <c r="Y160" s="1115"/>
      <c r="Z160" s="1115"/>
    </row>
    <row r="161" spans="1:26" ht="12" customHeight="1">
      <c r="A161" s="1138" cm="1">
        <f t="array" ref="A161">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54</v>
      </c>
      <c r="B161" s="1139" t="str" cm="1">
        <f t="array" ref="B161">IF($A161="","",INDEX('resident aged receivable'!$B:$B,$A161))</f>
        <v>S26-401</v>
      </c>
      <c r="C161" s="1139" t="str" cm="1">
        <f t="array" ref="C161">IF($A161="","",INDEX('resident aged receivable'!$D:$D,$A161))</f>
        <v>Villanueva, Jose</v>
      </c>
      <c r="D161" s="1140" cm="1">
        <f t="array" ref="D161">IF($A161="","",INDEX('resident aged receivable'!$F:$F,$A161))</f>
        <v>45873</v>
      </c>
      <c r="E161" s="1140" t="str" cm="1">
        <f t="array" ref="E161">IF($A161="","",_xlfn.LET(_xlpm.leaseEnd,INDEX('resident aged receivable'!$H:$H,$A161),_xlpm.s,INDEX('resident aged receivable'!$E:$E,$A161),IF(ISNUMBER(SEARCH("Current",_xlpm.s))+ISNUMBER(SEARCH("Notice",_xlpm.s)),"",IF(ISNUMBER(_xlpm.leaseEnd),_xlpm.leaseEnd,""))))</f>
        <v/>
      </c>
      <c r="F161" s="1139" t="str">
        <f t="shared" si="4"/>
        <v>IPS</v>
      </c>
      <c r="G161" s="1142" t="str" cm="1">
        <f t="array" ref="G161">IF($A161="","",IF(COUNTIF($N$3:$N$24,C161)&gt;0,"Former",_xlfn.LET(_xlpm.s,INDEX('resident aged receivable'!$E:$E,$A161),IF(ISNUMBER(SEARCH("Eviction",_xlpm.s)),"Eviction",IF(ISNUMBER(SEARCH("Skip",_xlpm.s)),"Skip",IF(ISNUMBER(SEARCH("Past",_xlpm.s))+ISNUMBER(SEARCH("Collections",_xlpm.s)),"Former",_xlpm.s))))))</f>
        <v>Current</v>
      </c>
      <c r="H161" s="1153" cm="1">
        <f t="array" ref="H161">IF($A161="","",INDEX('resident aged receivable'!$I:$I,$A161))</f>
        <v>3175.34</v>
      </c>
      <c r="I161" s="1153" cm="1">
        <f t="array" ref="I161">IF($A161="","",INDEX('resident aged receivable'!$J:$J,$A161))</f>
        <v>1530.75</v>
      </c>
      <c r="J161" s="1153" cm="1">
        <f t="array" ref="J161">IF($A161="","",INDEX('resident aged receivable'!$K:$K,$A161))</f>
        <v>1529.67</v>
      </c>
      <c r="K161" s="1163" t="str" cm="1">
        <f t="array" ref="K161">IFERROR(IF(B161="","",IF(SUMPRODUCT((LeaseLock!$D$2:$D$500=B161)*ISNUMBER(SEARCH(LEFT(C161,FIND(",",C161&amp;",")-1),LeaseLock!$C$2:$C$500)))=0,"",IF(LOOKUP(2,1/((LeaseLock!$D$2:$D$500=B161)*ISNUMBER(SEARCH(LEFT(C161,FIND(",",C161&amp;",")-1),LeaseLock!$C$2:$C$500))),LeaseLock!$F$2:$F$500)="Claim Denied","Claim Denied ("&amp;LOOKUP(2,1/((LeaseLock!$D$2:$D$500=B161)*ISNUMBER(SEARCH(LEFT(C161,FIND(",",C161&amp;",")-1),LeaseLock!$C$2:$C$500))),LeaseLock!$G$2:$G$500)&amp;")",IF(LOOKUP(2,1/((LeaseLock!$D$2:$D$500=B161)*ISNUMBER(SEARCH(LEFT(C161,FIND(",",C161&amp;",")-1),LeaseLock!$C$2:$C$500))),LeaseLock!$F$2:$F$500)="Open","Open - "&amp;LOOKUP(2,1/((LeaseLock!$D$2:$D$500=B161)*ISNUMBER(SEARCH(LEFT(C161,FIND(",",C161&amp;",")-1),LeaseLock!$C$2:$C$500))),LeaseLock!$G$2:$G$500),IF(LOOKUP(2,1/((LeaseLock!$D$2:$D$500=B161)*ISNUMBER(SEARCH(LEFT(C161,FIND(",",C161&amp;",")-1),LeaseLock!$C$2:$C$500))),LeaseLock!$M$2:$M$500)&gt;0,LOOKUP(2,1/((LeaseLock!$D$2:$D$500=B161)*ISNUMBER(SEARCH(LEFT(C161,FIND(",",C161&amp;",")-1),LeaseLock!$C$2:$C$500))),LeaseLock!$F$2:$F$500)&amp;" - $"&amp;TEXT(LOOKUP(2,1/((LeaseLock!$D$2:$D$500=B161)*ISNUMBER(SEARCH(LEFT(C161,FIND(",",C161&amp;",")-1),LeaseLock!$C$2:$C$500))),LeaseLock!$M$2:$M$500),"#,##0.00")&amp;" paid",LOOKUP(2,1/((LeaseLock!$D$2:$D$500=B161)*ISNUMBER(SEARCH(LEFT(C161,FIND(",",C161&amp;",")-1),LeaseLock!$C$2:$C$500))),LeaseLock!$F$2:$F$500)&amp;" - no payment"))))),"")</f>
        <v/>
      </c>
      <c r="L161" s="1148" t="s">
        <v>6744</v>
      </c>
      <c r="M161" s="1134"/>
      <c r="N161" s="1134"/>
      <c r="Q161" s="1115"/>
      <c r="R161" s="1115"/>
      <c r="S161" s="1115"/>
      <c r="T161" s="1115"/>
      <c r="U161" s="1115"/>
      <c r="V161" s="1115"/>
      <c r="W161" s="1115"/>
      <c r="X161" s="1115"/>
      <c r="Y161" s="1115"/>
      <c r="Z161" s="1115"/>
    </row>
    <row r="162" spans="1:26" ht="12" customHeight="1">
      <c r="A162" s="1138" cm="1">
        <f t="array" ref="A162">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102</v>
      </c>
      <c r="B162" s="1139" t="str" cm="1">
        <f t="array" ref="B162">IF($A162="","",INDEX('resident aged receivable'!$B:$B,$A162))</f>
        <v>W05-1-0504</v>
      </c>
      <c r="C162" s="1139" t="str" cm="1">
        <f t="array" ref="C162">IF($A162="","",INDEX('resident aged receivable'!$D:$D,$A162))</f>
        <v>Martinez, Omar</v>
      </c>
      <c r="D162" s="1140" cm="1">
        <f t="array" ref="D162">IF($A162="","",INDEX('resident aged receivable'!$F:$F,$A162))</f>
        <v>45717</v>
      </c>
      <c r="E162" s="1140" t="str" cm="1">
        <f t="array" ref="E162">IF($A162="","",_xlfn.LET(_xlpm.leaseEnd,INDEX('resident aged receivable'!$H:$H,$A162),_xlpm.s,INDEX('resident aged receivable'!$E:$E,$A162),IF(ISNUMBER(SEARCH("Current",_xlpm.s))+ISNUMBER(SEARCH("Notice",_xlpm.s)),"",IF(ISNUMBER(_xlpm.leaseEnd),_xlpm.leaseEnd,""))))</f>
        <v/>
      </c>
      <c r="F162" s="1139" t="str">
        <f t="shared" si="4"/>
        <v>IPS</v>
      </c>
      <c r="G162" s="1142" t="str" cm="1">
        <f t="array" ref="G162">IF($A162="","",IF(COUNTIF($N$3:$N$24,C162)&gt;0,"Former",_xlfn.LET(_xlpm.s,INDEX('resident aged receivable'!$E:$E,$A162),IF(ISNUMBER(SEARCH("Eviction",_xlpm.s)),"Eviction",IF(ISNUMBER(SEARCH("Skip",_xlpm.s)),"Skip",IF(ISNUMBER(SEARCH("Past",_xlpm.s))+ISNUMBER(SEARCH("Collections",_xlpm.s)),"Former",_xlpm.s))))))</f>
        <v>Current - Month To Month</v>
      </c>
      <c r="H162" s="1153" cm="1">
        <f t="array" ref="H162">IF($A162="","",INDEX('resident aged receivable'!$I:$I,$A162))</f>
        <v>3148.38</v>
      </c>
      <c r="I162" s="1153" cm="1">
        <f t="array" ref="I162">IF($A162="","",INDEX('resident aged receivable'!$J:$J,$A162))</f>
        <v>1275.26</v>
      </c>
      <c r="J162" s="1153" cm="1">
        <f t="array" ref="J162">IF($A162="","",INDEX('resident aged receivable'!$K:$K,$A162))</f>
        <v>1200.56</v>
      </c>
      <c r="K162" s="1163" t="str" cm="1">
        <f t="array" ref="K162">IFERROR(IF(B162="","",IF(SUMPRODUCT((LeaseLock!$D$2:$D$500=B162)*ISNUMBER(SEARCH(LEFT(C162,FIND(",",C162&amp;",")-1),LeaseLock!$C$2:$C$500)))=0,"",IF(LOOKUP(2,1/((LeaseLock!$D$2:$D$500=B162)*ISNUMBER(SEARCH(LEFT(C162,FIND(",",C162&amp;",")-1),LeaseLock!$C$2:$C$500))),LeaseLock!$F$2:$F$500)="Claim Denied","Claim Denied ("&amp;LOOKUP(2,1/((LeaseLock!$D$2:$D$500=B162)*ISNUMBER(SEARCH(LEFT(C162,FIND(",",C162&amp;",")-1),LeaseLock!$C$2:$C$500))),LeaseLock!$G$2:$G$500)&amp;")",IF(LOOKUP(2,1/((LeaseLock!$D$2:$D$500=B162)*ISNUMBER(SEARCH(LEFT(C162,FIND(",",C162&amp;",")-1),LeaseLock!$C$2:$C$500))),LeaseLock!$F$2:$F$500)="Open","Open - "&amp;LOOKUP(2,1/((LeaseLock!$D$2:$D$500=B162)*ISNUMBER(SEARCH(LEFT(C162,FIND(",",C162&amp;",")-1),LeaseLock!$C$2:$C$500))),LeaseLock!$G$2:$G$500),IF(LOOKUP(2,1/((LeaseLock!$D$2:$D$500=B162)*ISNUMBER(SEARCH(LEFT(C162,FIND(",",C162&amp;",")-1),LeaseLock!$C$2:$C$500))),LeaseLock!$M$2:$M$500)&gt;0,LOOKUP(2,1/((LeaseLock!$D$2:$D$500=B162)*ISNUMBER(SEARCH(LEFT(C162,FIND(",",C162&amp;",")-1),LeaseLock!$C$2:$C$500))),LeaseLock!$F$2:$F$500)&amp;" - $"&amp;TEXT(LOOKUP(2,1/((LeaseLock!$D$2:$D$500=B162)*ISNUMBER(SEARCH(LEFT(C162,FIND(",",C162&amp;",")-1),LeaseLock!$C$2:$C$500))),LeaseLock!$M$2:$M$500),"#,##0.00")&amp;" paid",LOOKUP(2,1/((LeaseLock!$D$2:$D$500=B162)*ISNUMBER(SEARCH(LEFT(C162,FIND(",",C162&amp;",")-1),LeaseLock!$C$2:$C$500))),LeaseLock!$F$2:$F$500)&amp;" - no payment"))))),"")</f>
        <v/>
      </c>
      <c r="L162" s="1148"/>
      <c r="M162" s="1134"/>
      <c r="N162" s="1134"/>
      <c r="Q162" s="1115"/>
      <c r="R162" s="1115"/>
      <c r="S162" s="1115"/>
      <c r="T162" s="1115"/>
      <c r="U162" s="1115"/>
      <c r="V162" s="1115"/>
      <c r="W162" s="1115"/>
      <c r="X162" s="1115"/>
      <c r="Y162" s="1115"/>
      <c r="Z162" s="1115"/>
    </row>
    <row r="163" spans="1:26" ht="12" customHeight="1">
      <c r="A163" s="1138" cm="1">
        <f t="array" ref="A163">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7</v>
      </c>
      <c r="B163" s="1139" t="str" cm="1">
        <f t="array" ref="B163">IF($A163="","",INDEX('resident aged receivable'!$B:$B,$A163))</f>
        <v>N03-1016</v>
      </c>
      <c r="C163" s="1139" t="str" cm="1">
        <f t="array" ref="C163">IF($A163="","",INDEX('resident aged receivable'!$D:$D,$A163))</f>
        <v>Jackson, Leo</v>
      </c>
      <c r="D163" s="1140" cm="1">
        <f t="array" ref="D163">IF($A163="","",INDEX('resident aged receivable'!$F:$F,$A163))</f>
        <v>38257</v>
      </c>
      <c r="E163" s="1140" t="str" cm="1">
        <f t="array" ref="E163">IF($A163="","",_xlfn.LET(_xlpm.leaseEnd,INDEX('resident aged receivable'!$H:$H,$A163),_xlpm.s,INDEX('resident aged receivable'!$E:$E,$A163),IF(ISNUMBER(SEARCH("Current",_xlpm.s))+ISNUMBER(SEARCH("Notice",_xlpm.s)),"",IF(ISNUMBER(_xlpm.leaseEnd),_xlpm.leaseEnd,""))))</f>
        <v/>
      </c>
      <c r="F163" s="1139" t="str">
        <f t="shared" si="4"/>
        <v>IPS</v>
      </c>
      <c r="G163" s="1142" t="str" cm="1">
        <f t="array" ref="G163">IF($A163="","",IF(COUNTIF($N$3:$N$24,C163)&gt;0,"Former",_xlfn.LET(_xlpm.s,INDEX('resident aged receivable'!$E:$E,$A163),IF(ISNUMBER(SEARCH("Eviction",_xlpm.s)),"Eviction",IF(ISNUMBER(SEARCH("Skip",_xlpm.s)),"Skip",IF(ISNUMBER(SEARCH("Past",_xlpm.s))+ISNUMBER(SEARCH("Collections",_xlpm.s)),"Former",_xlpm.s))))))</f>
        <v>Eviction</v>
      </c>
      <c r="H163" s="1153" cm="1">
        <f t="array" ref="H163">IF($A163="","",INDEX('resident aged receivable'!$I:$I,$A163))</f>
        <v>3100.94</v>
      </c>
      <c r="I163" s="1153" cm="1">
        <f t="array" ref="I163">IF($A163="","",INDEX('resident aged receivable'!$J:$J,$A163))</f>
        <v>1031.2</v>
      </c>
      <c r="J163" s="1153" cm="1">
        <f t="array" ref="J163">IF($A163="","",INDEX('resident aged receivable'!$K:$K,$A163))</f>
        <v>1034.8699999999999</v>
      </c>
      <c r="K163" s="1163" t="str" cm="1">
        <f t="array" ref="K163">IFERROR(IF(B163="","",IF(SUMPRODUCT((LeaseLock!$D$2:$D$500=B163)*ISNUMBER(SEARCH(LEFT(C163,FIND(",",C163&amp;",")-1),LeaseLock!$C$2:$C$500)))=0,"",IF(LOOKUP(2,1/((LeaseLock!$D$2:$D$500=B163)*ISNUMBER(SEARCH(LEFT(C163,FIND(",",C163&amp;",")-1),LeaseLock!$C$2:$C$500))),LeaseLock!$F$2:$F$500)="Claim Denied","Claim Denied ("&amp;LOOKUP(2,1/((LeaseLock!$D$2:$D$500=B163)*ISNUMBER(SEARCH(LEFT(C163,FIND(",",C163&amp;",")-1),LeaseLock!$C$2:$C$500))),LeaseLock!$G$2:$G$500)&amp;")",IF(LOOKUP(2,1/((LeaseLock!$D$2:$D$500=B163)*ISNUMBER(SEARCH(LEFT(C163,FIND(",",C163&amp;",")-1),LeaseLock!$C$2:$C$500))),LeaseLock!$F$2:$F$500)="Open","Open - "&amp;LOOKUP(2,1/((LeaseLock!$D$2:$D$500=B163)*ISNUMBER(SEARCH(LEFT(C163,FIND(",",C163&amp;",")-1),LeaseLock!$C$2:$C$500))),LeaseLock!$G$2:$G$500),IF(LOOKUP(2,1/((LeaseLock!$D$2:$D$500=B163)*ISNUMBER(SEARCH(LEFT(C163,FIND(",",C163&amp;",")-1),LeaseLock!$C$2:$C$500))),LeaseLock!$M$2:$M$500)&gt;0,LOOKUP(2,1/((LeaseLock!$D$2:$D$500=B163)*ISNUMBER(SEARCH(LEFT(C163,FIND(",",C163&amp;",")-1),LeaseLock!$C$2:$C$500))),LeaseLock!$F$2:$F$500)&amp;" - $"&amp;TEXT(LOOKUP(2,1/((LeaseLock!$D$2:$D$500=B163)*ISNUMBER(SEARCH(LEFT(C163,FIND(",",C163&amp;",")-1),LeaseLock!$C$2:$C$500))),LeaseLock!$M$2:$M$500),"#,##0.00")&amp;" paid",LOOKUP(2,1/((LeaseLock!$D$2:$D$500=B163)*ISNUMBER(SEARCH(LEFT(C163,FIND(",",C163&amp;",")-1),LeaseLock!$C$2:$C$500))),LeaseLock!$F$2:$F$500)&amp;" - no payment"))))),"")</f>
        <v/>
      </c>
      <c r="L163" s="1148" t="s">
        <v>6744</v>
      </c>
      <c r="M163" s="1134"/>
      <c r="N163" s="1134"/>
      <c r="Q163" s="1115"/>
      <c r="R163" s="1115"/>
      <c r="S163" s="1115"/>
      <c r="T163" s="1115"/>
      <c r="U163" s="1115"/>
      <c r="V163" s="1115"/>
      <c r="W163" s="1115"/>
      <c r="X163" s="1115"/>
      <c r="Y163" s="1115"/>
      <c r="Z163" s="1115"/>
    </row>
    <row r="164" spans="1:26" ht="12" customHeight="1">
      <c r="A164" s="1138" cm="1">
        <f t="array" ref="A164">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40</v>
      </c>
      <c r="B164" s="1139" t="str" cm="1">
        <f t="array" ref="B164">IF($A164="","",INDEX('resident aged receivable'!$B:$B,$A164))</f>
        <v>N19-1077</v>
      </c>
      <c r="C164" s="1139" t="str" cm="1">
        <f t="array" ref="C164">IF($A164="","",INDEX('resident aged receivable'!$D:$D,$A164))</f>
        <v>Camacho, Jorge</v>
      </c>
      <c r="D164" s="1140" cm="1">
        <f t="array" ref="D164">IF($A164="","",INDEX('resident aged receivable'!$F:$F,$A164))</f>
        <v>45479</v>
      </c>
      <c r="E164" s="1140" t="str" cm="1">
        <f t="array" ref="E164">IF($A164="","",_xlfn.LET(_xlpm.leaseEnd,INDEX('resident aged receivable'!$H:$H,$A164),_xlpm.s,INDEX('resident aged receivable'!$E:$E,$A164),IF(ISNUMBER(SEARCH("Current",_xlpm.s))+ISNUMBER(SEARCH("Notice",_xlpm.s)),"",IF(ISNUMBER(_xlpm.leaseEnd),_xlpm.leaseEnd,""))))</f>
        <v/>
      </c>
      <c r="F164" s="1139" t="str">
        <f t="shared" si="4"/>
        <v>IPS</v>
      </c>
      <c r="G164" s="1142" t="str" cm="1">
        <f t="array" ref="G164">IF($A164="","",IF(COUNTIF($N$3:$N$24,C164)&gt;0,"Former",_xlfn.LET(_xlpm.s,INDEX('resident aged receivable'!$E:$E,$A164),IF(ISNUMBER(SEARCH("Eviction",_xlpm.s)),"Eviction",IF(ISNUMBER(SEARCH("Skip",_xlpm.s)),"Skip",IF(ISNUMBER(SEARCH("Past",_xlpm.s))+ISNUMBER(SEARCH("Collections",_xlpm.s)),"Former",_xlpm.s))))))</f>
        <v>Current</v>
      </c>
      <c r="H164" s="1153" cm="1">
        <f t="array" ref="H164">IF($A164="","",INDEX('resident aged receivable'!$I:$I,$A164))</f>
        <v>2897.1</v>
      </c>
      <c r="I164" s="1153" cm="1">
        <f t="array" ref="I164">IF($A164="","",INDEX('resident aged receivable'!$J:$J,$A164))</f>
        <v>1447.5</v>
      </c>
      <c r="J164" s="1153" cm="1">
        <f t="array" ref="J164">IF($A164="","",INDEX('resident aged receivable'!$K:$K,$A164))</f>
        <v>1449.6</v>
      </c>
      <c r="K164" s="1163" t="str" cm="1">
        <f t="array" ref="K164">IFERROR(IF(B164="","",IF(SUMPRODUCT((LeaseLock!$D$2:$D$500=B164)*ISNUMBER(SEARCH(LEFT(C164,FIND(",",C164&amp;",")-1),LeaseLock!$C$2:$C$500)))=0,"",IF(LOOKUP(2,1/((LeaseLock!$D$2:$D$500=B164)*ISNUMBER(SEARCH(LEFT(C164,FIND(",",C164&amp;",")-1),LeaseLock!$C$2:$C$500))),LeaseLock!$F$2:$F$500)="Claim Denied","Claim Denied ("&amp;LOOKUP(2,1/((LeaseLock!$D$2:$D$500=B164)*ISNUMBER(SEARCH(LEFT(C164,FIND(",",C164&amp;",")-1),LeaseLock!$C$2:$C$500))),LeaseLock!$G$2:$G$500)&amp;")",IF(LOOKUP(2,1/((LeaseLock!$D$2:$D$500=B164)*ISNUMBER(SEARCH(LEFT(C164,FIND(",",C164&amp;",")-1),LeaseLock!$C$2:$C$500))),LeaseLock!$F$2:$F$500)="Open","Open - "&amp;LOOKUP(2,1/((LeaseLock!$D$2:$D$500=B164)*ISNUMBER(SEARCH(LEFT(C164,FIND(",",C164&amp;",")-1),LeaseLock!$C$2:$C$500))),LeaseLock!$G$2:$G$500),IF(LOOKUP(2,1/((LeaseLock!$D$2:$D$500=B164)*ISNUMBER(SEARCH(LEFT(C164,FIND(",",C164&amp;",")-1),LeaseLock!$C$2:$C$500))),LeaseLock!$M$2:$M$500)&gt;0,LOOKUP(2,1/((LeaseLock!$D$2:$D$500=B164)*ISNUMBER(SEARCH(LEFT(C164,FIND(",",C164&amp;",")-1),LeaseLock!$C$2:$C$500))),LeaseLock!$F$2:$F$500)&amp;" - $"&amp;TEXT(LOOKUP(2,1/((LeaseLock!$D$2:$D$500=B164)*ISNUMBER(SEARCH(LEFT(C164,FIND(",",C164&amp;",")-1),LeaseLock!$C$2:$C$500))),LeaseLock!$M$2:$M$500),"#,##0.00")&amp;" paid",LOOKUP(2,1/((LeaseLock!$D$2:$D$500=B164)*ISNUMBER(SEARCH(LEFT(C164,FIND(",",C164&amp;",")-1),LeaseLock!$C$2:$C$500))),LeaseLock!$F$2:$F$500)&amp;" - no payment"))))),"")</f>
        <v/>
      </c>
      <c r="L164" s="1148" t="s">
        <v>6760</v>
      </c>
      <c r="M164" s="1134"/>
      <c r="N164" s="1134"/>
      <c r="Q164" s="1115"/>
      <c r="R164" s="1115"/>
      <c r="S164" s="1115"/>
      <c r="T164" s="1115"/>
      <c r="U164" s="1115"/>
      <c r="V164" s="1115"/>
      <c r="W164" s="1115"/>
      <c r="X164" s="1115"/>
      <c r="Y164" s="1115"/>
      <c r="Z164" s="1115"/>
    </row>
    <row r="165" spans="1:26" ht="12" customHeight="1">
      <c r="A165" s="1138" cm="1">
        <f t="array" ref="A165">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181</v>
      </c>
      <c r="B165" s="1139" t="str" cm="1">
        <f t="array" ref="B165">IF($A165="","",INDEX('resident aged receivable'!$B:$B,$A165))</f>
        <v>W23-2-1044</v>
      </c>
      <c r="C165" s="1139" t="str" cm="1">
        <f t="array" ref="C165">IF($A165="","",INDEX('resident aged receivable'!$D:$D,$A165))</f>
        <v>Rodas, Sergio</v>
      </c>
      <c r="D165" s="1140" cm="1">
        <f t="array" ref="D165">IF($A165="","",INDEX('resident aged receivable'!$F:$F,$A165))</f>
        <v>45552</v>
      </c>
      <c r="E165" s="1140" t="str" cm="1">
        <f t="array" ref="E165">IF($A165="","",_xlfn.LET(_xlpm.leaseEnd,INDEX('resident aged receivable'!$H:$H,$A165),_xlpm.s,INDEX('resident aged receivable'!$E:$E,$A165),IF(ISNUMBER(SEARCH("Current",_xlpm.s))+ISNUMBER(SEARCH("Notice",_xlpm.s)),"",IF(ISNUMBER(_xlpm.leaseEnd),_xlpm.leaseEnd,""))))</f>
        <v/>
      </c>
      <c r="F165" s="1139" t="str">
        <f t="shared" si="4"/>
        <v>IPS</v>
      </c>
      <c r="G165" s="1142" t="str" cm="1">
        <f t="array" ref="G165">IF($A165="","",IF(COUNTIF($N$3:$N$24,C165)&gt;0,"Former",_xlfn.LET(_xlpm.s,INDEX('resident aged receivable'!$E:$E,$A165),IF(ISNUMBER(SEARCH("Eviction",_xlpm.s)),"Eviction",IF(ISNUMBER(SEARCH("Skip",_xlpm.s)),"Skip",IF(ISNUMBER(SEARCH("Past",_xlpm.s))+ISNUMBER(SEARCH("Collections",_xlpm.s)),"Former",_xlpm.s))))))</f>
        <v>Current</v>
      </c>
      <c r="H165" s="1153" cm="1">
        <f t="array" ref="H165">IF($A165="","",INDEX('resident aged receivable'!$I:$I,$A165))</f>
        <v>2722.51</v>
      </c>
      <c r="I165" s="1153" cm="1">
        <f t="array" ref="I165">IF($A165="","",INDEX('resident aged receivable'!$J:$J,$A165))</f>
        <v>1354.92</v>
      </c>
      <c r="J165" s="1153" cm="1">
        <f t="array" ref="J165">IF($A165="","",INDEX('resident aged receivable'!$K:$K,$A165))</f>
        <v>1367.59</v>
      </c>
      <c r="K165" s="1163" t="str" cm="1">
        <f t="array" ref="K165">IFERROR(IF(B165="","",IF(SUMPRODUCT((LeaseLock!$D$2:$D$500=B165)*ISNUMBER(SEARCH(LEFT(C165,FIND(",",C165&amp;",")-1),LeaseLock!$C$2:$C$500)))=0,"",IF(LOOKUP(2,1/((LeaseLock!$D$2:$D$500=B165)*ISNUMBER(SEARCH(LEFT(C165,FIND(",",C165&amp;",")-1),LeaseLock!$C$2:$C$500))),LeaseLock!$F$2:$F$500)="Claim Denied","Claim Denied ("&amp;LOOKUP(2,1/((LeaseLock!$D$2:$D$500=B165)*ISNUMBER(SEARCH(LEFT(C165,FIND(",",C165&amp;",")-1),LeaseLock!$C$2:$C$500))),LeaseLock!$G$2:$G$500)&amp;")",IF(LOOKUP(2,1/((LeaseLock!$D$2:$D$500=B165)*ISNUMBER(SEARCH(LEFT(C165,FIND(",",C165&amp;",")-1),LeaseLock!$C$2:$C$500))),LeaseLock!$F$2:$F$500)="Open","Open - "&amp;LOOKUP(2,1/((LeaseLock!$D$2:$D$500=B165)*ISNUMBER(SEARCH(LEFT(C165,FIND(",",C165&amp;",")-1),LeaseLock!$C$2:$C$500))),LeaseLock!$G$2:$G$500),IF(LOOKUP(2,1/((LeaseLock!$D$2:$D$500=B165)*ISNUMBER(SEARCH(LEFT(C165,FIND(",",C165&amp;",")-1),LeaseLock!$C$2:$C$500))),LeaseLock!$M$2:$M$500)&gt;0,LOOKUP(2,1/((LeaseLock!$D$2:$D$500=B165)*ISNUMBER(SEARCH(LEFT(C165,FIND(",",C165&amp;",")-1),LeaseLock!$C$2:$C$500))),LeaseLock!$F$2:$F$500)&amp;" - $"&amp;TEXT(LOOKUP(2,1/((LeaseLock!$D$2:$D$500=B165)*ISNUMBER(SEARCH(LEFT(C165,FIND(",",C165&amp;",")-1),LeaseLock!$C$2:$C$500))),LeaseLock!$M$2:$M$500),"#,##0.00")&amp;" paid",LOOKUP(2,1/((LeaseLock!$D$2:$D$500=B165)*ISNUMBER(SEARCH(LEFT(C165,FIND(",",C165&amp;",")-1),LeaseLock!$C$2:$C$500))),LeaseLock!$F$2:$F$500)&amp;" - no payment"))))),"")</f>
        <v/>
      </c>
      <c r="L165" s="1148" t="s">
        <v>6744</v>
      </c>
      <c r="M165" s="1134"/>
      <c r="N165" s="1134"/>
      <c r="Q165" s="1115"/>
      <c r="R165" s="1115"/>
      <c r="S165" s="1115"/>
      <c r="T165" s="1115"/>
      <c r="U165" s="1115"/>
      <c r="V165" s="1115"/>
      <c r="W165" s="1115"/>
      <c r="X165" s="1115"/>
      <c r="Y165" s="1115"/>
      <c r="Z165" s="1115"/>
    </row>
    <row r="166" spans="1:26" ht="12" customHeight="1">
      <c r="A166" s="1138" cm="1">
        <f t="array" ref="A166">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127</v>
      </c>
      <c r="B166" s="1139" t="str" cm="1">
        <f t="array" ref="B166">IF($A166="","",INDEX('resident aged receivable'!$B:$B,$A166))</f>
        <v>W10-1-1003</v>
      </c>
      <c r="C166" s="1139" t="str" cm="1">
        <f t="array" ref="C166">IF($A166="","",INDEX('resident aged receivable'!$D:$D,$A166))</f>
        <v>Raychelle, Jessica</v>
      </c>
      <c r="D166" s="1140" cm="1">
        <f t="array" ref="D166">IF($A166="","",INDEX('resident aged receivable'!$F:$F,$A166))</f>
        <v>45919</v>
      </c>
      <c r="E166" s="1140" t="str" cm="1">
        <f t="array" ref="E166">IF($A166="","",_xlfn.LET(_xlpm.leaseEnd,INDEX('resident aged receivable'!$H:$H,$A166),_xlpm.s,INDEX('resident aged receivable'!$E:$E,$A166),IF(ISNUMBER(SEARCH("Current",_xlpm.s))+ISNUMBER(SEARCH("Notice",_xlpm.s)),"",IF(ISNUMBER(_xlpm.leaseEnd),_xlpm.leaseEnd,""))))</f>
        <v/>
      </c>
      <c r="F166" s="1139" t="str">
        <f t="shared" si="4"/>
        <v>IPS</v>
      </c>
      <c r="G166" s="1142" t="str" cm="1">
        <f t="array" ref="G166">IF($A166="","",IF(COUNTIF($N$3:$N$24,C166)&gt;0,"Former",_xlfn.LET(_xlpm.s,INDEX('resident aged receivable'!$E:$E,$A166),IF(ISNUMBER(SEARCH("Eviction",_xlpm.s)),"Eviction",IF(ISNUMBER(SEARCH("Skip",_xlpm.s)),"Skip",IF(ISNUMBER(SEARCH("Past",_xlpm.s))+ISNUMBER(SEARCH("Collections",_xlpm.s)),"Former",_xlpm.s))))))</f>
        <v>Current</v>
      </c>
      <c r="H166" s="1153" cm="1">
        <f t="array" ref="H166">IF($A166="","",INDEX('resident aged receivable'!$I:$I,$A166))</f>
        <v>2482.9699999999998</v>
      </c>
      <c r="I166" s="1153" cm="1">
        <f t="array" ref="I166">IF($A166="","",INDEX('resident aged receivable'!$J:$J,$A166))</f>
        <v>1309.78</v>
      </c>
      <c r="J166" s="1153" cm="1">
        <f t="array" ref="J166">IF($A166="","",INDEX('resident aged receivable'!$K:$K,$A166))</f>
        <v>1173.19</v>
      </c>
      <c r="K166" s="1163" t="str" cm="1">
        <f t="array" ref="K166">IFERROR(IF(B166="","",IF(SUMPRODUCT((LeaseLock!$D$2:$D$500=B166)*ISNUMBER(SEARCH(LEFT(C166,FIND(",",C166&amp;",")-1),LeaseLock!$C$2:$C$500)))=0,"",IF(LOOKUP(2,1/((LeaseLock!$D$2:$D$500=B166)*ISNUMBER(SEARCH(LEFT(C166,FIND(",",C166&amp;",")-1),LeaseLock!$C$2:$C$500))),LeaseLock!$F$2:$F$500)="Claim Denied","Claim Denied ("&amp;LOOKUP(2,1/((LeaseLock!$D$2:$D$500=B166)*ISNUMBER(SEARCH(LEFT(C166,FIND(",",C166&amp;",")-1),LeaseLock!$C$2:$C$500))),LeaseLock!$G$2:$G$500)&amp;")",IF(LOOKUP(2,1/((LeaseLock!$D$2:$D$500=B166)*ISNUMBER(SEARCH(LEFT(C166,FIND(",",C166&amp;",")-1),LeaseLock!$C$2:$C$500))),LeaseLock!$F$2:$F$500)="Open","Open - "&amp;LOOKUP(2,1/((LeaseLock!$D$2:$D$500=B166)*ISNUMBER(SEARCH(LEFT(C166,FIND(",",C166&amp;",")-1),LeaseLock!$C$2:$C$500))),LeaseLock!$G$2:$G$500),IF(LOOKUP(2,1/((LeaseLock!$D$2:$D$500=B166)*ISNUMBER(SEARCH(LEFT(C166,FIND(",",C166&amp;",")-1),LeaseLock!$C$2:$C$500))),LeaseLock!$M$2:$M$500)&gt;0,LOOKUP(2,1/((LeaseLock!$D$2:$D$500=B166)*ISNUMBER(SEARCH(LEFT(C166,FIND(",",C166&amp;",")-1),LeaseLock!$C$2:$C$500))),LeaseLock!$F$2:$F$500)&amp;" - $"&amp;TEXT(LOOKUP(2,1/((LeaseLock!$D$2:$D$500=B166)*ISNUMBER(SEARCH(LEFT(C166,FIND(",",C166&amp;",")-1),LeaseLock!$C$2:$C$500))),LeaseLock!$M$2:$M$500),"#,##0.00")&amp;" paid",LOOKUP(2,1/((LeaseLock!$D$2:$D$500=B166)*ISNUMBER(SEARCH(LEFT(C166,FIND(",",C166&amp;",")-1),LeaseLock!$C$2:$C$500))),LeaseLock!$F$2:$F$500)&amp;" - no payment"))))),"")</f>
        <v/>
      </c>
      <c r="L166" s="1148" t="s">
        <v>6744</v>
      </c>
      <c r="M166" s="1134"/>
      <c r="N166" s="1134"/>
      <c r="Q166" s="1115"/>
      <c r="R166" s="1115"/>
      <c r="S166" s="1115"/>
      <c r="T166" s="1115"/>
      <c r="U166" s="1115"/>
      <c r="V166" s="1115"/>
      <c r="W166" s="1115"/>
      <c r="X166" s="1115"/>
      <c r="Y166" s="1115"/>
      <c r="Z166" s="1115"/>
    </row>
    <row r="167" spans="1:26" ht="12" customHeight="1">
      <c r="A167" s="1138" cm="1">
        <f t="array" ref="A167">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152</v>
      </c>
      <c r="B167" s="1139" t="str" cm="1">
        <f t="array" ref="B167">IF($A167="","",INDEX('resident aged receivable'!$B:$B,$A167))</f>
        <v>W15-2-2085</v>
      </c>
      <c r="C167" s="1139" t="str" cm="1">
        <f t="array" ref="C167">IF($A167="","",INDEX('resident aged receivable'!$D:$D,$A167))</f>
        <v>Jenkins, Jared</v>
      </c>
      <c r="D167" s="1140" cm="1">
        <f t="array" ref="D167">IF($A167="","",INDEX('resident aged receivable'!$F:$F,$A167))</f>
        <v>45747</v>
      </c>
      <c r="E167" s="1140" t="str" cm="1">
        <f t="array" ref="E167">IF($A167="","",_xlfn.LET(_xlpm.leaseEnd,INDEX('resident aged receivable'!$H:$H,$A167),_xlpm.s,INDEX('resident aged receivable'!$E:$E,$A167),IF(ISNUMBER(SEARCH("Current",_xlpm.s))+ISNUMBER(SEARCH("Notice",_xlpm.s)),"",IF(ISNUMBER(_xlpm.leaseEnd),_xlpm.leaseEnd,""))))</f>
        <v/>
      </c>
      <c r="F167" s="1139" t="str">
        <f t="shared" si="4"/>
        <v>IPS</v>
      </c>
      <c r="G167" s="1142" t="str" cm="1">
        <f t="array" ref="G167">IF($A167="","",IF(COUNTIF($N$3:$N$24,C167)&gt;0,"Former",_xlfn.LET(_xlpm.s,INDEX('resident aged receivable'!$E:$E,$A167),IF(ISNUMBER(SEARCH("Eviction",_xlpm.s)),"Eviction",IF(ISNUMBER(SEARCH("Skip",_xlpm.s)),"Skip",IF(ISNUMBER(SEARCH("Past",_xlpm.s))+ISNUMBER(SEARCH("Collections",_xlpm.s)),"Former",_xlpm.s))))))</f>
        <v>Current - Month To Month</v>
      </c>
      <c r="H167" s="1153" cm="1">
        <f t="array" ref="H167">IF($A167="","",INDEX('resident aged receivable'!$I:$I,$A167))</f>
        <v>2084.56</v>
      </c>
      <c r="I167" s="1153" cm="1">
        <f t="array" ref="I167">IF($A167="","",INDEX('resident aged receivable'!$J:$J,$A167))</f>
        <v>1530.37</v>
      </c>
      <c r="J167" s="1153" cm="1">
        <f t="array" ref="J167">IF($A167="","",INDEX('resident aged receivable'!$K:$K,$A167))</f>
        <v>554.19000000000005</v>
      </c>
      <c r="K167" s="1163" t="str" cm="1">
        <f t="array" ref="K167">IFERROR(IF(B167="","",IF(SUMPRODUCT((LeaseLock!$D$2:$D$500=B167)*ISNUMBER(SEARCH(LEFT(C167,FIND(",",C167&amp;",")-1),LeaseLock!$C$2:$C$500)))=0,"",IF(LOOKUP(2,1/((LeaseLock!$D$2:$D$500=B167)*ISNUMBER(SEARCH(LEFT(C167,FIND(",",C167&amp;",")-1),LeaseLock!$C$2:$C$500))),LeaseLock!$F$2:$F$500)="Claim Denied","Claim Denied ("&amp;LOOKUP(2,1/((LeaseLock!$D$2:$D$500=B167)*ISNUMBER(SEARCH(LEFT(C167,FIND(",",C167&amp;",")-1),LeaseLock!$C$2:$C$500))),LeaseLock!$G$2:$G$500)&amp;")",IF(LOOKUP(2,1/((LeaseLock!$D$2:$D$500=B167)*ISNUMBER(SEARCH(LEFT(C167,FIND(",",C167&amp;",")-1),LeaseLock!$C$2:$C$500))),LeaseLock!$F$2:$F$500)="Open","Open - "&amp;LOOKUP(2,1/((LeaseLock!$D$2:$D$500=B167)*ISNUMBER(SEARCH(LEFT(C167,FIND(",",C167&amp;",")-1),LeaseLock!$C$2:$C$500))),LeaseLock!$G$2:$G$500),IF(LOOKUP(2,1/((LeaseLock!$D$2:$D$500=B167)*ISNUMBER(SEARCH(LEFT(C167,FIND(",",C167&amp;",")-1),LeaseLock!$C$2:$C$500))),LeaseLock!$M$2:$M$500)&gt;0,LOOKUP(2,1/((LeaseLock!$D$2:$D$500=B167)*ISNUMBER(SEARCH(LEFT(C167,FIND(",",C167&amp;",")-1),LeaseLock!$C$2:$C$500))),LeaseLock!$F$2:$F$500)&amp;" - $"&amp;TEXT(LOOKUP(2,1/((LeaseLock!$D$2:$D$500=B167)*ISNUMBER(SEARCH(LEFT(C167,FIND(",",C167&amp;",")-1),LeaseLock!$C$2:$C$500))),LeaseLock!$M$2:$M$500),"#,##0.00")&amp;" paid",LOOKUP(2,1/((LeaseLock!$D$2:$D$500=B167)*ISNUMBER(SEARCH(LEFT(C167,FIND(",",C167&amp;",")-1),LeaseLock!$C$2:$C$500))),LeaseLock!$F$2:$F$500)&amp;" - no payment"))))),"")</f>
        <v/>
      </c>
      <c r="L167" s="1148" t="s">
        <v>6744</v>
      </c>
      <c r="M167" s="1134"/>
      <c r="N167" s="1134"/>
      <c r="Q167" s="1115"/>
      <c r="R167" s="1115"/>
      <c r="S167" s="1115"/>
      <c r="T167" s="1115"/>
      <c r="U167" s="1115"/>
      <c r="V167" s="1115"/>
      <c r="W167" s="1115"/>
      <c r="X167" s="1115"/>
      <c r="Y167" s="1115"/>
      <c r="Z167" s="1115"/>
    </row>
    <row r="168" spans="1:26" ht="12" customHeight="1">
      <c r="A168" s="1138" cm="1">
        <f t="array" ref="A168">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144</v>
      </c>
      <c r="B168" s="1139" t="str" cm="1">
        <f t="array" ref="B168">IF($A168="","",INDEX('resident aged receivable'!$B:$B,$A168))</f>
        <v>W13-1-1324</v>
      </c>
      <c r="C168" s="1139" t="str" cm="1">
        <f t="array" ref="C168">IF($A168="","",INDEX('resident aged receivable'!$D:$D,$A168))</f>
        <v>Ogunmola, Tobi</v>
      </c>
      <c r="D168" s="1140" cm="1">
        <f t="array" ref="D168">IF($A168="","",INDEX('resident aged receivable'!$F:$F,$A168))</f>
        <v>43927</v>
      </c>
      <c r="E168" s="1140" t="str" cm="1">
        <f t="array" ref="E168">IF($A168="","",_xlfn.LET(_xlpm.leaseEnd,INDEX('resident aged receivable'!$H:$H,$A168),_xlpm.s,INDEX('resident aged receivable'!$E:$E,$A168),IF(ISNUMBER(SEARCH("Current",_xlpm.s))+ISNUMBER(SEARCH("Notice",_xlpm.s)),"",IF(ISNUMBER(_xlpm.leaseEnd),_xlpm.leaseEnd,""))))</f>
        <v/>
      </c>
      <c r="F168" s="1139" t="str">
        <f t="shared" si="4"/>
        <v>IPS</v>
      </c>
      <c r="G168" s="1142" t="str" cm="1">
        <f t="array" ref="G168">IF($A168="","",IF(COUNTIF($N$3:$N$24,C168)&gt;0,"Former",_xlfn.LET(_xlpm.s,INDEX('resident aged receivable'!$E:$E,$A168),IF(ISNUMBER(SEARCH("Eviction",_xlpm.s)),"Eviction",IF(ISNUMBER(SEARCH("Skip",_xlpm.s)),"Skip",IF(ISNUMBER(SEARCH("Past",_xlpm.s))+ISNUMBER(SEARCH("Collections",_xlpm.s)),"Former",_xlpm.s))))))</f>
        <v>Current</v>
      </c>
      <c r="H168" s="1153" cm="1">
        <f t="array" ref="H168">IF($A168="","",INDEX('resident aged receivable'!$I:$I,$A168))</f>
        <v>2080.35</v>
      </c>
      <c r="I168" s="1153" cm="1">
        <f t="array" ref="I168">IF($A168="","",INDEX('resident aged receivable'!$J:$J,$A168))</f>
        <v>1073.32</v>
      </c>
      <c r="J168" s="1153" cm="1">
        <f t="array" ref="J168">IF($A168="","",INDEX('resident aged receivable'!$K:$K,$A168))</f>
        <v>1007.03</v>
      </c>
      <c r="K168" s="1163" t="str" cm="1">
        <f t="array" ref="K168">IFERROR(IF(B168="","",IF(SUMPRODUCT((LeaseLock!$D$2:$D$500=B168)*ISNUMBER(SEARCH(LEFT(C168,FIND(",",C168&amp;",")-1),LeaseLock!$C$2:$C$500)))=0,"",IF(LOOKUP(2,1/((LeaseLock!$D$2:$D$500=B168)*ISNUMBER(SEARCH(LEFT(C168,FIND(",",C168&amp;",")-1),LeaseLock!$C$2:$C$500))),LeaseLock!$F$2:$F$500)="Claim Denied","Claim Denied ("&amp;LOOKUP(2,1/((LeaseLock!$D$2:$D$500=B168)*ISNUMBER(SEARCH(LEFT(C168,FIND(",",C168&amp;",")-1),LeaseLock!$C$2:$C$500))),LeaseLock!$G$2:$G$500)&amp;")",IF(LOOKUP(2,1/((LeaseLock!$D$2:$D$500=B168)*ISNUMBER(SEARCH(LEFT(C168,FIND(",",C168&amp;",")-1),LeaseLock!$C$2:$C$500))),LeaseLock!$F$2:$F$500)="Open","Open - "&amp;LOOKUP(2,1/((LeaseLock!$D$2:$D$500=B168)*ISNUMBER(SEARCH(LEFT(C168,FIND(",",C168&amp;",")-1),LeaseLock!$C$2:$C$500))),LeaseLock!$G$2:$G$500),IF(LOOKUP(2,1/((LeaseLock!$D$2:$D$500=B168)*ISNUMBER(SEARCH(LEFT(C168,FIND(",",C168&amp;",")-1),LeaseLock!$C$2:$C$500))),LeaseLock!$M$2:$M$500)&gt;0,LOOKUP(2,1/((LeaseLock!$D$2:$D$500=B168)*ISNUMBER(SEARCH(LEFT(C168,FIND(",",C168&amp;",")-1),LeaseLock!$C$2:$C$500))),LeaseLock!$F$2:$F$500)&amp;" - $"&amp;TEXT(LOOKUP(2,1/((LeaseLock!$D$2:$D$500=B168)*ISNUMBER(SEARCH(LEFT(C168,FIND(",",C168&amp;",")-1),LeaseLock!$C$2:$C$500))),LeaseLock!$M$2:$M$500),"#,##0.00")&amp;" paid",LOOKUP(2,1/((LeaseLock!$D$2:$D$500=B168)*ISNUMBER(SEARCH(LEFT(C168,FIND(",",C168&amp;",")-1),LeaseLock!$C$2:$C$500))),LeaseLock!$F$2:$F$500)&amp;" - no payment"))))),"")</f>
        <v/>
      </c>
      <c r="L168" s="1148" t="s">
        <v>6837</v>
      </c>
      <c r="M168" s="1134"/>
      <c r="N168" s="1134"/>
      <c r="Q168" s="1115"/>
      <c r="R168" s="1115"/>
      <c r="S168" s="1115"/>
      <c r="T168" s="1115"/>
      <c r="U168" s="1115"/>
      <c r="V168" s="1115"/>
      <c r="W168" s="1115"/>
      <c r="X168" s="1115"/>
      <c r="Y168" s="1115"/>
      <c r="Z168" s="1115"/>
    </row>
    <row r="169" spans="1:26" ht="12" customHeight="1">
      <c r="A169" s="1138" cm="1">
        <f t="array" ref="A169">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12</v>
      </c>
      <c r="B169" s="1139" t="str" cm="1">
        <f t="array" ref="B169">IF($A169="","",INDEX('resident aged receivable'!$B:$B,$A169))</f>
        <v>N03-3017</v>
      </c>
      <c r="C169" s="1139" t="str" cm="1">
        <f t="array" ref="C169">IF($A169="","",INDEX('resident aged receivable'!$D:$D,$A169))</f>
        <v>Mcneil, Dandrea</v>
      </c>
      <c r="D169" s="1140" cm="1">
        <f t="array" ref="D169">IF($A169="","",INDEX('resident aged receivable'!$F:$F,$A169))</f>
        <v>45611</v>
      </c>
      <c r="E169" s="1140" t="str" cm="1">
        <f t="array" ref="E169">IF($A169="","",_xlfn.LET(_xlpm.leaseEnd,INDEX('resident aged receivable'!$H:$H,$A169),_xlpm.s,INDEX('resident aged receivable'!$E:$E,$A169),IF(ISNUMBER(SEARCH("Current",_xlpm.s))+ISNUMBER(SEARCH("Notice",_xlpm.s)),"",IF(ISNUMBER(_xlpm.leaseEnd),_xlpm.leaseEnd,""))))</f>
        <v/>
      </c>
      <c r="F169" s="1139" t="str">
        <f t="shared" si="4"/>
        <v>IPS</v>
      </c>
      <c r="G169" s="1142" t="str" cm="1">
        <f t="array" ref="G169">IF($A169="","",IF(COUNTIF($N$3:$N$24,C169)&gt;0,"Former",_xlfn.LET(_xlpm.s,INDEX('resident aged receivable'!$E:$E,$A169),IF(ISNUMBER(SEARCH("Eviction",_xlpm.s)),"Eviction",IF(ISNUMBER(SEARCH("Skip",_xlpm.s)),"Skip",IF(ISNUMBER(SEARCH("Past",_xlpm.s))+ISNUMBER(SEARCH("Collections",_xlpm.s)),"Former",_xlpm.s))))))</f>
        <v>Current - Month To Month</v>
      </c>
      <c r="H169" s="1153" cm="1">
        <f t="array" ref="H169">IF($A169="","",INDEX('resident aged receivable'!$I:$I,$A169))</f>
        <v>2054.0700000000002</v>
      </c>
      <c r="I169" s="1153" cm="1">
        <f t="array" ref="I169">IF($A169="","",INDEX('resident aged receivable'!$J:$J,$A169))</f>
        <v>1025.2</v>
      </c>
      <c r="J169" s="1153" cm="1">
        <f t="array" ref="J169">IF($A169="","",INDEX('resident aged receivable'!$K:$K,$A169))</f>
        <v>1028.8699999999999</v>
      </c>
      <c r="K169" s="1163" t="str" cm="1">
        <f t="array" ref="K169">IFERROR(IF(B169="","",IF(SUMPRODUCT((LeaseLock!$D$2:$D$500=B169)*ISNUMBER(SEARCH(LEFT(C169,FIND(",",C169&amp;",")-1),LeaseLock!$C$2:$C$500)))=0,"",IF(LOOKUP(2,1/((LeaseLock!$D$2:$D$500=B169)*ISNUMBER(SEARCH(LEFT(C169,FIND(",",C169&amp;",")-1),LeaseLock!$C$2:$C$500))),LeaseLock!$F$2:$F$500)="Claim Denied","Claim Denied ("&amp;LOOKUP(2,1/((LeaseLock!$D$2:$D$500=B169)*ISNUMBER(SEARCH(LEFT(C169,FIND(",",C169&amp;",")-1),LeaseLock!$C$2:$C$500))),LeaseLock!$G$2:$G$500)&amp;")",IF(LOOKUP(2,1/((LeaseLock!$D$2:$D$500=B169)*ISNUMBER(SEARCH(LEFT(C169,FIND(",",C169&amp;",")-1),LeaseLock!$C$2:$C$500))),LeaseLock!$F$2:$F$500)="Open","Open - "&amp;LOOKUP(2,1/((LeaseLock!$D$2:$D$500=B169)*ISNUMBER(SEARCH(LEFT(C169,FIND(",",C169&amp;",")-1),LeaseLock!$C$2:$C$500))),LeaseLock!$G$2:$G$500),IF(LOOKUP(2,1/((LeaseLock!$D$2:$D$500=B169)*ISNUMBER(SEARCH(LEFT(C169,FIND(",",C169&amp;",")-1),LeaseLock!$C$2:$C$500))),LeaseLock!$M$2:$M$500)&gt;0,LOOKUP(2,1/((LeaseLock!$D$2:$D$500=B169)*ISNUMBER(SEARCH(LEFT(C169,FIND(",",C169&amp;",")-1),LeaseLock!$C$2:$C$500))),LeaseLock!$F$2:$F$500)&amp;" - $"&amp;TEXT(LOOKUP(2,1/((LeaseLock!$D$2:$D$500=B169)*ISNUMBER(SEARCH(LEFT(C169,FIND(",",C169&amp;",")-1),LeaseLock!$C$2:$C$500))),LeaseLock!$M$2:$M$500),"#,##0.00")&amp;" paid",LOOKUP(2,1/((LeaseLock!$D$2:$D$500=B169)*ISNUMBER(SEARCH(LEFT(C169,FIND(",",C169&amp;",")-1),LeaseLock!$C$2:$C$500))),LeaseLock!$F$2:$F$500)&amp;" - no payment"))))),"")</f>
        <v/>
      </c>
      <c r="L169" s="1148"/>
      <c r="M169" s="1134"/>
      <c r="N169" s="1134"/>
      <c r="Q169" s="1115"/>
      <c r="R169" s="1115"/>
      <c r="S169" s="1115"/>
      <c r="T169" s="1115"/>
      <c r="U169" s="1115"/>
      <c r="V169" s="1115"/>
      <c r="W169" s="1115"/>
      <c r="X169" s="1115"/>
      <c r="Y169" s="1115"/>
      <c r="Z169" s="1115"/>
    </row>
    <row r="170" spans="1:26" ht="12" customHeight="1">
      <c r="A170" s="1138" cm="1">
        <f t="array" ref="A170">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177</v>
      </c>
      <c r="B170" s="1139" t="str" cm="1">
        <f t="array" ref="B170">IF($A170="","",INDEX('resident aged receivable'!$B:$B,$A170))</f>
        <v>W21-2-1059</v>
      </c>
      <c r="C170" s="1139" t="str" cm="1">
        <f t="array" ref="C170">IF($A170="","",INDEX('resident aged receivable'!$D:$D,$A170))</f>
        <v>Daniels, Thalia</v>
      </c>
      <c r="D170" s="1140" cm="1">
        <f t="array" ref="D170">IF($A170="","",INDEX('resident aged receivable'!$F:$F,$A170))</f>
        <v>45856</v>
      </c>
      <c r="E170" s="1140" t="str" cm="1">
        <f t="array" ref="E170">IF($A170="","",_xlfn.LET(_xlpm.leaseEnd,INDEX('resident aged receivable'!$H:$H,$A170),_xlpm.s,INDEX('resident aged receivable'!$E:$E,$A170),IF(ISNUMBER(SEARCH("Current",_xlpm.s))+ISNUMBER(SEARCH("Notice",_xlpm.s)),"",IF(ISNUMBER(_xlpm.leaseEnd),_xlpm.leaseEnd,""))))</f>
        <v/>
      </c>
      <c r="F170" s="1139" t="str">
        <f t="shared" si="4"/>
        <v>IPS</v>
      </c>
      <c r="G170" s="1142" t="str" cm="1">
        <f t="array" ref="G170">IF($A170="","",IF(COUNTIF($N$3:$N$24,C170)&gt;0,"Former",_xlfn.LET(_xlpm.s,INDEX('resident aged receivable'!$E:$E,$A170),IF(ISNUMBER(SEARCH("Eviction",_xlpm.s)),"Eviction",IF(ISNUMBER(SEARCH("Skip",_xlpm.s)),"Skip",IF(ISNUMBER(SEARCH("Past",_xlpm.s))+ISNUMBER(SEARCH("Collections",_xlpm.s)),"Former",_xlpm.s))))))</f>
        <v>Current</v>
      </c>
      <c r="H170" s="1153" cm="1">
        <f t="array" ref="H170">IF($A170="","",INDEX('resident aged receivable'!$I:$I,$A170))</f>
        <v>2037.45</v>
      </c>
      <c r="I170" s="1153" cm="1">
        <f t="array" ref="I170">IF($A170="","",INDEX('resident aged receivable'!$J:$J,$A170))</f>
        <v>1117.0899999999999</v>
      </c>
      <c r="J170" s="1153" cm="1">
        <f t="array" ref="J170">IF($A170="","",INDEX('resident aged receivable'!$K:$K,$A170))</f>
        <v>920.36</v>
      </c>
      <c r="K170" s="1163" t="str" cm="1">
        <f t="array" ref="K170">IFERROR(IF(B170="","",IF(SUMPRODUCT((LeaseLock!$D$2:$D$500=B170)*ISNUMBER(SEARCH(LEFT(C170,FIND(",",C170&amp;",")-1),LeaseLock!$C$2:$C$500)))=0,"",IF(LOOKUP(2,1/((LeaseLock!$D$2:$D$500=B170)*ISNUMBER(SEARCH(LEFT(C170,FIND(",",C170&amp;",")-1),LeaseLock!$C$2:$C$500))),LeaseLock!$F$2:$F$500)="Claim Denied","Claim Denied ("&amp;LOOKUP(2,1/((LeaseLock!$D$2:$D$500=B170)*ISNUMBER(SEARCH(LEFT(C170,FIND(",",C170&amp;",")-1),LeaseLock!$C$2:$C$500))),LeaseLock!$G$2:$G$500)&amp;")",IF(LOOKUP(2,1/((LeaseLock!$D$2:$D$500=B170)*ISNUMBER(SEARCH(LEFT(C170,FIND(",",C170&amp;",")-1),LeaseLock!$C$2:$C$500))),LeaseLock!$F$2:$F$500)="Open","Open - "&amp;LOOKUP(2,1/((LeaseLock!$D$2:$D$500=B170)*ISNUMBER(SEARCH(LEFT(C170,FIND(",",C170&amp;",")-1),LeaseLock!$C$2:$C$500))),LeaseLock!$G$2:$G$500),IF(LOOKUP(2,1/((LeaseLock!$D$2:$D$500=B170)*ISNUMBER(SEARCH(LEFT(C170,FIND(",",C170&amp;",")-1),LeaseLock!$C$2:$C$500))),LeaseLock!$M$2:$M$500)&gt;0,LOOKUP(2,1/((LeaseLock!$D$2:$D$500=B170)*ISNUMBER(SEARCH(LEFT(C170,FIND(",",C170&amp;",")-1),LeaseLock!$C$2:$C$500))),LeaseLock!$F$2:$F$500)&amp;" - $"&amp;TEXT(LOOKUP(2,1/((LeaseLock!$D$2:$D$500=B170)*ISNUMBER(SEARCH(LEFT(C170,FIND(",",C170&amp;",")-1),LeaseLock!$C$2:$C$500))),LeaseLock!$M$2:$M$500),"#,##0.00")&amp;" paid",LOOKUP(2,1/((LeaseLock!$D$2:$D$500=B170)*ISNUMBER(SEARCH(LEFT(C170,FIND(",",C170&amp;",")-1),LeaseLock!$C$2:$C$500))),LeaseLock!$F$2:$F$500)&amp;" - no payment"))))),"")</f>
        <v/>
      </c>
      <c r="L170" s="1148" t="s">
        <v>6744</v>
      </c>
      <c r="M170" s="1134"/>
      <c r="N170" s="1134"/>
      <c r="Q170" s="1115"/>
      <c r="R170" s="1115"/>
      <c r="S170" s="1115"/>
      <c r="T170" s="1115"/>
      <c r="U170" s="1115"/>
      <c r="V170" s="1115"/>
      <c r="W170" s="1115"/>
      <c r="X170" s="1115"/>
      <c r="Y170" s="1115"/>
      <c r="Z170" s="1115"/>
    </row>
    <row r="171" spans="1:26" ht="12" customHeight="1">
      <c r="A171" s="1138" cm="1">
        <f t="array" ref="A171">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65</v>
      </c>
      <c r="B171" s="1139" t="str" cm="1">
        <f t="array" ref="B171">IF($A171="","",INDEX('resident aged receivable'!$B:$B,$A171))</f>
        <v>S28-103</v>
      </c>
      <c r="C171" s="1139" t="str" cm="1">
        <f t="array" ref="C171">IF($A171="","",INDEX('resident aged receivable'!$D:$D,$A171))</f>
        <v>HALL, MICHAEL</v>
      </c>
      <c r="D171" s="1140" cm="1">
        <f t="array" ref="D171">IF($A171="","",INDEX('resident aged receivable'!$F:$F,$A171))</f>
        <v>45239</v>
      </c>
      <c r="E171" s="1140" t="str" cm="1">
        <f t="array" ref="E171">IF($A171="","",_xlfn.LET(_xlpm.leaseEnd,INDEX('resident aged receivable'!$H:$H,$A171),_xlpm.s,INDEX('resident aged receivable'!$E:$E,$A171),IF(ISNUMBER(SEARCH("Current",_xlpm.s))+ISNUMBER(SEARCH("Notice",_xlpm.s)),"",IF(ISNUMBER(_xlpm.leaseEnd),_xlpm.leaseEnd,""))))</f>
        <v/>
      </c>
      <c r="F171" s="1139" t="str">
        <f t="shared" si="4"/>
        <v>IPS</v>
      </c>
      <c r="G171" s="1142" t="str" cm="1">
        <f t="array" ref="G171">IF($A171="","",IF(COUNTIF($N$3:$N$24,C171)&gt;0,"Former",_xlfn.LET(_xlpm.s,INDEX('resident aged receivable'!$E:$E,$A171),IF(ISNUMBER(SEARCH("Eviction",_xlpm.s)),"Eviction",IF(ISNUMBER(SEARCH("Skip",_xlpm.s)),"Skip",IF(ISNUMBER(SEARCH("Past",_xlpm.s))+ISNUMBER(SEARCH("Collections",_xlpm.s)),"Former",_xlpm.s))))))</f>
        <v>Current</v>
      </c>
      <c r="H171" s="1153" cm="1">
        <f t="array" ref="H171">IF($A171="","",INDEX('resident aged receivable'!$I:$I,$A171))</f>
        <v>1606.88</v>
      </c>
      <c r="I171" s="1153" cm="1">
        <f t="array" ref="I171">IF($A171="","",INDEX('resident aged receivable'!$J:$J,$A171))</f>
        <v>1606.88</v>
      </c>
      <c r="J171" s="1153" cm="1">
        <f t="array" ref="J171">IF($A171="","",INDEX('resident aged receivable'!$K:$K,$A171))</f>
        <v>0</v>
      </c>
      <c r="K171" s="1163" t="str" cm="1">
        <f t="array" ref="K171">IFERROR(IF(B171="","",IF(SUMPRODUCT((LeaseLock!$D$2:$D$500=B171)*ISNUMBER(SEARCH(LEFT(C171,FIND(",",C171&amp;",")-1),LeaseLock!$C$2:$C$500)))=0,"",IF(LOOKUP(2,1/((LeaseLock!$D$2:$D$500=B171)*ISNUMBER(SEARCH(LEFT(C171,FIND(",",C171&amp;",")-1),LeaseLock!$C$2:$C$500))),LeaseLock!$F$2:$F$500)="Claim Denied","Claim Denied ("&amp;LOOKUP(2,1/((LeaseLock!$D$2:$D$500=B171)*ISNUMBER(SEARCH(LEFT(C171,FIND(",",C171&amp;",")-1),LeaseLock!$C$2:$C$500))),LeaseLock!$G$2:$G$500)&amp;")",IF(LOOKUP(2,1/((LeaseLock!$D$2:$D$500=B171)*ISNUMBER(SEARCH(LEFT(C171,FIND(",",C171&amp;",")-1),LeaseLock!$C$2:$C$500))),LeaseLock!$F$2:$F$500)="Open","Open - "&amp;LOOKUP(2,1/((LeaseLock!$D$2:$D$500=B171)*ISNUMBER(SEARCH(LEFT(C171,FIND(",",C171&amp;",")-1),LeaseLock!$C$2:$C$500))),LeaseLock!$G$2:$G$500),IF(LOOKUP(2,1/((LeaseLock!$D$2:$D$500=B171)*ISNUMBER(SEARCH(LEFT(C171,FIND(",",C171&amp;",")-1),LeaseLock!$C$2:$C$500))),LeaseLock!$M$2:$M$500)&gt;0,LOOKUP(2,1/((LeaseLock!$D$2:$D$500=B171)*ISNUMBER(SEARCH(LEFT(C171,FIND(",",C171&amp;",")-1),LeaseLock!$C$2:$C$500))),LeaseLock!$F$2:$F$500)&amp;" - $"&amp;TEXT(LOOKUP(2,1/((LeaseLock!$D$2:$D$500=B171)*ISNUMBER(SEARCH(LEFT(C171,FIND(",",C171&amp;",")-1),LeaseLock!$C$2:$C$500))),LeaseLock!$M$2:$M$500),"#,##0.00")&amp;" paid",LOOKUP(2,1/((LeaseLock!$D$2:$D$500=B171)*ISNUMBER(SEARCH(LEFT(C171,FIND(",",C171&amp;",")-1),LeaseLock!$C$2:$C$500))),LeaseLock!$F$2:$F$500)&amp;" - no payment"))))),"")</f>
        <v/>
      </c>
      <c r="L171" s="1148"/>
      <c r="M171" s="1134"/>
      <c r="N171" s="1134"/>
      <c r="Q171" s="1115"/>
      <c r="R171" s="1115"/>
      <c r="S171" s="1115"/>
      <c r="T171" s="1115"/>
      <c r="U171" s="1115"/>
      <c r="V171" s="1115"/>
      <c r="W171" s="1115"/>
      <c r="X171" s="1115"/>
      <c r="Y171" s="1115"/>
      <c r="Z171" s="1115"/>
    </row>
    <row r="172" spans="1:26" ht="12" customHeight="1">
      <c r="A172" s="1138" cm="1">
        <f t="array" ref="A172">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100</v>
      </c>
      <c r="B172" s="1139" t="str" cm="1">
        <f t="array" ref="B172">IF($A172="","",INDEX('resident aged receivable'!$B:$B,$A172))</f>
        <v>W04-1-0415</v>
      </c>
      <c r="C172" s="1139" t="str" cm="1">
        <f t="array" ref="C172">IF($A172="","",INDEX('resident aged receivable'!$D:$D,$A172))</f>
        <v>Diaz Becerra, Victor</v>
      </c>
      <c r="D172" s="1140" cm="1">
        <f t="array" ref="D172">IF($A172="","",INDEX('resident aged receivable'!$F:$F,$A172))</f>
        <v>46099</v>
      </c>
      <c r="E172" s="1140" t="str" cm="1">
        <f t="array" ref="E172">IF($A172="","",_xlfn.LET(_xlpm.leaseEnd,INDEX('resident aged receivable'!$H:$H,$A172),_xlpm.s,INDEX('resident aged receivable'!$E:$E,$A172),IF(ISNUMBER(SEARCH("Current",_xlpm.s))+ISNUMBER(SEARCH("Notice",_xlpm.s)),"",IF(ISNUMBER(_xlpm.leaseEnd),_xlpm.leaseEnd,""))))</f>
        <v/>
      </c>
      <c r="F172" s="1139" t="str">
        <f t="shared" si="4"/>
        <v>CAF</v>
      </c>
      <c r="G172" s="1142" t="str" cm="1">
        <f t="array" ref="G172">IF($A172="","",IF(COUNTIF($N$3:$N$24,C172)&gt;0,"Former",_xlfn.LET(_xlpm.s,INDEX('resident aged receivable'!$E:$E,$A172),IF(ISNUMBER(SEARCH("Eviction",_xlpm.s)),"Eviction",IF(ISNUMBER(SEARCH("Skip",_xlpm.s)),"Skip",IF(ISNUMBER(SEARCH("Past",_xlpm.s))+ISNUMBER(SEARCH("Collections",_xlpm.s)),"Former",_xlpm.s))))))</f>
        <v>Current</v>
      </c>
      <c r="H172" s="1153" cm="1">
        <f t="array" ref="H172">IF($A172="","",INDEX('resident aged receivable'!$I:$I,$A172))</f>
        <v>1493.9</v>
      </c>
      <c r="I172" s="1153" cm="1">
        <f t="array" ref="I172">IF($A172="","",INDEX('resident aged receivable'!$J:$J,$A172))</f>
        <v>1491</v>
      </c>
      <c r="J172" s="1153" cm="1">
        <f t="array" ref="J172">IF($A172="","",INDEX('resident aged receivable'!$K:$K,$A172))</f>
        <v>2.9</v>
      </c>
      <c r="K172" s="1163" t="str" cm="1">
        <f t="array" ref="K172">IFERROR(IF(B172="","",IF(SUMPRODUCT((LeaseLock!$D$2:$D$500=B172)*ISNUMBER(SEARCH(LEFT(C172,FIND(",",C172&amp;",")-1),LeaseLock!$C$2:$C$500)))=0,"",IF(LOOKUP(2,1/((LeaseLock!$D$2:$D$500=B172)*ISNUMBER(SEARCH(LEFT(C172,FIND(",",C172&amp;",")-1),LeaseLock!$C$2:$C$500))),LeaseLock!$F$2:$F$500)="Claim Denied","Claim Denied ("&amp;LOOKUP(2,1/((LeaseLock!$D$2:$D$500=B172)*ISNUMBER(SEARCH(LEFT(C172,FIND(",",C172&amp;",")-1),LeaseLock!$C$2:$C$500))),LeaseLock!$G$2:$G$500)&amp;")",IF(LOOKUP(2,1/((LeaseLock!$D$2:$D$500=B172)*ISNUMBER(SEARCH(LEFT(C172,FIND(",",C172&amp;",")-1),LeaseLock!$C$2:$C$500))),LeaseLock!$F$2:$F$500)="Open","Open - "&amp;LOOKUP(2,1/((LeaseLock!$D$2:$D$500=B172)*ISNUMBER(SEARCH(LEFT(C172,FIND(",",C172&amp;",")-1),LeaseLock!$C$2:$C$500))),LeaseLock!$G$2:$G$500),IF(LOOKUP(2,1/((LeaseLock!$D$2:$D$500=B172)*ISNUMBER(SEARCH(LEFT(C172,FIND(",",C172&amp;",")-1),LeaseLock!$C$2:$C$500))),LeaseLock!$M$2:$M$500)&gt;0,LOOKUP(2,1/((LeaseLock!$D$2:$D$500=B172)*ISNUMBER(SEARCH(LEFT(C172,FIND(",",C172&amp;",")-1),LeaseLock!$C$2:$C$500))),LeaseLock!$F$2:$F$500)&amp;" - $"&amp;TEXT(LOOKUP(2,1/((LeaseLock!$D$2:$D$500=B172)*ISNUMBER(SEARCH(LEFT(C172,FIND(",",C172&amp;",")-1),LeaseLock!$C$2:$C$500))),LeaseLock!$M$2:$M$500),"#,##0.00")&amp;" paid",LOOKUP(2,1/((LeaseLock!$D$2:$D$500=B172)*ISNUMBER(SEARCH(LEFT(C172,FIND(",",C172&amp;",")-1),LeaseLock!$C$2:$C$500))),LeaseLock!$F$2:$F$500)&amp;" - no payment"))))),"")</f>
        <v/>
      </c>
      <c r="L172" s="1148"/>
      <c r="M172" s="1134"/>
      <c r="N172" s="1134"/>
      <c r="Q172" s="1115"/>
      <c r="R172" s="1115"/>
      <c r="S172" s="1115"/>
      <c r="T172" s="1115"/>
      <c r="U172" s="1115"/>
      <c r="V172" s="1115"/>
      <c r="W172" s="1115"/>
      <c r="X172" s="1115"/>
      <c r="Y172" s="1115"/>
      <c r="Z172" s="1115"/>
    </row>
    <row r="173" spans="1:26" ht="12" customHeight="1">
      <c r="A173" s="1138" cm="1">
        <f t="array" ref="A173">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138</v>
      </c>
      <c r="B173" s="1139" t="str" cm="1">
        <f t="array" ref="B173">IF($A173="","",INDEX('resident aged receivable'!$B:$B,$A173))</f>
        <v>W12-1-1224</v>
      </c>
      <c r="C173" s="1139" t="str" cm="1">
        <f t="array" ref="C173">IF($A173="","",INDEX('resident aged receivable'!$D:$D,$A173))</f>
        <v>Collins, Emmanuel</v>
      </c>
      <c r="D173" s="1140" cm="1">
        <f t="array" ref="D173">IF($A173="","",INDEX('resident aged receivable'!$F:$F,$A173))</f>
        <v>45596</v>
      </c>
      <c r="E173" s="1140" t="str" cm="1">
        <f t="array" ref="E173">IF($A173="","",_xlfn.LET(_xlpm.leaseEnd,INDEX('resident aged receivable'!$H:$H,$A173),_xlpm.s,INDEX('resident aged receivable'!$E:$E,$A173),IF(ISNUMBER(SEARCH("Current",_xlpm.s))+ISNUMBER(SEARCH("Notice",_xlpm.s)),"",IF(ISNUMBER(_xlpm.leaseEnd),_xlpm.leaseEnd,""))))</f>
        <v/>
      </c>
      <c r="F173" s="1139" t="str">
        <f t="shared" si="4"/>
        <v>IPS</v>
      </c>
      <c r="G173" s="1142" t="str" cm="1">
        <f t="array" ref="G173">IF($A173="","",IF(COUNTIF($N$3:$N$24,C173)&gt;0,"Former",_xlfn.LET(_xlpm.s,INDEX('resident aged receivable'!$E:$E,$A173),IF(ISNUMBER(SEARCH("Eviction",_xlpm.s)),"Eviction",IF(ISNUMBER(SEARCH("Skip",_xlpm.s)),"Skip",IF(ISNUMBER(SEARCH("Past",_xlpm.s))+ISNUMBER(SEARCH("Collections",_xlpm.s)),"Former",_xlpm.s))))))</f>
        <v>Current</v>
      </c>
      <c r="H173" s="1153" cm="1">
        <f t="array" ref="H173">IF($A173="","",INDEX('resident aged receivable'!$I:$I,$A173))</f>
        <v>1482</v>
      </c>
      <c r="I173" s="1153" cm="1">
        <f t="array" ref="I173">IF($A173="","",INDEX('resident aged receivable'!$J:$J,$A173))</f>
        <v>1482</v>
      </c>
      <c r="J173" s="1153" cm="1">
        <f t="array" ref="J173">IF($A173="","",INDEX('resident aged receivable'!$K:$K,$A173))</f>
        <v>0</v>
      </c>
      <c r="K173" s="1163" t="str" cm="1">
        <f t="array" ref="K173">IFERROR(IF(B173="","",IF(SUMPRODUCT((LeaseLock!$D$2:$D$500=B173)*ISNUMBER(SEARCH(LEFT(C173,FIND(",",C173&amp;",")-1),LeaseLock!$C$2:$C$500)))=0,"",IF(LOOKUP(2,1/((LeaseLock!$D$2:$D$500=B173)*ISNUMBER(SEARCH(LEFT(C173,FIND(",",C173&amp;",")-1),LeaseLock!$C$2:$C$500))),LeaseLock!$F$2:$F$500)="Claim Denied","Claim Denied ("&amp;LOOKUP(2,1/((LeaseLock!$D$2:$D$500=B173)*ISNUMBER(SEARCH(LEFT(C173,FIND(",",C173&amp;",")-1),LeaseLock!$C$2:$C$500))),LeaseLock!$G$2:$G$500)&amp;")",IF(LOOKUP(2,1/((LeaseLock!$D$2:$D$500=B173)*ISNUMBER(SEARCH(LEFT(C173,FIND(",",C173&amp;",")-1),LeaseLock!$C$2:$C$500))),LeaseLock!$F$2:$F$500)="Open","Open - "&amp;LOOKUP(2,1/((LeaseLock!$D$2:$D$500=B173)*ISNUMBER(SEARCH(LEFT(C173,FIND(",",C173&amp;",")-1),LeaseLock!$C$2:$C$500))),LeaseLock!$G$2:$G$500),IF(LOOKUP(2,1/((LeaseLock!$D$2:$D$500=B173)*ISNUMBER(SEARCH(LEFT(C173,FIND(",",C173&amp;",")-1),LeaseLock!$C$2:$C$500))),LeaseLock!$M$2:$M$500)&gt;0,LOOKUP(2,1/((LeaseLock!$D$2:$D$500=B173)*ISNUMBER(SEARCH(LEFT(C173,FIND(",",C173&amp;",")-1),LeaseLock!$C$2:$C$500))),LeaseLock!$F$2:$F$500)&amp;" - $"&amp;TEXT(LOOKUP(2,1/((LeaseLock!$D$2:$D$500=B173)*ISNUMBER(SEARCH(LEFT(C173,FIND(",",C173&amp;",")-1),LeaseLock!$C$2:$C$500))),LeaseLock!$M$2:$M$500),"#,##0.00")&amp;" paid",LOOKUP(2,1/((LeaseLock!$D$2:$D$500=B173)*ISNUMBER(SEARCH(LEFT(C173,FIND(",",C173&amp;",")-1),LeaseLock!$C$2:$C$500))),LeaseLock!$F$2:$F$500)&amp;" - no payment"))))),"")</f>
        <v/>
      </c>
      <c r="L173" s="1148"/>
      <c r="M173" s="1134"/>
      <c r="N173" s="1134"/>
      <c r="Q173" s="1115"/>
      <c r="R173" s="1115"/>
      <c r="S173" s="1115"/>
      <c r="T173" s="1115"/>
      <c r="U173" s="1115"/>
      <c r="V173" s="1115"/>
      <c r="W173" s="1115"/>
      <c r="X173" s="1115"/>
      <c r="Y173" s="1115"/>
      <c r="Z173" s="1115"/>
    </row>
    <row r="174" spans="1:26" ht="12" customHeight="1">
      <c r="A174" s="1138" cm="1">
        <f t="array" ref="A174">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123</v>
      </c>
      <c r="B174" s="1139" t="str" cm="1">
        <f t="array" ref="B174">IF($A174="","",INDEX('resident aged receivable'!$B:$B,$A174))</f>
        <v>W08-1-0812</v>
      </c>
      <c r="C174" s="1139" t="str" cm="1">
        <f t="array" ref="C174">IF($A174="","",INDEX('resident aged receivable'!$D:$D,$A174))</f>
        <v>Broomfield, Deandra</v>
      </c>
      <c r="D174" s="1140" cm="1">
        <f t="array" ref="D174">IF($A174="","",INDEX('resident aged receivable'!$F:$F,$A174))</f>
        <v>45701</v>
      </c>
      <c r="E174" s="1140" t="str" cm="1">
        <f t="array" ref="E174">IF($A174="","",_xlfn.LET(_xlpm.leaseEnd,INDEX('resident aged receivable'!$H:$H,$A174),_xlpm.s,INDEX('resident aged receivable'!$E:$E,$A174),IF(ISNUMBER(SEARCH("Current",_xlpm.s))+ISNUMBER(SEARCH("Notice",_xlpm.s)),"",IF(ISNUMBER(_xlpm.leaseEnd),_xlpm.leaseEnd,""))))</f>
        <v/>
      </c>
      <c r="F174" s="1139" t="str">
        <f t="shared" si="4"/>
        <v>IPS</v>
      </c>
      <c r="G174" s="1142" t="str" cm="1">
        <f t="array" ref="G174">IF($A174="","",IF(COUNTIF($N$3:$N$24,C174)&gt;0,"Former",_xlfn.LET(_xlpm.s,INDEX('resident aged receivable'!$E:$E,$A174),IF(ISNUMBER(SEARCH("Eviction",_xlpm.s)),"Eviction",IF(ISNUMBER(SEARCH("Skip",_xlpm.s)),"Skip",IF(ISNUMBER(SEARCH("Past",_xlpm.s))+ISNUMBER(SEARCH("Collections",_xlpm.s)),"Former",_xlpm.s))))))</f>
        <v>Current</v>
      </c>
      <c r="H174" s="1153" cm="1">
        <f t="array" ref="H174">IF($A174="","",INDEX('resident aged receivable'!$I:$I,$A174))</f>
        <v>1473.32</v>
      </c>
      <c r="I174" s="1153" cm="1">
        <f t="array" ref="I174">IF($A174="","",INDEX('resident aged receivable'!$J:$J,$A174))</f>
        <v>1204.78</v>
      </c>
      <c r="J174" s="1153" cm="1">
        <f t="array" ref="J174">IF($A174="","",INDEX('resident aged receivable'!$K:$K,$A174))</f>
        <v>268.54000000000002</v>
      </c>
      <c r="K174" s="1163" t="str" cm="1">
        <f t="array" ref="K174">IFERROR(IF(B174="","",IF(SUMPRODUCT((LeaseLock!$D$2:$D$500=B174)*ISNUMBER(SEARCH(LEFT(C174,FIND(",",C174&amp;",")-1),LeaseLock!$C$2:$C$500)))=0,"",IF(LOOKUP(2,1/((LeaseLock!$D$2:$D$500=B174)*ISNUMBER(SEARCH(LEFT(C174,FIND(",",C174&amp;",")-1),LeaseLock!$C$2:$C$500))),LeaseLock!$F$2:$F$500)="Claim Denied","Claim Denied ("&amp;LOOKUP(2,1/((LeaseLock!$D$2:$D$500=B174)*ISNUMBER(SEARCH(LEFT(C174,FIND(",",C174&amp;",")-1),LeaseLock!$C$2:$C$500))),LeaseLock!$G$2:$G$500)&amp;")",IF(LOOKUP(2,1/((LeaseLock!$D$2:$D$500=B174)*ISNUMBER(SEARCH(LEFT(C174,FIND(",",C174&amp;",")-1),LeaseLock!$C$2:$C$500))),LeaseLock!$F$2:$F$500)="Open","Open - "&amp;LOOKUP(2,1/((LeaseLock!$D$2:$D$500=B174)*ISNUMBER(SEARCH(LEFT(C174,FIND(",",C174&amp;",")-1),LeaseLock!$C$2:$C$500))),LeaseLock!$G$2:$G$500),IF(LOOKUP(2,1/((LeaseLock!$D$2:$D$500=B174)*ISNUMBER(SEARCH(LEFT(C174,FIND(",",C174&amp;",")-1),LeaseLock!$C$2:$C$500))),LeaseLock!$M$2:$M$500)&gt;0,LOOKUP(2,1/((LeaseLock!$D$2:$D$500=B174)*ISNUMBER(SEARCH(LEFT(C174,FIND(",",C174&amp;",")-1),LeaseLock!$C$2:$C$500))),LeaseLock!$F$2:$F$500)&amp;" - $"&amp;TEXT(LOOKUP(2,1/((LeaseLock!$D$2:$D$500=B174)*ISNUMBER(SEARCH(LEFT(C174,FIND(",",C174&amp;",")-1),LeaseLock!$C$2:$C$500))),LeaseLock!$M$2:$M$500),"#,##0.00")&amp;" paid",LOOKUP(2,1/((LeaseLock!$D$2:$D$500=B174)*ISNUMBER(SEARCH(LEFT(C174,FIND(",",C174&amp;",")-1),LeaseLock!$C$2:$C$500))),LeaseLock!$F$2:$F$500)&amp;" - no payment"))))),"")</f>
        <v/>
      </c>
      <c r="L174" s="1148"/>
      <c r="M174" s="1134"/>
      <c r="N174" s="1134"/>
      <c r="Q174" s="1115"/>
      <c r="R174" s="1115"/>
      <c r="S174" s="1115"/>
      <c r="T174" s="1115"/>
      <c r="U174" s="1115"/>
      <c r="V174" s="1115"/>
      <c r="W174" s="1115"/>
      <c r="X174" s="1115"/>
      <c r="Y174" s="1115"/>
      <c r="Z174" s="1115"/>
    </row>
    <row r="175" spans="1:26" ht="12" customHeight="1">
      <c r="A175" s="1138" cm="1">
        <f t="array" ref="A175">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44</v>
      </c>
      <c r="B175" s="1139" t="str" cm="1">
        <f t="array" ref="B175">IF($A175="","",INDEX('resident aged receivable'!$B:$B,$A175))</f>
        <v>N19-2083</v>
      </c>
      <c r="C175" s="1139" t="str" cm="1">
        <f t="array" ref="C175">IF($A175="","",INDEX('resident aged receivable'!$D:$D,$A175))</f>
        <v>Divini, Oscar</v>
      </c>
      <c r="D175" s="1140" cm="1">
        <f t="array" ref="D175">IF($A175="","",INDEX('resident aged receivable'!$F:$F,$A175))</f>
        <v>45869</v>
      </c>
      <c r="E175" s="1140" t="str" cm="1">
        <f t="array" ref="E175">IF($A175="","",_xlfn.LET(_xlpm.leaseEnd,INDEX('resident aged receivable'!$H:$H,$A175),_xlpm.s,INDEX('resident aged receivable'!$E:$E,$A175),IF(ISNUMBER(SEARCH("Current",_xlpm.s))+ISNUMBER(SEARCH("Notice",_xlpm.s)),"",IF(ISNUMBER(_xlpm.leaseEnd),_xlpm.leaseEnd,""))))</f>
        <v/>
      </c>
      <c r="F175" s="1139" t="str">
        <f t="shared" si="4"/>
        <v>IPS</v>
      </c>
      <c r="G175" s="1142" t="str" cm="1">
        <f t="array" ref="G175">IF($A175="","",IF(COUNTIF($N$3:$N$24,C175)&gt;0,"Former",_xlfn.LET(_xlpm.s,INDEX('resident aged receivable'!$E:$E,$A175),IF(ISNUMBER(SEARCH("Eviction",_xlpm.s)),"Eviction",IF(ISNUMBER(SEARCH("Skip",_xlpm.s)),"Skip",IF(ISNUMBER(SEARCH("Past",_xlpm.s))+ISNUMBER(SEARCH("Collections",_xlpm.s)),"Former",_xlpm.s))))))</f>
        <v>Current</v>
      </c>
      <c r="H175" s="1153" cm="1">
        <f t="array" ref="H175">IF($A175="","",INDEX('resident aged receivable'!$I:$I,$A175))</f>
        <v>1404.5</v>
      </c>
      <c r="I175" s="1153" cm="1">
        <f t="array" ref="I175">IF($A175="","",INDEX('resident aged receivable'!$J:$J,$A175))</f>
        <v>1404.5</v>
      </c>
      <c r="J175" s="1153" cm="1">
        <f t="array" ref="J175">IF($A175="","",INDEX('resident aged receivable'!$K:$K,$A175))</f>
        <v>0</v>
      </c>
      <c r="K175" s="1163" t="str" cm="1">
        <f t="array" ref="K175">IFERROR(IF(B175="","",IF(SUMPRODUCT((LeaseLock!$D$2:$D$500=B175)*ISNUMBER(SEARCH(LEFT(C175,FIND(",",C175&amp;",")-1),LeaseLock!$C$2:$C$500)))=0,"",IF(LOOKUP(2,1/((LeaseLock!$D$2:$D$500=B175)*ISNUMBER(SEARCH(LEFT(C175,FIND(",",C175&amp;",")-1),LeaseLock!$C$2:$C$500))),LeaseLock!$F$2:$F$500)="Claim Denied","Claim Denied ("&amp;LOOKUP(2,1/((LeaseLock!$D$2:$D$500=B175)*ISNUMBER(SEARCH(LEFT(C175,FIND(",",C175&amp;",")-1),LeaseLock!$C$2:$C$500))),LeaseLock!$G$2:$G$500)&amp;")",IF(LOOKUP(2,1/((LeaseLock!$D$2:$D$500=B175)*ISNUMBER(SEARCH(LEFT(C175,FIND(",",C175&amp;",")-1),LeaseLock!$C$2:$C$500))),LeaseLock!$F$2:$F$500)="Open","Open - "&amp;LOOKUP(2,1/((LeaseLock!$D$2:$D$500=B175)*ISNUMBER(SEARCH(LEFT(C175,FIND(",",C175&amp;",")-1),LeaseLock!$C$2:$C$500))),LeaseLock!$G$2:$G$500),IF(LOOKUP(2,1/((LeaseLock!$D$2:$D$500=B175)*ISNUMBER(SEARCH(LEFT(C175,FIND(",",C175&amp;",")-1),LeaseLock!$C$2:$C$500))),LeaseLock!$M$2:$M$500)&gt;0,LOOKUP(2,1/((LeaseLock!$D$2:$D$500=B175)*ISNUMBER(SEARCH(LEFT(C175,FIND(",",C175&amp;",")-1),LeaseLock!$C$2:$C$500))),LeaseLock!$F$2:$F$500)&amp;" - $"&amp;TEXT(LOOKUP(2,1/((LeaseLock!$D$2:$D$500=B175)*ISNUMBER(SEARCH(LEFT(C175,FIND(",",C175&amp;",")-1),LeaseLock!$C$2:$C$500))),LeaseLock!$M$2:$M$500),"#,##0.00")&amp;" paid",LOOKUP(2,1/((LeaseLock!$D$2:$D$500=B175)*ISNUMBER(SEARCH(LEFT(C175,FIND(",",C175&amp;",")-1),LeaseLock!$C$2:$C$500))),LeaseLock!$F$2:$F$500)&amp;" - no payment"))))),"")</f>
        <v/>
      </c>
      <c r="L175" s="1148"/>
      <c r="M175" s="1134"/>
      <c r="N175" s="1134"/>
      <c r="Q175" s="1115"/>
      <c r="R175" s="1115"/>
      <c r="S175" s="1115"/>
      <c r="T175" s="1115"/>
      <c r="U175" s="1115"/>
      <c r="V175" s="1115"/>
      <c r="W175" s="1115"/>
      <c r="X175" s="1115"/>
      <c r="Y175" s="1115"/>
      <c r="Z175" s="1115"/>
    </row>
    <row r="176" spans="1:26" ht="12" customHeight="1">
      <c r="A176" s="1138" cm="1">
        <f t="array" ref="A176">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158</v>
      </c>
      <c r="B176" s="1139" t="str" cm="1">
        <f t="array" ref="B176">IF($A176="","",INDEX('resident aged receivable'!$B:$B,$A176))</f>
        <v>W15-2-3092</v>
      </c>
      <c r="C176" s="1139" t="str" cm="1">
        <f t="array" ref="C176">IF($A176="","",INDEX('resident aged receivable'!$D:$D,$A176))</f>
        <v>Jean, Julio</v>
      </c>
      <c r="D176" s="1140" cm="1">
        <f t="array" ref="D176">IF($A176="","",INDEX('resident aged receivable'!$F:$F,$A176))</f>
        <v>45063</v>
      </c>
      <c r="E176" s="1140" t="str" cm="1">
        <f t="array" ref="E176">IF($A176="","",_xlfn.LET(_xlpm.leaseEnd,INDEX('resident aged receivable'!$H:$H,$A176),_xlpm.s,INDEX('resident aged receivable'!$E:$E,$A176),IF(ISNUMBER(SEARCH("Current",_xlpm.s))+ISNUMBER(SEARCH("Notice",_xlpm.s)),"",IF(ISNUMBER(_xlpm.leaseEnd),_xlpm.leaseEnd,""))))</f>
        <v/>
      </c>
      <c r="F176" s="1139" t="str">
        <f t="shared" si="4"/>
        <v>IPS</v>
      </c>
      <c r="G176" s="1142" t="str" cm="1">
        <f t="array" ref="G176">IF($A176="","",IF(COUNTIF($N$3:$N$24,C176)&gt;0,"Former",_xlfn.LET(_xlpm.s,INDEX('resident aged receivable'!$E:$E,$A176),IF(ISNUMBER(SEARCH("Eviction",_xlpm.s)),"Eviction",IF(ISNUMBER(SEARCH("Skip",_xlpm.s)),"Skip",IF(ISNUMBER(SEARCH("Past",_xlpm.s))+ISNUMBER(SEARCH("Collections",_xlpm.s)),"Former",_xlpm.s))))))</f>
        <v>Current</v>
      </c>
      <c r="H176" s="1153" cm="1">
        <f t="array" ref="H176">IF($A176="","",INDEX('resident aged receivable'!$I:$I,$A176))</f>
        <v>1337.37</v>
      </c>
      <c r="I176" s="1153" cm="1">
        <f t="array" ref="I176">IF($A176="","",INDEX('resident aged receivable'!$J:$J,$A176))</f>
        <v>1337.37</v>
      </c>
      <c r="J176" s="1153" cm="1">
        <f t="array" ref="J176">IF($A176="","",INDEX('resident aged receivable'!$K:$K,$A176))</f>
        <v>0</v>
      </c>
      <c r="K176" s="1163" t="str" cm="1">
        <f t="array" ref="K176">IFERROR(IF(B176="","",IF(SUMPRODUCT((LeaseLock!$D$2:$D$500=B176)*ISNUMBER(SEARCH(LEFT(C176,FIND(",",C176&amp;",")-1),LeaseLock!$C$2:$C$500)))=0,"",IF(LOOKUP(2,1/((LeaseLock!$D$2:$D$500=B176)*ISNUMBER(SEARCH(LEFT(C176,FIND(",",C176&amp;",")-1),LeaseLock!$C$2:$C$500))),LeaseLock!$F$2:$F$500)="Claim Denied","Claim Denied ("&amp;LOOKUP(2,1/((LeaseLock!$D$2:$D$500=B176)*ISNUMBER(SEARCH(LEFT(C176,FIND(",",C176&amp;",")-1),LeaseLock!$C$2:$C$500))),LeaseLock!$G$2:$G$500)&amp;")",IF(LOOKUP(2,1/((LeaseLock!$D$2:$D$500=B176)*ISNUMBER(SEARCH(LEFT(C176,FIND(",",C176&amp;",")-1),LeaseLock!$C$2:$C$500))),LeaseLock!$F$2:$F$500)="Open","Open - "&amp;LOOKUP(2,1/((LeaseLock!$D$2:$D$500=B176)*ISNUMBER(SEARCH(LEFT(C176,FIND(",",C176&amp;",")-1),LeaseLock!$C$2:$C$500))),LeaseLock!$G$2:$G$500),IF(LOOKUP(2,1/((LeaseLock!$D$2:$D$500=B176)*ISNUMBER(SEARCH(LEFT(C176,FIND(",",C176&amp;",")-1),LeaseLock!$C$2:$C$500))),LeaseLock!$M$2:$M$500)&gt;0,LOOKUP(2,1/((LeaseLock!$D$2:$D$500=B176)*ISNUMBER(SEARCH(LEFT(C176,FIND(",",C176&amp;",")-1),LeaseLock!$C$2:$C$500))),LeaseLock!$F$2:$F$500)&amp;" - $"&amp;TEXT(LOOKUP(2,1/((LeaseLock!$D$2:$D$500=B176)*ISNUMBER(SEARCH(LEFT(C176,FIND(",",C176&amp;",")-1),LeaseLock!$C$2:$C$500))),LeaseLock!$M$2:$M$500),"#,##0.00")&amp;" paid",LOOKUP(2,1/((LeaseLock!$D$2:$D$500=B176)*ISNUMBER(SEARCH(LEFT(C176,FIND(",",C176&amp;",")-1),LeaseLock!$C$2:$C$500))),LeaseLock!$F$2:$F$500)&amp;" - no payment"))))),"")</f>
        <v/>
      </c>
      <c r="L176" s="1148"/>
      <c r="M176" s="1134"/>
      <c r="N176" s="1134"/>
      <c r="Q176" s="1115"/>
      <c r="R176" s="1115"/>
      <c r="S176" s="1115"/>
      <c r="T176" s="1115"/>
      <c r="U176" s="1115"/>
      <c r="V176" s="1115"/>
      <c r="W176" s="1115"/>
      <c r="X176" s="1115"/>
      <c r="Y176" s="1115"/>
      <c r="Z176" s="1115"/>
    </row>
    <row r="177" spans="1:26" ht="12" customHeight="1">
      <c r="A177" s="1138" cm="1">
        <f t="array" ref="A177">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82</v>
      </c>
      <c r="B177" s="1139" t="str" cm="1">
        <f t="array" ref="B177">IF($A177="","",INDEX('resident aged receivable'!$B:$B,$A177))</f>
        <v>S42-270</v>
      </c>
      <c r="C177" s="1139" t="str" cm="1">
        <f t="array" ref="C177">IF($A177="","",INDEX('resident aged receivable'!$D:$D,$A177))</f>
        <v>Gentry, Marshana</v>
      </c>
      <c r="D177" s="1140" cm="1">
        <f t="array" ref="D177">IF($A177="","",INDEX('resident aged receivable'!$F:$F,$A177))</f>
        <v>45696</v>
      </c>
      <c r="E177" s="1140" t="str" cm="1">
        <f t="array" ref="E177">IF($A177="","",_xlfn.LET(_xlpm.leaseEnd,INDEX('resident aged receivable'!$H:$H,$A177),_xlpm.s,INDEX('resident aged receivable'!$E:$E,$A177),IF(ISNUMBER(SEARCH("Current",_xlpm.s))+ISNUMBER(SEARCH("Notice",_xlpm.s)),"",IF(ISNUMBER(_xlpm.leaseEnd),_xlpm.leaseEnd,""))))</f>
        <v/>
      </c>
      <c r="F177" s="1139" t="str">
        <f t="shared" si="4"/>
        <v>IPS</v>
      </c>
      <c r="G177" s="1142" t="str" cm="1">
        <f t="array" ref="G177">IF($A177="","",IF(COUNTIF($N$3:$N$24,C177)&gt;0,"Former",_xlfn.LET(_xlpm.s,INDEX('resident aged receivable'!$E:$E,$A177),IF(ISNUMBER(SEARCH("Eviction",_xlpm.s)),"Eviction",IF(ISNUMBER(SEARCH("Skip",_xlpm.s)),"Skip",IF(ISNUMBER(SEARCH("Past",_xlpm.s))+ISNUMBER(SEARCH("Collections",_xlpm.s)),"Former",_xlpm.s))))))</f>
        <v>Current</v>
      </c>
      <c r="H177" s="1153" cm="1">
        <f t="array" ref="H177">IF($A177="","",INDEX('resident aged receivable'!$I:$I,$A177))</f>
        <v>1221.0999999999999</v>
      </c>
      <c r="I177" s="1153" cm="1">
        <f t="array" ref="I177">IF($A177="","",INDEX('resident aged receivable'!$J:$J,$A177))</f>
        <v>1221.0999999999999</v>
      </c>
      <c r="J177" s="1153" cm="1">
        <f t="array" ref="J177">IF($A177="","",INDEX('resident aged receivable'!$K:$K,$A177))</f>
        <v>0</v>
      </c>
      <c r="K177" s="1163" t="str" cm="1">
        <f t="array" ref="K177">IFERROR(IF(B177="","",IF(SUMPRODUCT((LeaseLock!$D$2:$D$500=B177)*ISNUMBER(SEARCH(LEFT(C177,FIND(",",C177&amp;",")-1),LeaseLock!$C$2:$C$500)))=0,"",IF(LOOKUP(2,1/((LeaseLock!$D$2:$D$500=B177)*ISNUMBER(SEARCH(LEFT(C177,FIND(",",C177&amp;",")-1),LeaseLock!$C$2:$C$500))),LeaseLock!$F$2:$F$500)="Claim Denied","Claim Denied ("&amp;LOOKUP(2,1/((LeaseLock!$D$2:$D$500=B177)*ISNUMBER(SEARCH(LEFT(C177,FIND(",",C177&amp;",")-1),LeaseLock!$C$2:$C$500))),LeaseLock!$G$2:$G$500)&amp;")",IF(LOOKUP(2,1/((LeaseLock!$D$2:$D$500=B177)*ISNUMBER(SEARCH(LEFT(C177,FIND(",",C177&amp;",")-1),LeaseLock!$C$2:$C$500))),LeaseLock!$F$2:$F$500)="Open","Open - "&amp;LOOKUP(2,1/((LeaseLock!$D$2:$D$500=B177)*ISNUMBER(SEARCH(LEFT(C177,FIND(",",C177&amp;",")-1),LeaseLock!$C$2:$C$500))),LeaseLock!$G$2:$G$500),IF(LOOKUP(2,1/((LeaseLock!$D$2:$D$500=B177)*ISNUMBER(SEARCH(LEFT(C177,FIND(",",C177&amp;",")-1),LeaseLock!$C$2:$C$500))),LeaseLock!$M$2:$M$500)&gt;0,LOOKUP(2,1/((LeaseLock!$D$2:$D$500=B177)*ISNUMBER(SEARCH(LEFT(C177,FIND(",",C177&amp;",")-1),LeaseLock!$C$2:$C$500))),LeaseLock!$F$2:$F$500)&amp;" - $"&amp;TEXT(LOOKUP(2,1/((LeaseLock!$D$2:$D$500=B177)*ISNUMBER(SEARCH(LEFT(C177,FIND(",",C177&amp;",")-1),LeaseLock!$C$2:$C$500))),LeaseLock!$M$2:$M$500),"#,##0.00")&amp;" paid",LOOKUP(2,1/((LeaseLock!$D$2:$D$500=B177)*ISNUMBER(SEARCH(LEFT(C177,FIND(",",C177&amp;",")-1),LeaseLock!$C$2:$C$500))),LeaseLock!$F$2:$F$500)&amp;" - no payment"))))),"")</f>
        <v/>
      </c>
      <c r="L177" s="1148"/>
      <c r="M177" s="1134"/>
      <c r="N177" s="1134"/>
      <c r="Q177" s="1115"/>
      <c r="R177" s="1115"/>
      <c r="S177" s="1115"/>
      <c r="T177" s="1115"/>
      <c r="U177" s="1115"/>
      <c r="V177" s="1115"/>
      <c r="W177" s="1115"/>
      <c r="X177" s="1115"/>
      <c r="Y177" s="1115"/>
      <c r="Z177" s="1115"/>
    </row>
    <row r="178" spans="1:26" ht="12" customHeight="1">
      <c r="A178" s="1138" cm="1">
        <f t="array" ref="A178">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47</v>
      </c>
      <c r="B178" s="1139" t="str" cm="1">
        <f t="array" ref="B178">IF($A178="","",INDEX('resident aged receivable'!$B:$B,$A178))</f>
        <v>N20-1094</v>
      </c>
      <c r="C178" s="1139" t="str" cm="1">
        <f t="array" ref="C178">IF($A178="","",INDEX('resident aged receivable'!$D:$D,$A178))</f>
        <v>Fonseca, Maria</v>
      </c>
      <c r="D178" s="1140" cm="1">
        <f t="array" ref="D178">IF($A178="","",INDEX('resident aged receivable'!$F:$F,$A178))</f>
        <v>44233</v>
      </c>
      <c r="E178" s="1140" t="str" cm="1">
        <f t="array" ref="E178">IF($A178="","",_xlfn.LET(_xlpm.leaseEnd,INDEX('resident aged receivable'!$H:$H,$A178),_xlpm.s,INDEX('resident aged receivable'!$E:$E,$A178),IF(ISNUMBER(SEARCH("Current",_xlpm.s))+ISNUMBER(SEARCH("Notice",_xlpm.s)),"",IF(ISNUMBER(_xlpm.leaseEnd),_xlpm.leaseEnd,""))))</f>
        <v/>
      </c>
      <c r="F178" s="1139" t="str">
        <f t="shared" si="4"/>
        <v>IPS</v>
      </c>
      <c r="G178" s="1142" t="str" cm="1">
        <f t="array" ref="G178">IF($A178="","",IF(COUNTIF($N$3:$N$24,C178)&gt;0,"Former",_xlfn.LET(_xlpm.s,INDEX('resident aged receivable'!$E:$E,$A178),IF(ISNUMBER(SEARCH("Eviction",_xlpm.s)),"Eviction",IF(ISNUMBER(SEARCH("Skip",_xlpm.s)),"Skip",IF(ISNUMBER(SEARCH("Past",_xlpm.s))+ISNUMBER(SEARCH("Collections",_xlpm.s)),"Former",_xlpm.s))))))</f>
        <v>Current - Month To Month</v>
      </c>
      <c r="H178" s="1153" cm="1">
        <f t="array" ref="H178">IF($A178="","",INDEX('resident aged receivable'!$I:$I,$A178))</f>
        <v>1153.27</v>
      </c>
      <c r="I178" s="1153" cm="1">
        <f t="array" ref="I178">IF($A178="","",INDEX('resident aged receivable'!$J:$J,$A178))</f>
        <v>1153.27</v>
      </c>
      <c r="J178" s="1153" cm="1">
        <f t="array" ref="J178">IF($A178="","",INDEX('resident aged receivable'!$K:$K,$A178))</f>
        <v>0</v>
      </c>
      <c r="K178" s="1163" t="str" cm="1">
        <f t="array" ref="K178">IFERROR(IF(B178="","",IF(SUMPRODUCT((LeaseLock!$D$2:$D$500=B178)*ISNUMBER(SEARCH(LEFT(C178,FIND(",",C178&amp;",")-1),LeaseLock!$C$2:$C$500)))=0,"",IF(LOOKUP(2,1/((LeaseLock!$D$2:$D$500=B178)*ISNUMBER(SEARCH(LEFT(C178,FIND(",",C178&amp;",")-1),LeaseLock!$C$2:$C$500))),LeaseLock!$F$2:$F$500)="Claim Denied","Claim Denied ("&amp;LOOKUP(2,1/((LeaseLock!$D$2:$D$500=B178)*ISNUMBER(SEARCH(LEFT(C178,FIND(",",C178&amp;",")-1),LeaseLock!$C$2:$C$500))),LeaseLock!$G$2:$G$500)&amp;")",IF(LOOKUP(2,1/((LeaseLock!$D$2:$D$500=B178)*ISNUMBER(SEARCH(LEFT(C178,FIND(",",C178&amp;",")-1),LeaseLock!$C$2:$C$500))),LeaseLock!$F$2:$F$500)="Open","Open - "&amp;LOOKUP(2,1/((LeaseLock!$D$2:$D$500=B178)*ISNUMBER(SEARCH(LEFT(C178,FIND(",",C178&amp;",")-1),LeaseLock!$C$2:$C$500))),LeaseLock!$G$2:$G$500),IF(LOOKUP(2,1/((LeaseLock!$D$2:$D$500=B178)*ISNUMBER(SEARCH(LEFT(C178,FIND(",",C178&amp;",")-1),LeaseLock!$C$2:$C$500))),LeaseLock!$M$2:$M$500)&gt;0,LOOKUP(2,1/((LeaseLock!$D$2:$D$500=B178)*ISNUMBER(SEARCH(LEFT(C178,FIND(",",C178&amp;",")-1),LeaseLock!$C$2:$C$500))),LeaseLock!$F$2:$F$500)&amp;" - $"&amp;TEXT(LOOKUP(2,1/((LeaseLock!$D$2:$D$500=B178)*ISNUMBER(SEARCH(LEFT(C178,FIND(",",C178&amp;",")-1),LeaseLock!$C$2:$C$500))),LeaseLock!$M$2:$M$500),"#,##0.00")&amp;" paid",LOOKUP(2,1/((LeaseLock!$D$2:$D$500=B178)*ISNUMBER(SEARCH(LEFT(C178,FIND(",",C178&amp;",")-1),LeaseLock!$C$2:$C$500))),LeaseLock!$F$2:$F$500)&amp;" - no payment"))))),"")</f>
        <v/>
      </c>
      <c r="L178" s="1148"/>
      <c r="M178" s="1134"/>
      <c r="N178" s="1134"/>
      <c r="Q178" s="1115"/>
      <c r="R178" s="1115"/>
      <c r="S178" s="1115"/>
      <c r="T178" s="1115"/>
      <c r="U178" s="1115"/>
      <c r="V178" s="1115"/>
      <c r="W178" s="1115"/>
      <c r="X178" s="1115"/>
      <c r="Y178" s="1115"/>
      <c r="Z178" s="1115"/>
    </row>
    <row r="179" spans="1:26" ht="12" customHeight="1">
      <c r="A179" s="1138" cm="1">
        <f t="array" ref="A179">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48</v>
      </c>
      <c r="B179" s="1139" t="str" cm="1">
        <f t="array" ref="B179">IF($A179="","",INDEX('resident aged receivable'!$B:$B,$A179))</f>
        <v>N20-2088</v>
      </c>
      <c r="C179" s="1139" t="str" cm="1">
        <f t="array" ref="C179">IF($A179="","",INDEX('resident aged receivable'!$D:$D,$A179))</f>
        <v>Abiodun, Solomon</v>
      </c>
      <c r="D179" s="1140" cm="1">
        <f t="array" ref="D179">IF($A179="","",INDEX('resident aged receivable'!$F:$F,$A179))</f>
        <v>45563</v>
      </c>
      <c r="E179" s="1140" t="str" cm="1">
        <f t="array" ref="E179">IF($A179="","",_xlfn.LET(_xlpm.leaseEnd,INDEX('resident aged receivable'!$H:$H,$A179),_xlpm.s,INDEX('resident aged receivable'!$E:$E,$A179),IF(ISNUMBER(SEARCH("Current",_xlpm.s))+ISNUMBER(SEARCH("Notice",_xlpm.s)),"",IF(ISNUMBER(_xlpm.leaseEnd),_xlpm.leaseEnd,""))))</f>
        <v/>
      </c>
      <c r="F179" s="1139" t="str">
        <f t="shared" si="4"/>
        <v>IPS</v>
      </c>
      <c r="G179" s="1142" t="str" cm="1">
        <f t="array" ref="G179">IF($A179="","",IF(COUNTIF($N$3:$N$24,C179)&gt;0,"Former",_xlfn.LET(_xlpm.s,INDEX('resident aged receivable'!$E:$E,$A179),IF(ISNUMBER(SEARCH("Eviction",_xlpm.s)),"Eviction",IF(ISNUMBER(SEARCH("Skip",_xlpm.s)),"Skip",IF(ISNUMBER(SEARCH("Past",_xlpm.s))+ISNUMBER(SEARCH("Collections",_xlpm.s)),"Former",_xlpm.s))))))</f>
        <v>Current</v>
      </c>
      <c r="H179" s="1153" cm="1">
        <f t="array" ref="H179">IF($A179="","",INDEX('resident aged receivable'!$I:$I,$A179))</f>
        <v>1000.81</v>
      </c>
      <c r="I179" s="1153" cm="1">
        <f t="array" ref="I179">IF($A179="","",INDEX('resident aged receivable'!$J:$J,$A179))</f>
        <v>1000.81</v>
      </c>
      <c r="J179" s="1153" cm="1">
        <f t="array" ref="J179">IF($A179="","",INDEX('resident aged receivable'!$K:$K,$A179))</f>
        <v>0</v>
      </c>
      <c r="K179" s="1163" t="str" cm="1">
        <f t="array" ref="K179">IFERROR(IF(B179="","",IF(SUMPRODUCT((LeaseLock!$D$2:$D$500=B179)*ISNUMBER(SEARCH(LEFT(C179,FIND(",",C179&amp;",")-1),LeaseLock!$C$2:$C$500)))=0,"",IF(LOOKUP(2,1/((LeaseLock!$D$2:$D$500=B179)*ISNUMBER(SEARCH(LEFT(C179,FIND(",",C179&amp;",")-1),LeaseLock!$C$2:$C$500))),LeaseLock!$F$2:$F$500)="Claim Denied","Claim Denied ("&amp;LOOKUP(2,1/((LeaseLock!$D$2:$D$500=B179)*ISNUMBER(SEARCH(LEFT(C179,FIND(",",C179&amp;",")-1),LeaseLock!$C$2:$C$500))),LeaseLock!$G$2:$G$500)&amp;")",IF(LOOKUP(2,1/((LeaseLock!$D$2:$D$500=B179)*ISNUMBER(SEARCH(LEFT(C179,FIND(",",C179&amp;",")-1),LeaseLock!$C$2:$C$500))),LeaseLock!$F$2:$F$500)="Open","Open - "&amp;LOOKUP(2,1/((LeaseLock!$D$2:$D$500=B179)*ISNUMBER(SEARCH(LEFT(C179,FIND(",",C179&amp;",")-1),LeaseLock!$C$2:$C$500))),LeaseLock!$G$2:$G$500),IF(LOOKUP(2,1/((LeaseLock!$D$2:$D$500=B179)*ISNUMBER(SEARCH(LEFT(C179,FIND(",",C179&amp;",")-1),LeaseLock!$C$2:$C$500))),LeaseLock!$M$2:$M$500)&gt;0,LOOKUP(2,1/((LeaseLock!$D$2:$D$500=B179)*ISNUMBER(SEARCH(LEFT(C179,FIND(",",C179&amp;",")-1),LeaseLock!$C$2:$C$500))),LeaseLock!$F$2:$F$500)&amp;" - $"&amp;TEXT(LOOKUP(2,1/((LeaseLock!$D$2:$D$500=B179)*ISNUMBER(SEARCH(LEFT(C179,FIND(",",C179&amp;",")-1),LeaseLock!$C$2:$C$500))),LeaseLock!$M$2:$M$500),"#,##0.00")&amp;" paid",LOOKUP(2,1/((LeaseLock!$D$2:$D$500=B179)*ISNUMBER(SEARCH(LEFT(C179,FIND(",",C179&amp;",")-1),LeaseLock!$C$2:$C$500))),LeaseLock!$F$2:$F$500)&amp;" - no payment"))))),"")</f>
        <v/>
      </c>
      <c r="L179" s="1148"/>
      <c r="M179" s="1134"/>
      <c r="N179" s="1134"/>
      <c r="Q179" s="1115"/>
      <c r="R179" s="1115"/>
      <c r="S179" s="1115"/>
      <c r="T179" s="1115"/>
      <c r="U179" s="1115"/>
      <c r="V179" s="1115"/>
      <c r="W179" s="1115"/>
      <c r="X179" s="1115"/>
      <c r="Y179" s="1115"/>
      <c r="Z179" s="1115"/>
    </row>
    <row r="180" spans="1:26" ht="12" customHeight="1">
      <c r="A180" s="1138" cm="1">
        <f t="array" ref="A180">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87</v>
      </c>
      <c r="B180" s="1139" t="str" cm="1">
        <f t="array" ref="B180">IF($A180="","",INDEX('resident aged receivable'!$B:$B,$A180))</f>
        <v>W02-1-0205</v>
      </c>
      <c r="C180" s="1139" t="str" cm="1">
        <f t="array" ref="C180">IF($A180="","",INDEX('resident aged receivable'!$D:$D,$A180))</f>
        <v>Kayse, Edioye</v>
      </c>
      <c r="D180" s="1140" cm="1">
        <f t="array" ref="D180">IF($A180="","",INDEX('resident aged receivable'!$F:$F,$A180))</f>
        <v>42877</v>
      </c>
      <c r="E180" s="1140" t="str" cm="1">
        <f t="array" ref="E180">IF($A180="","",_xlfn.LET(_xlpm.leaseEnd,INDEX('resident aged receivable'!$H:$H,$A180),_xlpm.s,INDEX('resident aged receivable'!$E:$E,$A180),IF(ISNUMBER(SEARCH("Current",_xlpm.s))+ISNUMBER(SEARCH("Notice",_xlpm.s)),"",IF(ISNUMBER(_xlpm.leaseEnd),_xlpm.leaseEnd,""))))</f>
        <v/>
      </c>
      <c r="F180" s="1139" t="str">
        <f t="shared" si="4"/>
        <v>IPS</v>
      </c>
      <c r="G180" s="1142" t="str" cm="1">
        <f t="array" ref="G180">IF($A180="","",IF(COUNTIF($N$3:$N$24,C180)&gt;0,"Former",_xlfn.LET(_xlpm.s,INDEX('resident aged receivable'!$E:$E,$A180),IF(ISNUMBER(SEARCH("Eviction",_xlpm.s)),"Eviction",IF(ISNUMBER(SEARCH("Skip",_xlpm.s)),"Skip",IF(ISNUMBER(SEARCH("Past",_xlpm.s))+ISNUMBER(SEARCH("Collections",_xlpm.s)),"Former",_xlpm.s))))))</f>
        <v>Notice - Month To Month</v>
      </c>
      <c r="H180" s="1153" cm="1">
        <f t="array" ref="H180">IF($A180="","",INDEX('resident aged receivable'!$I:$I,$A180))</f>
        <v>846.78</v>
      </c>
      <c r="I180" s="1153" cm="1">
        <f t="array" ref="I180">IF($A180="","",INDEX('resident aged receivable'!$J:$J,$A180))</f>
        <v>846.78</v>
      </c>
      <c r="J180" s="1153" cm="1">
        <f t="array" ref="J180">IF($A180="","",INDEX('resident aged receivable'!$K:$K,$A180))</f>
        <v>0</v>
      </c>
      <c r="K180" s="1163" t="str" cm="1">
        <f t="array" ref="K180">IFERROR(IF(B180="","",IF(SUMPRODUCT((LeaseLock!$D$2:$D$500=B180)*ISNUMBER(SEARCH(LEFT(C180,FIND(",",C180&amp;",")-1),LeaseLock!$C$2:$C$500)))=0,"",IF(LOOKUP(2,1/((LeaseLock!$D$2:$D$500=B180)*ISNUMBER(SEARCH(LEFT(C180,FIND(",",C180&amp;",")-1),LeaseLock!$C$2:$C$500))),LeaseLock!$F$2:$F$500)="Claim Denied","Claim Denied ("&amp;LOOKUP(2,1/((LeaseLock!$D$2:$D$500=B180)*ISNUMBER(SEARCH(LEFT(C180,FIND(",",C180&amp;",")-1),LeaseLock!$C$2:$C$500))),LeaseLock!$G$2:$G$500)&amp;")",IF(LOOKUP(2,1/((LeaseLock!$D$2:$D$500=B180)*ISNUMBER(SEARCH(LEFT(C180,FIND(",",C180&amp;",")-1),LeaseLock!$C$2:$C$500))),LeaseLock!$F$2:$F$500)="Open","Open - "&amp;LOOKUP(2,1/((LeaseLock!$D$2:$D$500=B180)*ISNUMBER(SEARCH(LEFT(C180,FIND(",",C180&amp;",")-1),LeaseLock!$C$2:$C$500))),LeaseLock!$G$2:$G$500),IF(LOOKUP(2,1/((LeaseLock!$D$2:$D$500=B180)*ISNUMBER(SEARCH(LEFT(C180,FIND(",",C180&amp;",")-1),LeaseLock!$C$2:$C$500))),LeaseLock!$M$2:$M$500)&gt;0,LOOKUP(2,1/((LeaseLock!$D$2:$D$500=B180)*ISNUMBER(SEARCH(LEFT(C180,FIND(",",C180&amp;",")-1),LeaseLock!$C$2:$C$500))),LeaseLock!$F$2:$F$500)&amp;" - $"&amp;TEXT(LOOKUP(2,1/((LeaseLock!$D$2:$D$500=B180)*ISNUMBER(SEARCH(LEFT(C180,FIND(",",C180&amp;",")-1),LeaseLock!$C$2:$C$500))),LeaseLock!$M$2:$M$500),"#,##0.00")&amp;" paid",LOOKUP(2,1/((LeaseLock!$D$2:$D$500=B180)*ISNUMBER(SEARCH(LEFT(C180,FIND(",",C180&amp;",")-1),LeaseLock!$C$2:$C$500))),LeaseLock!$F$2:$F$500)&amp;" - no payment"))))),"")</f>
        <v/>
      </c>
      <c r="L180" s="1148"/>
      <c r="M180" s="1134"/>
      <c r="N180" s="1134"/>
      <c r="Q180" s="1115"/>
      <c r="R180" s="1115"/>
      <c r="S180" s="1115"/>
      <c r="T180" s="1115"/>
      <c r="U180" s="1115"/>
      <c r="V180" s="1115"/>
      <c r="W180" s="1115"/>
      <c r="X180" s="1115"/>
      <c r="Y180" s="1115"/>
      <c r="Z180" s="1115"/>
    </row>
    <row r="181" spans="1:26" ht="12" customHeight="1">
      <c r="A181" s="1138" cm="1">
        <f t="array" ref="A181">IFERROR(_xlfn.LET(_xlpm.n,ROW()-138,_xlpm.adj,IF(((((LEFT('resident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13</v>
      </c>
      <c r="B181" s="1139" t="str" cm="1">
        <f t="array" ref="B181">IF($A181="","",INDEX('resident aged receivable'!$B:$B,$A181))</f>
        <v>N03-3019</v>
      </c>
      <c r="C181" s="1139" t="str" cm="1">
        <f t="array" ref="C181">IF($A181="","",INDEX('resident aged receivable'!$D:$D,$A181))</f>
        <v>Taylor, Jada</v>
      </c>
      <c r="D181" s="1140" cm="1">
        <f t="array" ref="D181">IF($A181="","",INDEX('resident aged receivable'!$F:$F,$A181))</f>
        <v>45661</v>
      </c>
      <c r="E181" s="1140" t="str" cm="1">
        <f t="array" ref="E181">IF($A181="","",_xlfn.LET(_xlpm.leaseEnd,INDEX('resident aged receivable'!$H:$H,$A181),_xlpm.s,INDEX('resident aged receivable'!$E:$E,$A181),IF(ISNUMBER(SEARCH("Current",_xlpm.s))+ISNUMBER(SEARCH("Notice",_xlpm.s)),"",IF(ISNUMBER(_xlpm.leaseEnd),_xlpm.leaseEnd,""))))</f>
        <v/>
      </c>
      <c r="F181" s="1139" t="str">
        <f t="shared" si="4"/>
        <v>IPS</v>
      </c>
      <c r="G181" s="1142" t="str" cm="1">
        <f t="array" ref="G181">IF($A181="","",IF(COUNTIF($N$3:$N$24,C181)&gt;0,"Former",_xlfn.LET(_xlpm.s,INDEX('resident aged receivable'!$E:$E,$A181),IF(ISNUMBER(SEARCH("Eviction",_xlpm.s)),"Eviction",IF(ISNUMBER(SEARCH("Skip",_xlpm.s)),"Skip",IF(ISNUMBER(SEARCH("Past",_xlpm.s))+ISNUMBER(SEARCH("Collections",_xlpm.s)),"Former",_xlpm.s))))))</f>
        <v>Current</v>
      </c>
      <c r="H181" s="1153" cm="1">
        <f t="array" ref="H181">IF($A181="","",INDEX('resident aged receivable'!$I:$I,$A181))</f>
        <v>800.07</v>
      </c>
      <c r="I181" s="1153" cm="1">
        <f t="array" ref="I181">IF($A181="","",INDEX('resident aged receivable'!$J:$J,$A181))</f>
        <v>800.07</v>
      </c>
      <c r="J181" s="1153" cm="1">
        <f t="array" ref="J181">IF($A181="","",INDEX('resident aged receivable'!$K:$K,$A181))</f>
        <v>0</v>
      </c>
      <c r="K181" s="1163" t="str" cm="1">
        <f t="array" ref="K181">IFERROR(IF(B181="","",IF(SUMPRODUCT((LeaseLock!$D$2:$D$500=B181)*ISNUMBER(SEARCH(LEFT(C181,FIND(",",C181&amp;",")-1),LeaseLock!$C$2:$C$500)))=0,"",IF(LOOKUP(2,1/((LeaseLock!$D$2:$D$500=B181)*ISNUMBER(SEARCH(LEFT(C181,FIND(",",C181&amp;",")-1),LeaseLock!$C$2:$C$500))),LeaseLock!$F$2:$F$500)="Claim Denied","Claim Denied ("&amp;LOOKUP(2,1/((LeaseLock!$D$2:$D$500=B181)*ISNUMBER(SEARCH(LEFT(C181,FIND(",",C181&amp;",")-1),LeaseLock!$C$2:$C$500))),LeaseLock!$G$2:$G$500)&amp;")",IF(LOOKUP(2,1/((LeaseLock!$D$2:$D$500=B181)*ISNUMBER(SEARCH(LEFT(C181,FIND(",",C181&amp;",")-1),LeaseLock!$C$2:$C$500))),LeaseLock!$F$2:$F$500)="Open","Open - "&amp;LOOKUP(2,1/((LeaseLock!$D$2:$D$500=B181)*ISNUMBER(SEARCH(LEFT(C181,FIND(",",C181&amp;",")-1),LeaseLock!$C$2:$C$500))),LeaseLock!$G$2:$G$500),IF(LOOKUP(2,1/((LeaseLock!$D$2:$D$500=B181)*ISNUMBER(SEARCH(LEFT(C181,FIND(",",C181&amp;",")-1),LeaseLock!$C$2:$C$500))),LeaseLock!$M$2:$M$500)&gt;0,LOOKUP(2,1/((LeaseLock!$D$2:$D$500=B181)*ISNUMBER(SEARCH(LEFT(C181,FIND(",",C181&amp;",")-1),LeaseLock!$C$2:$C$500))),LeaseLock!$F$2:$F$500)&amp;" - $"&amp;TEXT(LOOKUP(2,1/((LeaseLock!$D$2:$D$500=B181)*ISNUMBER(SEARCH(LEFT(C181,FIND(",",C181&amp;",")-1),LeaseLock!$C$2:$C$500))),LeaseLock!$M$2:$M$500),"#,##0.00")&amp;" paid",LOOKUP(2,1/((LeaseLock!$D$2:$D$500=B181)*ISNUMBER(SEARCH(LEFT(C181,FIND(",",C181&amp;",")-1),LeaseLock!$C$2:$C$500))),LeaseLock!$F$2:$F$500)&amp;" - no payment"))))),"")</f>
        <v/>
      </c>
      <c r="L181" s="1148"/>
      <c r="M181" s="1134"/>
      <c r="N181" s="1134"/>
      <c r="Q181" s="1115"/>
      <c r="R181" s="1115"/>
      <c r="S181" s="1115"/>
      <c r="T181" s="1115"/>
      <c r="U181" s="1115"/>
      <c r="V181" s="1115"/>
      <c r="W181" s="1115"/>
      <c r="X181" s="1115"/>
      <c r="Y181" s="1115"/>
      <c r="Z181" s="1115"/>
    </row>
    <row r="182" spans="1:26" ht="12" customHeight="1">
      <c r="A182" s="1138" cm="1">
        <f t="array" ref="A182">IFERROR(_xlfn.LET(_xlpm.n,ROW()-147,_xlpm.adj,IF(((((LEFT('resident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receivable'!$I$2:$I$500&gt;=$H$3),'resident aged receivable'!$I$2:$I$500-ROW('resident aged receivable'!$I$2:$I$500)/1000000),_xlpm.tgt,LARGE(_xlpm.adj,_xlpm.n),MATCH(_xlpm.tgt,_xlpm.adj,0)+1),"")</f>
        <v>138</v>
      </c>
      <c r="B182" s="1149" t="str" cm="1">
        <f t="array" ref="B182">"TOTAL ("&amp;SUMPRODUCT(((((LEFT('resident aged receivable'!$E$2:$E$500,7)="Current")+(LEFT('resident aged receivable'!$E$2:$E$500,6)="Notice"))&gt;0)*(ISNUMBER(SEARCH("Eviction",'resident aged receivable'!$E$2:$E$500))=FALSE)*(ISNUMBER(SEARCH("Skip",'resident aged receivable'!$E$2:$E$500))=FALSE)*(COUNTIF($N$3:$N$24,'resident aged receivable'!$D$2:$D$500)=0)+(COUNTIF($P$3:$P$24,'resident aged receivable'!$D$2:$D$500)&gt;0))*('resident aged receivable'!$I$2:$I$500&gt;=$H$3))&amp;" accounts)"</f>
        <v>TOTAL (43 accounts)</v>
      </c>
      <c r="C182" s="1150"/>
      <c r="D182" s="1150"/>
      <c r="E182" s="1150"/>
      <c r="F182" s="1150"/>
      <c r="G182" s="1150"/>
      <c r="H182" s="1154">
        <f>SUM(H139:H181)</f>
        <v>277125.27000000008</v>
      </c>
      <c r="I182" s="1154">
        <f>SUM(I139:I181)</f>
        <v>58670.409999999974</v>
      </c>
      <c r="J182" s="1154">
        <f>SUM(J139:J181)</f>
        <v>40790.370000000003</v>
      </c>
      <c r="K182" s="1165"/>
      <c r="L182" s="1150"/>
      <c r="M182" s="1134"/>
      <c r="N182" s="1134"/>
      <c r="Q182" s="1115"/>
      <c r="R182" s="1115"/>
      <c r="S182" s="1115"/>
      <c r="T182" s="1115"/>
      <c r="U182" s="1115"/>
      <c r="V182" s="1115"/>
      <c r="W182" s="1115"/>
      <c r="X182" s="1115"/>
      <c r="Y182" s="1115"/>
      <c r="Z182" s="1115"/>
    </row>
    <row r="183" spans="1:26">
      <c r="A183" s="1134"/>
      <c r="B183" s="1134"/>
      <c r="C183" s="1134"/>
      <c r="D183" s="1134"/>
      <c r="E183" s="1134"/>
      <c r="F183" s="1134"/>
      <c r="G183" s="1134"/>
      <c r="H183" s="1134"/>
      <c r="I183" s="1134"/>
      <c r="J183" s="1134"/>
      <c r="K183" s="1134"/>
      <c r="L183" s="1134"/>
      <c r="M183" s="1134"/>
      <c r="N183" s="1134"/>
      <c r="Q183" s="1115"/>
      <c r="R183" s="1115"/>
      <c r="S183" s="1115"/>
      <c r="T183" s="1115"/>
      <c r="U183" s="1115"/>
      <c r="V183" s="1115"/>
      <c r="W183" s="1115"/>
      <c r="X183" s="1115"/>
      <c r="Y183" s="1115"/>
      <c r="Z183" s="1115"/>
    </row>
    <row r="184" spans="1:26">
      <c r="A184" s="1134"/>
      <c r="B184" s="1155" t="s">
        <v>384</v>
      </c>
      <c r="C184" s="1134"/>
      <c r="D184" s="1134"/>
      <c r="E184" s="1134"/>
      <c r="F184" s="1134"/>
      <c r="G184" s="1134"/>
      <c r="H184" s="1134"/>
      <c r="I184" s="1134"/>
      <c r="J184" s="1134"/>
      <c r="K184" s="1134"/>
      <c r="L184" s="1134"/>
      <c r="M184" s="1134"/>
      <c r="N184" s="1134"/>
      <c r="Q184" s="1115"/>
      <c r="R184" s="1115"/>
      <c r="S184" s="1115"/>
      <c r="T184" s="1115"/>
      <c r="U184" s="1115"/>
      <c r="V184" s="1115"/>
      <c r="W184" s="1115"/>
      <c r="X184" s="1115"/>
      <c r="Y184" s="1115"/>
      <c r="Z184" s="1115"/>
    </row>
    <row r="185" spans="1:26">
      <c r="A185" s="1134"/>
      <c r="B185" s="1156" t="s">
        <v>507</v>
      </c>
      <c r="C185" s="1157" t="s">
        <v>508</v>
      </c>
      <c r="D185" s="1134"/>
      <c r="E185" s="1134"/>
      <c r="F185" s="1134"/>
      <c r="G185" s="1134"/>
      <c r="H185" s="1134"/>
      <c r="I185" s="1134"/>
      <c r="J185" s="1134"/>
      <c r="K185" s="1134"/>
      <c r="L185" s="1134"/>
      <c r="M185" s="1134"/>
      <c r="N185" s="1134"/>
      <c r="Q185" s="1115"/>
      <c r="R185" s="1115"/>
      <c r="S185" s="1115"/>
      <c r="T185" s="1115"/>
      <c r="U185" s="1115"/>
      <c r="V185" s="1115"/>
      <c r="W185" s="1115"/>
      <c r="X185" s="1115"/>
      <c r="Y185" s="1115"/>
      <c r="Z185" s="1115"/>
    </row>
    <row r="186" spans="1:26">
      <c r="A186" s="1134"/>
      <c r="B186" s="1158" t="s">
        <v>509</v>
      </c>
      <c r="C186" s="1157" t="s">
        <v>510</v>
      </c>
      <c r="D186" s="1134"/>
      <c r="E186" s="1134"/>
      <c r="F186" s="1134"/>
      <c r="G186" s="1134"/>
      <c r="H186" s="1134"/>
      <c r="I186" s="1134"/>
      <c r="J186" s="1134"/>
      <c r="K186" s="1134"/>
      <c r="L186" s="1134"/>
      <c r="M186" s="1134"/>
      <c r="N186" s="1134"/>
      <c r="Q186" s="1115"/>
      <c r="R186" s="1115"/>
      <c r="S186" s="1115"/>
      <c r="T186" s="1115"/>
      <c r="U186" s="1115"/>
      <c r="V186" s="1115"/>
      <c r="W186" s="1115"/>
      <c r="X186" s="1115"/>
      <c r="Y186" s="1115"/>
      <c r="Z186" s="1115"/>
    </row>
    <row r="187" spans="1:26">
      <c r="A187" s="1134"/>
      <c r="B187" s="1159" t="s">
        <v>511</v>
      </c>
      <c r="C187" s="1157" t="s">
        <v>512</v>
      </c>
      <c r="D187" s="1134"/>
      <c r="E187" s="1134"/>
      <c r="F187" s="1134"/>
      <c r="G187" s="1134"/>
      <c r="H187" s="1134"/>
      <c r="I187" s="1134"/>
      <c r="J187" s="1134"/>
      <c r="K187" s="1134"/>
      <c r="L187" s="1134"/>
      <c r="M187" s="1134"/>
      <c r="N187" s="1134"/>
      <c r="Q187" s="1115"/>
      <c r="R187" s="1115"/>
      <c r="S187" s="1115"/>
      <c r="T187" s="1115"/>
      <c r="U187" s="1115"/>
      <c r="V187" s="1115"/>
      <c r="W187" s="1115"/>
      <c r="X187" s="1115"/>
      <c r="Y187" s="1115"/>
      <c r="Z187" s="1115"/>
    </row>
    <row r="188" spans="1:26">
      <c r="A188" s="1134"/>
      <c r="B188" s="1134"/>
      <c r="C188" s="1134"/>
      <c r="D188" s="1134"/>
      <c r="E188" s="1134"/>
      <c r="F188" s="1134"/>
      <c r="G188" s="1134"/>
      <c r="H188" s="1134"/>
      <c r="I188" s="1134"/>
      <c r="J188" s="1134"/>
      <c r="K188" s="1134"/>
      <c r="L188" s="1134"/>
      <c r="M188" s="1134"/>
      <c r="N188" s="1134"/>
      <c r="Q188" s="1115"/>
      <c r="R188" s="1115"/>
      <c r="S188" s="1115"/>
      <c r="T188" s="1115"/>
      <c r="U188" s="1115"/>
      <c r="V188" s="1115"/>
      <c r="W188" s="1115"/>
      <c r="X188" s="1115"/>
      <c r="Y188" s="1115"/>
      <c r="Z188" s="1115"/>
    </row>
    <row r="189" spans="1:26">
      <c r="A189" s="1134"/>
      <c r="B189" s="1134"/>
      <c r="C189" s="1134"/>
      <c r="D189" s="1134"/>
      <c r="E189" s="1134"/>
      <c r="F189" s="1134"/>
      <c r="G189" s="1134"/>
      <c r="H189" s="1134"/>
      <c r="I189" s="1134"/>
      <c r="J189" s="1134"/>
      <c r="K189" s="1134"/>
      <c r="L189" s="1134"/>
      <c r="M189" s="1134"/>
      <c r="N189" s="1134"/>
      <c r="Q189" s="1115"/>
      <c r="R189" s="1115"/>
      <c r="S189" s="1115"/>
      <c r="T189" s="1115"/>
      <c r="U189" s="1115"/>
      <c r="V189" s="1115"/>
      <c r="W189" s="1115"/>
      <c r="X189" s="1115"/>
      <c r="Y189" s="1115"/>
      <c r="Z189" s="1115"/>
    </row>
    <row r="190" spans="1:26">
      <c r="K190" s="1115"/>
      <c r="Q190" s="1115"/>
      <c r="R190" s="1115"/>
      <c r="S190" s="1115"/>
      <c r="T190" s="1115"/>
      <c r="U190" s="1115"/>
      <c r="V190" s="1115"/>
      <c r="W190" s="1115"/>
      <c r="X190" s="1115"/>
      <c r="Y190" s="1115"/>
      <c r="Z190" s="1115"/>
    </row>
    <row r="191" spans="1:26">
      <c r="B191" s="1160"/>
      <c r="K191" s="1115"/>
      <c r="Q191" s="1115"/>
      <c r="R191" s="1115"/>
      <c r="S191" s="1115"/>
      <c r="T191" s="1115"/>
      <c r="U191" s="1115"/>
      <c r="V191" s="1115"/>
      <c r="W191" s="1115"/>
      <c r="X191" s="1115"/>
      <c r="Y191" s="1115"/>
      <c r="Z191" s="1115"/>
    </row>
    <row r="192" spans="1:26">
      <c r="B192" s="1161"/>
      <c r="K192" s="1115"/>
      <c r="Q192" s="1115"/>
      <c r="R192" s="1115"/>
      <c r="S192" s="1115"/>
      <c r="T192" s="1115"/>
      <c r="U192" s="1115"/>
      <c r="V192" s="1115"/>
      <c r="W192" s="1115"/>
      <c r="X192" s="1115"/>
      <c r="Y192" s="1115"/>
      <c r="Z192" s="1115"/>
    </row>
    <row r="193" spans="2:26">
      <c r="B193" s="1162"/>
      <c r="K193" s="1115"/>
      <c r="Q193" s="1115"/>
      <c r="R193" s="1115"/>
      <c r="S193" s="1115"/>
      <c r="T193" s="1115"/>
      <c r="U193" s="1115"/>
      <c r="V193" s="1115"/>
      <c r="W193" s="1115"/>
      <c r="X193" s="1115"/>
      <c r="Y193" s="1115"/>
      <c r="Z193" s="1115"/>
    </row>
  </sheetData>
  <sheetProtection sheet="1" objects="1" scenarios="1" formatCells="0" formatColumns="0" formatRows="0" insertRows="0" deleteRows="0" sort="0" autoFilter="0"/>
  <mergeCells count="2">
    <mergeCell ref="B1:J1"/>
    <mergeCell ref="B2:J2"/>
  </mergeCells>
  <conditionalFormatting sqref="B1:B13 B15 B17:B1048576">
    <cfRule type="duplicateValues" dxfId="24" priority="1"/>
  </conditionalFormatting>
  <conditionalFormatting sqref="F17:F181">
    <cfRule type="cellIs" dxfId="23" priority="2" operator="equal">
      <formula>"IPS"</formula>
    </cfRule>
    <cfRule type="cellIs" dxfId="22" priority="3" operator="equal">
      <formula>"CAF"</formula>
    </cfRule>
  </conditionalFormatting>
  <conditionalFormatting sqref="G17:G134">
    <cfRule type="cellIs" dxfId="21" priority="10" operator="equal">
      <formula>"Eviction"</formula>
    </cfRule>
    <cfRule type="cellIs" dxfId="20" priority="11" operator="equal">
      <formula>"Skip"</formula>
    </cfRule>
    <cfRule type="cellIs" dxfId="19" priority="12" operator="equal">
      <formula>"Former"</formula>
    </cfRule>
  </conditionalFormatting>
  <conditionalFormatting sqref="G139:G181">
    <cfRule type="cellIs" dxfId="18" priority="13" operator="equal">
      <formula>"Eviction"</formula>
    </cfRule>
    <cfRule type="cellIs" dxfId="17" priority="14" operator="equal">
      <formula>"Skip"</formula>
    </cfRule>
    <cfRule type="cellIs" dxfId="16" priority="15" operator="equal">
      <formula>"Former"</formula>
    </cfRule>
  </conditionalFormatting>
  <pageMargins left="0.25" right="0.25" top="0.75" bottom="0.75" header="0.3" footer="0.3"/>
  <pageSetup paperSize="5" scale="70" fitToWidth="0" fitToHeight="0" orientation="landscape" horizontalDpi="300" verticalDpi="300" r:id="rId1"/>
  <rowBreaks count="1" manualBreakCount="1">
    <brk id="63" max="11"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68511-1F50-4F71-954F-03B3498C5CE9}">
  <sheetPr>
    <tabColor rgb="FF002060"/>
    <pageSetUpPr fitToPage="1"/>
  </sheetPr>
  <dimension ref="A1:K233"/>
  <sheetViews>
    <sheetView showGridLines="0" zoomScaleNormal="100" workbookViewId="0">
      <pane xSplit="2" ySplit="1" topLeftCell="C189" activePane="bottomRight" state="frozen"/>
      <selection pane="topRight" activeCell="C1" sqref="C1"/>
      <selection pane="bottomLeft" activeCell="A2" sqref="A2"/>
      <selection pane="bottomRight" activeCell="K182" sqref="K182"/>
    </sheetView>
  </sheetViews>
  <sheetFormatPr defaultRowHeight="14.5"/>
  <cols>
    <col min="1" max="1" width="0.81640625" customWidth="1"/>
    <col min="2" max="2" width="23.54296875" customWidth="1"/>
    <col min="3" max="3" width="25.453125" customWidth="1"/>
    <col min="4" max="4" width="15.453125" customWidth="1"/>
    <col min="5" max="5" width="13.54296875" customWidth="1"/>
    <col min="6" max="6" width="17.7265625" bestFit="1" customWidth="1"/>
    <col min="7" max="7" width="20.453125" customWidth="1"/>
    <col min="8" max="8" width="71.1796875" bestFit="1" customWidth="1"/>
    <col min="9" max="9" width="18.1796875" customWidth="1"/>
    <col min="10" max="11" width="15.453125" customWidth="1"/>
    <col min="12" max="12" width="2.54296875" customWidth="1"/>
  </cols>
  <sheetData>
    <row r="1" spans="1:11" ht="24" customHeight="1">
      <c r="A1" s="145"/>
      <c r="B1" s="336" t="s">
        <v>218</v>
      </c>
      <c r="C1" s="145"/>
      <c r="D1" s="145"/>
      <c r="E1" s="145"/>
      <c r="F1" s="145"/>
      <c r="G1" s="145"/>
      <c r="H1" s="145"/>
      <c r="I1" s="145"/>
      <c r="J1" s="145"/>
      <c r="K1" s="145"/>
    </row>
    <row r="2" spans="1:11" ht="15" customHeight="1">
      <c r="A2" s="145"/>
      <c r="B2" s="337" t="s">
        <v>513</v>
      </c>
      <c r="C2" s="145"/>
      <c r="D2" s="145"/>
      <c r="E2" s="145"/>
      <c r="F2" s="145"/>
      <c r="G2" s="145"/>
      <c r="H2" s="145"/>
      <c r="I2" s="145"/>
      <c r="J2" s="145"/>
      <c r="K2" s="145"/>
    </row>
    <row r="3" spans="1:11" ht="14.15" customHeight="1">
      <c r="A3" s="145"/>
      <c r="B3" s="338" t="s">
        <v>474</v>
      </c>
      <c r="C3" s="339">
        <f>Dashboard_1!F3</f>
        <v>46139</v>
      </c>
      <c r="D3" s="145"/>
      <c r="E3" s="340" t="s">
        <v>514</v>
      </c>
      <c r="F3" s="145"/>
      <c r="G3" s="145"/>
      <c r="H3" s="145"/>
      <c r="I3" s="145"/>
      <c r="J3" s="145"/>
      <c r="K3" s="145"/>
    </row>
    <row r="4" spans="1:11" ht="16" customHeight="1" thickBot="1">
      <c r="A4" s="145"/>
      <c r="B4" s="341" t="s">
        <v>515</v>
      </c>
      <c r="C4" s="179"/>
      <c r="D4" s="179"/>
      <c r="E4" s="179"/>
      <c r="F4" s="179"/>
      <c r="G4" s="341" t="s">
        <v>516</v>
      </c>
      <c r="H4" s="179"/>
      <c r="J4" s="145"/>
      <c r="K4" s="145"/>
    </row>
    <row r="5" spans="1:11" ht="14.15" customHeight="1">
      <c r="A5" s="145"/>
      <c r="B5" s="342" t="s">
        <v>517</v>
      </c>
      <c r="C5" s="146">
        <f>COUNTA(_xlfn.ANCHORARRAY(B66))</f>
        <v>168</v>
      </c>
      <c r="D5" s="145"/>
      <c r="E5" s="145"/>
      <c r="F5" s="145"/>
      <c r="G5" s="342" t="s">
        <v>518</v>
      </c>
      <c r="H5" s="146">
        <f>COUNTIFS(K66:K233,"&gt;=0",K66:K233,"&lt;=7",E66:E233,"&lt;&gt;Cancelled/Denied",E66:E233,"&lt;&gt;Converted",E66:E233,"&lt;&gt;No Record")</f>
        <v>14</v>
      </c>
      <c r="J5" s="145"/>
      <c r="K5" s="145"/>
    </row>
    <row r="6" spans="1:11" ht="14.15" customHeight="1">
      <c r="A6" s="145"/>
      <c r="B6" s="147" t="s">
        <v>354</v>
      </c>
      <c r="C6" s="148">
        <f>COUNTIFS(E66:E233,"In Review")+COUNTIFS(E66:E233,"Incomplete")</f>
        <v>46</v>
      </c>
      <c r="D6" s="145"/>
      <c r="E6" s="145"/>
      <c r="F6" s="145"/>
      <c r="G6" s="342" t="s">
        <v>519</v>
      </c>
      <c r="H6" s="146">
        <f>COUNTIFS(K66:K233,"&gt;=8",K66:K233,"&lt;=14",E66:E233,"&lt;&gt;Cancelled/Denied",E66:E233,"&lt;&gt;Converted",E66:E233,"&lt;&gt;No Record")</f>
        <v>11</v>
      </c>
      <c r="J6" s="145"/>
      <c r="K6" s="145"/>
    </row>
    <row r="7" spans="1:11" ht="14.15" customHeight="1">
      <c r="A7" s="145"/>
      <c r="B7" s="149" t="s">
        <v>356</v>
      </c>
      <c r="C7" s="150">
        <f>COUNTIF(E66:E233,"Cancelled/Denied")</f>
        <v>80</v>
      </c>
      <c r="D7" s="145"/>
      <c r="E7" s="145"/>
      <c r="F7" s="145"/>
      <c r="G7" s="151" t="s">
        <v>520</v>
      </c>
      <c r="H7" s="152">
        <f>COUNTIFS(K66:K233,"&gt;=15",K66:K233,"&lt;=21",E66:E233,"&lt;&gt;Cancelled/Denied",E66:E233,"&lt;&gt;Converted",E66:E233,"&lt;&gt;No Record")</f>
        <v>10</v>
      </c>
      <c r="J7" s="145"/>
      <c r="K7" s="145"/>
    </row>
    <row r="8" spans="1:11" ht="14.15" customHeight="1">
      <c r="A8" s="145"/>
      <c r="B8" s="147" t="s">
        <v>355</v>
      </c>
      <c r="C8" s="148">
        <f>COUNTIF(E66:E233,"Converted")</f>
        <v>42</v>
      </c>
      <c r="D8" s="145"/>
      <c r="E8" s="145"/>
      <c r="F8" s="145"/>
      <c r="G8" s="153" t="s">
        <v>521</v>
      </c>
      <c r="H8" s="154">
        <f>COUNTIFS(K66:K233,"&gt;=22",K66:K233,"&lt;=30",E66:E233,"&lt;&gt;Cancelled/Denied",E66:E233,"&lt;&gt;Converted",E66:E233,"&lt;&gt;No Record")</f>
        <v>2</v>
      </c>
      <c r="J8" s="145"/>
      <c r="K8" s="145"/>
    </row>
    <row r="9" spans="1:11" ht="14.15" customHeight="1">
      <c r="A9" s="145"/>
      <c r="B9" s="147" t="s">
        <v>522</v>
      </c>
      <c r="C9" s="148">
        <f>COUNTIF(E66:E233,"Other")</f>
        <v>0</v>
      </c>
      <c r="D9" s="145"/>
      <c r="E9" s="145"/>
      <c r="F9" s="145"/>
      <c r="G9" s="713" t="s">
        <v>523</v>
      </c>
      <c r="H9" s="399">
        <f>COUNTIFS(K66:K233,"&gt;30",E66:E233,"&lt;&gt;Cancelled/Denied",E66:E233,"&lt;&gt;Converted",E66:E233,"&lt;&gt;No Record")</f>
        <v>9</v>
      </c>
      <c r="J9" s="145"/>
      <c r="K9" s="145"/>
    </row>
    <row r="10" spans="1:11" ht="14.15" customHeight="1">
      <c r="A10" s="145"/>
      <c r="B10" s="149" t="s">
        <v>524</v>
      </c>
      <c r="C10" s="150">
        <f>COUNTIF(E66:E233,"No Record")</f>
        <v>0</v>
      </c>
      <c r="D10" s="145"/>
      <c r="E10" s="145"/>
      <c r="F10" s="145"/>
      <c r="J10" s="145"/>
      <c r="K10" s="145"/>
    </row>
    <row r="11" spans="1:11" s="138" customFormat="1" ht="6" customHeight="1"/>
    <row r="12" spans="1:11" ht="16" customHeight="1" thickBot="1">
      <c r="B12" s="341" t="s">
        <v>525</v>
      </c>
      <c r="C12" s="180"/>
      <c r="D12" s="180"/>
      <c r="E12" s="180"/>
      <c r="F12" s="180"/>
      <c r="G12" s="180"/>
      <c r="H12" s="180"/>
    </row>
    <row r="13" spans="1:11" ht="14.15" customHeight="1">
      <c r="B13" s="343" t="s">
        <v>526</v>
      </c>
      <c r="C13" s="344" t="s">
        <v>527</v>
      </c>
      <c r="D13" s="344" t="s">
        <v>528</v>
      </c>
      <c r="E13" s="345" t="s">
        <v>529</v>
      </c>
      <c r="F13" s="345" t="s">
        <v>530</v>
      </c>
      <c r="G13" s="1210" t="s">
        <v>531</v>
      </c>
      <c r="H13" s="1211"/>
    </row>
    <row r="14" spans="1:11" ht="16" customHeight="1">
      <c r="B14" s="170" t="s">
        <v>532</v>
      </c>
      <c r="C14" s="233" t="str" cm="1">
        <f t="array" ref="C14">_xlfn.LET(_xlpm.jF,Application_Status_Feb!J$2:J$561,_xlpm.kF,Application_Status_Feb!K$2:K$561,_xlpm.eF,Application_Status_Feb!E$2:E$561,_xlpm.jM,Application_Status_Mar!J$2:J$2000,_xlpm.kM,Application_Status_Mar!K$2:K$2000,_xlpm.eM,Application_Status_Mar!E$2:E$2000,_xlpm.jA,Application_Status_Apr!J$2:J$3000,_xlpm.kA,Application_Status_Apr!K$2:K$3000,_xlpm.eA,Application_Status_Apr!E$2:E$3000,_xlpm.mF,(_xlpm.jF&gt;=46054)*(_xlpm.kF&gt;0)*(ISNUMBER(SEARCH("App*Completed",_xlpm.eF))),_xlpm.mM,(_xlpm.jM&gt;=46054)*(_xlpm.kM&gt;0)*(ISNUMBER(SEARCH("App*Completed",_xlpm.eM))),_xlpm.mA,(_xlpm.jA&gt;=46054)*(_xlpm.kA&gt;0)*(ISNUMBER(SEARCH("App*Completed",_xlpm.eA))),IFERROR(ROUND((SUMPRODUCT(_xlpm.mF*(_xlpm.kF-_xlpm.jF))+SUMPRODUCT(_xlpm.mM*(_xlpm.kM-_xlpm.jM))+SUMPRODUCT(_xlpm.mA*(_xlpm.kA-_xlpm.jA)))/(SUMPRODUCT(_xlpm.mF)+SUMPRODUCT(_xlpm.mM)+SUMPRODUCT(_xlpm.mA)),1)&amp;" days","—"))</f>
        <v>1.9 days</v>
      </c>
      <c r="D14" s="157" t="str" cm="1">
        <f t="array" ref="D14">_xlfn.LET(_xlpm.jF,Application_Status_Feb!J$2:J$561,_xlpm.kF,Application_Status_Feb!K$2:K$561,_xlpm.eF,Application_Status_Feb!E$2:E$561,_xlpm.jM,Application_Status_Mar!J$2:J$2000,_xlpm.kM,Application_Status_Mar!K$2:K$2000,_xlpm.eM,Application_Status_Mar!E$2:E$2000,_xlpm.jA,Application_Status_Apr!J$2:J$3000,_xlpm.kA,Application_Status_Apr!K$2:K$3000,_xlpm.eA,Application_Status_Apr!E$2:E$3000,_xlpm.mF,(_xlpm.jF&gt;=46054)*(_xlpm.kF&gt;0)*(ISNUMBER(SEARCH("App*Cancelled",_xlpm.eF))),_xlpm.mM,(_xlpm.jM&gt;=46054)*(_xlpm.kM&gt;0)*(ISNUMBER(SEARCH("App*Cancelled",_xlpm.eM))),_xlpm.mA,(_xlpm.jA&gt;=46054)*(_xlpm.kA&gt;0)*(ISNUMBER(SEARCH("App*Cancelled",_xlpm.eA))),IFERROR(ROUND((SUMPRODUCT(_xlpm.mF*(_xlpm.kF-_xlpm.jF))+SUMPRODUCT(_xlpm.mM*(_xlpm.kM-_xlpm.jM))+SUMPRODUCT(_xlpm.mA*(_xlpm.kA-_xlpm.jA)))/(SUMPRODUCT(_xlpm.mF)+SUMPRODUCT(_xlpm.mM)+SUMPRODUCT(_xlpm.mA)),1)&amp;" days","—"))</f>
        <v>0.6 days</v>
      </c>
      <c r="E14" s="167" t="str" cm="1">
        <f t="array" ref="E14">_xlfn.LET(_xlpm.jF,Application_Status_Feb!J$2:J$561,_xlpm.kF,Application_Status_Feb!K$2:K$561,_xlpm.eF,Application_Status_Feb!E$2:E$561,_xlpm.jM,Application_Status_Mar!J$2:J$2000,_xlpm.kM,Application_Status_Mar!K$2:K$2000,_xlpm.eM,Application_Status_Mar!E$2:E$2000,_xlpm.jA,Application_Status_Apr!J$2:J$3000,_xlpm.kA,Application_Status_Apr!K$2:K$3000,_xlpm.eA,Application_Status_Apr!E$2:E$3000,_xlpm.mF,(_xlpm.jF&gt;=46054)*(_xlpm.kF&gt;0)*(ISNUMBER(SEARCH("Lease*",_xlpm.eF))),_xlpm.mM,(_xlpm.jM&gt;=46054)*(_xlpm.kM&gt;0)*(ISNUMBER(SEARCH("Lease*",_xlpm.eM))),_xlpm.mA,(_xlpm.jA&gt;=46054)*(_xlpm.kA&gt;0)*(ISNUMBER(SEARCH("Lease*",_xlpm.eA))),IFERROR(ROUND((SUMPRODUCT(_xlpm.mF*(_xlpm.kF-_xlpm.jF))+SUMPRODUCT(_xlpm.mM*(_xlpm.kM-_xlpm.jM))+SUMPRODUCT(_xlpm.mA*(_xlpm.kA-_xlpm.jA)))/(SUMPRODUCT(_xlpm.mF)+SUMPRODUCT(_xlpm.mM)+SUMPRODUCT(_xlpm.mA)),1)&amp;" days","—"))</f>
        <v>4 days</v>
      </c>
      <c r="F14" s="176" t="str" cm="1">
        <f t="array" ref="F14">_xlfn.LET(_xlpm.jF,Application_Status_Feb!J$2:J$561,_xlpm.kF,Application_Status_Feb!K$2:K$561,_xlpm.jM,Application_Status_Mar!J$2:J$2000,_xlpm.kM,Application_Status_Mar!K$2:K$2000,_xlpm.jA,Application_Status_Apr!J$2:J$3000,_xlpm.kA,Application_Status_Apr!K$2:K$3000,_xlpm.mF,(_xlpm.jF&gt;=46054)*(_xlpm.kF&gt;0),_xlpm.mM,(_xlpm.jM&gt;=46054)*(_xlpm.kM&gt;0),_xlpm.mA,(_xlpm.jA&gt;=46054)*(_xlpm.kA&gt;0),IFERROR(ROUND((SUMPRODUCT(_xlpm.mF*(_xlpm.kF-_xlpm.jF))+SUMPRODUCT(_xlpm.mM*(_xlpm.kM-_xlpm.jM))+SUMPRODUCT(_xlpm.mA*(_xlpm.kA-_xlpm.jA)))/(SUMPRODUCT(_xlpm.mF)+SUMPRODUCT(_xlpm.mM)+SUMPRODUCT(_xlpm.mA)),1)&amp;" days","—"))</f>
        <v>1.3 days</v>
      </c>
      <c r="G14" s="1212" t="str">
        <f>"Fast — applicants begin quickly ("&amp;C14&amp;" avg). Stable WoW."</f>
        <v>Fast — applicants begin quickly (1.9 days avg). Stable WoW.</v>
      </c>
      <c r="H14" s="1213"/>
    </row>
    <row r="15" spans="1:11" ht="16" customHeight="1">
      <c r="B15" s="170" t="s">
        <v>533</v>
      </c>
      <c r="C15" s="233" t="str" cm="1">
        <f t="array" ref="C15">_xlfn.LET(_xlpm.kF,Application_Status_Feb!K$2:K$561,_xlpm.lF,Application_Status_Feb!L$2:L$561,_xlpm.eF,Application_Status_Feb!E$2:E$561,_xlpm.jF,Application_Status_Feb!J$2:J$561,_xlpm.kM,Application_Status_Mar!K$2:K$2000,_xlpm.lM,Application_Status_Mar!L$2:L$2000,_xlpm.eM,Application_Status_Mar!E$2:E$2000,_xlpm.jM,Application_Status_Mar!J$2:J$2000,_xlpm.kA,Application_Status_Apr!K$2:K$3000,_xlpm.lA,Application_Status_Apr!L$2:L$3000,_xlpm.eA,Application_Status_Apr!E$2:E$3000,_xlpm.jA,Application_Status_Apr!J$2:J$3000,_xlpm.mF,(_xlpm.jF&gt;=46054)*(_xlpm.lF&gt;0)*(ISNUMBER(SEARCH("App*Completed",_xlpm.eF))),_xlpm.mM,(_xlpm.jM&gt;=46054)*(_xlpm.lM&gt;0)*(ISNUMBER(SEARCH("App*Completed",_xlpm.eM))),_xlpm.mA,(_xlpm.jA&gt;=46054)*(_xlpm.lA&gt;0)*(ISNUMBER(SEARCH("App*Completed",_xlpm.eA))),IFERROR(ROUND((SUMPRODUCT(_xlpm.mF*(_xlpm.lF-_xlpm.kF))+SUMPRODUCT(_xlpm.mM*(_xlpm.lM-_xlpm.kM))+SUMPRODUCT(_xlpm.mA*(_xlpm.lA-_xlpm.kA)))/(SUMPRODUCT(_xlpm.mF)+SUMPRODUCT(_xlpm.mM)+SUMPRODUCT(_xlpm.mA)),1)&amp;" days","—"))</f>
        <v>1.6 days</v>
      </c>
      <c r="D15" s="157" t="str" cm="1">
        <f t="array" ref="D15">_xlfn.LET(_xlpm.kF,Application_Status_Feb!K$2:K$561,_xlpm.lF,Application_Status_Feb!L$2:L$561,_xlpm.eF,Application_Status_Feb!E$2:E$561,_xlpm.jF,Application_Status_Feb!J$2:J$561,_xlpm.kM,Application_Status_Mar!K$2:K$2000,_xlpm.lM,Application_Status_Mar!L$2:L$2000,_xlpm.eM,Application_Status_Mar!E$2:E$2000,_xlpm.jM,Application_Status_Mar!J$2:J$2000,_xlpm.kA,Application_Status_Apr!K$2:K$3000,_xlpm.lA,Application_Status_Apr!L$2:L$3000,_xlpm.eA,Application_Status_Apr!E$2:E$3000,_xlpm.jA,Application_Status_Apr!J$2:J$3000,_xlpm.mF,(_xlpm.jF&gt;=46054)*(_xlpm.lF&gt;0)*(ISNUMBER(SEARCH("App*Cancelled",_xlpm.eF))),_xlpm.mM,(_xlpm.jM&gt;=46054)*(_xlpm.lM&gt;0)*(ISNUMBER(SEARCH("App*Cancelled",_xlpm.eM))),_xlpm.mA,(_xlpm.jA&gt;=46054)*(_xlpm.lA&gt;0)*(ISNUMBER(SEARCH("App*Cancelled",_xlpm.eA))),IFERROR(ROUND((SUMPRODUCT(_xlpm.mF*(_xlpm.lF-_xlpm.kF))+SUMPRODUCT(_xlpm.mM*(_xlpm.lM-_xlpm.kM))+SUMPRODUCT(_xlpm.mA*(_xlpm.lA-_xlpm.kA)))/(SUMPRODUCT(_xlpm.mF)+SUMPRODUCT(_xlpm.mM)+SUMPRODUCT(_xlpm.mA)),1)&amp;" days","—"))</f>
        <v>1.1 days</v>
      </c>
      <c r="E15" s="167" t="str" cm="1">
        <f t="array" ref="E15">_xlfn.LET(_xlpm.kF,Application_Status_Feb!K$2:K$561,_xlpm.lF,Application_Status_Feb!L$2:L$561,_xlpm.eF,Application_Status_Feb!E$2:E$561,_xlpm.jF,Application_Status_Feb!J$2:J$561,_xlpm.kM,Application_Status_Mar!K$2:K$2000,_xlpm.lM,Application_Status_Mar!L$2:L$2000,_xlpm.eM,Application_Status_Mar!E$2:E$2000,_xlpm.jM,Application_Status_Mar!J$2:J$2000,_xlpm.kA,Application_Status_Apr!K$2:K$3000,_xlpm.lA,Application_Status_Apr!L$2:L$3000,_xlpm.eA,Application_Status_Apr!E$2:E$3000,_xlpm.jA,Application_Status_Apr!J$2:J$3000,_xlpm.mF,(_xlpm.jF&gt;=46054)*(_xlpm.lF&gt;0)*(ISNUMBER(SEARCH("Lease*",_xlpm.eF))),_xlpm.mM,(_xlpm.jM&gt;=46054)*(_xlpm.lM&gt;0)*(ISNUMBER(SEARCH("Lease*",_xlpm.eM))),_xlpm.mA,(_xlpm.jA&gt;=46054)*(_xlpm.lA&gt;0)*(ISNUMBER(SEARCH("Lease*",_xlpm.eA))),IFERROR(ROUND((SUMPRODUCT(_xlpm.mF*(_xlpm.lF-_xlpm.kF))+SUMPRODUCT(_xlpm.mM*(_xlpm.lM-_xlpm.kM))+SUMPRODUCT(_xlpm.mA*(_xlpm.lA-_xlpm.kA)))/(SUMPRODUCT(_xlpm.mF)+SUMPRODUCT(_xlpm.mM)+SUMPRODUCT(_xlpm.mA)),1)&amp;" days","—"))</f>
        <v>1.7 days</v>
      </c>
      <c r="F15" s="176" t="str" cm="1">
        <f t="array" ref="F15">_xlfn.LET(_xlpm.kF,Application_Status_Feb!K$2:K$561,_xlpm.lF,Application_Status_Feb!L$2:L$561,_xlpm.jF,Application_Status_Feb!J$2:J$561,_xlpm.kM,Application_Status_Mar!K$2:K$2000,_xlpm.lM,Application_Status_Mar!L$2:L$2000,_xlpm.jM,Application_Status_Mar!J$2:J$2000,_xlpm.kA,Application_Status_Apr!K$2:K$3000,_xlpm.lA,Application_Status_Apr!L$2:L$3000,_xlpm.jA,Application_Status_Apr!J$2:J$3000,_xlpm.mF,(_xlpm.jF&gt;=46054)*(_xlpm.lF&gt;0),_xlpm.mM,(_xlpm.jM&gt;=46054)*(_xlpm.lM&gt;0),_xlpm.mA,(_xlpm.jA&gt;=46054)*(_xlpm.lA&gt;0),IFERROR(ROUND((SUMPRODUCT(_xlpm.mF*(_xlpm.lF-_xlpm.kF))+SUMPRODUCT(_xlpm.mM*(_xlpm.lM-_xlpm.kM))+SUMPRODUCT(_xlpm.mA*(_xlpm.lA-_xlpm.kA)))/(SUMPRODUCT(_xlpm.mF)+SUMPRODUCT(_xlpm.mM)+SUMPRODUCT(_xlpm.mA)),1)&amp;" days","—"))</f>
        <v>1.4 days</v>
      </c>
      <c r="G15" s="1212" t="str">
        <f>"Reasonable — most complete within a week ("&amp;C15&amp;" avg). Stable WoW."</f>
        <v>Reasonable — most complete within a week (1.6 days avg). Stable WoW.</v>
      </c>
      <c r="H15" s="1213"/>
    </row>
    <row r="16" spans="1:11" ht="16" customHeight="1">
      <c r="B16" s="170" t="s">
        <v>534</v>
      </c>
      <c r="C16" s="171" t="str">
        <f>IFERROR(ROUND($C$3-AVERAGEIFS(I66:I203,E66:E203,"In Review",I66:I203,"&gt;0"),1)&amp;" days","—")</f>
        <v>15.8 days</v>
      </c>
      <c r="D16" s="172" t="str">
        <f>IFERROR(ROUND(AVERAGEIFS(J66:J155,E66:E155,"Cancelled/Denied",J66:J155,"&gt;40000")-AVERAGEIFS(I66:I155,E66:E155,"Cancelled/Denied",I66:I155,"&gt;0",J66:J155,"&gt;40000"),1)&amp;" days","—")</f>
        <v>22.5 days</v>
      </c>
      <c r="E16" s="178" t="str">
        <f>IFERROR(ROUND(AVERAGEIFS(I66:I155,E66:E155,"Converted",I66:I155,"&gt;0")-AVERAGEIFS(H66:H155,E66:E155,"Converted",I66:I155,"&gt;0"),1)&amp;" days","—")</f>
        <v>4.4 days</v>
      </c>
      <c r="F16" s="177" t="str">
        <f>IFERROR(ROUND(($C$3-AVERAGEIFS(I66:I155,E66:E155,"In Review",I66:I155,"&gt;0")+AVERAGEIFS(J66:J155,E66:E155,"Cancelled/Denied",J66:J155,"&gt;40000")-AVERAGEIFS(I66:I155,E66:E155,"Cancelled/Denied",I66:I155,"&gt;0",J66:J155,"&gt;40000"))/2,1)&amp;" days","—")</f>
        <v>21.4 days</v>
      </c>
      <c r="G16" s="1214" t="str">
        <f>"BOTTLENECK — screening/decisioning ("&amp;D16&amp;") takes "&amp;ROUND(IFERROR(VALUE(LEFT(D16,FIND(" ",D16)-1))/VALUE(LEFT(D15,FIND(" ",D15)-1)),0),0)&amp;"x longer than completion. Up from 11d last wk (+0.9d)."</f>
        <v>BOTTLENECK — screening/decisioning (22.5 days) takes 20x longer than completion. Up from 11d last wk (+0.9d).</v>
      </c>
      <c r="H16" s="1215"/>
    </row>
    <row r="17" spans="1:11" ht="16" customHeight="1">
      <c r="B17" s="174" t="s">
        <v>535</v>
      </c>
      <c r="C17" s="175" t="str">
        <f>IFERROR(ROUND(AVERAGEIFS(K66:K203,E66:E203,"In Review",K66:K203,"&lt;&gt;—"),1)&amp;" days","—")</f>
        <v>18.4 days</v>
      </c>
      <c r="D17" s="185" t="str">
        <f>IFERROR(ROUND(AVERAGEIFS(J66:J155,E66:E155,"Cancelled/Denied",J66:J155,"&gt;40000")-AVERAGEIFS(H66:H155,E66:E155,"Cancelled/Denied",J66:J155,"&gt;40000"),1)&amp;" days","—")</f>
        <v>37.5 days</v>
      </c>
      <c r="E17" s="186" t="str">
        <f>IFERROR(ROUND(AVERAGEIFS(I66:I155,E66:E155,"Converted",I66:I155,"&gt;0")-AVERAGEIFS(H66:H155,E66:E155,"Converted"),1)&amp;" days","—")</f>
        <v>4.4 days</v>
      </c>
      <c r="F17" s="187" t="str" cm="1">
        <f t="array" ref="F17">ROUND((SUMPRODUCT((E66:E155="In Review")*IF(ISNUMBER(K66:K155),K66:K155,0))+SUMPRODUCT((E66:E155="Cancelled/Denied")*IF(ISNUMBER(J66:J155),IF(J66:J155&gt;40000,J66:J155-H66:H155,0),0)))/(SUMPRODUCT((E66:E155="In Review")*ISNUMBER(K66:K155))+SUMPRODUCT((E66:E155="Cancelled/Denied")*ISNUMBER(J66:J155)*(J66:J155&gt;40000))),1)&amp;" days"</f>
        <v>35.9 days</v>
      </c>
      <c r="G17" s="1216" t="str">
        <f>"Conversions resolved in "&amp;E17&amp;" avg — cancels dragged "&amp;D17&amp;" avg. Gap widening vs last wk."</f>
        <v>Conversions resolved in 4.4 days avg — cancels dragged 37.5 days avg. Gap widening vs last wk.</v>
      </c>
      <c r="H17" s="1217"/>
    </row>
    <row r="18" spans="1:11" s="31" customFormat="1" ht="16" customHeight="1">
      <c r="B18" s="170" t="s">
        <v>536</v>
      </c>
      <c r="C18" s="173" t="str">
        <f>COUNTIFS(K66:K203,"&gt;=15",E66:E203,"In Review")&amp;" of "&amp;COUNTIF(E66:E203,"In Review")</f>
        <v>3 of 10</v>
      </c>
      <c r="D18" s="157" t="str">
        <f>"—"</f>
        <v>—</v>
      </c>
      <c r="E18" s="167" t="str">
        <f>"—"</f>
        <v>—</v>
      </c>
      <c r="F18" s="234">
        <f>IFERROR(ROUND(COUNTIFS(K66:K155,"&gt;=15",E66:E155,"In Review")/COUNTIF(E66:E155,"In Review"),2),0)</f>
        <v>0.33</v>
      </c>
      <c r="G18" s="1208" t="str">
        <f>ROUND(F18*100,0)&amp;"% of active pipeline past normal processing window (vs 36% last wk). Stale apps growing."</f>
        <v>33% of active pipeline past normal processing window (vs 36% last wk). Stale apps growing.</v>
      </c>
      <c r="H18" s="1209"/>
    </row>
    <row r="19" spans="1:11" s="138" customFormat="1" ht="6" customHeight="1"/>
    <row r="20" spans="1:11" s="138" customFormat="1" ht="16" customHeight="1" thickBot="1">
      <c r="A20"/>
      <c r="B20" s="228" t="s">
        <v>537</v>
      </c>
      <c r="C20" s="180"/>
      <c r="D20" s="180"/>
      <c r="E20" s="180"/>
      <c r="F20" s="180"/>
      <c r="G20" s="180"/>
      <c r="H20" s="180"/>
      <c r="I20"/>
      <c r="J20"/>
      <c r="K20"/>
    </row>
    <row r="21" spans="1:11" s="138" customFormat="1" ht="14.15" customHeight="1">
      <c r="A21"/>
      <c r="B21" s="188" t="s">
        <v>538</v>
      </c>
      <c r="C21" s="225" t="s">
        <v>528</v>
      </c>
      <c r="D21" s="225" t="s">
        <v>539</v>
      </c>
      <c r="E21" s="225" t="s">
        <v>540</v>
      </c>
      <c r="F21" s="225" t="s">
        <v>541</v>
      </c>
      <c r="G21" s="1206" t="s">
        <v>542</v>
      </c>
      <c r="H21" s="1207"/>
      <c r="I21"/>
      <c r="J21"/>
      <c r="K21"/>
    </row>
    <row r="22" spans="1:11" s="138" customFormat="1" ht="16" customHeight="1">
      <c r="A22"/>
      <c r="B22" s="189" t="s">
        <v>543</v>
      </c>
      <c r="C22" s="190">
        <f>COUNTIFS(Application_Status_Feb!S$2:S$561,"&gt;0",Application_Status_Feb!J$2:J$561,"&gt;="&amp;46054)+COUNTIFS(Application_Status_Mar!S$2:S$2000,"&gt;0",Application_Status_Mar!J$2:J$2000,"&gt;="&amp;46054)+COUNTIFS(Application_Status_Apr!S$2:S$3000,"&gt;0",Application_Status_Apr!J$2:J$3000,"&gt;="&amp;46054)</f>
        <v>18</v>
      </c>
      <c r="D22" s="191">
        <f>C22</f>
        <v>18</v>
      </c>
      <c r="E22" s="239">
        <f>IFERROR(D22/D27,0)</f>
        <v>0.21176470588235294</v>
      </c>
      <c r="F22" s="192" t="s">
        <v>544</v>
      </c>
      <c r="G22" s="193" t="str">
        <f>C22&amp;" denials in pipeline. Screening criteria driving highest single-cause cancellation. Denials doubled vs 26 total cancels last wk."</f>
        <v>18 denials in pipeline. Screening criteria driving highest single-cause cancellation. Denials doubled vs 26 total cancels last wk.</v>
      </c>
      <c r="H22" s="194"/>
      <c r="I22"/>
      <c r="J22"/>
      <c r="K22"/>
    </row>
    <row r="23" spans="1:11" s="138" customFormat="1" ht="16" customHeight="1">
      <c r="A23"/>
      <c r="B23" s="195" t="s">
        <v>545</v>
      </c>
      <c r="C23" s="196" cm="1">
        <f t="array" ref="C23">SUMPRODUCT((E66:E203="Cancelled/Denied")*IF(ISNUMBER(J66:J203),IF(J66:J203&gt;40000,(J66:J203-H66:H203)&gt;=15,0),0))</f>
        <v>50</v>
      </c>
      <c r="D23" s="196">
        <f>C23+COUNTIFS(K66:K155,"&gt;=15",E66:E155,"In Review")</f>
        <v>52</v>
      </c>
      <c r="E23" s="240">
        <f>IFERROR(D23/D27,0)</f>
        <v>0.61176470588235299</v>
      </c>
      <c r="F23" s="192" t="s">
        <v>546</v>
      </c>
      <c r="G23" s="197" t="str">
        <f>"Avg "&amp;D16&amp;" completed→decision vs. "&amp;E16&amp;" for conversions. Backlog worsening (+0.9d WoW). Docs/verifications the bottleneck."</f>
        <v>Avg 22.5 days completed→decision vs. 4.4 days for conversions. Backlog worsening (+0.9d WoW). Docs/verifications the bottleneck.</v>
      </c>
      <c r="H23" s="198"/>
      <c r="I23"/>
      <c r="J23"/>
      <c r="K23"/>
    </row>
    <row r="24" spans="1:11" s="138" customFormat="1" ht="16" customHeight="1">
      <c r="A24"/>
      <c r="B24" s="195" t="s">
        <v>547</v>
      </c>
      <c r="C24" s="190">
        <f>C7-C22-C23-C25-C26</f>
        <v>-47</v>
      </c>
      <c r="D24" s="190">
        <f>C24</f>
        <v>-47</v>
      </c>
      <c r="E24" s="241">
        <f>IFERROR(D24/D27,0)</f>
        <v>-0.55294117647058827</v>
      </c>
      <c r="F24" s="199" t="s">
        <v>548</v>
      </c>
      <c r="G24" s="200" t="s">
        <v>549</v>
      </c>
      <c r="H24" s="201"/>
      <c r="I24"/>
      <c r="J24"/>
      <c r="K24"/>
    </row>
    <row r="25" spans="1:11" s="138" customFormat="1" ht="16" customHeight="1">
      <c r="A25"/>
      <c r="B25" s="202" t="s">
        <v>550</v>
      </c>
      <c r="C25" s="190" cm="1">
        <f t="array" ref="C25">SUMPRODUCT((E66:E203="Cancelled/Denied")*((COUNTIFS(Application_Status_Feb!I$2:I$561,B66:B203,Application_Status_Feb!E$2:E$561,"App*Cancelled")+COUNTIFS(Application_Status_Mar!I$2:I$2000,B66:B203,Application_Status_Mar!E$2:E$2000,"App*Cancelled")+COUNTIFS(Application_Status_Apr!I$2:I$3000,B66:B203,Application_Status_Apr!E$2:E$3000,"App*Cancelled"))&gt;1))</f>
        <v>42</v>
      </c>
      <c r="D25" s="190">
        <f>C25</f>
        <v>42</v>
      </c>
      <c r="E25" s="242">
        <f>IFERROR(D25/D27,0)</f>
        <v>0.49411764705882355</v>
      </c>
      <c r="F25" s="203" t="s">
        <v>551</v>
      </c>
      <c r="G25" s="229" t="str" cm="1">
        <f t="array" ref="G25">SUMPRODUCT((E66:E201="Cancelled/Denied")*((COUNTIFS(Application_Status_Feb!I$2:I$561,B66:B201,Application_Status_Feb!E$2:E$561,"App*Cancelled")+COUNTIFS(Application_Status_Mar!I$2:I$2000,B66:B201,Application_Status_Mar!E$2:E$2000,"App*Cancelled")+COUNTIFS(Application_Status_Apr!I$2:I$3000,B66:B201,Application_Status_Apr!E$2:E$3000,"App*Cancelled"))&gt;1))&amp;" of "&amp;C7&amp;" cancelled units had prior cancels on same unit. Low repeat-fail rate is a positive signal."</f>
        <v>41 of 80 cancelled units had prior cancels on same unit. Low repeat-fail rate is a positive signal.</v>
      </c>
      <c r="H25" s="230"/>
      <c r="I25"/>
      <c r="J25"/>
      <c r="K25"/>
    </row>
    <row r="26" spans="1:11" s="138" customFormat="1" ht="16" customHeight="1">
      <c r="A26"/>
      <c r="B26" s="204" t="s">
        <v>552</v>
      </c>
      <c r="C26" s="190">
        <f>COUNTIFS(F66:F203,"HOUSE*",E66:E203,"Cancelled/Denied")+COUNTIFS(F66:F203,"Not Assigned",E66:E203,"Cancelled/Denied")</f>
        <v>17</v>
      </c>
      <c r="D26" s="190">
        <f>C26+COUNTIFS(F66:F155,"HOUSE*",E66:E155,"In Review")+COUNTIFS(F66:F155,"HOUSE*",E66:E155,"Incomplete")+COUNTIFS(F66:F155,"Not Assigned",E66:E155,"In Review")+COUNTIFS(F66:F155,"Not Assigned",E66:E155,"Incomplete")</f>
        <v>20</v>
      </c>
      <c r="E26" s="242">
        <f>IFERROR(D26/D27,0)</f>
        <v>0.23529411764705882</v>
      </c>
      <c r="F26" s="199" t="s">
        <v>548</v>
      </c>
      <c r="G26" s="229" t="str">
        <f>ROUND(C49/C5*100,0)&amp;"% of pipeline = HOUSE/Not Assigned (19 apps). No follow-up owner accelerates attrition. Assign agents to reduce stall risk."</f>
        <v>13% of pipeline = HOUSE/Not Assigned (19 apps). No follow-up owner accelerates attrition. Assign agents to reduce stall risk.</v>
      </c>
      <c r="H26" s="230"/>
      <c r="I26"/>
      <c r="J26"/>
      <c r="K26"/>
    </row>
    <row r="27" spans="1:11" s="138" customFormat="1" ht="16" customHeight="1">
      <c r="A27"/>
      <c r="B27" s="205" t="s">
        <v>553</v>
      </c>
      <c r="C27" s="206">
        <f>C7</f>
        <v>80</v>
      </c>
      <c r="D27" s="207">
        <f>SUM(D22:D26)</f>
        <v>85</v>
      </c>
      <c r="E27" s="208">
        <f>SUM(E22:E26)</f>
        <v>1</v>
      </c>
      <c r="F27" s="209"/>
      <c r="G27" s="210" t="str">
        <f>C7&amp;" cancelled + "&amp;C22&amp;" denied = "&amp;(C7+C22)&amp;" lost from "&amp;C5&amp;" submitted ("&amp;ROUND((C7+C22)/C5*100,0)&amp;"% loss rate, up from 29% last wk). POSITIVE: conversions doubled to "&amp;C8&amp;" ("&amp;ROUND(C8/C5*100,0)&amp;"%, up from 5.6%)."</f>
        <v>80 cancelled + 18 denied = 98 lost from 168 submitted (58% loss rate, up from 29% last wk). POSITIVE: conversions doubled to 42 (25%, up from 5.6%).</v>
      </c>
      <c r="H27" s="211"/>
      <c r="I27"/>
      <c r="J27"/>
      <c r="K27"/>
    </row>
    <row r="28" spans="1:11" s="138" customFormat="1" ht="6" customHeight="1">
      <c r="A28"/>
      <c r="B28" s="137"/>
      <c r="C28" s="137"/>
      <c r="D28" s="137"/>
      <c r="E28" s="137"/>
      <c r="F28" s="137"/>
      <c r="G28" s="137"/>
      <c r="H28" s="137"/>
      <c r="I28"/>
      <c r="J28"/>
      <c r="K28"/>
    </row>
    <row r="29" spans="1:11" s="138" customFormat="1" ht="16" customHeight="1" thickBot="1">
      <c r="A29"/>
      <c r="B29" s="228" t="str">
        <f>"CANCELLATION DETAIL ("&amp;C7&amp;" confirmed losses)"</f>
        <v>CANCELLATION DETAIL (80 confirmed losses)</v>
      </c>
      <c r="C29" s="180"/>
      <c r="D29" s="180"/>
      <c r="E29" s="180"/>
      <c r="F29" s="180"/>
      <c r="G29" s="180"/>
      <c r="H29" s="180"/>
      <c r="I29"/>
      <c r="J29"/>
      <c r="K29"/>
    </row>
    <row r="30" spans="1:11" s="138" customFormat="1" ht="14.15" customHeight="1">
      <c r="A30"/>
      <c r="B30" s="188" t="s">
        <v>496</v>
      </c>
      <c r="C30" s="226" t="s">
        <v>554</v>
      </c>
      <c r="D30" s="225" t="s">
        <v>555</v>
      </c>
      <c r="E30" s="225" t="s">
        <v>556</v>
      </c>
      <c r="F30" s="225" t="s">
        <v>538</v>
      </c>
      <c r="G30" s="226" t="s">
        <v>557</v>
      </c>
      <c r="H30" s="227"/>
      <c r="I30"/>
      <c r="J30"/>
      <c r="K30"/>
    </row>
    <row r="31" spans="1:11" s="138" customFormat="1" ht="16" customHeight="1">
      <c r="A31"/>
      <c r="B31" s="212" t="s">
        <v>558</v>
      </c>
      <c r="C31" s="213" t="str">
        <f t="shared" ref="C31:C37" si="0">IFERROR(INDEX(C$66:C$203,MATCH(B31,B$66:B$203,0)),"—")</f>
        <v>Patel, Kausha</v>
      </c>
      <c r="D31" s="214" t="str">
        <f t="shared" ref="D31:D37" si="1">IFERROR(INDEX(J$66:J$203,MATCH(B31,B$66:B$203,0))-INDEX(H$66:H$203,MATCH(B31,B$66:B$203,0))&amp;" days","—")</f>
        <v>94 days</v>
      </c>
      <c r="E31" s="251" t="str">
        <f t="shared" ref="E31:E37" si="2">IFERROR(INDEX(G$66:G$203,MATCH(B31,B$66:B$203,0)),"—")</f>
        <v>Website</v>
      </c>
      <c r="F31" s="215" t="s">
        <v>559</v>
      </c>
      <c r="G31" s="216" t="str">
        <f>"Created "&amp;TEXT(INDEX(H$66:H$203,MATCH(B31,B$66:B$203,0)),"m/d")&amp;", cancelled "&amp;TEXT(INDEX(J$66:J$203,MATCH(B31,B$66:B$203,0)),"m/d")&amp;" — "&amp;D31&amp;" in system."</f>
        <v>Created 12/29, cancelled 4/2 — 94 days in system.</v>
      </c>
      <c r="H31" s="217"/>
      <c r="I31"/>
      <c r="J31"/>
      <c r="K31"/>
    </row>
    <row r="32" spans="1:11" s="138" customFormat="1" ht="16" customHeight="1">
      <c r="A32"/>
      <c r="B32" s="212" t="s">
        <v>558</v>
      </c>
      <c r="C32" s="213" t="str">
        <f t="shared" si="0"/>
        <v>Patel, Kausha</v>
      </c>
      <c r="D32" s="214" t="str">
        <f t="shared" si="1"/>
        <v>94 days</v>
      </c>
      <c r="E32" s="218" t="str">
        <f t="shared" si="2"/>
        <v>Website</v>
      </c>
      <c r="F32" s="215" t="s">
        <v>559</v>
      </c>
      <c r="G32" s="216"/>
      <c r="H32" s="217"/>
      <c r="I32"/>
      <c r="J32"/>
      <c r="K32"/>
    </row>
    <row r="33" spans="1:11" s="138" customFormat="1" ht="16" customHeight="1">
      <c r="A33"/>
      <c r="B33" s="212" t="s">
        <v>560</v>
      </c>
      <c r="C33" s="213" t="str">
        <f t="shared" si="0"/>
        <v>Masanga, Luhiagila</v>
      </c>
      <c r="D33" s="214" t="str">
        <f t="shared" si="1"/>
        <v>14 days</v>
      </c>
      <c r="E33" s="218" t="str">
        <f t="shared" si="2"/>
        <v>Website</v>
      </c>
      <c r="F33" s="215" t="s">
        <v>561</v>
      </c>
      <c r="G33" s="219" t="s">
        <v>562</v>
      </c>
      <c r="H33" s="220"/>
      <c r="I33"/>
      <c r="J33"/>
      <c r="K33"/>
    </row>
    <row r="34" spans="1:11" s="138" customFormat="1" ht="16" customHeight="1">
      <c r="A34"/>
      <c r="B34" s="212" t="s">
        <v>563</v>
      </c>
      <c r="C34" s="213" t="str">
        <f t="shared" si="0"/>
        <v>Williams, Makaila</v>
      </c>
      <c r="D34" s="214" t="str">
        <f t="shared" si="1"/>
        <v>56 days</v>
      </c>
      <c r="E34" s="218" t="str">
        <f t="shared" si="2"/>
        <v>Website</v>
      </c>
      <c r="F34" s="215" t="s">
        <v>559</v>
      </c>
      <c r="G34" s="216" t="s">
        <v>564</v>
      </c>
      <c r="H34" s="217"/>
      <c r="I34"/>
      <c r="J34"/>
      <c r="K34"/>
    </row>
    <row r="35" spans="1:11" s="138" customFormat="1" ht="16" customHeight="1">
      <c r="A35"/>
      <c r="B35" s="212" t="s">
        <v>565</v>
      </c>
      <c r="C35" s="213" t="str">
        <f t="shared" si="0"/>
        <v>Mitchell, Melody</v>
      </c>
      <c r="D35" s="215" t="str">
        <f t="shared" si="1"/>
        <v>17 days</v>
      </c>
      <c r="E35" s="218" t="str">
        <f t="shared" si="2"/>
        <v>Website</v>
      </c>
      <c r="F35" s="215" t="s">
        <v>559</v>
      </c>
      <c r="G35" s="216" t="s">
        <v>566</v>
      </c>
      <c r="H35" s="217"/>
      <c r="I35"/>
      <c r="J35"/>
      <c r="K35"/>
    </row>
    <row r="36" spans="1:11" s="138" customFormat="1" ht="16" customHeight="1">
      <c r="A36"/>
      <c r="B36" s="212" t="s">
        <v>567</v>
      </c>
      <c r="C36" s="213" t="str">
        <f t="shared" si="0"/>
        <v>Williams, LaAsia</v>
      </c>
      <c r="D36" s="221" t="str">
        <f t="shared" si="1"/>
        <v>55 days</v>
      </c>
      <c r="E36" s="218" t="str">
        <f t="shared" si="2"/>
        <v>Drive By</v>
      </c>
      <c r="F36" s="222" t="s">
        <v>568</v>
      </c>
      <c r="G36" s="216" t="s">
        <v>569</v>
      </c>
      <c r="H36" s="217"/>
      <c r="I36"/>
      <c r="J36"/>
      <c r="K36"/>
    </row>
    <row r="37" spans="1:11" s="138" customFormat="1" ht="16" customHeight="1">
      <c r="A37"/>
      <c r="B37" s="212" t="s">
        <v>570</v>
      </c>
      <c r="C37" s="213" t="str">
        <f t="shared" si="0"/>
        <v>—</v>
      </c>
      <c r="D37" s="223" t="str">
        <f t="shared" si="1"/>
        <v>—</v>
      </c>
      <c r="E37" s="218" t="str">
        <f t="shared" si="2"/>
        <v>—</v>
      </c>
      <c r="F37" s="222" t="s">
        <v>568</v>
      </c>
      <c r="G37" s="216" t="s">
        <v>571</v>
      </c>
      <c r="H37" s="217"/>
      <c r="I37"/>
      <c r="J37"/>
      <c r="K37"/>
    </row>
    <row r="38" spans="1:11" s="138" customFormat="1" ht="6" customHeight="1">
      <c r="A38"/>
      <c r="B38"/>
      <c r="C38"/>
      <c r="D38"/>
      <c r="E38"/>
      <c r="F38"/>
      <c r="G38" s="224"/>
      <c r="H38" s="224"/>
      <c r="I38"/>
      <c r="J38"/>
      <c r="K38"/>
    </row>
    <row r="39" spans="1:11" ht="16" customHeight="1" thickBot="1">
      <c r="B39" s="341" t="s">
        <v>572</v>
      </c>
      <c r="C39" s="180"/>
      <c r="D39" s="180"/>
      <c r="E39" s="180"/>
      <c r="F39" s="180"/>
      <c r="G39" s="180"/>
      <c r="H39" s="180"/>
    </row>
    <row r="40" spans="1:11" ht="14.15" customHeight="1">
      <c r="B40" s="343" t="s">
        <v>573</v>
      </c>
      <c r="C40" s="344" t="s">
        <v>574</v>
      </c>
      <c r="D40" s="344" t="str">
        <f>"% of "&amp;C5</f>
        <v>% of 168</v>
      </c>
      <c r="E40" s="344" t="s">
        <v>575</v>
      </c>
      <c r="F40" s="344" t="s">
        <v>528</v>
      </c>
      <c r="G40" s="344" t="s">
        <v>529</v>
      </c>
      <c r="H40" s="347" t="s">
        <v>576</v>
      </c>
    </row>
    <row r="41" spans="1:11" ht="14.15" customHeight="1">
      <c r="B41" s="156" t="s">
        <v>577</v>
      </c>
      <c r="C41" s="157">
        <f>COUNTIF(F66:F203,B41)</f>
        <v>13</v>
      </c>
      <c r="D41" s="243">
        <f>IFERROR(C41/C5,0)</f>
        <v>7.7380952380952384E-2</v>
      </c>
      <c r="E41" s="158">
        <f>COUNTIFS(F66:F203,B41,E66:E203,"In Review")+COUNTIFS(F66:F203,B41,E66:E203,"Incomplete")</f>
        <v>1</v>
      </c>
      <c r="F41" s="159">
        <f>COUNTIFS(F66:F203,B41,E66:E203,"Cancelled/Denied")</f>
        <v>10</v>
      </c>
      <c r="G41" s="157">
        <f>COUNTIFS(F66:F203,B41,E66:E203,"Converted")</f>
        <v>2</v>
      </c>
      <c r="H41" s="181" t="str">
        <f>"Highest volume ("&amp;C41&amp;" apps, "&amp;ROUND(D41*100,0)&amp;"%). "&amp;F41&amp;" cancels vs "&amp;G41&amp;" conversions. 52% cancel rate — needs pipeline quality review."</f>
        <v>Highest volume (13 apps, 8%). 10 cancels vs 2 conversions. 52% cancel rate — needs pipeline quality review.</v>
      </c>
    </row>
    <row r="42" spans="1:11" ht="14.15" customHeight="1">
      <c r="B42" s="156" t="s">
        <v>578</v>
      </c>
      <c r="C42" s="157">
        <f>COUNTIF(F66:F203,B42)</f>
        <v>19</v>
      </c>
      <c r="D42" s="243">
        <f>IFERROR(C42/C5,0)</f>
        <v>0.1130952380952381</v>
      </c>
      <c r="E42" s="158">
        <f>COUNTIFS(F66:F203,B42,E66:E203,"In Review")+COUNTIFS(F66:F203,B42,E66:E203,"Incomplete")</f>
        <v>4</v>
      </c>
      <c r="F42" s="159">
        <f>COUNTIFS(F66:F203,B42,E66:E203,"Cancelled/Denied")</f>
        <v>8</v>
      </c>
      <c r="G42" s="158">
        <f>COUNTIFS(F66:F203,B42,E66:E203,"Converted")</f>
        <v>7</v>
      </c>
      <c r="H42" s="182" t="str">
        <f>"TOP PERFORMER: "&amp;G42&amp;" of "&amp;C8&amp;" total conversions ("&amp;ROUND(G42/C8*100,0)&amp;"%). Zero cancels. Doubled from 2-3 conversions last wk. Model for team."</f>
        <v>TOP PERFORMER: 7 of 42 total conversions (17%). Zero cancels. Doubled from 2-3 conversions last wk. Model for team.</v>
      </c>
    </row>
    <row r="43" spans="1:11" ht="14.15" customHeight="1">
      <c r="B43" s="156" t="s">
        <v>579</v>
      </c>
      <c r="C43" s="157">
        <f>COUNTIF(F66:F203,B43)</f>
        <v>15</v>
      </c>
      <c r="D43" s="243">
        <f>IFERROR(C43/C5,0)</f>
        <v>8.9285714285714288E-2</v>
      </c>
      <c r="E43" s="158">
        <f>COUNTIFS(F66:F203,B43,E66:E203,"In Review")+COUNTIFS(F66:F203,B43,E66:E203,"Incomplete")</f>
        <v>2</v>
      </c>
      <c r="F43" s="159">
        <f>COUNTIFS(F66:F203,B43,E66:E203,"Cancelled/Denied")</f>
        <v>7</v>
      </c>
      <c r="G43" s="157">
        <f>COUNTIFS(F66:F203,B43,E66:E203,"Converted")</f>
        <v>6</v>
      </c>
      <c r="H43" s="181" t="str">
        <f>F43&amp;" cancels out of "&amp;C43&amp;" apps ("&amp;ROUND(F43/C43*100,0)&amp;"% cancel rate). "&amp;E43&amp;" still open — 2nd largest open pipeline. Conversion opportunity if decisioning speeds up."</f>
        <v>7 cancels out of 15 apps (47% cancel rate). 2 still open — 2nd largest open pipeline. Conversion opportunity if decisioning speeds up.</v>
      </c>
    </row>
    <row r="44" spans="1:11" ht="14.15" customHeight="1">
      <c r="B44" s="156" t="s">
        <v>580</v>
      </c>
      <c r="C44" s="157">
        <f>COUNTIF(F66:F203,"Reyes, Martha")+COUNTIF(F66:F203,"Reyes, Josie")</f>
        <v>15</v>
      </c>
      <c r="D44" s="243">
        <f>IFERROR(C44/C5,0)</f>
        <v>8.9285714285714288E-2</v>
      </c>
      <c r="E44" s="158">
        <f>COUNTIFS(F66:F203,"Reyes, Martha",E66:E203,"In Review")+COUNTIFS(F66:F203,"Reyes, Martha",E66:E203,"Incomplete")+COUNTIFS(F66:F203,"Reyes, Josie",E66:E203,"In Review")+COUNTIFS(F66:F203,"Reyes, Josie",E66:E203,"Incomplete")</f>
        <v>1</v>
      </c>
      <c r="F44" s="159">
        <f>COUNTIFS(F66:F203,"Reyes, Martha",E66:E203,"Cancelled/Denied")+COUNTIFS(F66:F203,"Reyes, Josie",E66:E203,"Cancelled/Denied")</f>
        <v>8</v>
      </c>
      <c r="G44" s="157">
        <f>COUNTIFS(F66:F203,"Reyes, Martha",E66:E203,"Converted")+COUNTIFS(F66:F203,"Reyes, Josie",E66:E203,"Converted")</f>
        <v>6</v>
      </c>
      <c r="H44" s="714" t="str">
        <f>F44&amp;" cancels out of "&amp;C44&amp;" apps ("&amp;ROUND(F44/C44*100,0)&amp;"% cancel rate). "&amp;E44&amp;" still open, 0 conversions. Highest cancel rate on team — needs screening review."</f>
        <v>8 cancels out of 15 apps (53% cancel rate). 1 still open, 0 conversions. Highest cancel rate on team — needs screening review.</v>
      </c>
    </row>
    <row r="45" spans="1:11" ht="14.15" customHeight="1">
      <c r="B45" s="156" t="s">
        <v>581</v>
      </c>
      <c r="C45" s="157">
        <f>COUNTIF(F66:F203,B45)</f>
        <v>16</v>
      </c>
      <c r="D45" s="243">
        <f>IFERROR(C45/C5,0)</f>
        <v>9.5238095238095233E-2</v>
      </c>
      <c r="E45" s="158">
        <f>COUNTIFS(F66:F203,B45,E66:E203,"In Review")+COUNTIFS(F66:F203,B45,E66:E203,"Incomplete")</f>
        <v>7</v>
      </c>
      <c r="F45" s="159">
        <f>COUNTIFS(F66:F203,B45,E66:E203,"Cancelled/Denied")</f>
        <v>8</v>
      </c>
      <c r="G45" s="157">
        <f>COUNTIFS(F66:F203,B45,E66:E203,"Converted")</f>
        <v>1</v>
      </c>
      <c r="H45" s="181" t="str">
        <f>F45&amp;" cancel, "&amp;E45&amp;" still open out of "&amp;C45&amp;" apps. No conversions yet but 86% still active — conversion opportunity if pipeline is worked."</f>
        <v>8 cancel, 7 still open out of 16 apps. No conversions yet but 86% still active — conversion opportunity if pipeline is worked.</v>
      </c>
    </row>
    <row r="46" spans="1:11" ht="14.15" customHeight="1">
      <c r="B46" s="156" t="s">
        <v>582</v>
      </c>
      <c r="C46" s="157">
        <f>COUNTIF(F66:F203,B46)</f>
        <v>18</v>
      </c>
      <c r="D46" s="243">
        <f>IFERROR(C46/C5,0)</f>
        <v>0.10714285714285714</v>
      </c>
      <c r="E46" s="158">
        <f>COUNTIFS(F66:F203,B46,E66:E203,"In Review")+COUNTIFS(F66:F203,B46,E66:E203,"Incomplete")</f>
        <v>8</v>
      </c>
      <c r="F46" s="159">
        <f>COUNTIFS(F66:F203,B46,E66:E203,"Cancelled/Denied")</f>
        <v>3</v>
      </c>
      <c r="G46" s="157">
        <f>COUNTIFS(F66:F203,B46,E66:E203,"Converted")</f>
        <v>7</v>
      </c>
      <c r="H46" s="181" t="str">
        <f>F46&amp;" cancels, "&amp;E46&amp;" still open out of "&amp;C46&amp;" apps. 50% cancel rate, 0 conversions. Needs support or reassignment of open apps."</f>
        <v>3 cancels, 8 still open out of 18 apps. 50% cancel rate, 0 conversions. Needs support or reassignment of open apps.</v>
      </c>
    </row>
    <row r="47" spans="1:11" ht="14.15" customHeight="1">
      <c r="B47" s="156" t="s">
        <v>583</v>
      </c>
      <c r="C47" s="157">
        <f>COUNTIF(F66:F203,B47)</f>
        <v>15</v>
      </c>
      <c r="D47" s="243">
        <f>IFERROR(C47/C5,0)</f>
        <v>8.9285714285714288E-2</v>
      </c>
      <c r="E47" s="158">
        <f>COUNTIFS(F66:F203,B47,E66:E203,"In Review")+COUNTIFS(F66:F203,B47,E66:E203,"Incomplete")</f>
        <v>3</v>
      </c>
      <c r="F47" s="159">
        <f>COUNTIFS(F66:F203,B47,E66:E203,"Cancelled/Denied")</f>
        <v>7</v>
      </c>
      <c r="G47" s="157">
        <f>COUNTIFS(F66:F203,B47,E66:E203,"Converted")</f>
        <v>5</v>
      </c>
      <c r="H47" s="181" t="str">
        <f>F47&amp;" cancels out of "&amp;C47&amp;" apps. "&amp;G47&amp;" conversion. "&amp;E47&amp;" still open. Mixed results — has proven ability to convert."</f>
        <v>7 cancels out of 15 apps. 5 conversion. 3 still open. Mixed results — has proven ability to convert.</v>
      </c>
    </row>
    <row r="48" spans="1:11" ht="14.15" customHeight="1">
      <c r="B48" s="156" t="s">
        <v>584</v>
      </c>
      <c r="C48" s="157">
        <f>COUNTIF(F66:F203,B48)</f>
        <v>0</v>
      </c>
      <c r="D48" s="243">
        <f>IFERROR(C48/C5,0)</f>
        <v>0</v>
      </c>
      <c r="E48" s="158">
        <f>COUNTIFS(F66:F203,B48,E66:E203,"In Review")+COUNTIFS(F66:F203,B48,E66:E203,"Incomplete")</f>
        <v>0</v>
      </c>
      <c r="F48" s="159">
        <f>COUNTIFS(F66:F203,B48,E66:E203,"Cancelled/Denied")</f>
        <v>0</v>
      </c>
      <c r="G48" s="157">
        <f>COUNTIFS(F66:F203,B48,E66:E203,"Converted")</f>
        <v>0</v>
      </c>
      <c r="H48" s="181" t="str">
        <f>"Single app — "&amp;E48&amp;" still in review. New agent, too early to assess."</f>
        <v>Single app — 0 still in review. New agent, too early to assess.</v>
      </c>
    </row>
    <row r="49" spans="1:11" ht="14.15" customHeight="1">
      <c r="B49" s="589" t="s">
        <v>585</v>
      </c>
      <c r="C49" s="590">
        <f>COUNTIF(F66:F203,"HOUSE*")+COUNTIF(F66:F203,"Not Assigned")</f>
        <v>22</v>
      </c>
      <c r="D49" s="591">
        <f>IFERROR(C49/C5,0)</f>
        <v>0.13095238095238096</v>
      </c>
      <c r="E49" s="159">
        <f>COUNTIFS(F66:F203,"HOUSE*",E66:E203,"In Review")+COUNTIFS(F66:F203,"HOUSE*",E66:E203,"Incomplete")+COUNTIFS(F66:F203,"Not Assigned",E66:E203,"In Review")+COUNTIFS(F66:F203,"Not Assigned",E66:E203,"Incomplete")</f>
        <v>4</v>
      </c>
      <c r="F49" s="159">
        <f>COUNTIFS(F66:F203,"HOUSE*",E66:E203,"Cancelled/Denied")+COUNTIFS(F66:F203,"Not Assigned",E66:E203,"Cancelled/Denied")</f>
        <v>17</v>
      </c>
      <c r="G49" s="157">
        <f>COUNTIFS(F66:F203,"HOUSE*",E66:E203,"Converted")+COUNTIFS(F66:F203,"Not Assigned",E66:E203,"Converted")</f>
        <v>1</v>
      </c>
      <c r="H49" s="183" t="str">
        <f>ROUND(C49/C5*100,0)&amp;"% of pipeline has NO named agent ("&amp;C49&amp;" apps). Highest stall risk. PRIORITY: assign agents to "&amp;E49&amp;" open apps to unlock conversions."</f>
        <v>13% of pipeline has NO named agent (22 apps). Highest stall risk. PRIORITY: assign agents to 4 open apps to unlock conversions.</v>
      </c>
    </row>
    <row r="50" spans="1:11" ht="14.15" customHeight="1">
      <c r="B50" s="161" t="s">
        <v>291</v>
      </c>
      <c r="C50" s="162">
        <f>SUM(C41:C49)</f>
        <v>133</v>
      </c>
      <c r="D50" s="244">
        <f>IFERROR(SUM(D41:D49),0)</f>
        <v>0.79166666666666663</v>
      </c>
      <c r="E50" s="163">
        <f>SUM(E41:E49)</f>
        <v>30</v>
      </c>
      <c r="F50" s="164">
        <f>SUM(F41:F49)</f>
        <v>68</v>
      </c>
      <c r="G50" s="162">
        <f>SUM(G41:G49)</f>
        <v>35</v>
      </c>
      <c r="H50" s="184"/>
    </row>
    <row r="51" spans="1:11" s="138" customFormat="1">
      <c r="A51"/>
      <c r="B51"/>
      <c r="C51"/>
      <c r="D51"/>
      <c r="E51"/>
      <c r="F51"/>
      <c r="G51"/>
      <c r="H51"/>
    </row>
    <row r="52" spans="1:11" ht="16" customHeight="1" thickBot="1">
      <c r="B52" s="341" t="s">
        <v>586</v>
      </c>
      <c r="C52" s="180"/>
      <c r="D52" s="180"/>
      <c r="E52" s="180"/>
      <c r="F52" s="180"/>
      <c r="G52" s="180"/>
      <c r="H52" s="180"/>
    </row>
    <row r="53" spans="1:11" ht="14.15" customHeight="1">
      <c r="B53" s="343" t="s">
        <v>556</v>
      </c>
      <c r="C53" s="344" t="s">
        <v>574</v>
      </c>
      <c r="D53" s="344" t="str">
        <f>"% of "&amp;C5</f>
        <v>% of 168</v>
      </c>
      <c r="E53" s="344" t="s">
        <v>575</v>
      </c>
      <c r="F53" s="344" t="s">
        <v>528</v>
      </c>
      <c r="G53" s="344" t="s">
        <v>529</v>
      </c>
      <c r="H53" s="345" t="s">
        <v>357</v>
      </c>
    </row>
    <row r="54" spans="1:11" ht="14.15" customHeight="1">
      <c r="B54" s="165" t="s">
        <v>587</v>
      </c>
      <c r="C54" s="157">
        <f>COUNTIF(G66:G203,B54)</f>
        <v>75</v>
      </c>
      <c r="D54" s="243">
        <f>IFERROR(C54/C5,0)</f>
        <v>0.44642857142857145</v>
      </c>
      <c r="E54" s="158">
        <f>COUNTIFS(G66:G203,B54,E66:E203,"In Review")+COUNTIFS(G66:G203,B54,E66:E203,"Incomplete")</f>
        <v>21</v>
      </c>
      <c r="F54" s="159">
        <f>COUNTIFS(G66:G203,B54,E66:E203,"Cancelled/Denied")</f>
        <v>44</v>
      </c>
      <c r="G54" s="158">
        <f>COUNTIFS(G66:G203,B54,E66:E203,"Converted")</f>
        <v>10</v>
      </c>
      <c r="H54" s="246">
        <f t="shared" ref="H54:H61" si="3">IFERROR(G54/C54,0)</f>
        <v>0.13333333333333333</v>
      </c>
    </row>
    <row r="55" spans="1:11" ht="14.15" customHeight="1">
      <c r="B55" s="165" t="s">
        <v>588</v>
      </c>
      <c r="C55" s="157">
        <f>COUNTIF(G66:G203,B55)</f>
        <v>13</v>
      </c>
      <c r="D55" s="243">
        <f>IFERROR(C55/C5,0)</f>
        <v>7.7380952380952384E-2</v>
      </c>
      <c r="E55" s="158">
        <f>COUNTIFS(G66:G203,B55,E66:E203,"In Review")+COUNTIFS(G66:G203,B55,E66:E203,"Incomplete")</f>
        <v>3</v>
      </c>
      <c r="F55" s="159">
        <f>COUNTIFS(G66:G203,B55,E66:E203,"Cancelled/Denied")</f>
        <v>3</v>
      </c>
      <c r="G55" s="157">
        <f>COUNTIFS(G66:G203,B55,E66:E203,"Converted")</f>
        <v>7</v>
      </c>
      <c r="H55" s="247">
        <f t="shared" si="3"/>
        <v>0.53846153846153844</v>
      </c>
    </row>
    <row r="56" spans="1:11" ht="14.15" customHeight="1">
      <c r="B56" s="165" t="s">
        <v>589</v>
      </c>
      <c r="C56" s="157">
        <f>COUNTIF(G66:G203,B56)</f>
        <v>8</v>
      </c>
      <c r="D56" s="243">
        <f>IFERROR(C56/C5,0)</f>
        <v>4.7619047619047616E-2</v>
      </c>
      <c r="E56" s="158">
        <f>COUNTIFS(G66:G203,B56,E66:E203,"In Review")+COUNTIFS(G66:G203,B56,E66:E203,"Incomplete")</f>
        <v>1</v>
      </c>
      <c r="F56" s="157">
        <f>COUNTIFS(G66:G203,B56,E66:E203,"Cancelled/Denied")</f>
        <v>5</v>
      </c>
      <c r="G56" s="157">
        <f>COUNTIFS(G66:G203,B56,E66:E203,"Converted")</f>
        <v>2</v>
      </c>
      <c r="H56" s="248">
        <f t="shared" si="3"/>
        <v>0.25</v>
      </c>
    </row>
    <row r="57" spans="1:11" ht="14.15" customHeight="1">
      <c r="B57" s="166" t="s">
        <v>590</v>
      </c>
      <c r="C57" s="160">
        <f>COUNTIF(G66:G203,B57)</f>
        <v>3</v>
      </c>
      <c r="D57" s="245">
        <f>IFERROR(C57/C5,0)</f>
        <v>1.7857142857142856E-2</v>
      </c>
      <c r="E57" s="159">
        <f>COUNTIFS(G66:G203,B57,E66:E203,"In Review")+COUNTIFS(G66:G203,B57,E66:E203,"Incomplete")</f>
        <v>1</v>
      </c>
      <c r="F57" s="160">
        <f>COUNTIFS(G66:G203,B57,E66:E203,"Cancelled/Denied")</f>
        <v>2</v>
      </c>
      <c r="G57" s="159">
        <f>COUNTIFS(G66:G203,B57,E66:E203,"Converted")</f>
        <v>0</v>
      </c>
      <c r="H57" s="249">
        <f t="shared" si="3"/>
        <v>0</v>
      </c>
    </row>
    <row r="58" spans="1:11" ht="14.15" customHeight="1">
      <c r="B58" s="165" t="s">
        <v>591</v>
      </c>
      <c r="C58" s="157">
        <f>COUNTIF(G66:G203,B58)</f>
        <v>6</v>
      </c>
      <c r="D58" s="243">
        <f>IFERROR(C58/C5,0)</f>
        <v>3.5714285714285712E-2</v>
      </c>
      <c r="E58" s="158">
        <f>COUNTIFS(G66:G203,B58,E66:E203,"In Review")+COUNTIFS(G66:G203,B58,E66:E203,"Incomplete")</f>
        <v>1</v>
      </c>
      <c r="F58" s="157">
        <f>COUNTIFS(G66:G203,B58,E66:E203,"Cancelled/Denied")</f>
        <v>2</v>
      </c>
      <c r="G58" s="158">
        <f>COUNTIFS(G66:G203,B58,E66:E203,"Converted")</f>
        <v>3</v>
      </c>
      <c r="H58" s="246">
        <f t="shared" si="3"/>
        <v>0.5</v>
      </c>
    </row>
    <row r="59" spans="1:11" ht="14.15" customHeight="1">
      <c r="B59" s="165" t="s">
        <v>592</v>
      </c>
      <c r="C59" s="157">
        <f>COUNTIF(G66:G203,B59)</f>
        <v>21</v>
      </c>
      <c r="D59" s="243">
        <f>IFERROR(C59/C5,0)</f>
        <v>0.125</v>
      </c>
      <c r="E59" s="158">
        <f>COUNTIFS(G66:G203,B59,E66:E203,"In Review")+COUNTIFS(G66:G203,B59,E66:E203,"Incomplete")</f>
        <v>5</v>
      </c>
      <c r="F59" s="159">
        <f>COUNTIFS(G66:G203,B59,E66:E203,"Cancelled/Denied")</f>
        <v>10</v>
      </c>
      <c r="G59" s="157">
        <f>COUNTIFS(G66:G203,B59,E66:E203,"Converted")</f>
        <v>6</v>
      </c>
      <c r="H59" s="247">
        <f t="shared" si="3"/>
        <v>0.2857142857142857</v>
      </c>
    </row>
    <row r="60" spans="1:11" ht="14.15" customHeight="1">
      <c r="B60" s="165" t="s">
        <v>593</v>
      </c>
      <c r="C60" s="157">
        <f>COUNTIF(G66:G203,B60)</f>
        <v>2</v>
      </c>
      <c r="D60" s="243">
        <f>IFERROR(C60/C5,0)</f>
        <v>1.1904761904761904E-2</v>
      </c>
      <c r="E60" s="158">
        <f>COUNTIFS(G66:G203,B60,E66:E203,"In Review")+COUNTIFS(G66:G203,B60,E66:E203,"Incomplete")</f>
        <v>1</v>
      </c>
      <c r="F60" s="157">
        <f>COUNTIFS(G66:G203,B60,E66:E203,"Cancelled/Denied")</f>
        <v>0</v>
      </c>
      <c r="G60" s="157">
        <f>COUNTIFS(G66:G203,B60,E66:E203,"Converted")</f>
        <v>1</v>
      </c>
      <c r="H60" s="248">
        <f t="shared" si="3"/>
        <v>0.5</v>
      </c>
    </row>
    <row r="61" spans="1:11" ht="14.15" customHeight="1">
      <c r="B61" s="165" t="s">
        <v>594</v>
      </c>
      <c r="C61" s="157">
        <f>C5-SUM(C54:C60)</f>
        <v>40</v>
      </c>
      <c r="D61" s="243">
        <f>IFERROR(C61/C5,0)</f>
        <v>0.23809523809523808</v>
      </c>
      <c r="E61" s="158">
        <f>C6-SUM(E54:E60)</f>
        <v>13</v>
      </c>
      <c r="F61" s="157">
        <f>C7-SUM(F54:F60)</f>
        <v>14</v>
      </c>
      <c r="G61" s="157">
        <f>C8-SUM(G54:G60)</f>
        <v>13</v>
      </c>
      <c r="H61" s="250">
        <f t="shared" si="3"/>
        <v>0.32500000000000001</v>
      </c>
    </row>
    <row r="62" spans="1:11" ht="14.15" customHeight="1">
      <c r="B62" s="168" t="s">
        <v>291</v>
      </c>
      <c r="C62" s="162">
        <f>SUM(C54:C61)</f>
        <v>168</v>
      </c>
      <c r="D62" s="244">
        <f>IFERROR(SUM(D54:D61),0)</f>
        <v>1</v>
      </c>
      <c r="E62" s="163">
        <f>SUM(E54:E61)</f>
        <v>46</v>
      </c>
      <c r="F62" s="162">
        <f>SUM(F54:F61)</f>
        <v>80</v>
      </c>
      <c r="G62" s="162">
        <f>SUM(G54:G61)</f>
        <v>42</v>
      </c>
      <c r="H62" s="169" t="str">
        <f>IFERROR(ROUND(G62/C62,1)*100,0)&amp;"% overall"</f>
        <v>30% overall</v>
      </c>
    </row>
    <row r="63" spans="1:11" s="138" customFormat="1">
      <c r="D63" s="252" t="s">
        <v>595</v>
      </c>
      <c r="E63" s="253" t="s">
        <v>596</v>
      </c>
      <c r="F63" s="254" t="s">
        <v>597</v>
      </c>
      <c r="G63" s="255" t="s">
        <v>598</v>
      </c>
    </row>
    <row r="64" spans="1:11" ht="16" customHeight="1" thickBot="1">
      <c r="A64" s="145"/>
      <c r="B64" s="341" t="s">
        <v>599</v>
      </c>
      <c r="C64" s="179"/>
      <c r="D64" s="179"/>
      <c r="E64" s="179"/>
      <c r="F64" s="179"/>
      <c r="G64" s="179"/>
      <c r="H64" s="179"/>
      <c r="I64" s="179"/>
      <c r="J64" s="179"/>
      <c r="K64" s="179"/>
    </row>
    <row r="65" spans="1:11" ht="14.15" customHeight="1">
      <c r="A65" s="145"/>
      <c r="B65" s="348" t="s">
        <v>496</v>
      </c>
      <c r="C65" s="348" t="s">
        <v>554</v>
      </c>
      <c r="D65" s="346" t="s">
        <v>600</v>
      </c>
      <c r="E65" s="346" t="s">
        <v>601</v>
      </c>
      <c r="F65" s="346" t="s">
        <v>602</v>
      </c>
      <c r="G65" s="346" t="s">
        <v>556</v>
      </c>
      <c r="H65" s="346" t="s">
        <v>603</v>
      </c>
      <c r="I65" s="346" t="s">
        <v>604</v>
      </c>
      <c r="J65" s="346" t="s">
        <v>605</v>
      </c>
      <c r="K65" s="346" t="s">
        <v>555</v>
      </c>
    </row>
    <row r="66" spans="1:11" ht="14.15" customHeight="1">
      <c r="A66" s="145"/>
      <c r="B66" s="235" t="str" cm="1">
        <f t="array" ref="B66:B233">_xlfn._xlws.SORT(_xlfn.UNIQUE(_xlfn._xlws.FILTER(_xlfn.VSTACK(Application_Status_Feb!I$2:I$561,Application_Status_Mar!I$2:I$2000,Application_Status_Apr!I$2:I$3000),(_xlfn.VSTACK(Application_Status_Feb!I$2:I$561,Application_Status_Mar!I$2:I$2000,Application_Status_Apr!I$2:I$3000)&lt;&gt;"")*(LEFT(_xlfn.VSTACK(Application_Status_Feb!E$2:E$561,Application_Status_Mar!E$2:E$2000,Application_Status_Apr!E$2:E$3000),3)&lt;&gt;"Gue")*(_xlfn.VSTACK(Application_Status_Feb!J$2:J$561,Application_Status_Mar!J$2:J$2000,Application_Status_Apr!J$2:J$3000)&gt;=46054))))</f>
        <v>N01-1001</v>
      </c>
      <c r="C66" s="236" t="str" cm="1">
        <f t="array" ref="C66">_xlfn.LET(_xlpm.u,B66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Nataren Quintanilla, Johnathan</v>
      </c>
      <c r="D66" s="237" t="str" cm="1">
        <f t="array" ref="D66">_xlfn.LET(_xlpm.u,B66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66" s="237" t="str">
        <f t="shared" ref="E66:E97" si="4">IF(D66="Not Found","No Record",IF(OR(ISNUMBER(SEARCH("Cancelled",D66)),ISNUMBER(SEARCH("Denied",D66))),"Cancelled/Denied",IF(ISNUMBER(SEARCH("Lease",D66)),"Converted",IF(ISNUMBER(SEARCH("Completed",D66)),"In Review",IF(ISNUMBER(SEARCH("Started",D66)),"Incomplete","Other")))))</f>
        <v>Converted</v>
      </c>
      <c r="F66" s="237" t="str" cm="1">
        <f t="array" ref="F66">_xlfn.LET(_xlpm.u,B66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66" s="237" t="str" cm="1">
        <f t="array" ref="G66">_xlfn.LET(_xlpm.u,B66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66" s="238" cm="1">
        <f t="array" ref="H66">_xlfn.LET(_xlpm.u,B66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46104</v>
      </c>
      <c r="I66" s="238" cm="1">
        <f t="array" ref="I66">_xlfn.LET(_xlpm.u,B66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46104</v>
      </c>
      <c r="J66" s="238" t="str">
        <f>IF(E66&lt;&gt;"Cancelled/Denied","—",_xlfn.LET(_xlpm.u,B66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66" s="237" t="str">
        <f t="shared" ref="K66:K97" si="5">IF(OR(E66="Cancelled/Denied",E66="Converted",E66="No Record",C66="NO RECORD"),"—",IF(ISNUMBER(H66),$C$3-H66,"—"))</f>
        <v>—</v>
      </c>
    </row>
    <row r="67" spans="1:11" ht="14.15" customHeight="1">
      <c r="A67" s="145"/>
      <c r="B67" s="236" t="str">
        <v>N01-1002</v>
      </c>
      <c r="C67" s="236" t="str" cm="1">
        <f t="array" ref="C67">_xlfn.LET(_xlpm.u,B67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Jones, Courtney</v>
      </c>
      <c r="D67" s="237" t="str" cm="1">
        <f t="array" ref="D67">_xlfn.LET(_xlpm.u,B67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67" s="237" t="str">
        <f t="shared" si="4"/>
        <v>Cancelled/Denied</v>
      </c>
      <c r="F67" s="237" t="str" cm="1">
        <f t="array" ref="F67">_xlfn.LET(_xlpm.u,B67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67" s="237" t="str" cm="1">
        <f t="array" ref="G67">_xlfn.LET(_xlpm.u,B67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67" s="238" cm="1">
        <f t="array" ref="H67">_xlfn.LET(_xlpm.u,B67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46024</v>
      </c>
      <c r="I67" s="238" cm="1">
        <f t="array" ref="I67">_xlfn.LET(_xlpm.u,B67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67" s="238">
        <f>IF(E67&lt;&gt;"Cancelled/Denied","—",_xlfn.LET(_xlpm.u,B67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67" s="237" t="str">
        <f t="shared" si="5"/>
        <v>—</v>
      </c>
    </row>
    <row r="68" spans="1:11" ht="14.15" customHeight="1">
      <c r="A68" s="145"/>
      <c r="B68" s="236" t="str">
        <v>N01-1003</v>
      </c>
      <c r="C68" s="236" t="str" cm="1">
        <f t="array" ref="C68">_xlfn.LET(_xlpm.u,B68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Villarreal, Zenaida</v>
      </c>
      <c r="D68" s="237" t="str" cm="1">
        <f t="array" ref="D68">_xlfn.LET(_xlpm.u,B68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68" s="237" t="str">
        <f t="shared" si="4"/>
        <v>Cancelled/Denied</v>
      </c>
      <c r="F68" s="237" t="str" cm="1">
        <f t="array" ref="F68">_xlfn.LET(_xlpm.u,B68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Martha</v>
      </c>
      <c r="G68" s="237" t="str" cm="1">
        <f t="array" ref="G68">_xlfn.LET(_xlpm.u,B68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68" s="238" cm="1">
        <f t="array" ref="H68">_xlfn.LET(_xlpm.u,B68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46071</v>
      </c>
      <c r="I68" s="238" cm="1">
        <f t="array" ref="I68">_xlfn.LET(_xlpm.u,B68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46073</v>
      </c>
      <c r="J68" s="238">
        <f>IF(E68&lt;&gt;"Cancelled/Denied","—",_xlfn.LET(_xlpm.u,B68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68" s="237" t="str">
        <f t="shared" si="5"/>
        <v>—</v>
      </c>
    </row>
    <row r="69" spans="1:11" ht="14.15" customHeight="1">
      <c r="A69" s="145"/>
      <c r="B69" s="236" t="str">
        <v>N01-3003</v>
      </c>
      <c r="C69" s="236" t="str" cm="1">
        <f t="array" ref="C69">_xlfn.LET(_xlpm.u,B69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Tennyson, Daneshia</v>
      </c>
      <c r="D69" s="237" t="str" cm="1">
        <f t="array" ref="D69">_xlfn.LET(_xlpm.u,B69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69" s="237" t="str">
        <f t="shared" si="4"/>
        <v>Cancelled/Denied</v>
      </c>
      <c r="F69" s="237" t="str" cm="1">
        <f t="array" ref="F69">_xlfn.LET(_xlpm.u,B69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69" s="237" t="str" cm="1">
        <f t="array" ref="G69">_xlfn.LET(_xlpm.u,B69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69" s="238" cm="1">
        <f t="array" ref="H69">_xlfn.LET(_xlpm.u,B69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46069</v>
      </c>
      <c r="I69" s="238" cm="1">
        <f t="array" ref="I69">_xlfn.LET(_xlpm.u,B69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69" s="238">
        <f>IF(E69&lt;&gt;"Cancelled/Denied","—",_xlfn.LET(_xlpm.u,B69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69" s="237" t="str">
        <f t="shared" si="5"/>
        <v>—</v>
      </c>
    </row>
    <row r="70" spans="1:11" ht="14.15" customHeight="1">
      <c r="A70" s="145"/>
      <c r="B70" s="236" t="str">
        <v>N01-3004</v>
      </c>
      <c r="C70" s="236" t="str" cm="1">
        <f t="array" ref="C70">_xlfn.LET(_xlpm.u,B70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Perry, Amber</v>
      </c>
      <c r="D70" s="237" t="str" cm="1">
        <f t="array" ref="D70">_xlfn.LET(_xlpm.u,B70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70" s="237" t="str">
        <f t="shared" si="4"/>
        <v>Incomplete</v>
      </c>
      <c r="F70" s="237" t="str" cm="1">
        <f t="array" ref="F70">_xlfn.LET(_xlpm.u,B70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70" s="237" t="str" cm="1">
        <f t="array" ref="G70">_xlfn.LET(_xlpm.u,B70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70" s="238" cm="1">
        <f t="array" ref="H70">_xlfn.LET(_xlpm.u,B70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46123</v>
      </c>
      <c r="I70" s="238" cm="1">
        <f t="array" ref="I70">_xlfn.LET(_xlpm.u,B70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70" s="238" t="str">
        <f>IF(E70&lt;&gt;"Cancelled/Denied","—",_xlfn.LET(_xlpm.u,B70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70" s="237">
        <f t="shared" si="5"/>
        <v>16</v>
      </c>
    </row>
    <row r="71" spans="1:11" ht="14.15" customHeight="1">
      <c r="A71" s="145"/>
      <c r="B71" s="236" t="str">
        <v>N03-1018</v>
      </c>
      <c r="C71" s="236" t="str" cm="1">
        <f t="array" ref="C71">_xlfn.LET(_xlpm.u,B71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Smith, Philip</v>
      </c>
      <c r="D71" s="237" t="str" cm="1">
        <f t="array" ref="D71">_xlfn.LET(_xlpm.u,B71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71" s="237" t="str">
        <f t="shared" si="4"/>
        <v>Cancelled/Denied</v>
      </c>
      <c r="F71" s="237" t="str" cm="1">
        <f t="array" ref="F71">_xlfn.LET(_xlpm.u,B71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71" s="237" t="str" cm="1">
        <f t="array" ref="G71">_xlfn.LET(_xlpm.u,B71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71" s="238" cm="1">
        <f t="array" ref="H71">_xlfn.LET(_xlpm.u,B71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46137</v>
      </c>
      <c r="I71" s="238" cm="1">
        <f t="array" ref="I71">_xlfn.LET(_xlpm.u,B71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71" s="238">
        <f>IF(E71&lt;&gt;"Cancelled/Denied","—",_xlfn.LET(_xlpm.u,B71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46137</v>
      </c>
      <c r="K71" s="237" t="str">
        <f t="shared" si="5"/>
        <v>—</v>
      </c>
    </row>
    <row r="72" spans="1:11" ht="14.15" customHeight="1">
      <c r="A72" s="145"/>
      <c r="B72" s="236" t="str">
        <v>N03-1020</v>
      </c>
      <c r="C72" s="236" t="str" cm="1">
        <f t="array" ref="C72">_xlfn.LET(_xlpm.u,B72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Rice, Mccord</v>
      </c>
      <c r="D72" s="237" t="str" cm="1">
        <f t="array" ref="D72">_xlfn.LET(_xlpm.u,B72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72" s="237" t="str">
        <f t="shared" si="4"/>
        <v>Cancelled/Denied</v>
      </c>
      <c r="F72" s="237" t="str" cm="1">
        <f t="array" ref="F72">_xlfn.LET(_xlpm.u,B72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72" s="237" t="str" cm="1">
        <f t="array" ref="G72">_xlfn.LET(_xlpm.u,B72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72" s="238" cm="1">
        <f t="array" ref="H72">_xlfn.LET(_xlpm.u,B72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46110</v>
      </c>
      <c r="I72" s="238" cm="1">
        <f t="array" ref="I72">_xlfn.LET(_xlpm.u,B72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46110</v>
      </c>
      <c r="J72" s="238">
        <f>IF(E72&lt;&gt;"Cancelled/Denied","—",_xlfn.LET(_xlpm.u,B72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46137</v>
      </c>
      <c r="K72" s="237" t="str">
        <f t="shared" si="5"/>
        <v>—</v>
      </c>
    </row>
    <row r="73" spans="1:11" ht="14.15" customHeight="1">
      <c r="A73" s="145"/>
      <c r="B73" s="236" t="str">
        <v>N03-2018</v>
      </c>
      <c r="C73" s="236" t="str" cm="1">
        <f t="array" ref="C73">_xlfn.LET(_xlpm.u,B73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Ramirez, Samantha</v>
      </c>
      <c r="D73" s="237" t="str" cm="1">
        <f t="array" ref="D73">_xlfn.LET(_xlpm.u,B73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73" s="237" t="str">
        <f t="shared" si="4"/>
        <v>Cancelled/Denied</v>
      </c>
      <c r="F73" s="237" t="str" cm="1">
        <f t="array" ref="F73">_xlfn.LET(_xlpm.u,B73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73" s="237" t="str" cm="1">
        <f t="array" ref="G73">_xlfn.LET(_xlpm.u,B73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73" s="238" cm="1">
        <f t="array" ref="H73">_xlfn.LET(_xlpm.u,B73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46111</v>
      </c>
      <c r="I73" s="238" cm="1">
        <f t="array" ref="I73">_xlfn.LET(_xlpm.u,B73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46111</v>
      </c>
      <c r="J73" s="238">
        <f>IF(E73&lt;&gt;"Cancelled/Denied","—",_xlfn.LET(_xlpm.u,B73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46139</v>
      </c>
      <c r="K73" s="237" t="str">
        <f t="shared" si="5"/>
        <v>—</v>
      </c>
    </row>
    <row r="74" spans="1:11" ht="14.15" customHeight="1">
      <c r="A74" s="145"/>
      <c r="B74" s="236" t="str">
        <v>N05-1027</v>
      </c>
      <c r="C74" s="236" t="str" cm="1">
        <f t="array" ref="C74">_xlfn.LET(_xlpm.u,B74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Fears, Brandon</v>
      </c>
      <c r="D74" s="237" t="str" cm="1">
        <f t="array" ref="D74">_xlfn.LET(_xlpm.u,B74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74" s="237" t="str">
        <f t="shared" si="4"/>
        <v>Converted</v>
      </c>
      <c r="F74" s="237" t="str" cm="1">
        <f t="array" ref="F74">_xlfn.LET(_xlpm.u,B74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74" s="237" t="str" cm="1">
        <f t="array" ref="G74">_xlfn.LET(_xlpm.u,B74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Zillow</v>
      </c>
      <c r="H74" s="238" cm="1">
        <f t="array" ref="H74">_xlfn.LET(_xlpm.u,B74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46098</v>
      </c>
      <c r="I74" s="238" cm="1">
        <f t="array" ref="I74">_xlfn.LET(_xlpm.u,B74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46098</v>
      </c>
      <c r="J74" s="238" t="str">
        <f>IF(E74&lt;&gt;"Cancelled/Denied","—",_xlfn.LET(_xlpm.u,B74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74" s="237" t="str">
        <f t="shared" si="5"/>
        <v>—</v>
      </c>
    </row>
    <row r="75" spans="1:11" ht="14.15" customHeight="1">
      <c r="A75" s="145"/>
      <c r="B75" s="236" t="str">
        <v>N06-1031</v>
      </c>
      <c r="C75" s="236" t="str" cm="1">
        <f t="array" ref="C75">_xlfn.LET(_xlpm.u,B75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Derrett, DaTavia</v>
      </c>
      <c r="D75" s="237" t="str" cm="1">
        <f t="array" ref="D75">_xlfn.LET(_xlpm.u,B75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75" s="237" t="str">
        <f t="shared" si="4"/>
        <v>Cancelled/Denied</v>
      </c>
      <c r="F75" s="237" t="str" cm="1">
        <f t="array" ref="F75">_xlfn.LET(_xlpm.u,B75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75" s="237" t="str" cm="1">
        <f t="array" ref="G75">_xlfn.LET(_xlpm.u,B75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75" s="238" cm="1">
        <f t="array" ref="H75">_xlfn.LET(_xlpm.u,B75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46100</v>
      </c>
      <c r="I75" s="238" cm="1">
        <f t="array" ref="I75">_xlfn.LET(_xlpm.u,B75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75" s="238">
        <f>IF(E75&lt;&gt;"Cancelled/Denied","—",_xlfn.LET(_xlpm.u,B75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75" s="237" t="str">
        <f t="shared" si="5"/>
        <v>—</v>
      </c>
    </row>
    <row r="76" spans="1:11" ht="14.15" customHeight="1">
      <c r="A76" s="145"/>
      <c r="B76" s="236" t="str">
        <v>N07-2050</v>
      </c>
      <c r="C76" s="236" t="str" cm="1">
        <f t="array" ref="C76">_xlfn.LET(_xlpm.u,B76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Mccuin, Jezreel</v>
      </c>
      <c r="D76" s="237" t="str" cm="1">
        <f t="array" ref="D76">_xlfn.LET(_xlpm.u,B76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76" s="237" t="str">
        <f t="shared" si="4"/>
        <v>Cancelled/Denied</v>
      </c>
      <c r="F76" s="237" t="str" cm="1">
        <f t="array" ref="F76">_xlfn.LET(_xlpm.u,B76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76" s="237" t="str" cm="1">
        <f t="array" ref="G76">_xlfn.LET(_xlpm.u,B76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76" s="238" cm="1">
        <f t="array" ref="H76">_xlfn.LET(_xlpm.u,B76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46084</v>
      </c>
      <c r="I76" s="238" cm="1">
        <f t="array" ref="I76">_xlfn.LET(_xlpm.u,B76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76" s="238">
        <f>IF(E76&lt;&gt;"Cancelled/Denied","—",_xlfn.LET(_xlpm.u,B76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46115</v>
      </c>
      <c r="K76" s="237" t="str">
        <f t="shared" si="5"/>
        <v>—</v>
      </c>
    </row>
    <row r="77" spans="1:11" ht="14.15" customHeight="1">
      <c r="A77" s="145"/>
      <c r="B77" s="236" t="str">
        <v>N07-2051</v>
      </c>
      <c r="C77" s="236" t="str" cm="1">
        <f t="array" ref="C77">_xlfn.LET(_xlpm.u,B77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Philemon, Jude</v>
      </c>
      <c r="D77" s="237" t="str" cm="1">
        <f t="array" ref="D77">_xlfn.LET(_xlpm.u,B77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77" s="237" t="str">
        <f t="shared" si="4"/>
        <v>Cancelled/Denied</v>
      </c>
      <c r="F77" s="237" t="str" cm="1">
        <f t="array" ref="F77">_xlfn.LET(_xlpm.u,B77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77" s="237" t="str" cm="1">
        <f t="array" ref="G77">_xlfn.LET(_xlpm.u,B77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77" s="238" cm="1">
        <f t="array" ref="H77">_xlfn.LET(_xlpm.u,B77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46026</v>
      </c>
      <c r="I77" s="238" cm="1">
        <f t="array" ref="I77">_xlfn.LET(_xlpm.u,B77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77" s="238">
        <f>IF(E77&lt;&gt;"Cancelled/Denied","—",_xlfn.LET(_xlpm.u,B77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77" s="237" t="str">
        <f t="shared" si="5"/>
        <v>—</v>
      </c>
    </row>
    <row r="78" spans="1:11" ht="14.15" customHeight="1">
      <c r="A78" s="145"/>
      <c r="B78" s="236" t="str">
        <v>N08-2033</v>
      </c>
      <c r="C78" s="236" t="str" cm="1">
        <f t="array" ref="C78">_xlfn.LET(_xlpm.u,B78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Hernandez, Phillip</v>
      </c>
      <c r="D78" s="237" t="str" cm="1">
        <f t="array" ref="D78">_xlfn.LET(_xlpm.u,B78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78" s="237" t="str">
        <f t="shared" si="4"/>
        <v>In Review</v>
      </c>
      <c r="F78" s="237" t="str" cm="1">
        <f t="array" ref="F78">_xlfn.LET(_xlpm.u,B78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78" s="237" t="str" cm="1">
        <f t="array" ref="G78">_xlfn.LET(_xlpm.u,B78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78" s="238" cm="1">
        <f t="array" ref="H78">_xlfn.LET(_xlpm.u,B78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46062</v>
      </c>
      <c r="I78" s="238" cm="1">
        <f t="array" ref="I78">_xlfn.LET(_xlpm.u,B78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46065</v>
      </c>
      <c r="J78" s="238" t="str">
        <f>IF(E78&lt;&gt;"Cancelled/Denied","—",_xlfn.LET(_xlpm.u,B78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78" s="237">
        <f t="shared" si="5"/>
        <v>77</v>
      </c>
    </row>
    <row r="79" spans="1:11" ht="14.15" customHeight="1">
      <c r="A79" s="145"/>
      <c r="B79" s="236" t="str">
        <v>N09-1035</v>
      </c>
      <c r="C79" s="236" t="str" cm="1">
        <f t="array" ref="C79">_xlfn.LET(_xlpm.u,B79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Betancourt, Eleazar</v>
      </c>
      <c r="D79" s="237" t="str" cm="1">
        <f t="array" ref="D79">_xlfn.LET(_xlpm.u,B79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79" s="237" t="str">
        <f t="shared" si="4"/>
        <v>Converted</v>
      </c>
      <c r="F79" s="237" t="str" cm="1">
        <f t="array" ref="F79">_xlfn.LET(_xlpm.u,B79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79" s="237" t="str" cm="1">
        <f t="array" ref="G79">_xlfn.LET(_xlpm.u,B79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79" s="238" cm="1">
        <f t="array" ref="H79">_xlfn.LET(_xlpm.u,B79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46079</v>
      </c>
      <c r="I79" s="238" cm="1">
        <f t="array" ref="I79">_xlfn.LET(_xlpm.u,B79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46080</v>
      </c>
      <c r="J79" s="238" t="str">
        <f>IF(E79&lt;&gt;"Cancelled/Denied","—",_xlfn.LET(_xlpm.u,B79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79" s="237" t="str">
        <f t="shared" si="5"/>
        <v>—</v>
      </c>
    </row>
    <row r="80" spans="1:11" ht="14.15" customHeight="1">
      <c r="A80" s="145"/>
      <c r="B80" s="236" t="str">
        <v>N09-2034</v>
      </c>
      <c r="C80" s="236" t="str" cm="1">
        <f t="array" ref="C80">_xlfn.LET(_xlpm.u,B80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Mixon, Glinda</v>
      </c>
      <c r="D80" s="237" t="str" cm="1">
        <f t="array" ref="D80">_xlfn.LET(_xlpm.u,B80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80" s="237" t="str">
        <f t="shared" si="4"/>
        <v>Cancelled/Denied</v>
      </c>
      <c r="F80" s="237" t="str" cm="1">
        <f t="array" ref="F80">_xlfn.LET(_xlpm.u,B80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80" s="237" t="str" cm="1">
        <f t="array" ref="G80">_xlfn.LET(_xlpm.u,B80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80" s="238" cm="1">
        <f t="array" ref="H80">_xlfn.LET(_xlpm.u,B80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46058</v>
      </c>
      <c r="I80" s="238" cm="1">
        <f t="array" ref="I80">_xlfn.LET(_xlpm.u,B80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80" s="238">
        <f>IF(E80&lt;&gt;"Cancelled/Denied","—",_xlfn.LET(_xlpm.u,B80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80" s="237" t="str">
        <f t="shared" si="5"/>
        <v>—</v>
      </c>
    </row>
    <row r="81" spans="1:11" ht="14.15" customHeight="1">
      <c r="A81" s="145"/>
      <c r="B81" s="236" t="str">
        <v>N10-1038</v>
      </c>
      <c r="C81" s="236" t="str" cm="1">
        <f t="array" ref="C81">_xlfn.LET(_xlpm.u,B81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Scott, Shanita</v>
      </c>
      <c r="D81" s="237" t="str" cm="1">
        <f t="array" ref="D81">_xlfn.LET(_xlpm.u,B81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81" s="237" t="str">
        <f t="shared" si="4"/>
        <v>Cancelled/Denied</v>
      </c>
      <c r="F81" s="237" t="str" cm="1">
        <f t="array" ref="F81">_xlfn.LET(_xlpm.u,B81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81" s="237" t="str" cm="1">
        <f t="array" ref="G81">_xlfn.LET(_xlpm.u,B81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81" s="238" cm="1">
        <f t="array" ref="H81">_xlfn.LET(_xlpm.u,B81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46104</v>
      </c>
      <c r="I81" s="238" cm="1">
        <f t="array" ref="I81">_xlfn.LET(_xlpm.u,B81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81" s="238">
        <f>IF(E81&lt;&gt;"Cancelled/Denied","—",_xlfn.LET(_xlpm.u,B81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46137</v>
      </c>
      <c r="K81" s="237" t="str">
        <f t="shared" si="5"/>
        <v>—</v>
      </c>
    </row>
    <row r="82" spans="1:11" ht="14.15" customHeight="1">
      <c r="A82" s="145"/>
      <c r="B82" s="236" t="str">
        <v>N10-1041</v>
      </c>
      <c r="C82" s="236" t="str" cm="1">
        <f t="array" ref="C82">_xlfn.LET(_xlpm.u,B82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Yugusuk, Dogale Z</v>
      </c>
      <c r="D82" s="237" t="str" cm="1">
        <f t="array" ref="D82">_xlfn.LET(_xlpm.u,B82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82" s="237" t="str">
        <f t="shared" si="4"/>
        <v>Converted</v>
      </c>
      <c r="F82" s="237" t="str" cm="1">
        <f t="array" ref="F82">_xlfn.LET(_xlpm.u,B82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82" s="237" t="str" cm="1">
        <f t="array" ref="G82">_xlfn.LET(_xlpm.u,B82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82" s="238" cm="1">
        <f t="array" ref="H82">_xlfn.LET(_xlpm.u,B82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46094</v>
      </c>
      <c r="I82" s="238" cm="1">
        <f t="array" ref="I82">_xlfn.LET(_xlpm.u,B82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46095</v>
      </c>
      <c r="J82" s="238" t="str">
        <f>IF(E82&lt;&gt;"Cancelled/Denied","—",_xlfn.LET(_xlpm.u,B82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82" s="237" t="str">
        <f t="shared" si="5"/>
        <v>—</v>
      </c>
    </row>
    <row r="83" spans="1:11" ht="14.15" customHeight="1">
      <c r="A83" s="145"/>
      <c r="B83" s="236" t="str">
        <v>N10-2038</v>
      </c>
      <c r="C83" s="236" t="str" cm="1">
        <f t="array" ref="C83">_xlfn.LET(_xlpm.u,B83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Jones, Varon</v>
      </c>
      <c r="D83" s="237" t="str" cm="1">
        <f t="array" ref="D83">_xlfn.LET(_xlpm.u,B83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83" s="237" t="str">
        <f t="shared" si="4"/>
        <v>Cancelled/Denied</v>
      </c>
      <c r="F83" s="237" t="str" cm="1">
        <f t="array" ref="F83">_xlfn.LET(_xlpm.u,B83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83" s="237" t="str" cm="1">
        <f t="array" ref="G83">_xlfn.LET(_xlpm.u,B83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83" s="238" cm="1">
        <f t="array" ref="H83">_xlfn.LET(_xlpm.u,B83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46116</v>
      </c>
      <c r="I83" s="238" cm="1">
        <f t="array" ref="I83">_xlfn.LET(_xlpm.u,B83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46118</v>
      </c>
      <c r="J83" s="238">
        <f>IF(E83&lt;&gt;"Cancelled/Denied","—",_xlfn.LET(_xlpm.u,B83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46136</v>
      </c>
      <c r="K83" s="237" t="str">
        <f t="shared" si="5"/>
        <v>—</v>
      </c>
    </row>
    <row r="84" spans="1:11" ht="14.15" customHeight="1">
      <c r="A84" s="145"/>
      <c r="B84" s="236" t="str">
        <v>N10-2040</v>
      </c>
      <c r="C84" s="236" t="str" cm="1">
        <f t="array" ref="C84">_xlfn.LET(_xlpm.u,B84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Contreras, Eduardo</v>
      </c>
      <c r="D84" s="237" t="str" cm="1">
        <f t="array" ref="D84">_xlfn.LET(_xlpm.u,B84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84" s="237" t="str">
        <f t="shared" si="4"/>
        <v>Cancelled/Denied</v>
      </c>
      <c r="F84" s="237" t="str" cm="1">
        <f t="array" ref="F84">_xlfn.LET(_xlpm.u,B84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84" s="237" t="str" cm="1">
        <f t="array" ref="G84">_xlfn.LET(_xlpm.u,B84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84" s="238" cm="1">
        <f t="array" ref="H84">_xlfn.LET(_xlpm.u,B84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46015</v>
      </c>
      <c r="I84" s="238" cm="1">
        <f t="array" ref="I84">_xlfn.LET(_xlpm.u,B84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84" s="238">
        <f>IF(E84&lt;&gt;"Cancelled/Denied","—",_xlfn.LET(_xlpm.u,B84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84" s="237" t="str">
        <f t="shared" si="5"/>
        <v>—</v>
      </c>
    </row>
    <row r="85" spans="1:11" ht="14.15" customHeight="1">
      <c r="A85" s="145"/>
      <c r="B85" s="236" t="str">
        <v>N10-3038</v>
      </c>
      <c r="C85" s="236" t="str" cm="1">
        <f t="array" ref="C85">_xlfn.LET(_xlpm.u,B85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Worthy, Andrue</v>
      </c>
      <c r="D85" s="237" t="str" cm="1">
        <f t="array" ref="D85">_xlfn.LET(_xlpm.u,B85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85" s="237" t="str">
        <f t="shared" si="4"/>
        <v>Converted</v>
      </c>
      <c r="F85" s="237" t="str" cm="1">
        <f t="array" ref="F85">_xlfn.LET(_xlpm.u,B85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85" s="237" t="str" cm="1">
        <f t="array" ref="G85">_xlfn.LET(_xlpm.u,B85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85" s="238" cm="1">
        <f t="array" ref="H85">_xlfn.LET(_xlpm.u,B85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46079</v>
      </c>
      <c r="I85" s="238" cm="1">
        <f t="array" ref="I85">_xlfn.LET(_xlpm.u,B85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46079</v>
      </c>
      <c r="J85" s="238" t="str">
        <f>IF(E85&lt;&gt;"Cancelled/Denied","—",_xlfn.LET(_xlpm.u,B85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85" s="237" t="str">
        <f t="shared" si="5"/>
        <v>—</v>
      </c>
    </row>
    <row r="86" spans="1:11" ht="14.15" customHeight="1">
      <c r="A86" s="145"/>
      <c r="B86" s="236" t="str">
        <v>N10-3040</v>
      </c>
      <c r="C86" s="236" t="str" cm="1">
        <f t="array" ref="C86">_xlfn.LET(_xlpm.u,B86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rhynes, chanelle</v>
      </c>
      <c r="D86" s="237" t="str" cm="1">
        <f t="array" ref="D86">_xlfn.LET(_xlpm.u,B86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86" s="237" t="str">
        <f t="shared" si="4"/>
        <v>Cancelled/Denied</v>
      </c>
      <c r="F86" s="237" t="str" cm="1">
        <f t="array" ref="F86">_xlfn.LET(_xlpm.u,B86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Hernandez, Justin</v>
      </c>
      <c r="G86" s="237" t="str" cm="1">
        <f t="array" ref="G86">_xlfn.LET(_xlpm.u,B86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86" s="238" cm="1">
        <f t="array" ref="H86">_xlfn.LET(_xlpm.u,B86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46121</v>
      </c>
      <c r="I86" s="238" cm="1">
        <f t="array" ref="I86">_xlfn.LET(_xlpm.u,B86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86" s="238">
        <f>IF(E86&lt;&gt;"Cancelled/Denied","—",_xlfn.LET(_xlpm.u,B86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46136</v>
      </c>
      <c r="K86" s="237" t="str">
        <f t="shared" si="5"/>
        <v>—</v>
      </c>
    </row>
    <row r="87" spans="1:11" ht="14.15" customHeight="1">
      <c r="A87" s="145"/>
      <c r="B87" s="236" t="str">
        <v>N10-3041</v>
      </c>
      <c r="C87" s="236" t="str" cm="1">
        <f t="array" ref="C87">_xlfn.LET(_xlpm.u,B87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Samon Pelegrin, Reineri</v>
      </c>
      <c r="D87" s="237" t="str" cm="1">
        <f t="array" ref="D87">_xlfn.LET(_xlpm.u,B87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87" s="237" t="str">
        <f t="shared" si="4"/>
        <v>Cancelled/Denied</v>
      </c>
      <c r="F87" s="237" t="str" cm="1">
        <f t="array" ref="F87">_xlfn.LET(_xlpm.u,B87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87" s="237" t="str" cm="1">
        <f t="array" ref="G87">_xlfn.LET(_xlpm.u,B87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87" s="238" cm="1">
        <f t="array" ref="H87">_xlfn.LET(_xlpm.u,B87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46114</v>
      </c>
      <c r="I87" s="238" cm="1">
        <f t="array" ref="I87">_xlfn.LET(_xlpm.u,B87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87" s="238">
        <f>IF(E87&lt;&gt;"Cancelled/Denied","—",_xlfn.LET(_xlpm.u,B87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46140</v>
      </c>
      <c r="K87" s="237" t="str">
        <f t="shared" si="5"/>
        <v>—</v>
      </c>
    </row>
    <row r="88" spans="1:11" ht="14.15" customHeight="1">
      <c r="A88" s="145"/>
      <c r="B88" s="236" t="str">
        <v>N12-2047</v>
      </c>
      <c r="C88" s="236" t="str" cm="1">
        <f t="array" ref="C88">_xlfn.LET(_xlpm.u,B88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Hallcy, Nicholas</v>
      </c>
      <c r="D88" s="237" t="str" cm="1">
        <f t="array" ref="D88">_xlfn.LET(_xlpm.u,B88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88" s="237" t="str">
        <f t="shared" si="4"/>
        <v>Cancelled/Denied</v>
      </c>
      <c r="F88" s="237" t="str" cm="1">
        <f t="array" ref="F88">_xlfn.LET(_xlpm.u,B88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88" s="237" t="str" cm="1">
        <f t="array" ref="G88">_xlfn.LET(_xlpm.u,B88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88" s="238" cm="1">
        <f t="array" ref="H88">_xlfn.LET(_xlpm.u,B88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46098</v>
      </c>
      <c r="I88" s="238" cm="1">
        <f t="array" ref="I88">_xlfn.LET(_xlpm.u,B88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88" s="238">
        <f>IF(E88&lt;&gt;"Cancelled/Denied","—",_xlfn.LET(_xlpm.u,B88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88" s="237" t="str">
        <f t="shared" si="5"/>
        <v>—</v>
      </c>
    </row>
    <row r="89" spans="1:11" ht="14.15" customHeight="1">
      <c r="A89" s="145"/>
      <c r="B89" s="236" t="str">
        <v>N12-2048</v>
      </c>
      <c r="C89" s="236" t="str" cm="1">
        <f t="array" ref="C89">_xlfn.LET(_xlpm.u,B89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Chinchilla, Claudia</v>
      </c>
      <c r="D89" s="237" t="str" cm="1">
        <f t="array" ref="D89">_xlfn.LET(_xlpm.u,B89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89" s="237" t="str">
        <f t="shared" si="4"/>
        <v>Converted</v>
      </c>
      <c r="F89" s="237" t="str" cm="1">
        <f t="array" ref="F89">_xlfn.LET(_xlpm.u,B89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89" s="237" t="str" cm="1">
        <f t="array" ref="G89">_xlfn.LET(_xlpm.u,B89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89" s="238" cm="1">
        <f t="array" ref="H89">_xlfn.LET(_xlpm.u,B89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46081</v>
      </c>
      <c r="I89" s="238" cm="1">
        <f t="array" ref="I89">_xlfn.LET(_xlpm.u,B89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46081</v>
      </c>
      <c r="J89" s="238" t="str">
        <f>IF(E89&lt;&gt;"Cancelled/Denied","—",_xlfn.LET(_xlpm.u,B89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89" s="237" t="str">
        <f t="shared" si="5"/>
        <v>—</v>
      </c>
    </row>
    <row r="90" spans="1:11" ht="14.15" customHeight="1">
      <c r="A90" s="145"/>
      <c r="B90" s="236" t="str">
        <v>N12-3049</v>
      </c>
      <c r="C90" s="236" t="str" cm="1">
        <f t="array" ref="C90">_xlfn.LET(_xlpm.u,B90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Phuong Nhor, Sreylenh</v>
      </c>
      <c r="D90" s="237" t="str" cm="1">
        <f t="array" ref="D90">_xlfn.LET(_xlpm.u,B90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90" s="237" t="str">
        <f t="shared" si="4"/>
        <v>Cancelled/Denied</v>
      </c>
      <c r="F90" s="237" t="str" cm="1">
        <f t="array" ref="F90">_xlfn.LET(_xlpm.u,B90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90" s="237" t="str" cm="1">
        <f t="array" ref="G90">_xlfn.LET(_xlpm.u,B90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90" s="238" cm="1">
        <f t="array" ref="H90">_xlfn.LET(_xlpm.u,B90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46096</v>
      </c>
      <c r="I90" s="238" cm="1">
        <f t="array" ref="I90">_xlfn.LET(_xlpm.u,B90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46100</v>
      </c>
      <c r="J90" s="238">
        <f>IF(E90&lt;&gt;"Cancelled/Denied","—",_xlfn.LET(_xlpm.u,B90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46139</v>
      </c>
      <c r="K90" s="237" t="str">
        <f t="shared" si="5"/>
        <v>—</v>
      </c>
    </row>
    <row r="91" spans="1:11" ht="14.15" customHeight="1">
      <c r="A91" s="145"/>
      <c r="B91" s="236" t="str">
        <v>N13-1056</v>
      </c>
      <c r="C91" s="236" t="str" cm="1">
        <f t="array" ref="C91">_xlfn.LET(_xlpm.u,B91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Miller, Ashley</v>
      </c>
      <c r="D91" s="237" t="str" cm="1">
        <f t="array" ref="D91">_xlfn.LET(_xlpm.u,B91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91" s="237" t="str">
        <f t="shared" si="4"/>
        <v>Incomplete</v>
      </c>
      <c r="F91" s="237" t="str" cm="1">
        <f t="array" ref="F91">_xlfn.LET(_xlpm.u,B91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91" s="237" t="str" cm="1">
        <f t="array" ref="G91">_xlfn.LET(_xlpm.u,B91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91" s="238" cm="1">
        <f t="array" ref="H91">_xlfn.LET(_xlpm.u,B91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46123</v>
      </c>
      <c r="I91" s="238" cm="1">
        <f t="array" ref="I91">_xlfn.LET(_xlpm.u,B91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91" s="238" t="str">
        <f>IF(E91&lt;&gt;"Cancelled/Denied","—",_xlfn.LET(_xlpm.u,B91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91" s="237">
        <f t="shared" si="5"/>
        <v>16</v>
      </c>
    </row>
    <row r="92" spans="1:11" ht="14.15" customHeight="1">
      <c r="A92" s="145"/>
      <c r="B92" s="236" t="str">
        <v>N14-1063</v>
      </c>
      <c r="C92" s="236" t="str" cm="1">
        <f t="array" ref="C92">_xlfn.LET(_xlpm.u,B92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Shepard, Daisah</v>
      </c>
      <c r="D92" s="237" t="str" cm="1">
        <f t="array" ref="D92">_xlfn.LET(_xlpm.u,B92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92" s="237" t="str">
        <f t="shared" si="4"/>
        <v>Cancelled/Denied</v>
      </c>
      <c r="F92" s="237" t="str" cm="1">
        <f t="array" ref="F92">_xlfn.LET(_xlpm.u,B92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92" s="237" t="str" cm="1">
        <f t="array" ref="G92">_xlfn.LET(_xlpm.u,B92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92" s="238" cm="1">
        <f t="array" ref="H92">_xlfn.LET(_xlpm.u,B92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46135</v>
      </c>
      <c r="I92" s="238" cm="1">
        <f t="array" ref="I92">_xlfn.LET(_xlpm.u,B92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92" s="238">
        <f>IF(E92&lt;&gt;"Cancelled/Denied","—",_xlfn.LET(_xlpm.u,B92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46137</v>
      </c>
      <c r="K92" s="237" t="str">
        <f t="shared" si="5"/>
        <v>—</v>
      </c>
    </row>
    <row r="93" spans="1:11" ht="14.15" customHeight="1">
      <c r="A93" s="145"/>
      <c r="B93" s="236" t="str">
        <v>N14-2059</v>
      </c>
      <c r="C93" s="236" t="str" cm="1">
        <f t="array" ref="C93">_xlfn.LET(_xlpm.u,B93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Watson, Jessie</v>
      </c>
      <c r="D93" s="237" t="str" cm="1">
        <f t="array" ref="D93">_xlfn.LET(_xlpm.u,B93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93" s="237" t="str">
        <f t="shared" si="4"/>
        <v>Cancelled/Denied</v>
      </c>
      <c r="F93" s="237" t="str" cm="1">
        <f t="array" ref="F93">_xlfn.LET(_xlpm.u,B93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93" s="237" t="str" cm="1">
        <f t="array" ref="G93">_xlfn.LET(_xlpm.u,B93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93" s="238" cm="1">
        <f t="array" ref="H93">_xlfn.LET(_xlpm.u,B93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46022</v>
      </c>
      <c r="I93" s="238" cm="1">
        <f t="array" ref="I93">_xlfn.LET(_xlpm.u,B93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93" s="238">
        <f>IF(E93&lt;&gt;"Cancelled/Denied","—",_xlfn.LET(_xlpm.u,B93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93" s="237" t="str">
        <f t="shared" si="5"/>
        <v>—</v>
      </c>
    </row>
    <row r="94" spans="1:11" ht="14.15" customHeight="1">
      <c r="A94" s="145"/>
      <c r="B94" s="236" t="str">
        <v>N14-2060</v>
      </c>
      <c r="C94" s="236" t="str" cm="1">
        <f t="array" ref="C94">_xlfn.LET(_xlpm.u,B94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Nguyen, Augustine</v>
      </c>
      <c r="D94" s="237" t="str" cm="1">
        <f t="array" ref="D94">_xlfn.LET(_xlpm.u,B94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94" s="237" t="str">
        <f t="shared" si="4"/>
        <v>In Review</v>
      </c>
      <c r="F94" s="237" t="str" cm="1">
        <f t="array" ref="F94">_xlfn.LET(_xlpm.u,B94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94" s="237" t="str" cm="1">
        <f t="array" ref="G94">_xlfn.LET(_xlpm.u,B94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94" s="238" cm="1">
        <f t="array" ref="H94">_xlfn.LET(_xlpm.u,B94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46130</v>
      </c>
      <c r="I94" s="238" cm="1">
        <f t="array" ref="I94">_xlfn.LET(_xlpm.u,B94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46135</v>
      </c>
      <c r="J94" s="238" t="str">
        <f>IF(E94&lt;&gt;"Cancelled/Denied","—",_xlfn.LET(_xlpm.u,B94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94" s="237">
        <f t="shared" si="5"/>
        <v>9</v>
      </c>
    </row>
    <row r="95" spans="1:11" ht="14.15" customHeight="1">
      <c r="A95" s="145"/>
      <c r="B95" s="236" t="str">
        <v>N14-3061</v>
      </c>
      <c r="C95" s="236" t="str" cm="1">
        <f t="array" ref="C95">_xlfn.LET(_xlpm.u,B95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Manzanares Irias, Dorian</v>
      </c>
      <c r="D95" s="237" t="str" cm="1">
        <f t="array" ref="D95">_xlfn.LET(_xlpm.u,B95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95" s="237" t="str">
        <f t="shared" si="4"/>
        <v>Converted</v>
      </c>
      <c r="F95" s="237" t="str" cm="1">
        <f t="array" ref="F95">_xlfn.LET(_xlpm.u,B95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95" s="237" t="str" cm="1">
        <f t="array" ref="G95">_xlfn.LET(_xlpm.u,B95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95" s="238" cm="1">
        <f t="array" ref="H95">_xlfn.LET(_xlpm.u,B95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46088</v>
      </c>
      <c r="I95" s="238" cm="1">
        <f t="array" ref="I95">_xlfn.LET(_xlpm.u,B95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46113</v>
      </c>
      <c r="J95" s="238" t="str">
        <f>IF(E95&lt;&gt;"Cancelled/Denied","—",_xlfn.LET(_xlpm.u,B95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95" s="237" t="str">
        <f t="shared" si="5"/>
        <v>—</v>
      </c>
    </row>
    <row r="96" spans="1:11" ht="14.15" customHeight="1">
      <c r="A96" s="145"/>
      <c r="B96" s="236" t="str">
        <v>N15-1069</v>
      </c>
      <c r="C96" s="236" t="str" cm="1">
        <f t="array" ref="C96">_xlfn.LET(_xlpm.u,B96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Scott, Rejana</v>
      </c>
      <c r="D96" s="237" t="str" cm="1">
        <f t="array" ref="D96">_xlfn.LET(_xlpm.u,B96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96" s="237" t="str">
        <f t="shared" si="4"/>
        <v>Cancelled/Denied</v>
      </c>
      <c r="F96" s="237" t="str" cm="1">
        <f t="array" ref="F96">_xlfn.LET(_xlpm.u,B96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96" s="237" t="str" cm="1">
        <f t="array" ref="G96">_xlfn.LET(_xlpm.u,B96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96" s="238" cm="1">
        <f t="array" ref="H96">_xlfn.LET(_xlpm.u,B96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46122</v>
      </c>
      <c r="I96" s="238" cm="1">
        <f t="array" ref="I96">_xlfn.LET(_xlpm.u,B96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46122</v>
      </c>
      <c r="J96" s="238">
        <f>IF(E96&lt;&gt;"Cancelled/Denied","—",_xlfn.LET(_xlpm.u,B96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46128</v>
      </c>
      <c r="K96" s="237" t="str">
        <f t="shared" si="5"/>
        <v>—</v>
      </c>
    </row>
    <row r="97" spans="1:11" ht="14.15" customHeight="1">
      <c r="A97" s="145"/>
      <c r="B97" s="236" t="str">
        <v>N15-3068</v>
      </c>
      <c r="C97" s="236" t="str" cm="1">
        <f t="array" ref="C97">_xlfn.LET(_xlpm.u,B97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Jones, Varon</v>
      </c>
      <c r="D97" s="237" t="str" cm="1">
        <f t="array" ref="D97">_xlfn.LET(_xlpm.u,B97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97" s="237" t="str">
        <f t="shared" si="4"/>
        <v>Cancelled/Denied</v>
      </c>
      <c r="F97" s="237" t="str" cm="1">
        <f t="array" ref="F97">_xlfn.LET(_xlpm.u,B97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97" s="237" t="str" cm="1">
        <f t="array" ref="G97">_xlfn.LET(_xlpm.u,B97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97" s="238" cm="1">
        <f t="array" ref="H97">_xlfn.LET(_xlpm.u,B97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46118</v>
      </c>
      <c r="I97" s="238" cm="1">
        <f t="array" ref="I97">_xlfn.LET(_xlpm.u,B97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97" s="238">
        <f>IF(E97&lt;&gt;"Cancelled/Denied","—",_xlfn.LET(_xlpm.u,B97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46126</v>
      </c>
      <c r="K97" s="237" t="str">
        <f t="shared" si="5"/>
        <v>—</v>
      </c>
    </row>
    <row r="98" spans="1:11" ht="14.15" customHeight="1">
      <c r="A98" s="145"/>
      <c r="B98" s="236" t="str">
        <v>N16-2070</v>
      </c>
      <c r="C98" s="236" t="str" cm="1">
        <f t="array" ref="C98">_xlfn.LET(_xlpm.u,B98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Hinkel, August</v>
      </c>
      <c r="D98" s="237" t="str" cm="1">
        <f t="array" ref="D98">_xlfn.LET(_xlpm.u,B98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98" s="237" t="str">
        <f t="shared" ref="E98:E129" si="6">IF(D98="Not Found","No Record",IF(OR(ISNUMBER(SEARCH("Cancelled",D98)),ISNUMBER(SEARCH("Denied",D98))),"Cancelled/Denied",IF(ISNUMBER(SEARCH("Lease",D98)),"Converted",IF(ISNUMBER(SEARCH("Completed",D98)),"In Review",IF(ISNUMBER(SEARCH("Started",D98)),"Incomplete","Other")))))</f>
        <v>Cancelled/Denied</v>
      </c>
      <c r="F98" s="237" t="str" cm="1">
        <f t="array" ref="F98">_xlfn.LET(_xlpm.u,B98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98" s="237" t="str" cm="1">
        <f t="array" ref="G98">_xlfn.LET(_xlpm.u,B98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98" s="238" cm="1">
        <f t="array" ref="H98">_xlfn.LET(_xlpm.u,B98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46066</v>
      </c>
      <c r="I98" s="238" cm="1">
        <f t="array" ref="I98">_xlfn.LET(_xlpm.u,B98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98" s="238">
        <f>IF(E98&lt;&gt;"Cancelled/Denied","—",_xlfn.LET(_xlpm.u,B98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46116</v>
      </c>
      <c r="K98" s="237" t="str">
        <f t="shared" ref="K98:K129" si="7">IF(OR(E98="Cancelled/Denied",E98="Converted",E98="No Record",C98="NO RECORD"),"—",IF(ISNUMBER(H98),$C$3-H98,"—"))</f>
        <v>—</v>
      </c>
    </row>
    <row r="99" spans="1:11" ht="14.15" customHeight="1">
      <c r="A99" s="145"/>
      <c r="B99" s="236" t="str">
        <v>N16-2071</v>
      </c>
      <c r="C99" s="236" t="str" cm="1">
        <f t="array" ref="C99">_xlfn.LET(_xlpm.u,B99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Gilly, Jesus</v>
      </c>
      <c r="D99" s="237" t="str" cm="1">
        <f t="array" ref="D99">_xlfn.LET(_xlpm.u,B99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99" s="237" t="str">
        <f t="shared" si="6"/>
        <v>Incomplete</v>
      </c>
      <c r="F99" s="237" t="str" cm="1">
        <f t="array" ref="F99">_xlfn.LET(_xlpm.u,B99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99" s="237" t="str" cm="1">
        <f t="array" ref="G99">_xlfn.LET(_xlpm.u,B99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99" s="238" cm="1">
        <f t="array" ref="H99">_xlfn.LET(_xlpm.u,B99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46114</v>
      </c>
      <c r="I99" s="238" cm="1">
        <f t="array" ref="I99">_xlfn.LET(_xlpm.u,B99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99" s="238" t="str">
        <f>IF(E99&lt;&gt;"Cancelled/Denied","—",_xlfn.LET(_xlpm.u,B99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99" s="237">
        <f t="shared" si="7"/>
        <v>25</v>
      </c>
    </row>
    <row r="100" spans="1:11" ht="14.15" customHeight="1">
      <c r="A100" s="145"/>
      <c r="B100" s="236" t="str">
        <v>N17-1074</v>
      </c>
      <c r="C100" s="236" t="str" cm="1">
        <f t="array" ref="C100">_xlfn.LET(_xlpm.u,B100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Smith, Danajah</v>
      </c>
      <c r="D100" s="237" t="str" cm="1">
        <f t="array" ref="D100">_xlfn.LET(_xlpm.u,B100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00" s="237" t="str">
        <f t="shared" si="6"/>
        <v>Converted</v>
      </c>
      <c r="F100" s="237" t="str" cm="1">
        <f t="array" ref="F100">_xlfn.LET(_xlpm.u,B100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00" s="237" t="str" cm="1">
        <f t="array" ref="G100">_xlfn.LET(_xlpm.u,B100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Apple</v>
      </c>
      <c r="H100" s="238" cm="1">
        <f t="array" ref="H100">_xlfn.LET(_xlpm.u,B100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46090</v>
      </c>
      <c r="I100" s="238" cm="1">
        <f t="array" ref="I100">_xlfn.LET(_xlpm.u,B100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46090</v>
      </c>
      <c r="J100" s="238" t="str">
        <f>IF(E100&lt;&gt;"Cancelled/Denied","—",_xlfn.LET(_xlpm.u,B100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00" s="237" t="str">
        <f t="shared" si="7"/>
        <v>—</v>
      </c>
    </row>
    <row r="101" spans="1:11" s="138" customFormat="1" ht="14.15" customHeight="1">
      <c r="B101" s="155" t="str">
        <v>N17-2073</v>
      </c>
      <c r="C101" s="236" t="str" cm="1">
        <f t="array" ref="C101">_xlfn.LET(_xlpm.u,B101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Banuelos, Miguel</v>
      </c>
      <c r="D101" s="237" t="str" cm="1">
        <f t="array" ref="D101">_xlfn.LET(_xlpm.u,B101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01" s="237" t="str">
        <f t="shared" si="6"/>
        <v>Converted</v>
      </c>
      <c r="F101" s="237" t="str" cm="1">
        <f t="array" ref="F101">_xlfn.LET(_xlpm.u,B101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01" s="237" t="str" cm="1">
        <f t="array" ref="G101">_xlfn.LET(_xlpm.u,B101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101" s="238" cm="1">
        <f t="array" ref="H101">_xlfn.LET(_xlpm.u,B101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46093</v>
      </c>
      <c r="I101" s="238" cm="1">
        <f t="array" ref="I101">_xlfn.LET(_xlpm.u,B101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46093</v>
      </c>
      <c r="J101" s="238" t="str">
        <f>IF(E101&lt;&gt;"Cancelled/Denied","—",_xlfn.LET(_xlpm.u,B101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01" s="237" t="str">
        <f t="shared" si="7"/>
        <v>—</v>
      </c>
    </row>
    <row r="102" spans="1:11" ht="14.15" customHeight="1">
      <c r="B102" s="236" t="str">
        <v>N18-1085</v>
      </c>
      <c r="C102" s="236" t="str" cm="1">
        <f t="array" ref="C102">_xlfn.LET(_xlpm.u,B102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Myles, Amanda</v>
      </c>
      <c r="D102" s="237" t="str" cm="1">
        <f t="array" ref="D102">_xlfn.LET(_xlpm.u,B102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02" s="237" t="str">
        <f t="shared" si="6"/>
        <v>Cancelled/Denied</v>
      </c>
      <c r="F102" s="237" t="str" cm="1">
        <f t="array" ref="F102">_xlfn.LET(_xlpm.u,B102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02" s="237" t="str" cm="1">
        <f t="array" ref="G102">_xlfn.LET(_xlpm.u,B102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UMOVEFREE</v>
      </c>
      <c r="H102" s="238" cm="1">
        <f t="array" ref="H102">_xlfn.LET(_xlpm.u,B102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46079</v>
      </c>
      <c r="I102" s="238" cm="1">
        <f t="array" ref="I102">_xlfn.LET(_xlpm.u,B102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02" s="238">
        <f>IF(E102&lt;&gt;"Cancelled/Denied","—",_xlfn.LET(_xlpm.u,B102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02" s="237" t="str">
        <f t="shared" si="7"/>
        <v>—</v>
      </c>
    </row>
    <row r="103" spans="1:11" ht="14.15" customHeight="1">
      <c r="B103" s="236" t="str">
        <v>N18-1086</v>
      </c>
      <c r="C103" s="236" t="str" cm="1">
        <f t="array" ref="C103">_xlfn.LET(_xlpm.u,B103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Castillo, Eric</v>
      </c>
      <c r="D103" s="237" t="str" cm="1">
        <f t="array" ref="D103">_xlfn.LET(_xlpm.u,B103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03" s="237" t="str">
        <f t="shared" si="6"/>
        <v>Converted</v>
      </c>
      <c r="F103" s="237" t="str" cm="1">
        <f t="array" ref="F103">_xlfn.LET(_xlpm.u,B103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03" s="237" t="str" cm="1">
        <f t="array" ref="G103">_xlfn.LET(_xlpm.u,B103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03" s="238" cm="1">
        <f t="array" ref="H103">_xlfn.LET(_xlpm.u,B103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46064</v>
      </c>
      <c r="I103" s="238" cm="1">
        <f t="array" ref="I103">_xlfn.LET(_xlpm.u,B103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46064</v>
      </c>
      <c r="J103" s="238" t="str">
        <f>IF(E103&lt;&gt;"Cancelled/Denied","—",_xlfn.LET(_xlpm.u,B103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03" s="237" t="str">
        <f t="shared" si="7"/>
        <v>—</v>
      </c>
    </row>
    <row r="104" spans="1:11" ht="14.15" customHeight="1">
      <c r="B104" s="236" t="str">
        <v>N18-2084</v>
      </c>
      <c r="C104" s="236" t="str" cm="1">
        <f t="array" ref="C104">_xlfn.LET(_xlpm.u,B104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Andrade Borjas, Darwin</v>
      </c>
      <c r="D104" s="237" t="str" cm="1">
        <f t="array" ref="D104">_xlfn.LET(_xlpm.u,B104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04" s="237" t="str">
        <f t="shared" si="6"/>
        <v>Cancelled/Denied</v>
      </c>
      <c r="F104" s="237" t="str" cm="1">
        <f t="array" ref="F104">_xlfn.LET(_xlpm.u,B104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04" s="237" t="str" cm="1">
        <f t="array" ref="G104">_xlfn.LET(_xlpm.u,B104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04" s="238" cm="1">
        <f t="array" ref="H104">_xlfn.LET(_xlpm.u,B104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46078</v>
      </c>
      <c r="I104" s="238" cm="1">
        <f t="array" ref="I104">_xlfn.LET(_xlpm.u,B104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04" s="238">
        <f>IF(E104&lt;&gt;"Cancelled/Denied","—",_xlfn.LET(_xlpm.u,B104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04" s="237" t="str">
        <f t="shared" si="7"/>
        <v>—</v>
      </c>
    </row>
    <row r="105" spans="1:11" ht="14.15" customHeight="1">
      <c r="B105" s="236" t="str">
        <v>N18-2086</v>
      </c>
      <c r="C105" s="236" t="str" cm="1">
        <f t="array" ref="C105">_xlfn.LET(_xlpm.u,B105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Johnson, Scott</v>
      </c>
      <c r="D105" s="237" t="str" cm="1">
        <f t="array" ref="D105">_xlfn.LET(_xlpm.u,B105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Started</v>
      </c>
      <c r="E105" s="237" t="str">
        <f t="shared" si="6"/>
        <v>Converted</v>
      </c>
      <c r="F105" s="237" t="str" cm="1">
        <f t="array" ref="F105">_xlfn.LET(_xlpm.u,B105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05" s="237" t="str" cm="1">
        <f t="array" ref="G105">_xlfn.LET(_xlpm.u,B105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05" s="238" cm="1">
        <f t="array" ref="H105">_xlfn.LET(_xlpm.u,B105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46092</v>
      </c>
      <c r="I105" s="238" cm="1">
        <f t="array" ref="I105">_xlfn.LET(_xlpm.u,B105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46097</v>
      </c>
      <c r="J105" s="238" t="str">
        <f>IF(E105&lt;&gt;"Cancelled/Denied","—",_xlfn.LET(_xlpm.u,B105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05" s="237" t="str">
        <f t="shared" si="7"/>
        <v>—</v>
      </c>
    </row>
    <row r="106" spans="1:11" ht="14.15" customHeight="1">
      <c r="B106" s="236" t="str">
        <v>N19-1080</v>
      </c>
      <c r="C106" s="236" t="str" cm="1">
        <f t="array" ref="C106">_xlfn.LET(_xlpm.u,B106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Masanga, Luhiagila</v>
      </c>
      <c r="D106" s="237" t="str" cm="1">
        <f t="array" ref="D106">_xlfn.LET(_xlpm.u,B106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06" s="237" t="str">
        <f t="shared" si="6"/>
        <v>Cancelled/Denied</v>
      </c>
      <c r="F106" s="237" t="str" cm="1">
        <f t="array" ref="F106">_xlfn.LET(_xlpm.u,B106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06" s="237" t="str" cm="1">
        <f t="array" ref="G106">_xlfn.LET(_xlpm.u,B106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06" s="238" cm="1">
        <f t="array" ref="H106">_xlfn.LET(_xlpm.u,B106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46084</v>
      </c>
      <c r="I106" s="238" cm="1">
        <f t="array" ref="I106">_xlfn.LET(_xlpm.u,B106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46084</v>
      </c>
      <c r="J106" s="238">
        <f>IF(E106&lt;&gt;"Cancelled/Denied","—",_xlfn.LET(_xlpm.u,B106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46098</v>
      </c>
      <c r="K106" s="237" t="str">
        <f t="shared" si="7"/>
        <v>—</v>
      </c>
    </row>
    <row r="107" spans="1:11" ht="14.15" customHeight="1">
      <c r="B107" s="236" t="str">
        <v>N19-1083</v>
      </c>
      <c r="C107" s="236" t="str" cm="1">
        <f t="array" ref="C107">_xlfn.LET(_xlpm.u,B107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Argbah, Augustine</v>
      </c>
      <c r="D107" s="237" t="str" cm="1">
        <f t="array" ref="D107">_xlfn.LET(_xlpm.u,B107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07" s="237" t="str">
        <f t="shared" si="6"/>
        <v>Incomplete</v>
      </c>
      <c r="F107" s="237" t="str" cm="1">
        <f t="array" ref="F107">_xlfn.LET(_xlpm.u,B107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07" s="237" t="str" cm="1">
        <f t="array" ref="G107">_xlfn.LET(_xlpm.u,B107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07" s="238" cm="1">
        <f t="array" ref="H107">_xlfn.LET(_xlpm.u,B107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46078</v>
      </c>
      <c r="I107" s="238" cm="1">
        <f t="array" ref="I107">_xlfn.LET(_xlpm.u,B107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07" s="238" t="str">
        <f>IF(E107&lt;&gt;"Cancelled/Denied","—",_xlfn.LET(_xlpm.u,B107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07" s="237">
        <f t="shared" si="7"/>
        <v>61</v>
      </c>
    </row>
    <row r="108" spans="1:11" ht="14.15" customHeight="1">
      <c r="B108" s="236" t="str">
        <v>N19-2076</v>
      </c>
      <c r="C108" s="236" t="str" cm="1">
        <f t="array" ref="C108">_xlfn.LET(_xlpm.u,B108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Newhouse, Davian</v>
      </c>
      <c r="D108" s="237" t="str" cm="1">
        <f t="array" ref="D108">_xlfn.LET(_xlpm.u,B108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08" s="237" t="str">
        <f t="shared" si="6"/>
        <v>Incomplete</v>
      </c>
      <c r="F108" s="237" t="str" cm="1">
        <f t="array" ref="F108">_xlfn.LET(_xlpm.u,B108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Hernandez, Justin</v>
      </c>
      <c r="G108" s="237" t="str" cm="1">
        <f t="array" ref="G108">_xlfn.LET(_xlpm.u,B108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08" s="238" cm="1">
        <f t="array" ref="H108">_xlfn.LET(_xlpm.u,B108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46124</v>
      </c>
      <c r="I108" s="238" cm="1">
        <f t="array" ref="I108">_xlfn.LET(_xlpm.u,B108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08" s="238" t="str">
        <f>IF(E108&lt;&gt;"Cancelled/Denied","—",_xlfn.LET(_xlpm.u,B108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08" s="237">
        <f t="shared" si="7"/>
        <v>15</v>
      </c>
    </row>
    <row r="109" spans="1:11" ht="14.15" customHeight="1">
      <c r="B109" s="236" t="str">
        <v>N19-2078</v>
      </c>
      <c r="C109" s="236" t="str" cm="1">
        <f t="array" ref="C109">_xlfn.LET(_xlpm.u,B109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Mendez, Donaldo</v>
      </c>
      <c r="D109" s="237" t="str" cm="1">
        <f t="array" ref="D109">_xlfn.LET(_xlpm.u,B109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09" s="237" t="str">
        <f t="shared" si="6"/>
        <v>Incomplete</v>
      </c>
      <c r="F109" s="237" t="str" cm="1">
        <f t="array" ref="F109">_xlfn.LET(_xlpm.u,B109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09" s="237" t="str" cm="1">
        <f t="array" ref="G109">_xlfn.LET(_xlpm.u,B109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09" s="238" cm="1">
        <f t="array" ref="H109">_xlfn.LET(_xlpm.u,B109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46137</v>
      </c>
      <c r="I109" s="238" cm="1">
        <f t="array" ref="I109">_xlfn.LET(_xlpm.u,B109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09" s="238" t="str">
        <f>IF(E109&lt;&gt;"Cancelled/Denied","—",_xlfn.LET(_xlpm.u,B109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09" s="237">
        <f t="shared" si="7"/>
        <v>2</v>
      </c>
    </row>
    <row r="110" spans="1:11" ht="14.15" customHeight="1">
      <c r="B110" s="236" t="str">
        <v>N20-2091</v>
      </c>
      <c r="C110" s="236" t="str" cm="1">
        <f t="array" ref="C110">_xlfn.LET(_xlpm.u,B110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Rios Adame, Cecilia</v>
      </c>
      <c r="D110" s="237" t="str" cm="1">
        <f t="array" ref="D110">_xlfn.LET(_xlpm.u,B110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10" s="237" t="str">
        <f t="shared" si="6"/>
        <v>Converted</v>
      </c>
      <c r="F110" s="237" t="str" cm="1">
        <f t="array" ref="F110">_xlfn.LET(_xlpm.u,B110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10" s="237" t="str" cm="1">
        <f t="array" ref="G110">_xlfn.LET(_xlpm.u,B110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10" s="238" cm="1">
        <f t="array" ref="H110">_xlfn.LET(_xlpm.u,B110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46118</v>
      </c>
      <c r="I110" s="238" cm="1">
        <f t="array" ref="I110">_xlfn.LET(_xlpm.u,B110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46126</v>
      </c>
      <c r="J110" s="238" t="str">
        <f>IF(E110&lt;&gt;"Cancelled/Denied","—",_xlfn.LET(_xlpm.u,B110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10" s="237" t="str">
        <f t="shared" si="7"/>
        <v>—</v>
      </c>
    </row>
    <row r="111" spans="1:11" ht="14.15" customHeight="1">
      <c r="B111" s="236" t="str">
        <v>N20-3089</v>
      </c>
      <c r="C111" s="236" t="str" cm="1">
        <f t="array" ref="C111">_xlfn.LET(_xlpm.u,B111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King, Kynlee</v>
      </c>
      <c r="D111" s="237" t="str" cm="1">
        <f t="array" ref="D111">_xlfn.LET(_xlpm.u,B111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11" s="237" t="str">
        <f t="shared" si="6"/>
        <v>Cancelled/Denied</v>
      </c>
      <c r="F111" s="237" t="str" cm="1">
        <f t="array" ref="F111">_xlfn.LET(_xlpm.u,B111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111" s="237" t="str" cm="1">
        <f t="array" ref="G111">_xlfn.LET(_xlpm.u,B111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11" s="238" cm="1">
        <f t="array" ref="H111">_xlfn.LET(_xlpm.u,B111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46109</v>
      </c>
      <c r="I111" s="238" cm="1">
        <f t="array" ref="I111">_xlfn.LET(_xlpm.u,B111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11" s="238">
        <f>IF(E111&lt;&gt;"Cancelled/Denied","—",_xlfn.LET(_xlpm.u,B111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11" s="237" t="str">
        <f t="shared" si="7"/>
        <v>—</v>
      </c>
    </row>
    <row r="112" spans="1:11" ht="14.15" customHeight="1">
      <c r="B112" s="236" t="str">
        <v>N20-3091</v>
      </c>
      <c r="C112" s="236" t="str" cm="1">
        <f t="array" ref="C112">_xlfn.LET(_xlpm.u,B112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Revolorio Sarceno, Sergio</v>
      </c>
      <c r="D112" s="237" t="str" cm="1">
        <f t="array" ref="D112">_xlfn.LET(_xlpm.u,B112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12" s="237" t="str">
        <f t="shared" si="6"/>
        <v>In Review</v>
      </c>
      <c r="F112" s="237" t="str" cm="1">
        <f t="array" ref="F112">_xlfn.LET(_xlpm.u,B112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12" s="237" t="str" cm="1">
        <f t="array" ref="G112">_xlfn.LET(_xlpm.u,B112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112" s="238" cm="1">
        <f t="array" ref="H112">_xlfn.LET(_xlpm.u,B112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46132</v>
      </c>
      <c r="I112" s="238" cm="1">
        <f t="array" ref="I112">_xlfn.LET(_xlpm.u,B112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46134</v>
      </c>
      <c r="J112" s="238" t="str">
        <f>IF(E112&lt;&gt;"Cancelled/Denied","—",_xlfn.LET(_xlpm.u,B112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12" s="237">
        <f t="shared" si="7"/>
        <v>7</v>
      </c>
    </row>
    <row r="113" spans="2:11" ht="14.15" customHeight="1">
      <c r="B113" s="236" t="str">
        <v>N22-1096</v>
      </c>
      <c r="C113" s="236" t="str" cm="1">
        <f t="array" ref="C113">_xlfn.LET(_xlpm.u,B113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Muggio, Emily</v>
      </c>
      <c r="D113" s="237" t="str" cm="1">
        <f t="array" ref="D113">_xlfn.LET(_xlpm.u,B113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13" s="237" t="str">
        <f t="shared" si="6"/>
        <v>Cancelled/Denied</v>
      </c>
      <c r="F113" s="237" t="str" cm="1">
        <f t="array" ref="F113">_xlfn.LET(_xlpm.u,B113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13" s="237" t="str" cm="1">
        <f t="array" ref="G113">_xlfn.LET(_xlpm.u,B113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13" s="238" cm="1">
        <f t="array" ref="H113">_xlfn.LET(_xlpm.u,B113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46034</v>
      </c>
      <c r="I113" s="238" cm="1">
        <f t="array" ref="I113">_xlfn.LET(_xlpm.u,B113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46078</v>
      </c>
      <c r="J113" s="238">
        <f>IF(E113&lt;&gt;"Cancelled/Denied","—",_xlfn.LET(_xlpm.u,B113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46120</v>
      </c>
      <c r="K113" s="237" t="str">
        <f t="shared" si="7"/>
        <v>—</v>
      </c>
    </row>
    <row r="114" spans="2:11" ht="14.15" customHeight="1">
      <c r="B114" s="236" t="str">
        <v>N22-2097</v>
      </c>
      <c r="C114" s="236" t="str" cm="1">
        <f t="array" ref="C114">_xlfn.LET(_xlpm.u,B114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Mcgee, Alondra</v>
      </c>
      <c r="D114" s="237" t="str" cm="1">
        <f t="array" ref="D114">_xlfn.LET(_xlpm.u,B114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14" s="237" t="str">
        <f t="shared" si="6"/>
        <v>Converted</v>
      </c>
      <c r="F114" s="237" t="str" cm="1">
        <f t="array" ref="F114">_xlfn.LET(_xlpm.u,B114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14" s="237" t="str" cm="1">
        <f t="array" ref="G114">_xlfn.LET(_xlpm.u,B114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14" s="238" cm="1">
        <f t="array" ref="H114">_xlfn.LET(_xlpm.u,B114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46118</v>
      </c>
      <c r="I114" s="238" cm="1">
        <f t="array" ref="I114">_xlfn.LET(_xlpm.u,B114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46118</v>
      </c>
      <c r="J114" s="238" t="str">
        <f>IF(E114&lt;&gt;"Cancelled/Denied","—",_xlfn.LET(_xlpm.u,B114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14" s="237" t="str">
        <f t="shared" si="7"/>
        <v>—</v>
      </c>
    </row>
    <row r="115" spans="2:11" ht="14.15" customHeight="1">
      <c r="B115" s="236" t="str">
        <v>N24-1101</v>
      </c>
      <c r="C115" s="236" t="str" cm="1">
        <f t="array" ref="C115">_xlfn.LET(_xlpm.u,B115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Williams, Nikki</v>
      </c>
      <c r="D115" s="237" t="str" cm="1">
        <f t="array" ref="D115">_xlfn.LET(_xlpm.u,B115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15" s="237" t="str">
        <f t="shared" si="6"/>
        <v>Cancelled/Denied</v>
      </c>
      <c r="F115" s="237" t="str" cm="1">
        <f t="array" ref="F115">_xlfn.LET(_xlpm.u,B115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15" s="237" t="str" cm="1">
        <f t="array" ref="G115">_xlfn.LET(_xlpm.u,B115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15" s="238" cm="1">
        <f t="array" ref="H115">_xlfn.LET(_xlpm.u,B115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46082</v>
      </c>
      <c r="I115" s="238" cm="1">
        <f t="array" ref="I115">_xlfn.LET(_xlpm.u,B115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15" s="238">
        <f>IF(E115&lt;&gt;"Cancelled/Denied","—",_xlfn.LET(_xlpm.u,B115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15" s="237" t="str">
        <f t="shared" si="7"/>
        <v>—</v>
      </c>
    </row>
    <row r="116" spans="2:11" ht="14.15" customHeight="1">
      <c r="B116" s="236" t="str">
        <v>N25-1103</v>
      </c>
      <c r="C116" s="236" t="str" cm="1">
        <f t="array" ref="C116">_xlfn.LET(_xlpm.u,B116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Estrada Villegas, Michael</v>
      </c>
      <c r="D116" s="237" t="str" cm="1">
        <f t="array" ref="D116">_xlfn.LET(_xlpm.u,B116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16" s="237" t="str">
        <f t="shared" si="6"/>
        <v>Converted</v>
      </c>
      <c r="F116" s="237" t="str" cm="1">
        <f t="array" ref="F116">_xlfn.LET(_xlpm.u,B116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16" s="237" t="str" cm="1">
        <f t="array" ref="G116">_xlfn.LET(_xlpm.u,B116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16" s="238" cm="1">
        <f t="array" ref="H116">_xlfn.LET(_xlpm.u,B116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46095</v>
      </c>
      <c r="I116" s="238" cm="1">
        <f t="array" ref="I116">_xlfn.LET(_xlpm.u,B116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46095</v>
      </c>
      <c r="J116" s="238" t="str">
        <f>IF(E116&lt;&gt;"Cancelled/Denied","—",_xlfn.LET(_xlpm.u,B116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16" s="237" t="str">
        <f t="shared" si="7"/>
        <v>—</v>
      </c>
    </row>
    <row r="117" spans="2:11" ht="14.15" customHeight="1">
      <c r="B117" s="236" t="str">
        <v>N25-2102</v>
      </c>
      <c r="C117" s="236" t="str" cm="1">
        <f t="array" ref="C117">_xlfn.LET(_xlpm.u,B117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Portillo, William</v>
      </c>
      <c r="D117" s="237" t="str" cm="1">
        <f t="array" ref="D117">_xlfn.LET(_xlpm.u,B117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17" s="237" t="str">
        <f t="shared" si="6"/>
        <v>Cancelled/Denied</v>
      </c>
      <c r="F117" s="237" t="str" cm="1">
        <f t="array" ref="F117">_xlfn.LET(_xlpm.u,B117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117" s="237" t="str" cm="1">
        <f t="array" ref="G117">_xlfn.LET(_xlpm.u,B117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17" s="238" cm="1">
        <f t="array" ref="H117">_xlfn.LET(_xlpm.u,B117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46064</v>
      </c>
      <c r="I117" s="238" cm="1">
        <f t="array" ref="I117">_xlfn.LET(_xlpm.u,B117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17" s="238">
        <f>IF(E117&lt;&gt;"Cancelled/Denied","—",_xlfn.LET(_xlpm.u,B117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17" s="237" t="str">
        <f t="shared" si="7"/>
        <v>—</v>
      </c>
    </row>
    <row r="118" spans="2:11" ht="14.15" customHeight="1">
      <c r="B118" s="236" t="str">
        <v>N25-2103</v>
      </c>
      <c r="C118" s="236" t="str" cm="1">
        <f t="array" ref="C118">_xlfn.LET(_xlpm.u,B118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Hinkel, August</v>
      </c>
      <c r="D118" s="237" t="str" cm="1">
        <f t="array" ref="D118">_xlfn.LET(_xlpm.u,B118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18" s="237" t="str">
        <f t="shared" si="6"/>
        <v>Cancelled/Denied</v>
      </c>
      <c r="F118" s="237" t="str" cm="1">
        <f t="array" ref="F118">_xlfn.LET(_xlpm.u,B118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18" s="237" t="str" cm="1">
        <f t="array" ref="G118">_xlfn.LET(_xlpm.u,B118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18" s="238" cm="1">
        <f t="array" ref="H118">_xlfn.LET(_xlpm.u,B118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46094</v>
      </c>
      <c r="I118" s="238" cm="1">
        <f t="array" ref="I118">_xlfn.LET(_xlpm.u,B118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46094</v>
      </c>
      <c r="J118" s="238">
        <f>IF(E118&lt;&gt;"Cancelled/Denied","—",_xlfn.LET(_xlpm.u,B118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46099</v>
      </c>
      <c r="K118" s="237" t="str">
        <f t="shared" si="7"/>
        <v>—</v>
      </c>
    </row>
    <row r="119" spans="2:11" ht="14.15" customHeight="1">
      <c r="B119" s="236" t="str">
        <v>N26-1104</v>
      </c>
      <c r="C119" s="236" t="str" cm="1">
        <f t="array" ref="C119">_xlfn.LET(_xlpm.u,B119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Smith, Lauren</v>
      </c>
      <c r="D119" s="237" t="str" cm="1">
        <f t="array" ref="D119">_xlfn.LET(_xlpm.u,B119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19" s="237" t="str">
        <f t="shared" si="6"/>
        <v>Converted</v>
      </c>
      <c r="F119" s="237" t="str" cm="1">
        <f t="array" ref="F119">_xlfn.LET(_xlpm.u,B119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19" s="237" t="str" cm="1">
        <f t="array" ref="G119">_xlfn.LET(_xlpm.u,B119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19" s="238" cm="1">
        <f t="array" ref="H119">_xlfn.LET(_xlpm.u,B119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46084</v>
      </c>
      <c r="I119" s="238" cm="1">
        <f t="array" ref="I119">_xlfn.LET(_xlpm.u,B119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46086</v>
      </c>
      <c r="J119" s="238" t="str">
        <f>IF(E119&lt;&gt;"Cancelled/Denied","—",_xlfn.LET(_xlpm.u,B119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19" s="237" t="str">
        <f t="shared" si="7"/>
        <v>—</v>
      </c>
    </row>
    <row r="120" spans="2:11" ht="14.15" customHeight="1">
      <c r="B120" s="236" t="str">
        <v>N26-2105</v>
      </c>
      <c r="C120" s="236" t="str" cm="1">
        <f t="array" ref="C120">_xlfn.LET(_xlpm.u,B120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Epinayu epinayu, Maira</v>
      </c>
      <c r="D120" s="237" t="str" cm="1">
        <f t="array" ref="D120">_xlfn.LET(_xlpm.u,B120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20" s="237" t="str">
        <f t="shared" si="6"/>
        <v>Converted</v>
      </c>
      <c r="F120" s="237" t="str" cm="1">
        <f t="array" ref="F120">_xlfn.LET(_xlpm.u,B120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20" s="237" t="str" cm="1">
        <f t="array" ref="G120">_xlfn.LET(_xlpm.u,B120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120" s="238" cm="1">
        <f t="array" ref="H120">_xlfn.LET(_xlpm.u,B120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46081</v>
      </c>
      <c r="I120" s="238" cm="1">
        <f t="array" ref="I120">_xlfn.LET(_xlpm.u,B120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46097</v>
      </c>
      <c r="J120" s="238" t="str">
        <f>IF(E120&lt;&gt;"Cancelled/Denied","—",_xlfn.LET(_xlpm.u,B120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20" s="237" t="str">
        <f t="shared" si="7"/>
        <v>—</v>
      </c>
    </row>
    <row r="121" spans="2:11" ht="14.15" customHeight="1">
      <c r="B121" s="236" t="str">
        <v>S26-403</v>
      </c>
      <c r="C121" s="236" t="str" cm="1">
        <f t="array" ref="C121">_xlfn.LET(_xlpm.u,B121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Williams, LaAsia</v>
      </c>
      <c r="D121" s="237" t="str" cm="1">
        <f t="array" ref="D121">_xlfn.LET(_xlpm.u,B121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21" s="237" t="str">
        <f t="shared" si="6"/>
        <v>Cancelled/Denied</v>
      </c>
      <c r="F121" s="237" t="str" cm="1">
        <f t="array" ref="F121">_xlfn.LET(_xlpm.u,B121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21" s="237" t="str" cm="1">
        <f t="array" ref="G121">_xlfn.LET(_xlpm.u,B121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21" s="238" cm="1">
        <f t="array" ref="H121">_xlfn.LET(_xlpm.u,B121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46084</v>
      </c>
      <c r="I121" s="238" cm="1">
        <f t="array" ref="I121">_xlfn.LET(_xlpm.u,B121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21" s="238">
        <f>IF(E121&lt;&gt;"Cancelled/Denied","—",_xlfn.LET(_xlpm.u,B121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46139</v>
      </c>
      <c r="K121" s="237" t="str">
        <f t="shared" si="7"/>
        <v>—</v>
      </c>
    </row>
    <row r="122" spans="2:11" ht="14.15" customHeight="1">
      <c r="B122" s="236" t="str">
        <v>S26-404</v>
      </c>
      <c r="C122" s="236" t="str" cm="1">
        <f t="array" ref="C122">_xlfn.LET(_xlpm.u,B122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Teul, Vianei</v>
      </c>
      <c r="D122" s="237" t="str" cm="1">
        <f t="array" ref="D122">_xlfn.LET(_xlpm.u,B122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22" s="237" t="str">
        <f t="shared" si="6"/>
        <v>Cancelled/Denied</v>
      </c>
      <c r="F122" s="237" t="str" cm="1">
        <f t="array" ref="F122">_xlfn.LET(_xlpm.u,B122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22" s="237" t="str" cm="1">
        <f t="array" ref="G122">_xlfn.LET(_xlpm.u,B122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22" s="238" cm="1">
        <f t="array" ref="H122">_xlfn.LET(_xlpm.u,B122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46112</v>
      </c>
      <c r="I122" s="238" cm="1">
        <f t="array" ref="I122">_xlfn.LET(_xlpm.u,B122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46113</v>
      </c>
      <c r="J122" s="238">
        <f>IF(E122&lt;&gt;"Cancelled/Denied","—",_xlfn.LET(_xlpm.u,B122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46120</v>
      </c>
      <c r="K122" s="237" t="str">
        <f t="shared" si="7"/>
        <v>—</v>
      </c>
    </row>
    <row r="123" spans="2:11" ht="14.15" customHeight="1">
      <c r="B123" s="236" t="str">
        <v>S26-407</v>
      </c>
      <c r="C123" s="236" t="str" cm="1">
        <f t="array" ref="C123">_xlfn.LET(_xlpm.u,B123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Teul, Vianei</v>
      </c>
      <c r="D123" s="237" t="str" cm="1">
        <f t="array" ref="D123">_xlfn.LET(_xlpm.u,B123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23" s="237" t="str">
        <f t="shared" si="6"/>
        <v>Incomplete</v>
      </c>
      <c r="F123" s="237" t="str" cm="1">
        <f t="array" ref="F123">_xlfn.LET(_xlpm.u,B123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23" s="237" t="str" cm="1">
        <f t="array" ref="G123">_xlfn.LET(_xlpm.u,B123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23" s="238" cm="1">
        <f t="array" ref="H123">_xlfn.LET(_xlpm.u,B123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46113</v>
      </c>
      <c r="I123" s="238" cm="1">
        <f t="array" ref="I123">_xlfn.LET(_xlpm.u,B123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23" s="238" t="str">
        <f>IF(E123&lt;&gt;"Cancelled/Denied","—",_xlfn.LET(_xlpm.u,B123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23" s="237">
        <f t="shared" si="7"/>
        <v>26</v>
      </c>
    </row>
    <row r="124" spans="2:11" ht="14.15" customHeight="1">
      <c r="B124" s="236" t="str">
        <v>S26-408</v>
      </c>
      <c r="C124" s="236" t="str" cm="1">
        <f t="array" ref="C124">_xlfn.LET(_xlpm.u,B124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Hayes, Lejai</v>
      </c>
      <c r="D124" s="237" t="str" cm="1">
        <f t="array" ref="D124">_xlfn.LET(_xlpm.u,B124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24" s="237" t="str">
        <f t="shared" si="6"/>
        <v>Cancelled/Denied</v>
      </c>
      <c r="F124" s="237" t="str" cm="1">
        <f t="array" ref="F124">_xlfn.LET(_xlpm.u,B124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24" s="237" t="str" cm="1">
        <f t="array" ref="G124">_xlfn.LET(_xlpm.u,B124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UMOVEFREE</v>
      </c>
      <c r="H124" s="238" cm="1">
        <f t="array" ref="H124">_xlfn.LET(_xlpm.u,B124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46094</v>
      </c>
      <c r="I124" s="238" cm="1">
        <f t="array" ref="I124">_xlfn.LET(_xlpm.u,B124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24" s="238">
        <f>IF(E124&lt;&gt;"Cancelled/Denied","—",_xlfn.LET(_xlpm.u,B124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24" s="237" t="str">
        <f t="shared" si="7"/>
        <v>—</v>
      </c>
    </row>
    <row r="125" spans="2:11" ht="14.15" customHeight="1">
      <c r="B125" s="236" t="str">
        <v>S26-415</v>
      </c>
      <c r="C125" s="236" t="str" cm="1">
        <f t="array" ref="C125">_xlfn.LET(_xlpm.u,B125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Mitchell, Melody</v>
      </c>
      <c r="D125" s="237" t="str" cm="1">
        <f t="array" ref="D125">_xlfn.LET(_xlpm.u,B125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25" s="237" t="str">
        <f t="shared" si="6"/>
        <v>Cancelled/Denied</v>
      </c>
      <c r="F125" s="237" t="str" cm="1">
        <f t="array" ref="F125">_xlfn.LET(_xlpm.u,B125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25" s="237" t="str" cm="1">
        <f t="array" ref="G125">_xlfn.LET(_xlpm.u,B125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25" s="238" cm="1">
        <f t="array" ref="H125">_xlfn.LET(_xlpm.u,B125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46065</v>
      </c>
      <c r="I125" s="238" cm="1">
        <f t="array" ref="I125">_xlfn.LET(_xlpm.u,B125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46065</v>
      </c>
      <c r="J125" s="238">
        <f>IF(E125&lt;&gt;"Cancelled/Denied","—",_xlfn.LET(_xlpm.u,B125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46082</v>
      </c>
      <c r="K125" s="237" t="str">
        <f t="shared" si="7"/>
        <v>—</v>
      </c>
    </row>
    <row r="126" spans="2:11" ht="14.15" customHeight="1">
      <c r="B126" s="236" t="str">
        <v>S26-416</v>
      </c>
      <c r="C126" s="236" t="str" cm="1">
        <f t="array" ref="C126">_xlfn.LET(_xlpm.u,B126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White, Jamelia</v>
      </c>
      <c r="D126" s="237" t="str" cm="1">
        <f t="array" ref="D126">_xlfn.LET(_xlpm.u,B126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26" s="237" t="str">
        <f t="shared" si="6"/>
        <v>Incomplete</v>
      </c>
      <c r="F126" s="237" t="str" cm="1">
        <f t="array" ref="F126">_xlfn.LET(_xlpm.u,B126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26" s="237" t="str" cm="1">
        <f t="array" ref="G126">_xlfn.LET(_xlpm.u,B126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26" s="238" cm="1">
        <f t="array" ref="H126">_xlfn.LET(_xlpm.u,B126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46121</v>
      </c>
      <c r="I126" s="238" cm="1">
        <f t="array" ref="I126">_xlfn.LET(_xlpm.u,B126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26" s="238" t="str">
        <f>IF(E126&lt;&gt;"Cancelled/Denied","—",_xlfn.LET(_xlpm.u,B126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26" s="237">
        <f t="shared" si="7"/>
        <v>18</v>
      </c>
    </row>
    <row r="127" spans="2:11" ht="14.15" customHeight="1">
      <c r="B127" s="236" t="str">
        <v>S27-421</v>
      </c>
      <c r="C127" s="236" t="str" cm="1">
        <f t="array" ref="C127">_xlfn.LET(_xlpm.u,B127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Gertsen Jr, Gary</v>
      </c>
      <c r="D127" s="237" t="str" cm="1">
        <f t="array" ref="D127">_xlfn.LET(_xlpm.u,B127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27" s="237" t="str">
        <f t="shared" si="6"/>
        <v>Converted</v>
      </c>
      <c r="F127" s="237" t="str" cm="1">
        <f t="array" ref="F127">_xlfn.LET(_xlpm.u,B127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27" s="237" t="str" cm="1">
        <f t="array" ref="G127">_xlfn.LET(_xlpm.u,B127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127" s="238" cm="1">
        <f t="array" ref="H127">_xlfn.LET(_xlpm.u,B127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46070</v>
      </c>
      <c r="I127" s="238" cm="1">
        <f t="array" ref="I127">_xlfn.LET(_xlpm.u,B127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46070</v>
      </c>
      <c r="J127" s="238" t="str">
        <f>IF(E127&lt;&gt;"Cancelled/Denied","—",_xlfn.LET(_xlpm.u,B127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27" s="237" t="str">
        <f t="shared" si="7"/>
        <v>—</v>
      </c>
    </row>
    <row r="128" spans="2:11" ht="14.15" customHeight="1">
      <c r="B128" s="236" t="str">
        <v>S27-422</v>
      </c>
      <c r="C128" s="236" t="str" cm="1">
        <f t="array" ref="C128">_xlfn.LET(_xlpm.u,B128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Drissi-Messaly, Adam</v>
      </c>
      <c r="D128" s="237" t="str" cm="1">
        <f t="array" ref="D128">_xlfn.LET(_xlpm.u,B128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28" s="237" t="str">
        <f t="shared" si="6"/>
        <v>In Review</v>
      </c>
      <c r="F128" s="237" t="str" cm="1">
        <f t="array" ref="F128">_xlfn.LET(_xlpm.u,B128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28" s="237" t="str" cm="1">
        <f t="array" ref="G128">_xlfn.LET(_xlpm.u,B128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28" s="238" cm="1">
        <f t="array" ref="H128">_xlfn.LET(_xlpm.u,B128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46108</v>
      </c>
      <c r="I128" s="238" cm="1">
        <f t="array" ref="I128">_xlfn.LET(_xlpm.u,B128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46108</v>
      </c>
      <c r="J128" s="238" t="str">
        <f>IF(E128&lt;&gt;"Cancelled/Denied","—",_xlfn.LET(_xlpm.u,B128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28" s="237">
        <f t="shared" si="7"/>
        <v>31</v>
      </c>
    </row>
    <row r="129" spans="2:11" ht="14.15" customHeight="1">
      <c r="B129" s="236" t="str">
        <v>S28-107</v>
      </c>
      <c r="C129" s="236" t="str" cm="1">
        <f t="array" ref="C129">_xlfn.LET(_xlpm.u,B129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Jordan, Stephen</v>
      </c>
      <c r="D129" s="237" t="str" cm="1">
        <f t="array" ref="D129">_xlfn.LET(_xlpm.u,B129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29" s="237" t="str">
        <f t="shared" si="6"/>
        <v>Converted</v>
      </c>
      <c r="F129" s="237" t="str" cm="1">
        <f t="array" ref="F129">_xlfn.LET(_xlpm.u,B129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29" s="237" t="str" cm="1">
        <f t="array" ref="G129">_xlfn.LET(_xlpm.u,B129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29" s="238" cm="1">
        <f t="array" ref="H129">_xlfn.LET(_xlpm.u,B129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46106</v>
      </c>
      <c r="I129" s="238" cm="1">
        <f t="array" ref="I129">_xlfn.LET(_xlpm.u,B129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46106</v>
      </c>
      <c r="J129" s="238" t="str">
        <f>IF(E129&lt;&gt;"Cancelled/Denied","—",_xlfn.LET(_xlpm.u,B129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29" s="237" t="str">
        <f t="shared" si="7"/>
        <v>—</v>
      </c>
    </row>
    <row r="130" spans="2:11" ht="14.15" customHeight="1">
      <c r="B130" s="236" t="str">
        <v>S29-215</v>
      </c>
      <c r="C130" s="236" t="str" cm="1">
        <f t="array" ref="C130">_xlfn.LET(_xlpm.u,B130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lopez, gustavo</v>
      </c>
      <c r="D130" s="237" t="str" cm="1">
        <f t="array" ref="D130">_xlfn.LET(_xlpm.u,B130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30" s="237" t="str">
        <f t="shared" ref="E130:E161" si="8">IF(D130="Not Found","No Record",IF(OR(ISNUMBER(SEARCH("Cancelled",D130)),ISNUMBER(SEARCH("Denied",D130))),"Cancelled/Denied",IF(ISNUMBER(SEARCH("Lease",D130)),"Converted",IF(ISNUMBER(SEARCH("Completed",D130)),"In Review",IF(ISNUMBER(SEARCH("Started",D130)),"Incomplete","Other")))))</f>
        <v>Cancelled/Denied</v>
      </c>
      <c r="F130" s="237" t="str" cm="1">
        <f t="array" ref="F130">_xlfn.LET(_xlpm.u,B130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Martha</v>
      </c>
      <c r="G130" s="237" t="str" cm="1">
        <f t="array" ref="G130">_xlfn.LET(_xlpm.u,B130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30" s="238" cm="1">
        <f t="array" ref="H130">_xlfn.LET(_xlpm.u,B130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46066</v>
      </c>
      <c r="I130" s="238" cm="1">
        <f t="array" ref="I130">_xlfn.LET(_xlpm.u,B130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46066</v>
      </c>
      <c r="J130" s="238">
        <f>IF(E130&lt;&gt;"Cancelled/Denied","—",_xlfn.LET(_xlpm.u,B130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46078</v>
      </c>
      <c r="K130" s="237" t="str">
        <f t="shared" ref="K130:K161" si="9">IF(OR(E130="Cancelled/Denied",E130="Converted",E130="No Record",C130="NO RECORD"),"—",IF(ISNUMBER(H130),$C$3-H130,"—"))</f>
        <v>—</v>
      </c>
    </row>
    <row r="131" spans="2:11" ht="14.15" customHeight="1">
      <c r="B131" s="236" t="str">
        <v>S30-221</v>
      </c>
      <c r="C131" s="236" t="str" cm="1">
        <f t="array" ref="C131">_xlfn.LET(_xlpm.u,B131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Yagumanti, Nirmal Kumar reddy</v>
      </c>
      <c r="D131" s="237" t="str" cm="1">
        <f t="array" ref="D131">_xlfn.LET(_xlpm.u,B131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31" s="237" t="str">
        <f t="shared" si="8"/>
        <v>Cancelled/Denied</v>
      </c>
      <c r="F131" s="237" t="str" cm="1">
        <f t="array" ref="F131">_xlfn.LET(_xlpm.u,B131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31" s="237" t="str" cm="1">
        <f t="array" ref="G131">_xlfn.LET(_xlpm.u,B131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31" s="238" cm="1">
        <f t="array" ref="H131">_xlfn.LET(_xlpm.u,B131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46120</v>
      </c>
      <c r="I131" s="238" cm="1">
        <f t="array" ref="I131">_xlfn.LET(_xlpm.u,B131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46120</v>
      </c>
      <c r="J131" s="238">
        <f>IF(E131&lt;&gt;"Cancelled/Denied","—",_xlfn.LET(_xlpm.u,B131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46136</v>
      </c>
      <c r="K131" s="237" t="str">
        <f t="shared" si="9"/>
        <v>—</v>
      </c>
    </row>
    <row r="132" spans="2:11" ht="14.15" customHeight="1">
      <c r="B132" s="236" t="str">
        <v>S30-223</v>
      </c>
      <c r="C132" s="236" t="str" cm="1">
        <f t="array" ref="C132">_xlfn.LET(_xlpm.u,B132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QUINCY, RHIANNA</v>
      </c>
      <c r="D132" s="237" t="str" cm="1">
        <f t="array" ref="D132">_xlfn.LET(_xlpm.u,B132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32" s="237" t="str">
        <f t="shared" si="8"/>
        <v>Cancelled/Denied</v>
      </c>
      <c r="F132" s="237" t="str" cm="1">
        <f t="array" ref="F132">_xlfn.LET(_xlpm.u,B132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32" s="237" t="str" cm="1">
        <f t="array" ref="G132">_xlfn.LET(_xlpm.u,B132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32" s="238" cm="1">
        <f t="array" ref="H132">_xlfn.LET(_xlpm.u,B132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46105</v>
      </c>
      <c r="I132" s="238" cm="1">
        <f t="array" ref="I132">_xlfn.LET(_xlpm.u,B132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46105</v>
      </c>
      <c r="J132" s="238">
        <f>IF(E132&lt;&gt;"Cancelled/Denied","—",_xlfn.LET(_xlpm.u,B132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46139</v>
      </c>
      <c r="K132" s="237" t="str">
        <f t="shared" si="9"/>
        <v>—</v>
      </c>
    </row>
    <row r="133" spans="2:11" ht="14.15" customHeight="1">
      <c r="B133" s="236" t="str">
        <v>S30-224</v>
      </c>
      <c r="C133" s="236" t="str" cm="1">
        <f t="array" ref="C133">_xlfn.LET(_xlpm.u,B133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Morris, Erica</v>
      </c>
      <c r="D133" s="237" t="str" cm="1">
        <f t="array" ref="D133">_xlfn.LET(_xlpm.u,B133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33" s="237" t="str">
        <f t="shared" si="8"/>
        <v>Incomplete</v>
      </c>
      <c r="F133" s="237" t="str" cm="1">
        <f t="array" ref="F133">_xlfn.LET(_xlpm.u,B133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33" s="237" t="str" cm="1">
        <f t="array" ref="G133">_xlfn.LET(_xlpm.u,B133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33" s="238" cm="1">
        <f t="array" ref="H133">_xlfn.LET(_xlpm.u,B133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46133</v>
      </c>
      <c r="I133" s="238" cm="1">
        <f t="array" ref="I133">_xlfn.LET(_xlpm.u,B133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33" s="238" t="str">
        <f>IF(E133&lt;&gt;"Cancelled/Denied","—",_xlfn.LET(_xlpm.u,B133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33" s="237">
        <f t="shared" si="9"/>
        <v>6</v>
      </c>
    </row>
    <row r="134" spans="2:11" ht="14.15" customHeight="1">
      <c r="B134" s="236" t="str">
        <v>S31-118</v>
      </c>
      <c r="C134" s="236" t="str" cm="1">
        <f t="array" ref="C134">_xlfn.LET(_xlpm.u,B134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MORGAN, PEMETRIA</v>
      </c>
      <c r="D134" s="237" t="str" cm="1">
        <f t="array" ref="D134">_xlfn.LET(_xlpm.u,B134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34" s="237" t="str">
        <f t="shared" si="8"/>
        <v>Converted</v>
      </c>
      <c r="F134" s="237" t="str" cm="1">
        <f t="array" ref="F134">_xlfn.LET(_xlpm.u,B134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34" s="237" t="str" cm="1">
        <f t="array" ref="G134">_xlfn.LET(_xlpm.u,B134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34" s="238" cm="1">
        <f t="array" ref="H134">_xlfn.LET(_xlpm.u,B134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46086</v>
      </c>
      <c r="I134" s="238" cm="1">
        <f t="array" ref="I134">_xlfn.LET(_xlpm.u,B134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46121</v>
      </c>
      <c r="J134" s="238" t="str">
        <f>IF(E134&lt;&gt;"Cancelled/Denied","—",_xlfn.LET(_xlpm.u,B134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34" s="237" t="str">
        <f t="shared" si="9"/>
        <v>—</v>
      </c>
    </row>
    <row r="135" spans="2:11" ht="14.15" customHeight="1">
      <c r="B135" s="236" t="str">
        <v>S31-119</v>
      </c>
      <c r="C135" s="236" t="str" cm="1">
        <f t="array" ref="C135">_xlfn.LET(_xlpm.u,B135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Garcia, Claudia</v>
      </c>
      <c r="D135" s="237" t="str" cm="1">
        <f t="array" ref="D135">_xlfn.LET(_xlpm.u,B135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35" s="237" t="str">
        <f t="shared" si="8"/>
        <v>Cancelled/Denied</v>
      </c>
      <c r="F135" s="237" t="str" cm="1">
        <f t="array" ref="F135">_xlfn.LET(_xlpm.u,B135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35" s="237" t="str" cm="1">
        <f t="array" ref="G135">_xlfn.LET(_xlpm.u,B135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35" s="238" cm="1">
        <f t="array" ref="H135">_xlfn.LET(_xlpm.u,B135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46074</v>
      </c>
      <c r="I135" s="238" cm="1">
        <f t="array" ref="I135">_xlfn.LET(_xlpm.u,B135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35" s="238">
        <f>IF(E135&lt;&gt;"Cancelled/Denied","—",_xlfn.LET(_xlpm.u,B135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35" s="237" t="str">
        <f t="shared" si="9"/>
        <v>—</v>
      </c>
    </row>
    <row r="136" spans="2:11" ht="14.15" customHeight="1">
      <c r="B136" s="236" t="str">
        <v>S32-430</v>
      </c>
      <c r="C136" s="236" t="str" cm="1">
        <f t="array" ref="C136">_xlfn.LET(_xlpm.u,B136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teniente, Liliana</v>
      </c>
      <c r="D136" s="237" t="str" cm="1">
        <f t="array" ref="D136">_xlfn.LET(_xlpm.u,B136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36" s="237" t="str">
        <f t="shared" si="8"/>
        <v>In Review</v>
      </c>
      <c r="F136" s="237" t="str" cm="1">
        <f t="array" ref="F136">_xlfn.LET(_xlpm.u,B136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36" s="237" t="str" cm="1">
        <f t="array" ref="G136">_xlfn.LET(_xlpm.u,B136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136" s="238" cm="1">
        <f t="array" ref="H136">_xlfn.LET(_xlpm.u,B136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46134</v>
      </c>
      <c r="I136" s="238" cm="1">
        <f t="array" ref="I136">_xlfn.LET(_xlpm.u,B136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46136</v>
      </c>
      <c r="J136" s="238" t="str">
        <f>IF(E136&lt;&gt;"Cancelled/Denied","—",_xlfn.LET(_xlpm.u,B136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36" s="237">
        <f t="shared" si="9"/>
        <v>5</v>
      </c>
    </row>
    <row r="137" spans="2:11" ht="14.15" customHeight="1">
      <c r="B137" s="236" t="str">
        <v>S32-431</v>
      </c>
      <c r="C137" s="236" t="str" cm="1">
        <f t="array" ref="C137">_xlfn.LET(_xlpm.u,B137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Patel, Kausha</v>
      </c>
      <c r="D137" s="237" t="str" cm="1">
        <f t="array" ref="D137">_xlfn.LET(_xlpm.u,B137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37" s="237" t="str">
        <f t="shared" si="8"/>
        <v>Cancelled/Denied</v>
      </c>
      <c r="F137" s="237" t="str" cm="1">
        <f t="array" ref="F137">_xlfn.LET(_xlpm.u,B137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37" s="237" t="str" cm="1">
        <f t="array" ref="G137">_xlfn.LET(_xlpm.u,B137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37" s="238" cm="1">
        <f t="array" ref="H137">_xlfn.LET(_xlpm.u,B137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46020</v>
      </c>
      <c r="I137" s="238" cm="1">
        <f t="array" ref="I137">_xlfn.LET(_xlpm.u,B137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37" s="238">
        <f>IF(E137&lt;&gt;"Cancelled/Denied","—",_xlfn.LET(_xlpm.u,B137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37" s="237" t="str">
        <f t="shared" si="9"/>
        <v>—</v>
      </c>
    </row>
    <row r="138" spans="2:11" ht="14.15" customHeight="1">
      <c r="B138" s="236" t="str">
        <v>S34-141</v>
      </c>
      <c r="C138" s="236" t="str" cm="1">
        <f t="array" ref="C138">_xlfn.LET(_xlpm.u,B138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Mejia, Christina</v>
      </c>
      <c r="D138" s="237" t="str" cm="1">
        <f t="array" ref="D138">_xlfn.LET(_xlpm.u,B138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38" s="237" t="str">
        <f t="shared" si="8"/>
        <v>Converted</v>
      </c>
      <c r="F138" s="237" t="str" cm="1">
        <f t="array" ref="F138">_xlfn.LET(_xlpm.u,B138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38" s="237" t="str" cm="1">
        <f t="array" ref="G138">_xlfn.LET(_xlpm.u,B138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Zillow</v>
      </c>
      <c r="H138" s="238" cm="1">
        <f t="array" ref="H138">_xlfn.LET(_xlpm.u,B138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46100</v>
      </c>
      <c r="I138" s="238" cm="1">
        <f t="array" ref="I138">_xlfn.LET(_xlpm.u,B138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46100</v>
      </c>
      <c r="J138" s="238" t="str">
        <f>IF(E138&lt;&gt;"Cancelled/Denied","—",_xlfn.LET(_xlpm.u,B138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38" s="237" t="str">
        <f t="shared" si="9"/>
        <v>—</v>
      </c>
    </row>
    <row r="139" spans="2:11" ht="14.15" customHeight="1">
      <c r="B139" s="236" t="str">
        <v>S34-242</v>
      </c>
      <c r="C139" s="236" t="str" cm="1">
        <f t="array" ref="C139">_xlfn.LET(_xlpm.u,B139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Stogner, Lydia</v>
      </c>
      <c r="D139" s="237" t="str" cm="1">
        <f t="array" ref="D139">_xlfn.LET(_xlpm.u,B139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39" s="237" t="str">
        <f t="shared" si="8"/>
        <v>Converted</v>
      </c>
      <c r="F139" s="237" t="str" cm="1">
        <f t="array" ref="F139">_xlfn.LET(_xlpm.u,B139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39" s="237" t="str" cm="1">
        <f t="array" ref="G139">_xlfn.LET(_xlpm.u,B139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39" s="238" cm="1">
        <f t="array" ref="H139">_xlfn.LET(_xlpm.u,B139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46072</v>
      </c>
      <c r="I139" s="238" cm="1">
        <f t="array" ref="I139">_xlfn.LET(_xlpm.u,B139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46072</v>
      </c>
      <c r="J139" s="238" t="str">
        <f>IF(E139&lt;&gt;"Cancelled/Denied","—",_xlfn.LET(_xlpm.u,B139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39" s="237" t="str">
        <f t="shared" si="9"/>
        <v>—</v>
      </c>
    </row>
    <row r="140" spans="2:11" ht="14.15" customHeight="1">
      <c r="B140" s="236" t="str">
        <v>S34-244</v>
      </c>
      <c r="C140" s="236" t="str" cm="1">
        <f t="array" ref="C140">_xlfn.LET(_xlpm.u,B140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Settle, Richard</v>
      </c>
      <c r="D140" s="237" t="str" cm="1">
        <f t="array" ref="D140">_xlfn.LET(_xlpm.u,B140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40" s="237" t="str">
        <f t="shared" si="8"/>
        <v>Incomplete</v>
      </c>
      <c r="F140" s="237" t="str" cm="1">
        <f t="array" ref="F140">_xlfn.LET(_xlpm.u,B140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40" s="237" t="str" cm="1">
        <f t="array" ref="G140">_xlfn.LET(_xlpm.u,B140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40" s="238" cm="1">
        <f t="array" ref="H140">_xlfn.LET(_xlpm.u,B140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46118</v>
      </c>
      <c r="I140" s="238" cm="1">
        <f t="array" ref="I140">_xlfn.LET(_xlpm.u,B140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40" s="238" t="str">
        <f>IF(E140&lt;&gt;"Cancelled/Denied","—",_xlfn.LET(_xlpm.u,B140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40" s="237">
        <f t="shared" si="9"/>
        <v>21</v>
      </c>
    </row>
    <row r="141" spans="2:11" ht="14.15" customHeight="1">
      <c r="B141" s="236" t="str">
        <v>S35-147</v>
      </c>
      <c r="C141" s="236" t="str" cm="1">
        <f t="array" ref="C141">_xlfn.LET(_xlpm.u,B141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Brown, Rebecca</v>
      </c>
      <c r="D141" s="237" t="str" cm="1">
        <f t="array" ref="D141">_xlfn.LET(_xlpm.u,B141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41" s="237" t="str">
        <f t="shared" si="8"/>
        <v>Converted</v>
      </c>
      <c r="F141" s="237" t="str" cm="1">
        <f t="array" ref="F141">_xlfn.LET(_xlpm.u,B141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41" s="237" t="str" cm="1">
        <f t="array" ref="G141">_xlfn.LET(_xlpm.u,B141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RentVision Website</v>
      </c>
      <c r="H141" s="238" cm="1">
        <f t="array" ref="H141">_xlfn.LET(_xlpm.u,B141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46118</v>
      </c>
      <c r="I141" s="238" cm="1">
        <f t="array" ref="I141">_xlfn.LET(_xlpm.u,B141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46122</v>
      </c>
      <c r="J141" s="238" t="str">
        <f>IF(E141&lt;&gt;"Cancelled/Denied","—",_xlfn.LET(_xlpm.u,B141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41" s="237" t="str">
        <f t="shared" si="9"/>
        <v>—</v>
      </c>
    </row>
    <row r="142" spans="2:11" ht="14.15" customHeight="1">
      <c r="B142" s="236" t="str">
        <v>S35-245</v>
      </c>
      <c r="C142" s="236" t="str" cm="1">
        <f t="array" ref="C142">_xlfn.LET(_xlpm.u,B142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Stogner, Lydia</v>
      </c>
      <c r="D142" s="237" t="str" cm="1">
        <f t="array" ref="D142">_xlfn.LET(_xlpm.u,B142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42" s="237" t="str">
        <f t="shared" si="8"/>
        <v>Cancelled/Denied</v>
      </c>
      <c r="F142" s="237" t="str" cm="1">
        <f t="array" ref="F142">_xlfn.LET(_xlpm.u,B142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42" s="237" t="str" cm="1">
        <f t="array" ref="G142">_xlfn.LET(_xlpm.u,B142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42" s="238" cm="1">
        <f t="array" ref="H142">_xlfn.LET(_xlpm.u,B142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46066</v>
      </c>
      <c r="I142" s="238" cm="1">
        <f t="array" ref="I142">_xlfn.LET(_xlpm.u,B142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42" s="238">
        <f>IF(E142&lt;&gt;"Cancelled/Denied","—",_xlfn.LET(_xlpm.u,B142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46122</v>
      </c>
      <c r="K142" s="237" t="str">
        <f t="shared" si="9"/>
        <v>—</v>
      </c>
    </row>
    <row r="143" spans="2:11" ht="14.15" customHeight="1">
      <c r="B143" s="236" t="str">
        <v>S35-247</v>
      </c>
      <c r="C143" s="236" t="str" cm="1">
        <f t="array" ref="C143">_xlfn.LET(_xlpm.u,B143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Martinez, Maresa</v>
      </c>
      <c r="D143" s="237" t="str" cm="1">
        <f t="array" ref="D143">_xlfn.LET(_xlpm.u,B143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43" s="237" t="str">
        <f t="shared" si="8"/>
        <v>Converted</v>
      </c>
      <c r="F143" s="237" t="str" cm="1">
        <f t="array" ref="F143">_xlfn.LET(_xlpm.u,B143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43" s="237" t="str" cm="1">
        <f t="array" ref="G143">_xlfn.LET(_xlpm.u,B143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43" s="238" cm="1">
        <f t="array" ref="H143">_xlfn.LET(_xlpm.u,B143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46064</v>
      </c>
      <c r="I143" s="238" cm="1">
        <f t="array" ref="I143">_xlfn.LET(_xlpm.u,B143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46065</v>
      </c>
      <c r="J143" s="238" t="str">
        <f>IF(E143&lt;&gt;"Cancelled/Denied","—",_xlfn.LET(_xlpm.u,B143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43" s="237" t="str">
        <f t="shared" si="9"/>
        <v>—</v>
      </c>
    </row>
    <row r="144" spans="2:11" ht="14.15" customHeight="1">
      <c r="B144" s="236" t="str">
        <v>S36-433</v>
      </c>
      <c r="C144" s="236" t="str" cm="1">
        <f t="array" ref="C144">_xlfn.LET(_xlpm.u,B144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Titilayo, Aminu</v>
      </c>
      <c r="D144" s="237" t="str" cm="1">
        <f t="array" ref="D144">_xlfn.LET(_xlpm.u,B144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44" s="237" t="str">
        <f t="shared" si="8"/>
        <v>In Review</v>
      </c>
      <c r="F144" s="237" t="str" cm="1">
        <f t="array" ref="F144">_xlfn.LET(_xlpm.u,B144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44" s="237" t="str" cm="1">
        <f t="array" ref="G144">_xlfn.LET(_xlpm.u,B144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44" s="238" cm="1">
        <f t="array" ref="H144">_xlfn.LET(_xlpm.u,B144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46127</v>
      </c>
      <c r="I144" s="238" cm="1">
        <f t="array" ref="I144">_xlfn.LET(_xlpm.u,B144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46134</v>
      </c>
      <c r="J144" s="238" t="str">
        <f>IF(E144&lt;&gt;"Cancelled/Denied","—",_xlfn.LET(_xlpm.u,B144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44" s="237">
        <f t="shared" si="9"/>
        <v>12</v>
      </c>
    </row>
    <row r="145" spans="2:11" ht="14.15" customHeight="1">
      <c r="B145" s="236" t="str">
        <v>S36-436</v>
      </c>
      <c r="C145" s="236" t="str" cm="1">
        <f t="array" ref="C145">_xlfn.LET(_xlpm.u,B145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Said, Djallel</v>
      </c>
      <c r="D145" s="237" t="str" cm="1">
        <f t="array" ref="D145">_xlfn.LET(_xlpm.u,B145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45" s="237" t="str">
        <f t="shared" si="8"/>
        <v>Converted</v>
      </c>
      <c r="F145" s="237" t="str" cm="1">
        <f t="array" ref="F145">_xlfn.LET(_xlpm.u,B145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45" s="237" t="str" cm="1">
        <f t="array" ref="G145">_xlfn.LET(_xlpm.u,B145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Migrated Resident</v>
      </c>
      <c r="H145" s="238" cm="1">
        <f t="array" ref="H145">_xlfn.LET(_xlpm.u,B145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46084</v>
      </c>
      <c r="I145" s="238" cm="1">
        <f t="array" ref="I145">_xlfn.LET(_xlpm.u,B145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46084</v>
      </c>
      <c r="J145" s="238" t="str">
        <f>IF(E145&lt;&gt;"Cancelled/Denied","—",_xlfn.LET(_xlpm.u,B145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45" s="237" t="str">
        <f t="shared" si="9"/>
        <v>—</v>
      </c>
    </row>
    <row r="146" spans="2:11" ht="14.15" customHeight="1">
      <c r="B146" s="236" t="str">
        <v>S39-155</v>
      </c>
      <c r="C146" s="236" t="str" cm="1">
        <f t="array" ref="C146">_xlfn.LET(_xlpm.u,B146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Vicente, Irma</v>
      </c>
      <c r="D146" s="237" t="str" cm="1">
        <f t="array" ref="D146">_xlfn.LET(_xlpm.u,B146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46" s="237" t="str">
        <f t="shared" si="8"/>
        <v>Cancelled/Denied</v>
      </c>
      <c r="F146" s="237" t="str" cm="1">
        <f t="array" ref="F146">_xlfn.LET(_xlpm.u,B146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46" s="237" t="str" cm="1">
        <f t="array" ref="G146">_xlfn.LET(_xlpm.u,B146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46" s="238" cm="1">
        <f t="array" ref="H146">_xlfn.LET(_xlpm.u,B146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46056</v>
      </c>
      <c r="I146" s="238" cm="1">
        <f t="array" ref="I146">_xlfn.LET(_xlpm.u,B146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46" s="238">
        <f>IF(E146&lt;&gt;"Cancelled/Denied","—",_xlfn.LET(_xlpm.u,B146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46115</v>
      </c>
      <c r="K146" s="237" t="str">
        <f t="shared" si="9"/>
        <v>—</v>
      </c>
    </row>
    <row r="147" spans="2:11" ht="14.15" customHeight="1">
      <c r="B147" s="236" t="str">
        <v>S39-256</v>
      </c>
      <c r="C147" s="236" t="str" cm="1">
        <f t="array" ref="C147">_xlfn.LET(_xlpm.u,B147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Williams, Celetta</v>
      </c>
      <c r="D147" s="237" t="str" cm="1">
        <f t="array" ref="D147">_xlfn.LET(_xlpm.u,B147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47" s="237" t="str">
        <f t="shared" si="8"/>
        <v>Incomplete</v>
      </c>
      <c r="F147" s="237" t="str" cm="1">
        <f t="array" ref="F147">_xlfn.LET(_xlpm.u,B147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47" s="237" t="str" cm="1">
        <f t="array" ref="G147">_xlfn.LET(_xlpm.u,B147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47" s="238" cm="1">
        <f t="array" ref="H147">_xlfn.LET(_xlpm.u,B147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46125</v>
      </c>
      <c r="I147" s="238" cm="1">
        <f t="array" ref="I147">_xlfn.LET(_xlpm.u,B147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47" s="238" t="str">
        <f>IF(E147&lt;&gt;"Cancelled/Denied","—",_xlfn.LET(_xlpm.u,B147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47" s="237">
        <f t="shared" si="9"/>
        <v>14</v>
      </c>
    </row>
    <row r="148" spans="2:11" ht="14.15" customHeight="1">
      <c r="B148" s="236" t="str">
        <v>S42-169</v>
      </c>
      <c r="C148" s="236" t="str" cm="1">
        <f t="array" ref="C148">_xlfn.LET(_xlpm.u,B148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Wright, Weldon</v>
      </c>
      <c r="D148" s="237" t="str" cm="1">
        <f t="array" ref="D148">_xlfn.LET(_xlpm.u,B148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48" s="237" t="str">
        <f t="shared" si="8"/>
        <v>Cancelled/Denied</v>
      </c>
      <c r="F148" s="237" t="str" cm="1">
        <f t="array" ref="F148">_xlfn.LET(_xlpm.u,B148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48" s="237" t="str" cm="1">
        <f t="array" ref="G148">_xlfn.LET(_xlpm.u,B148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Facebook</v>
      </c>
      <c r="H148" s="238" cm="1">
        <f t="array" ref="H148">_xlfn.LET(_xlpm.u,B148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46101</v>
      </c>
      <c r="I148" s="238" cm="1">
        <f t="array" ref="I148">_xlfn.LET(_xlpm.u,B148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48" s="238">
        <f>IF(E148&lt;&gt;"Cancelled/Denied","—",_xlfn.LET(_xlpm.u,B148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46137</v>
      </c>
      <c r="K148" s="237" t="str">
        <f t="shared" si="9"/>
        <v>—</v>
      </c>
    </row>
    <row r="149" spans="2:11" ht="14.15" customHeight="1">
      <c r="B149" s="236" t="str">
        <v>W01-1-0101</v>
      </c>
      <c r="C149" s="236" t="str" cm="1">
        <f t="array" ref="C149">_xlfn.LET(_xlpm.u,B149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Ofili, Bukunmi</v>
      </c>
      <c r="D149" s="237" t="str" cm="1">
        <f t="array" ref="D149">_xlfn.LET(_xlpm.u,B149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49" s="237" t="str">
        <f t="shared" si="8"/>
        <v>Cancelled/Denied</v>
      </c>
      <c r="F149" s="237" t="str" cm="1">
        <f t="array" ref="F149">_xlfn.LET(_xlpm.u,B149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49" s="237" t="str" cm="1">
        <f t="array" ref="G149">_xlfn.LET(_xlpm.u,B149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149" s="238" cm="1">
        <f t="array" ref="H149">_xlfn.LET(_xlpm.u,B149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46065</v>
      </c>
      <c r="I149" s="238" cm="1">
        <f t="array" ref="I149">_xlfn.LET(_xlpm.u,B149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49" s="238">
        <f>IF(E149&lt;&gt;"Cancelled/Denied","—",_xlfn.LET(_xlpm.u,B149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46093</v>
      </c>
      <c r="K149" s="237" t="str">
        <f t="shared" si="9"/>
        <v>—</v>
      </c>
    </row>
    <row r="150" spans="2:11" ht="14.15" customHeight="1">
      <c r="B150" s="236" t="str">
        <v>W01-1-0111</v>
      </c>
      <c r="C150" s="236" t="str" cm="1">
        <f t="array" ref="C150">_xlfn.LET(_xlpm.u,B150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Viard, Michael</v>
      </c>
      <c r="D150" s="237" t="str" cm="1">
        <f t="array" ref="D150">_xlfn.LET(_xlpm.u,B150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50" s="237" t="str">
        <f t="shared" si="8"/>
        <v>Cancelled/Denied</v>
      </c>
      <c r="F150" s="237" t="str" cm="1">
        <f t="array" ref="F150">_xlfn.LET(_xlpm.u,B150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150" s="237" t="str" cm="1">
        <f t="array" ref="G150">_xlfn.LET(_xlpm.u,B150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50" s="238" cm="1">
        <f t="array" ref="H150">_xlfn.LET(_xlpm.u,B150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46086</v>
      </c>
      <c r="I150" s="238" cm="1">
        <f t="array" ref="I150">_xlfn.LET(_xlpm.u,B150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50" s="238">
        <f>IF(E150&lt;&gt;"Cancelled/Denied","—",_xlfn.LET(_xlpm.u,B150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46137</v>
      </c>
      <c r="K150" s="237" t="str">
        <f t="shared" si="9"/>
        <v>—</v>
      </c>
    </row>
    <row r="151" spans="2:11" ht="14.15" customHeight="1">
      <c r="B151" s="236" t="str">
        <v>W01-1-0116</v>
      </c>
      <c r="C151" s="236" t="str" cm="1">
        <f t="array" ref="C151">_xlfn.LET(_xlpm.u,B151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Rhymes, Ayanna</v>
      </c>
      <c r="D151" s="237" t="str" cm="1">
        <f t="array" ref="D151">_xlfn.LET(_xlpm.u,B151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51" s="237" t="str">
        <f t="shared" si="8"/>
        <v>Cancelled/Denied</v>
      </c>
      <c r="F151" s="237" t="str" cm="1">
        <f t="array" ref="F151">_xlfn.LET(_xlpm.u,B151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51" s="237" t="str" cm="1">
        <f t="array" ref="G151">_xlfn.LET(_xlpm.u,B151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51" s="238" cm="1">
        <f t="array" ref="H151">_xlfn.LET(_xlpm.u,B151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46084</v>
      </c>
      <c r="I151" s="238" cm="1">
        <f t="array" ref="I151">_xlfn.LET(_xlpm.u,B151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46086</v>
      </c>
      <c r="J151" s="238">
        <f>IF(E151&lt;&gt;"Cancelled/Denied","—",_xlfn.LET(_xlpm.u,B151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46086</v>
      </c>
      <c r="K151" s="237" t="str">
        <f t="shared" si="9"/>
        <v>—</v>
      </c>
    </row>
    <row r="152" spans="2:11" ht="14.15" customHeight="1">
      <c r="B152" s="236" t="str">
        <v>W02-1-0207</v>
      </c>
      <c r="C152" s="236" t="str" cm="1">
        <f t="array" ref="C152">_xlfn.LET(_xlpm.u,B152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Mays, Chyra</v>
      </c>
      <c r="D152" s="237" t="str" cm="1">
        <f t="array" ref="D152">_xlfn.LET(_xlpm.u,B152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52" s="237" t="str">
        <f t="shared" si="8"/>
        <v>Cancelled/Denied</v>
      </c>
      <c r="F152" s="237" t="str" cm="1">
        <f t="array" ref="F152">_xlfn.LET(_xlpm.u,B152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52" s="237" t="str" cm="1">
        <f t="array" ref="G152">_xlfn.LET(_xlpm.u,B152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52" s="238" cm="1">
        <f t="array" ref="H152">_xlfn.LET(_xlpm.u,B152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46015</v>
      </c>
      <c r="I152" s="238" cm="1">
        <f t="array" ref="I152">_xlfn.LET(_xlpm.u,B152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52" s="238">
        <f>IF(E152&lt;&gt;"Cancelled/Denied","—",_xlfn.LET(_xlpm.u,B152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52" s="237" t="str">
        <f t="shared" si="9"/>
        <v>—</v>
      </c>
    </row>
    <row r="153" spans="2:11" ht="14.15" customHeight="1">
      <c r="B153" s="236" t="str">
        <v>W03-1-0310</v>
      </c>
      <c r="C153" s="236" t="str" cm="1">
        <f t="array" ref="C153">_xlfn.LET(_xlpm.u,B153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Brewster, Starshaye</v>
      </c>
      <c r="D153" s="237" t="str" cm="1">
        <f t="array" ref="D153">_xlfn.LET(_xlpm.u,B153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53" s="237" t="str">
        <f t="shared" si="8"/>
        <v>Cancelled/Denied</v>
      </c>
      <c r="F153" s="237" t="str" cm="1">
        <f t="array" ref="F153">_xlfn.LET(_xlpm.u,B153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153" s="237" t="str" cm="1">
        <f t="array" ref="G153">_xlfn.LET(_xlpm.u,B153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53" s="238" cm="1">
        <f t="array" ref="H153">_xlfn.LET(_xlpm.u,B153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46088</v>
      </c>
      <c r="I153" s="238" cm="1">
        <f t="array" ref="I153">_xlfn.LET(_xlpm.u,B153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53" s="238">
        <f>IF(E153&lt;&gt;"Cancelled/Denied","—",_xlfn.LET(_xlpm.u,B153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46115</v>
      </c>
      <c r="K153" s="237" t="str">
        <f t="shared" si="9"/>
        <v>—</v>
      </c>
    </row>
    <row r="154" spans="2:11" ht="14.15" customHeight="1">
      <c r="B154" s="236" t="str">
        <v>W04-1-0403</v>
      </c>
      <c r="C154" s="236" t="str" cm="1">
        <f t="array" ref="C154">_xlfn.LET(_xlpm.u,B154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Buckner, Cristy</v>
      </c>
      <c r="D154" s="237" t="str" cm="1">
        <f t="array" ref="D154">_xlfn.LET(_xlpm.u,B154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54" s="237" t="str">
        <f t="shared" si="8"/>
        <v>Cancelled/Denied</v>
      </c>
      <c r="F154" s="237" t="str" cm="1">
        <f t="array" ref="F154">_xlfn.LET(_xlpm.u,B154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54" s="237" t="str" cm="1">
        <f t="array" ref="G154">_xlfn.LET(_xlpm.u,B154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54" s="238" cm="1">
        <f t="array" ref="H154">_xlfn.LET(_xlpm.u,B154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46065</v>
      </c>
      <c r="I154" s="238" cm="1">
        <f t="array" ref="I154">_xlfn.LET(_xlpm.u,B154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54" s="238">
        <f>IF(E154&lt;&gt;"Cancelled/Denied","—",_xlfn.LET(_xlpm.u,B154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54" s="237" t="str">
        <f t="shared" si="9"/>
        <v>—</v>
      </c>
    </row>
    <row r="155" spans="2:11" ht="14.15" customHeight="1">
      <c r="B155" s="396" t="str">
        <v>W04-1-0406</v>
      </c>
      <c r="C155" s="396" t="str" cm="1">
        <f t="array" ref="C155">_xlfn.LET(_xlpm.u,B155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Martin, Addison</v>
      </c>
      <c r="D155" s="397" t="str" cm="1">
        <f t="array" ref="D155">_xlfn.LET(_xlpm.u,B155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55" s="397" t="str">
        <f t="shared" si="8"/>
        <v>Converted</v>
      </c>
      <c r="F155" s="397" t="str" cm="1">
        <f t="array" ref="F155">_xlfn.LET(_xlpm.u,B155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55" s="397" t="str" cm="1">
        <f t="array" ref="G155">_xlfn.LET(_xlpm.u,B155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55" s="398" cm="1">
        <f t="array" ref="H155">_xlfn.LET(_xlpm.u,B155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46078</v>
      </c>
      <c r="I155" s="398" cm="1">
        <f t="array" ref="I155">_xlfn.LET(_xlpm.u,B155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46091</v>
      </c>
      <c r="J155" s="398" t="str">
        <f>IF(E155&lt;&gt;"Cancelled/Denied","—",_xlfn.LET(_xlpm.u,B155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55" s="397" t="str">
        <f t="shared" si="9"/>
        <v>—</v>
      </c>
    </row>
    <row r="156" spans="2:11">
      <c r="B156" s="715" t="str">
        <v>W04-1-0415</v>
      </c>
      <c r="C156" s="715" t="str" cm="1">
        <f t="array" ref="C156">_xlfn.LET(_xlpm.u,B156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Diaz Becerra, Victor</v>
      </c>
      <c r="D156" s="716" t="str" cm="1">
        <f t="array" ref="D156">_xlfn.LET(_xlpm.u,B156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56" s="716" t="str">
        <f t="shared" si="8"/>
        <v>Converted</v>
      </c>
      <c r="F156" s="716" t="str" cm="1">
        <f t="array" ref="F156">_xlfn.LET(_xlpm.u,B156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56" s="716" t="str" cm="1">
        <f t="array" ref="G156">_xlfn.LET(_xlpm.u,B156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56" s="717" cm="1">
        <f t="array" ref="H156">_xlfn.LET(_xlpm.u,B156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46092</v>
      </c>
      <c r="I156" s="717" cm="1">
        <f t="array" ref="I156">_xlfn.LET(_xlpm.u,B156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46093</v>
      </c>
      <c r="J156" s="717" t="str">
        <f>IF(E156&lt;&gt;"Cancelled/Denied","—",_xlfn.LET(_xlpm.u,B156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56" s="716" t="str">
        <f t="shared" si="9"/>
        <v>—</v>
      </c>
    </row>
    <row r="157" spans="2:11">
      <c r="B157" s="701" t="str">
        <v>W04-1-0416</v>
      </c>
      <c r="C157" s="701" t="str" cm="1">
        <f t="array" ref="C157">_xlfn.LET(_xlpm.u,B157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Creeks, Matreka</v>
      </c>
      <c r="D157" s="718" t="str" cm="1">
        <f t="array" ref="D157">_xlfn.LET(_xlpm.u,B157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57" s="718" t="str">
        <f t="shared" si="8"/>
        <v>Cancelled/Denied</v>
      </c>
      <c r="F157" s="718" t="str" cm="1">
        <f t="array" ref="F157">_xlfn.LET(_xlpm.u,B157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57" s="718" t="str" cm="1">
        <f t="array" ref="G157">_xlfn.LET(_xlpm.u,B157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57" s="719" cm="1">
        <f t="array" ref="H157">_xlfn.LET(_xlpm.u,B157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46057</v>
      </c>
      <c r="I157" s="719" cm="1">
        <f t="array" ref="I157">_xlfn.LET(_xlpm.u,B157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46057</v>
      </c>
      <c r="J157" s="719">
        <f>IF(E157&lt;&gt;"Cancelled/Denied","—",_xlfn.LET(_xlpm.u,B157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46074</v>
      </c>
      <c r="K157" s="718" t="str">
        <f t="shared" si="9"/>
        <v>—</v>
      </c>
    </row>
    <row r="158" spans="2:11">
      <c r="B158" s="715" t="str">
        <v>W05-1-0501</v>
      </c>
      <c r="C158" s="715" t="str" cm="1">
        <f t="array" ref="C158">_xlfn.LET(_xlpm.u,B158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Woods, Kelsee</v>
      </c>
      <c r="D158" s="716" t="str" cm="1">
        <f t="array" ref="D158">_xlfn.LET(_xlpm.u,B158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58" s="716" t="str">
        <f t="shared" si="8"/>
        <v>In Review</v>
      </c>
      <c r="F158" s="716" t="str" cm="1">
        <f t="array" ref="F158">_xlfn.LET(_xlpm.u,B158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58" s="716" t="str" cm="1">
        <f t="array" ref="G158">_xlfn.LET(_xlpm.u,B158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RentVision Website</v>
      </c>
      <c r="H158" s="717" cm="1">
        <f t="array" ref="H158">_xlfn.LET(_xlpm.u,B158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46130</v>
      </c>
      <c r="I158" s="717" cm="1">
        <f t="array" ref="I158">_xlfn.LET(_xlpm.u,B158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46133</v>
      </c>
      <c r="J158" s="717" t="str">
        <f>IF(E158&lt;&gt;"Cancelled/Denied","—",_xlfn.LET(_xlpm.u,B158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58" s="716">
        <f t="shared" si="9"/>
        <v>9</v>
      </c>
    </row>
    <row r="159" spans="2:11">
      <c r="B159" s="720" t="str">
        <v>W05-1-0510</v>
      </c>
      <c r="C159" s="720" t="str" cm="1">
        <f t="array" ref="C159">_xlfn.LET(_xlpm.u,B159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Thomas, Cori</v>
      </c>
      <c r="D159" s="721" t="str" cm="1">
        <f t="array" ref="D159">_xlfn.LET(_xlpm.u,B159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59" s="721" t="str">
        <f t="shared" si="8"/>
        <v>Cancelled/Denied</v>
      </c>
      <c r="F159" s="721" t="str" cm="1">
        <f t="array" ref="F159">_xlfn.LET(_xlpm.u,B159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159" s="721" t="str" cm="1">
        <f t="array" ref="G159">_xlfn.LET(_xlpm.u,B159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159" s="722" cm="1">
        <f t="array" ref="H159">_xlfn.LET(_xlpm.u,B159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46122</v>
      </c>
      <c r="I159" s="722" cm="1">
        <f t="array" ref="I159">_xlfn.LET(_xlpm.u,B159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46122</v>
      </c>
      <c r="J159" s="722">
        <f>IF(E159&lt;&gt;"Cancelled/Denied","—",_xlfn.LET(_xlpm.u,B159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46122</v>
      </c>
      <c r="K159" s="721" t="str">
        <f t="shared" si="9"/>
        <v>—</v>
      </c>
    </row>
    <row r="160" spans="2:11">
      <c r="B160" s="723" t="str">
        <v>W05-1-0514</v>
      </c>
      <c r="C160" s="723" t="str" cm="1">
        <f t="array" ref="C160">_xlfn.LET(_xlpm.u,B160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Zapata, Patricia</v>
      </c>
      <c r="D160" s="724" t="str" cm="1">
        <f t="array" ref="D160">_xlfn.LET(_xlpm.u,B160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60" s="724" t="str">
        <f t="shared" si="8"/>
        <v>Cancelled/Denied</v>
      </c>
      <c r="F160" s="724" t="str" cm="1">
        <f t="array" ref="F160">_xlfn.LET(_xlpm.u,B160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60" s="724" t="str" cm="1">
        <f t="array" ref="G160">_xlfn.LET(_xlpm.u,B160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60" s="725" cm="1">
        <f t="array" ref="H160">_xlfn.LET(_xlpm.u,B160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46077</v>
      </c>
      <c r="I160" s="725" cm="1">
        <f t="array" ref="I160">_xlfn.LET(_xlpm.u,B160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46077</v>
      </c>
      <c r="J160" s="725">
        <f>IF(E160&lt;&gt;"Cancelled/Denied","—",_xlfn.LET(_xlpm.u,B160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60" s="724" t="str">
        <f t="shared" si="9"/>
        <v>—</v>
      </c>
    </row>
    <row r="161" spans="2:11">
      <c r="B161" s="701" t="str">
        <v>W05-1-0522</v>
      </c>
      <c r="C161" s="701" t="str" cm="1">
        <f t="array" ref="C161">_xlfn.LET(_xlpm.u,B161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Woods, Kelsee</v>
      </c>
      <c r="D161" s="718" t="str" cm="1">
        <f t="array" ref="D161">_xlfn.LET(_xlpm.u,B161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61" s="718" t="str">
        <f t="shared" si="8"/>
        <v>Cancelled/Denied</v>
      </c>
      <c r="F161" s="718" t="str" cm="1">
        <f t="array" ref="F161">_xlfn.LET(_xlpm.u,B161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61" s="718" t="str" cm="1">
        <f t="array" ref="G161">_xlfn.LET(_xlpm.u,B161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61" s="719" cm="1">
        <f t="array" ref="H161">_xlfn.LET(_xlpm.u,B161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46132</v>
      </c>
      <c r="I161" s="719" cm="1">
        <f t="array" ref="I161">_xlfn.LET(_xlpm.u,B161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61" s="719">
        <f>IF(E161&lt;&gt;"Cancelled/Denied","—",_xlfn.LET(_xlpm.u,B161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46135</v>
      </c>
      <c r="K161" s="718" t="str">
        <f t="shared" si="9"/>
        <v>—</v>
      </c>
    </row>
    <row r="162" spans="2:11">
      <c r="B162" s="695" t="str">
        <v>W06-1-0613</v>
      </c>
      <c r="C162" s="695" t="str" cm="1">
        <f t="array" ref="C162">_xlfn.LET(_xlpm.u,B162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Wilson, Ariana</v>
      </c>
      <c r="D162" s="696" t="str" cm="1">
        <f t="array" ref="D162">_xlfn.LET(_xlpm.u,B162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62" s="696" t="str">
        <f t="shared" ref="E162:E193" si="10">IF(D162="Not Found","No Record",IF(OR(ISNUMBER(SEARCH("Cancelled",D162)),ISNUMBER(SEARCH("Denied",D162))),"Cancelled/Denied",IF(ISNUMBER(SEARCH("Lease",D162)),"Converted",IF(ISNUMBER(SEARCH("Completed",D162)),"In Review",IF(ISNUMBER(SEARCH("Started",D162)),"Incomplete","Other")))))</f>
        <v>Incomplete</v>
      </c>
      <c r="F162" s="696" t="str" cm="1">
        <f t="array" ref="F162">_xlfn.LET(_xlpm.u,B162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62" s="696" t="str" cm="1">
        <f t="array" ref="G162">_xlfn.LET(_xlpm.u,B162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62" s="697" cm="1">
        <f t="array" ref="H162">_xlfn.LET(_xlpm.u,B162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46106</v>
      </c>
      <c r="I162" s="697" cm="1">
        <f t="array" ref="I162">_xlfn.LET(_xlpm.u,B162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62" s="697" t="str">
        <f>IF(E162&lt;&gt;"Cancelled/Denied","—",_xlfn.LET(_xlpm.u,B162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62" s="696">
        <f t="shared" ref="K162:K193" si="11">IF(OR(E162="Cancelled/Denied",E162="Converted",E162="No Record",C162="NO RECORD"),"—",IF(ISNUMBER(H162),$C$3-H162,"—"))</f>
        <v>33</v>
      </c>
    </row>
    <row r="163" spans="2:11">
      <c r="B163" s="701" t="str">
        <v>W07-1-0703</v>
      </c>
      <c r="C163" s="701" t="str" cm="1">
        <f t="array" ref="C163">_xlfn.LET(_xlpm.u,B163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Heath, Mckenzi</v>
      </c>
      <c r="D163" s="718" t="str" cm="1">
        <f t="array" ref="D163">_xlfn.LET(_xlpm.u,B163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63" s="718" t="str">
        <f t="shared" si="10"/>
        <v>Cancelled/Denied</v>
      </c>
      <c r="F163" s="718" t="str" cm="1">
        <f t="array" ref="F163">_xlfn.LET(_xlpm.u,B163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163" s="718" t="str" cm="1">
        <f t="array" ref="G163">_xlfn.LET(_xlpm.u,B163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63" s="719" cm="1">
        <f t="array" ref="H163">_xlfn.LET(_xlpm.u,B163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46127</v>
      </c>
      <c r="I163" s="719" cm="1">
        <f t="array" ref="I163">_xlfn.LET(_xlpm.u,B163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63" s="719">
        <f>IF(E163&lt;&gt;"Cancelled/Denied","—",_xlfn.LET(_xlpm.u,B163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46127</v>
      </c>
      <c r="K163" s="718" t="str">
        <f t="shared" si="11"/>
        <v>—</v>
      </c>
    </row>
    <row r="164" spans="2:11">
      <c r="B164" s="723" t="str">
        <v>W07-1-0708</v>
      </c>
      <c r="C164" s="723" t="str" cm="1">
        <f t="array" ref="C164">_xlfn.LET(_xlpm.u,B164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Williams, Makaila</v>
      </c>
      <c r="D164" s="724" t="str" cm="1">
        <f t="array" ref="D164">_xlfn.LET(_xlpm.u,B164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64" s="724" t="str">
        <f t="shared" si="10"/>
        <v>Cancelled/Denied</v>
      </c>
      <c r="F164" s="724" t="str" cm="1">
        <f t="array" ref="F164">_xlfn.LET(_xlpm.u,B164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64" s="724" t="str" cm="1">
        <f t="array" ref="G164">_xlfn.LET(_xlpm.u,B164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64" s="725" cm="1">
        <f t="array" ref="H164">_xlfn.LET(_xlpm.u,B164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46058</v>
      </c>
      <c r="I164" s="725" cm="1">
        <f t="array" ref="I164">_xlfn.LET(_xlpm.u,B164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46058</v>
      </c>
      <c r="J164" s="725">
        <f>IF(E164&lt;&gt;"Cancelled/Denied","—",_xlfn.LET(_xlpm.u,B164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64" s="724" t="str">
        <f t="shared" si="11"/>
        <v>—</v>
      </c>
    </row>
    <row r="165" spans="2:11">
      <c r="B165" s="701" t="str">
        <v>W07-1-0717</v>
      </c>
      <c r="C165" s="701" t="str" cm="1">
        <f t="array" ref="C165">_xlfn.LET(_xlpm.u,B165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Ameh, Agnes</v>
      </c>
      <c r="D165" s="718" t="str" cm="1">
        <f t="array" ref="D165">_xlfn.LET(_xlpm.u,B165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65" s="718" t="str">
        <f t="shared" si="10"/>
        <v>Converted</v>
      </c>
      <c r="F165" s="718" t="str" cm="1">
        <f t="array" ref="F165">_xlfn.LET(_xlpm.u,B165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65" s="718" t="str" cm="1">
        <f t="array" ref="G165">_xlfn.LET(_xlpm.u,B165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65" s="719" cm="1">
        <f t="array" ref="H165">_xlfn.LET(_xlpm.u,B165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46062</v>
      </c>
      <c r="I165" s="719" cm="1">
        <f t="array" ref="I165">_xlfn.LET(_xlpm.u,B165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46104</v>
      </c>
      <c r="J165" s="719" t="str">
        <f>IF(E165&lt;&gt;"Cancelled/Denied","—",_xlfn.LET(_xlpm.u,B165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65" s="718" t="str">
        <f t="shared" si="11"/>
        <v>—</v>
      </c>
    </row>
    <row r="166" spans="2:11">
      <c r="B166" s="695" t="str">
        <v>W07-1-0723</v>
      </c>
      <c r="C166" s="695" t="str" cm="1">
        <f t="array" ref="C166">_xlfn.LET(_xlpm.u,B166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Maiorka, Chelsey</v>
      </c>
      <c r="D166" s="696" t="str" cm="1">
        <f t="array" ref="D166">_xlfn.LET(_xlpm.u,B166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66" s="696" t="str">
        <f t="shared" si="10"/>
        <v>Incomplete</v>
      </c>
      <c r="F166" s="696" t="str" cm="1">
        <f t="array" ref="F166">_xlfn.LET(_xlpm.u,B166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66" s="696" t="str" cm="1">
        <f t="array" ref="G166">_xlfn.LET(_xlpm.u,B166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66" s="697" cm="1">
        <f t="array" ref="H166">_xlfn.LET(_xlpm.u,B166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46135</v>
      </c>
      <c r="I166" s="697" cm="1">
        <f t="array" ref="I166">_xlfn.LET(_xlpm.u,B166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66" s="697" t="str">
        <f>IF(E166&lt;&gt;"Cancelled/Denied","—",_xlfn.LET(_xlpm.u,B166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66" s="696">
        <f t="shared" si="11"/>
        <v>4</v>
      </c>
    </row>
    <row r="167" spans="2:11">
      <c r="B167" s="715" t="str">
        <v>W07-1-0724</v>
      </c>
      <c r="C167" s="715" t="str" cm="1">
        <f t="array" ref="C167">_xlfn.LET(_xlpm.u,B167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Fudge, Willi</v>
      </c>
      <c r="D167" s="716" t="str" cm="1">
        <f t="array" ref="D167">_xlfn.LET(_xlpm.u,B167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67" s="716" t="str">
        <f t="shared" si="10"/>
        <v>Incomplete</v>
      </c>
      <c r="F167" s="716" t="str" cm="1">
        <f t="array" ref="F167">_xlfn.LET(_xlpm.u,B167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67" s="716" t="str" cm="1">
        <f t="array" ref="G167">_xlfn.LET(_xlpm.u,B167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67" s="717" cm="1">
        <f t="array" ref="H167">_xlfn.LET(_xlpm.u,B167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46135</v>
      </c>
      <c r="I167" s="717" cm="1">
        <f t="array" ref="I167">_xlfn.LET(_xlpm.u,B167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67" s="717" t="str">
        <f>IF(E167&lt;&gt;"Cancelled/Denied","—",_xlfn.LET(_xlpm.u,B167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67" s="716">
        <f t="shared" si="11"/>
        <v>4</v>
      </c>
    </row>
    <row r="168" spans="2:11">
      <c r="B168" s="698" t="str">
        <v>W08-1-0807</v>
      </c>
      <c r="C168" s="695" t="str" cm="1">
        <f t="array" ref="C168">_xlfn.LET(_xlpm.u,B168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Chism, James</v>
      </c>
      <c r="D168" s="696" t="str" cm="1">
        <f t="array" ref="D168">_xlfn.LET(_xlpm.u,B168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68" s="696" t="str">
        <f t="shared" si="10"/>
        <v>Cancelled/Denied</v>
      </c>
      <c r="F168" s="696" t="str" cm="1">
        <f t="array" ref="F168">_xlfn.LET(_xlpm.u,B168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68" s="696" t="str" cm="1">
        <f t="array" ref="G168">_xlfn.LET(_xlpm.u,B168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68" s="697" cm="1">
        <f t="array" ref="H168">_xlfn.LET(_xlpm.u,B168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46122</v>
      </c>
      <c r="I168" s="697" cm="1">
        <f t="array" ref="I168">_xlfn.LET(_xlpm.u,B168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46123</v>
      </c>
      <c r="J168" s="697">
        <f>IF(E168&lt;&gt;"Cancelled/Denied","—",_xlfn.LET(_xlpm.u,B168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46126</v>
      </c>
      <c r="K168" s="696" t="str">
        <f t="shared" si="11"/>
        <v>—</v>
      </c>
    </row>
    <row r="169" spans="2:11">
      <c r="B169" s="698" t="str">
        <v>W09-1-0904</v>
      </c>
      <c r="C169" s="695" t="str" cm="1">
        <f t="array" ref="C169">_xlfn.LET(_xlpm.u,B169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Richards, Janette</v>
      </c>
      <c r="D169" s="696" t="str" cm="1">
        <f t="array" ref="D169">_xlfn.LET(_xlpm.u,B169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69" s="696" t="str">
        <f t="shared" si="10"/>
        <v>Incomplete</v>
      </c>
      <c r="F169" s="696" t="str" cm="1">
        <f t="array" ref="F169">_xlfn.LET(_xlpm.u,B169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69" s="696" t="str" cm="1">
        <f t="array" ref="G169">_xlfn.LET(_xlpm.u,B169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69" s="697" cm="1">
        <f t="array" ref="H169">_xlfn.LET(_xlpm.u,B169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46122</v>
      </c>
      <c r="I169" s="697" cm="1">
        <f t="array" ref="I169">_xlfn.LET(_xlpm.u,B169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69" s="697" t="str">
        <f>IF(E169&lt;&gt;"Cancelled/Denied","—",_xlfn.LET(_xlpm.u,B169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69" s="696">
        <f t="shared" si="11"/>
        <v>17</v>
      </c>
    </row>
    <row r="170" spans="2:11">
      <c r="B170" s="701" t="str">
        <v>W09-1-0910</v>
      </c>
      <c r="C170" s="695" t="str" cm="1">
        <f t="array" ref="C170">_xlfn.LET(_xlpm.u,B170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Corona, Jose</v>
      </c>
      <c r="D170" s="696" t="str" cm="1">
        <f t="array" ref="D170">_xlfn.LET(_xlpm.u,B170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70" s="696" t="str">
        <f t="shared" si="10"/>
        <v>Incomplete</v>
      </c>
      <c r="F170" s="696" t="str" cm="1">
        <f t="array" ref="F170">_xlfn.LET(_xlpm.u,B170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70" s="696" t="str" cm="1">
        <f t="array" ref="G170">_xlfn.LET(_xlpm.u,B170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70" s="697" cm="1">
        <f t="array" ref="H170">_xlfn.LET(_xlpm.u,B170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46129</v>
      </c>
      <c r="I170" s="697" cm="1">
        <f t="array" ref="I170">_xlfn.LET(_xlpm.u,B170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70" s="697" t="str">
        <f>IF(E170&lt;&gt;"Cancelled/Denied","—",_xlfn.LET(_xlpm.u,B170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70" s="696">
        <f t="shared" si="11"/>
        <v>10</v>
      </c>
    </row>
    <row r="171" spans="2:11">
      <c r="B171" s="705" t="str">
        <v>W09-1-0913</v>
      </c>
      <c r="C171" s="695" t="str" cm="1">
        <f t="array" ref="C171">_xlfn.LET(_xlpm.u,B171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Potts, Robin</v>
      </c>
      <c r="D171" s="696" t="str" cm="1">
        <f t="array" ref="D171">_xlfn.LET(_xlpm.u,B171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71" s="696" t="str">
        <f t="shared" si="10"/>
        <v>Converted</v>
      </c>
      <c r="F171" s="696" t="str" cm="1">
        <f t="array" ref="F171">_xlfn.LET(_xlpm.u,B171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71" s="696" t="str" cm="1">
        <f t="array" ref="G171">_xlfn.LET(_xlpm.u,B171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Locator Service</v>
      </c>
      <c r="H171" s="697" cm="1">
        <f t="array" ref="H171">_xlfn.LET(_xlpm.u,B171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46091</v>
      </c>
      <c r="I171" s="697" cm="1">
        <f t="array" ref="I171">_xlfn.LET(_xlpm.u,B171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46091</v>
      </c>
      <c r="J171" s="697" t="str">
        <f>IF(E171&lt;&gt;"Cancelled/Denied","—",_xlfn.LET(_xlpm.u,B171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71" s="696" t="str">
        <f t="shared" si="11"/>
        <v>—</v>
      </c>
    </row>
    <row r="172" spans="2:11">
      <c r="B172" s="698" t="str">
        <v>W09-1-0916</v>
      </c>
      <c r="C172" s="695" t="str" cm="1">
        <f t="array" ref="C172">_xlfn.LET(_xlpm.u,B172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Barrios quiroz, Eduardo</v>
      </c>
      <c r="D172" s="696" t="str" cm="1">
        <f t="array" ref="D172">_xlfn.LET(_xlpm.u,B172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72" s="696" t="str">
        <f t="shared" si="10"/>
        <v>Cancelled/Denied</v>
      </c>
      <c r="F172" s="696" t="str" cm="1">
        <f t="array" ref="F172">_xlfn.LET(_xlpm.u,B172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72" s="696" t="str" cm="1">
        <f t="array" ref="G172">_xlfn.LET(_xlpm.u,B172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Previous Resident Referral</v>
      </c>
      <c r="H172" s="697" cm="1">
        <f t="array" ref="H172">_xlfn.LET(_xlpm.u,B172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46055</v>
      </c>
      <c r="I172" s="697" cm="1">
        <f t="array" ref="I172">_xlfn.LET(_xlpm.u,B172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46056</v>
      </c>
      <c r="J172" s="697">
        <f>IF(E172&lt;&gt;"Cancelled/Denied","—",_xlfn.LET(_xlpm.u,B172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46078</v>
      </c>
      <c r="K172" s="696" t="str">
        <f t="shared" si="11"/>
        <v>—</v>
      </c>
    </row>
    <row r="173" spans="2:11">
      <c r="B173" s="702" t="str">
        <v>W10-1-1001</v>
      </c>
      <c r="C173" s="695" t="str" cm="1">
        <f t="array" ref="C173">_xlfn.LET(_xlpm.u,B173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Hernandez, Phillip</v>
      </c>
      <c r="D173" s="696" t="str" cm="1">
        <f t="array" ref="D173">_xlfn.LET(_xlpm.u,B173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73" s="696" t="str">
        <f t="shared" si="10"/>
        <v>Cancelled/Denied</v>
      </c>
      <c r="F173" s="696" t="str" cm="1">
        <f t="array" ref="F173">_xlfn.LET(_xlpm.u,B173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173" s="696" t="str" cm="1">
        <f t="array" ref="G173">_xlfn.LET(_xlpm.u,B173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73" s="697" cm="1">
        <f t="array" ref="H173">_xlfn.LET(_xlpm.u,B173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46063</v>
      </c>
      <c r="I173" s="697" cm="1">
        <f t="array" ref="I173">_xlfn.LET(_xlpm.u,B173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46063</v>
      </c>
      <c r="J173" s="697">
        <f>IF(E173&lt;&gt;"Cancelled/Denied","—",_xlfn.LET(_xlpm.u,B173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46085</v>
      </c>
      <c r="K173" s="696" t="str">
        <f t="shared" si="11"/>
        <v>—</v>
      </c>
    </row>
    <row r="174" spans="2:11">
      <c r="B174" s="702" t="str">
        <v>W10-1-1005</v>
      </c>
      <c r="C174" s="695" t="str" cm="1">
        <f t="array" ref="C174">_xlfn.LET(_xlpm.u,B174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Irias, Dorian</v>
      </c>
      <c r="D174" s="696" t="str" cm="1">
        <f t="array" ref="D174">_xlfn.LET(_xlpm.u,B174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74" s="696" t="str">
        <f t="shared" si="10"/>
        <v>Incomplete</v>
      </c>
      <c r="F174" s="696" t="str" cm="1">
        <f t="array" ref="F174">_xlfn.LET(_xlpm.u,B174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74" s="696" t="str" cm="1">
        <f t="array" ref="G174">_xlfn.LET(_xlpm.u,B174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74" s="697" cm="1">
        <f t="array" ref="H174">_xlfn.LET(_xlpm.u,B174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46088</v>
      </c>
      <c r="I174" s="697" cm="1">
        <f t="array" ref="I174">_xlfn.LET(_xlpm.u,B174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74" s="697" t="str">
        <f>IF(E174&lt;&gt;"Cancelled/Denied","—",_xlfn.LET(_xlpm.u,B174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74" s="696">
        <f t="shared" si="11"/>
        <v>51</v>
      </c>
    </row>
    <row r="175" spans="2:11">
      <c r="B175" s="702" t="str">
        <v>W11-1-1103</v>
      </c>
      <c r="C175" s="695" t="str" cm="1">
        <f t="array" ref="C175">_xlfn.LET(_xlpm.u,B175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Freeman, April</v>
      </c>
      <c r="D175" s="696" t="str" cm="1">
        <f t="array" ref="D175">_xlfn.LET(_xlpm.u,B175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75" s="696" t="str">
        <f t="shared" si="10"/>
        <v>Cancelled/Denied</v>
      </c>
      <c r="F175" s="696" t="str" cm="1">
        <f t="array" ref="F175">_xlfn.LET(_xlpm.u,B175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175" s="696" t="str" cm="1">
        <f t="array" ref="G175">_xlfn.LET(_xlpm.u,B175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75" s="697" cm="1">
        <f t="array" ref="H175">_xlfn.LET(_xlpm.u,B175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46096</v>
      </c>
      <c r="I175" s="697" cm="1">
        <f t="array" ref="I175">_xlfn.LET(_xlpm.u,B175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75" s="697">
        <f>IF(E175&lt;&gt;"Cancelled/Denied","—",_xlfn.LET(_xlpm.u,B175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46115</v>
      </c>
      <c r="K175" s="696" t="str">
        <f t="shared" si="11"/>
        <v>—</v>
      </c>
    </row>
    <row r="176" spans="2:11">
      <c r="B176" s="702" t="str">
        <v>W11-1-1107</v>
      </c>
      <c r="C176" s="695" t="str" cm="1">
        <f t="array" ref="C176">_xlfn.LET(_xlpm.u,B176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Mckeever, Larkyn</v>
      </c>
      <c r="D176" s="696" t="str" cm="1">
        <f t="array" ref="D176">_xlfn.LET(_xlpm.u,B176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76" s="696" t="str">
        <f t="shared" si="10"/>
        <v>Converted</v>
      </c>
      <c r="F176" s="696" t="str" cm="1">
        <f t="array" ref="F176">_xlfn.LET(_xlpm.u,B176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76" s="696" t="str" cm="1">
        <f t="array" ref="G176">_xlfn.LET(_xlpm.u,B176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Bing</v>
      </c>
      <c r="H176" s="697" cm="1">
        <f t="array" ref="H176">_xlfn.LET(_xlpm.u,B176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46101</v>
      </c>
      <c r="I176" s="697" cm="1">
        <f t="array" ref="I176">_xlfn.LET(_xlpm.u,B176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46123</v>
      </c>
      <c r="J176" s="697" t="str">
        <f>IF(E176&lt;&gt;"Cancelled/Denied","—",_xlfn.LET(_xlpm.u,B176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76" s="696" t="str">
        <f t="shared" si="11"/>
        <v>—</v>
      </c>
    </row>
    <row r="177" spans="2:11">
      <c r="B177" s="702" t="str">
        <v>W12-1-1213</v>
      </c>
      <c r="C177" s="695" t="str" cm="1">
        <f t="array" ref="C177">_xlfn.LET(_xlpm.u,B177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Franklin, Anton</v>
      </c>
      <c r="D177" s="696" t="str" cm="1">
        <f t="array" ref="D177">_xlfn.LET(_xlpm.u,B177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77" s="696" t="str">
        <f t="shared" si="10"/>
        <v>Cancelled/Denied</v>
      </c>
      <c r="F177" s="696" t="str" cm="1">
        <f t="array" ref="F177">_xlfn.LET(_xlpm.u,B177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77" s="696" t="str" cm="1">
        <f t="array" ref="G177">_xlfn.LET(_xlpm.u,B177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177" s="697" cm="1">
        <f t="array" ref="H177">_xlfn.LET(_xlpm.u,B177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46067</v>
      </c>
      <c r="I177" s="697" cm="1">
        <f t="array" ref="I177">_xlfn.LET(_xlpm.u,B177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77" s="697">
        <f>IF(E177&lt;&gt;"Cancelled/Denied","—",_xlfn.LET(_xlpm.u,B177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77" s="696" t="str">
        <f t="shared" si="11"/>
        <v>—</v>
      </c>
    </row>
    <row r="178" spans="2:11">
      <c r="B178" s="701" t="str">
        <v>W12-1-1220</v>
      </c>
      <c r="C178" s="698" t="str" cm="1">
        <f t="array" ref="C178">_xlfn.LET(_xlpm.u,B178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Franklin, Sapphiria</v>
      </c>
      <c r="D178" s="699" t="str" cm="1">
        <f t="array" ref="D178">_xlfn.LET(_xlpm.u,B178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78" s="699" t="str">
        <f t="shared" si="10"/>
        <v>In Review</v>
      </c>
      <c r="F178" s="699" t="str" cm="1">
        <f t="array" ref="F178">_xlfn.LET(_xlpm.u,B178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78" s="699" t="str" cm="1">
        <f t="array" ref="G178">_xlfn.LET(_xlpm.u,B178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78" s="700" cm="1">
        <f t="array" ref="H178">_xlfn.LET(_xlpm.u,B178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46132</v>
      </c>
      <c r="I178" s="700" cm="1">
        <f t="array" ref="I178">_xlfn.LET(_xlpm.u,B178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46132</v>
      </c>
      <c r="J178" s="700" t="str">
        <f>IF(E178&lt;&gt;"Cancelled/Denied","—",_xlfn.LET(_xlpm.u,B178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78" s="699">
        <f t="shared" si="11"/>
        <v>7</v>
      </c>
    </row>
    <row r="179" spans="2:11">
      <c r="B179" s="705" t="str">
        <v>W13-1-1302</v>
      </c>
      <c r="C179" s="698" t="str" cm="1">
        <f t="array" ref="C179">_xlfn.LET(_xlpm.u,B179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REYNOLDS, STEPHEN</v>
      </c>
      <c r="D179" s="699" t="str" cm="1">
        <f t="array" ref="D179">_xlfn.LET(_xlpm.u,B179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79" s="699" t="str">
        <f t="shared" si="10"/>
        <v>Converted</v>
      </c>
      <c r="F179" s="699" t="str" cm="1">
        <f t="array" ref="F179">_xlfn.LET(_xlpm.u,B179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79" s="699" t="str" cm="1">
        <f t="array" ref="G179">_xlfn.LET(_xlpm.u,B179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79" s="700" cm="1">
        <f t="array" ref="H179">_xlfn.LET(_xlpm.u,B179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46074</v>
      </c>
      <c r="I179" s="700" cm="1">
        <f t="array" ref="I179">_xlfn.LET(_xlpm.u,B179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46074</v>
      </c>
      <c r="J179" s="700" t="str">
        <f>IF(E179&lt;&gt;"Cancelled/Denied","—",_xlfn.LET(_xlpm.u,B179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79" s="699" t="str">
        <f t="shared" si="11"/>
        <v>—</v>
      </c>
    </row>
    <row r="180" spans="2:11">
      <c r="B180" s="698" t="str">
        <v>W13-1-1303</v>
      </c>
      <c r="C180" s="698" t="str" cm="1">
        <f t="array" ref="C180">_xlfn.LET(_xlpm.u,B180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Palacio, Juan</v>
      </c>
      <c r="D180" s="699" t="str" cm="1">
        <f t="array" ref="D180">_xlfn.LET(_xlpm.u,B180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80" s="699" t="str">
        <f t="shared" si="10"/>
        <v>Cancelled/Denied</v>
      </c>
      <c r="F180" s="699" t="str" cm="1">
        <f t="array" ref="F180">_xlfn.LET(_xlpm.u,B180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80" s="699" t="str" cm="1">
        <f t="array" ref="G180">_xlfn.LET(_xlpm.u,B180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80" s="700" cm="1">
        <f t="array" ref="H180">_xlfn.LET(_xlpm.u,B180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46090</v>
      </c>
      <c r="I180" s="700" cm="1">
        <f t="array" ref="I180">_xlfn.LET(_xlpm.u,B180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80" s="700">
        <f>IF(E180&lt;&gt;"Cancelled/Denied","—",_xlfn.LET(_xlpm.u,B180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80" s="699" t="str">
        <f t="shared" si="11"/>
        <v>—</v>
      </c>
    </row>
    <row r="181" spans="2:11">
      <c r="B181" s="702" t="str">
        <v>W13-1-1306</v>
      </c>
      <c r="C181" s="702" t="str" cm="1">
        <f t="array" ref="C181">_xlfn.LET(_xlpm.u,B181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Camacho, Jose</v>
      </c>
      <c r="D181" s="703" t="str" cm="1">
        <f t="array" ref="D181">_xlfn.LET(_xlpm.u,B181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81" s="703" t="str">
        <f t="shared" si="10"/>
        <v>Cancelled/Denied</v>
      </c>
      <c r="F181" s="703" t="str" cm="1">
        <f t="array" ref="F181">_xlfn.LET(_xlpm.u,B181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81" s="703" t="str" cm="1">
        <f t="array" ref="G181">_xlfn.LET(_xlpm.u,B181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81" s="704" cm="1">
        <f t="array" ref="H181">_xlfn.LET(_xlpm.u,B181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46060</v>
      </c>
      <c r="I181" s="704" cm="1">
        <f t="array" ref="I181">_xlfn.LET(_xlpm.u,B181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46061</v>
      </c>
      <c r="J181" s="704">
        <f>IF(E181&lt;&gt;"Cancelled/Denied","—",_xlfn.LET(_xlpm.u,B181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46073</v>
      </c>
      <c r="K181" s="703" t="str">
        <f t="shared" si="11"/>
        <v>—</v>
      </c>
    </row>
    <row r="182" spans="2:11">
      <c r="B182" s="701" t="str">
        <v>W13-1-1311</v>
      </c>
      <c r="C182" s="702" t="str" cm="1">
        <f t="array" ref="C182">_xlfn.LET(_xlpm.u,B182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Simmons, Daija</v>
      </c>
      <c r="D182" s="703" t="str" cm="1">
        <f t="array" ref="D182">_xlfn.LET(_xlpm.u,B182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82" s="703" t="str">
        <f t="shared" si="10"/>
        <v>Incomplete</v>
      </c>
      <c r="F182" s="703" t="str" cm="1">
        <f t="array" ref="F182">_xlfn.LET(_xlpm.u,B182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82" s="703" t="str" cm="1">
        <f t="array" ref="G182">_xlfn.LET(_xlpm.u,B182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82" s="704" cm="1">
        <f t="array" ref="H182">_xlfn.LET(_xlpm.u,B182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46129</v>
      </c>
      <c r="I182" s="704" cm="1">
        <f t="array" ref="I182">_xlfn.LET(_xlpm.u,B182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82" s="704" t="str">
        <f>IF(E182&lt;&gt;"Cancelled/Denied","—",_xlfn.LET(_xlpm.u,B182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82" s="703">
        <f t="shared" si="11"/>
        <v>10</v>
      </c>
    </row>
    <row r="183" spans="2:11">
      <c r="B183" s="705" t="str">
        <v>W13-1-1318</v>
      </c>
      <c r="C183" s="698" t="str" cm="1">
        <f t="array" ref="C183">_xlfn.LET(_xlpm.u,B183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ogunsanya, mopelola</v>
      </c>
      <c r="D183" s="699" t="str" cm="1">
        <f t="array" ref="D183">_xlfn.LET(_xlpm.u,B183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83" s="699" t="str">
        <f t="shared" si="10"/>
        <v>Cancelled/Denied</v>
      </c>
      <c r="F183" s="699" t="str" cm="1">
        <f t="array" ref="F183">_xlfn.LET(_xlpm.u,B183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183" s="699" t="str" cm="1">
        <f t="array" ref="G183">_xlfn.LET(_xlpm.u,B183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Previous Resident Referral</v>
      </c>
      <c r="H183" s="700" cm="1">
        <f t="array" ref="H183">_xlfn.LET(_xlpm.u,B183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46093</v>
      </c>
      <c r="I183" s="700" cm="1">
        <f t="array" ref="I183">_xlfn.LET(_xlpm.u,B183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46093</v>
      </c>
      <c r="J183" s="700">
        <f>IF(E183&lt;&gt;"Cancelled/Denied","—",_xlfn.LET(_xlpm.u,B183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46118</v>
      </c>
      <c r="K183" s="699" t="str">
        <f t="shared" si="11"/>
        <v>—</v>
      </c>
    </row>
    <row r="184" spans="2:11">
      <c r="B184" s="701" t="str">
        <v>W14-1-1401</v>
      </c>
      <c r="C184" s="702" t="str" cm="1">
        <f t="array" ref="C184">_xlfn.LET(_xlpm.u,B184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Zambrano, Weelferth</v>
      </c>
      <c r="D184" s="703" t="str" cm="1">
        <f t="array" ref="D184">_xlfn.LET(_xlpm.u,B184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84" s="703" t="str">
        <f t="shared" si="10"/>
        <v>Converted</v>
      </c>
      <c r="F184" s="703" t="str" cm="1">
        <f t="array" ref="F184">_xlfn.LET(_xlpm.u,B184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84" s="703" t="str" cm="1">
        <f t="array" ref="G184">_xlfn.LET(_xlpm.u,B184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84" s="704" cm="1">
        <f t="array" ref="H184">_xlfn.LET(_xlpm.u,B184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46113</v>
      </c>
      <c r="I184" s="704" cm="1">
        <f t="array" ref="I184">_xlfn.LET(_xlpm.u,B184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46113</v>
      </c>
      <c r="J184" s="704" t="str">
        <f>IF(E184&lt;&gt;"Cancelled/Denied","—",_xlfn.LET(_xlpm.u,B184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84" s="703" t="str">
        <f t="shared" si="11"/>
        <v>—</v>
      </c>
    </row>
    <row r="185" spans="2:11">
      <c r="B185" s="705" t="str">
        <v>W14-1-1406</v>
      </c>
      <c r="C185" s="698" t="str" cm="1">
        <f t="array" ref="C185">_xlfn.LET(_xlpm.u,B185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Luster, Ryan</v>
      </c>
      <c r="D185" s="699" t="str" cm="1">
        <f t="array" ref="D185">_xlfn.LET(_xlpm.u,B185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85" s="699" t="str">
        <f t="shared" si="10"/>
        <v>Incomplete</v>
      </c>
      <c r="F185" s="699" t="str" cm="1">
        <f t="array" ref="F185">_xlfn.LET(_xlpm.u,B185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185" s="699" t="str" cm="1">
        <f t="array" ref="G185">_xlfn.LET(_xlpm.u,B185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85" s="700" cm="1">
        <f t="array" ref="H185">_xlfn.LET(_xlpm.u,B185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46132</v>
      </c>
      <c r="I185" s="700" cm="1">
        <f t="array" ref="I185">_xlfn.LET(_xlpm.u,B185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85" s="700" t="str">
        <f>IF(E185&lt;&gt;"Cancelled/Denied","—",_xlfn.LET(_xlpm.u,B185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85" s="699">
        <f t="shared" si="11"/>
        <v>7</v>
      </c>
    </row>
    <row r="186" spans="2:11">
      <c r="B186" s="701" t="str">
        <v>W14-1-1424</v>
      </c>
      <c r="C186" s="702" t="str" cm="1">
        <f t="array" ref="C186">_xlfn.LET(_xlpm.u,B186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strong, Asianah</v>
      </c>
      <c r="D186" s="703" t="str" cm="1">
        <f t="array" ref="D186">_xlfn.LET(_xlpm.u,B186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86" s="703" t="str">
        <f t="shared" si="10"/>
        <v>Cancelled/Denied</v>
      </c>
      <c r="F186" s="703" t="str" cm="1">
        <f t="array" ref="F186">_xlfn.LET(_xlpm.u,B186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186" s="703" t="str" cm="1">
        <f t="array" ref="G186">_xlfn.LET(_xlpm.u,B186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86" s="704" cm="1">
        <f t="array" ref="H186">_xlfn.LET(_xlpm.u,B186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46093</v>
      </c>
      <c r="I186" s="704" cm="1">
        <f t="array" ref="I186">_xlfn.LET(_xlpm.u,B186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86" s="704">
        <f>IF(E186&lt;&gt;"Cancelled/Denied","—",_xlfn.LET(_xlpm.u,B186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86" s="703" t="str">
        <f t="shared" si="11"/>
        <v>—</v>
      </c>
    </row>
    <row r="187" spans="2:11">
      <c r="B187" s="705" t="str">
        <v>W15-2-2092</v>
      </c>
      <c r="C187" s="698" t="str" cm="1">
        <f t="array" ref="C187">_xlfn.LET(_xlpm.u,B187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Dews, Chester</v>
      </c>
      <c r="D187" s="699" t="str" cm="1">
        <f t="array" ref="D187">_xlfn.LET(_xlpm.u,B187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87" s="699" t="str">
        <f t="shared" si="10"/>
        <v>Cancelled/Denied</v>
      </c>
      <c r="F187" s="699" t="str" cm="1">
        <f t="array" ref="F187">_xlfn.LET(_xlpm.u,B187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Martha</v>
      </c>
      <c r="G187" s="699" t="str" cm="1">
        <f t="array" ref="G187">_xlfn.LET(_xlpm.u,B187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187" s="700" cm="1">
        <f t="array" ref="H187">_xlfn.LET(_xlpm.u,B187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46057</v>
      </c>
      <c r="I187" s="700" cm="1">
        <f t="array" ref="I187">_xlfn.LET(_xlpm.u,B187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46057</v>
      </c>
      <c r="J187" s="700">
        <f>IF(E187&lt;&gt;"Cancelled/Denied","—",_xlfn.LET(_xlpm.u,B187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46058</v>
      </c>
      <c r="K187" s="699" t="str">
        <f t="shared" si="11"/>
        <v>—</v>
      </c>
    </row>
    <row r="188" spans="2:11">
      <c r="B188" s="701" t="str">
        <v>W16-2-1083</v>
      </c>
      <c r="C188" s="702" t="str" cm="1">
        <f t="array" ref="C188">_xlfn.LET(_xlpm.u,B188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Obiamiwe, Lisa</v>
      </c>
      <c r="D188" s="703" t="str" cm="1">
        <f t="array" ref="D188">_xlfn.LET(_xlpm.u,B188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88" s="703" t="str">
        <f t="shared" si="10"/>
        <v>Incomplete</v>
      </c>
      <c r="F188" s="703" t="str" cm="1">
        <f t="array" ref="F188">_xlfn.LET(_xlpm.u,B188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88" s="703" t="str" cm="1">
        <f t="array" ref="G188">_xlfn.LET(_xlpm.u,B188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UMOVEFREE</v>
      </c>
      <c r="H188" s="704" cm="1">
        <f t="array" ref="H188">_xlfn.LET(_xlpm.u,B188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46120</v>
      </c>
      <c r="I188" s="704" cm="1">
        <f t="array" ref="I188">_xlfn.LET(_xlpm.u,B188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88" s="704" t="str">
        <f>IF(E188&lt;&gt;"Cancelled/Denied","—",_xlfn.LET(_xlpm.u,B188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88" s="703">
        <f t="shared" si="11"/>
        <v>19</v>
      </c>
    </row>
    <row r="189" spans="2:11">
      <c r="B189" s="705" t="str">
        <v>W17-2-1074</v>
      </c>
      <c r="C189" s="698" t="str" cm="1">
        <f t="array" ref="C189">_xlfn.LET(_xlpm.u,B189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Mejia, Christina</v>
      </c>
      <c r="D189" s="699" t="str" cm="1">
        <f t="array" ref="D189">_xlfn.LET(_xlpm.u,B189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89" s="699" t="str">
        <f t="shared" si="10"/>
        <v>Cancelled/Denied</v>
      </c>
      <c r="F189" s="699" t="str" cm="1">
        <f t="array" ref="F189">_xlfn.LET(_xlpm.u,B189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189" s="699" t="str" cm="1">
        <f t="array" ref="G189">_xlfn.LET(_xlpm.u,B189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Resident Referral</v>
      </c>
      <c r="H189" s="700" cm="1">
        <f t="array" ref="H189">_xlfn.LET(_xlpm.u,B189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46100</v>
      </c>
      <c r="I189" s="700" cm="1">
        <f t="array" ref="I189">_xlfn.LET(_xlpm.u,B189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89" s="700">
        <f>IF(E189&lt;&gt;"Cancelled/Denied","—",_xlfn.LET(_xlpm.u,B189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89" s="699" t="str">
        <f t="shared" si="11"/>
        <v>—</v>
      </c>
    </row>
    <row r="190" spans="2:11">
      <c r="B190" s="701" t="str">
        <v>W17-2-1075</v>
      </c>
      <c r="C190" s="702" t="str" cm="1">
        <f t="array" ref="C190">_xlfn.LET(_xlpm.u,B190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Owens, Jahleel</v>
      </c>
      <c r="D190" s="703" t="str" cm="1">
        <f t="array" ref="D190">_xlfn.LET(_xlpm.u,B190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90" s="703" t="str">
        <f t="shared" si="10"/>
        <v>Cancelled/Denied</v>
      </c>
      <c r="F190" s="703" t="str" cm="1">
        <f t="array" ref="F190">_xlfn.LET(_xlpm.u,B190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Heath, McKenzi</v>
      </c>
      <c r="G190" s="703" t="str" cm="1">
        <f t="array" ref="G190">_xlfn.LET(_xlpm.u,B190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90" s="704" cm="1">
        <f t="array" ref="H190">_xlfn.LET(_xlpm.u,B190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46125</v>
      </c>
      <c r="I190" s="704" cm="1">
        <f t="array" ref="I190">_xlfn.LET(_xlpm.u,B190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46125</v>
      </c>
      <c r="J190" s="704">
        <f>IF(E190&lt;&gt;"Cancelled/Denied","—",_xlfn.LET(_xlpm.u,B190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46135</v>
      </c>
      <c r="K190" s="703" t="str">
        <f t="shared" si="11"/>
        <v>—</v>
      </c>
    </row>
    <row r="191" spans="2:11">
      <c r="B191" s="705" t="str">
        <v>W17-2-1079</v>
      </c>
      <c r="C191" s="698" t="str" cm="1">
        <f t="array" ref="C191">_xlfn.LET(_xlpm.u,B191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Ramos, Graciela</v>
      </c>
      <c r="D191" s="699" t="str" cm="1">
        <f t="array" ref="D191">_xlfn.LET(_xlpm.u,B191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91" s="699" t="str">
        <f t="shared" si="10"/>
        <v>Incomplete</v>
      </c>
      <c r="F191" s="699" t="str" cm="1">
        <f t="array" ref="F191">_xlfn.LET(_xlpm.u,B191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191" s="699" t="str" cm="1">
        <f t="array" ref="G191">_xlfn.LET(_xlpm.u,B191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91" s="700" cm="1">
        <f t="array" ref="H191">_xlfn.LET(_xlpm.u,B191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46130</v>
      </c>
      <c r="I191" s="700" cm="1">
        <f t="array" ref="I191">_xlfn.LET(_xlpm.u,B191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91" s="700" t="str">
        <f>IF(E191&lt;&gt;"Cancelled/Denied","—",_xlfn.LET(_xlpm.u,B191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91" s="699">
        <f t="shared" si="11"/>
        <v>9</v>
      </c>
    </row>
    <row r="192" spans="2:11">
      <c r="B192" s="1019" t="str">
        <v>W17-2-2075</v>
      </c>
      <c r="C192" s="1019" t="str" cm="1">
        <f t="array" ref="C192">_xlfn.LET(_xlpm.u,B192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Hetrick, Jerry</v>
      </c>
      <c r="D192" s="1020" t="str" cm="1">
        <f t="array" ref="D192">_xlfn.LET(_xlpm.u,B192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92" s="1020" t="str">
        <f t="shared" si="10"/>
        <v>Converted</v>
      </c>
      <c r="F192" s="1020" t="str" cm="1">
        <f t="array" ref="F192">_xlfn.LET(_xlpm.u,B192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192" s="1020" t="str" cm="1">
        <f t="array" ref="G192">_xlfn.LET(_xlpm.u,B192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92" s="1021" cm="1">
        <f t="array" ref="H192">_xlfn.LET(_xlpm.u,B192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46097</v>
      </c>
      <c r="I192" s="1021" cm="1">
        <f t="array" ref="I192">_xlfn.LET(_xlpm.u,B192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46110</v>
      </c>
      <c r="J192" s="1021" t="str">
        <f>IF(E192&lt;&gt;"Cancelled/Denied","—",_xlfn.LET(_xlpm.u,B192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92" s="1020" t="str">
        <f t="shared" si="11"/>
        <v>—</v>
      </c>
    </row>
    <row r="193" spans="2:11">
      <c r="B193" s="1019" t="str">
        <v>W17-2-2076</v>
      </c>
      <c r="C193" s="1019" t="str" cm="1">
        <f t="array" ref="C193">_xlfn.LET(_xlpm.u,B193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Wilson, Sincere</v>
      </c>
      <c r="D193" s="1020" t="str" cm="1">
        <f t="array" ref="D193">_xlfn.LET(_xlpm.u,B193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93" s="1020" t="str">
        <f t="shared" si="10"/>
        <v>Cancelled/Denied</v>
      </c>
      <c r="F193" s="1020" t="str" cm="1">
        <f t="array" ref="F193">_xlfn.LET(_xlpm.u,B193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93" s="1020" t="str" cm="1">
        <f t="array" ref="G193">_xlfn.LET(_xlpm.u,B193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93" s="1021" cm="1">
        <f t="array" ref="H193">_xlfn.LET(_xlpm.u,B193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46019</v>
      </c>
      <c r="I193" s="1021" cm="1">
        <f t="array" ref="I193">_xlfn.LET(_xlpm.u,B193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93" s="1021">
        <f>IF(E193&lt;&gt;"Cancelled/Denied","—",_xlfn.LET(_xlpm.u,B193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93" s="1020" t="str">
        <f t="shared" si="11"/>
        <v>—</v>
      </c>
    </row>
    <row r="194" spans="2:11">
      <c r="B194" s="1019" t="str">
        <v>W17-2-2079</v>
      </c>
      <c r="C194" s="1019" t="str" cm="1">
        <f t="array" ref="C194">_xlfn.LET(_xlpm.u,B194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Richard, Englene</v>
      </c>
      <c r="D194" s="1020" t="str" cm="1">
        <f t="array" ref="D194">_xlfn.LET(_xlpm.u,B194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94" s="1020" t="str">
        <f t="shared" ref="E194:E200" si="12">IF(D194="Not Found","No Record",IF(OR(ISNUMBER(SEARCH("Cancelled",D194)),ISNUMBER(SEARCH("Denied",D194))),"Cancelled/Denied",IF(ISNUMBER(SEARCH("Lease",D194)),"Converted",IF(ISNUMBER(SEARCH("Completed",D194)),"In Review",IF(ISNUMBER(SEARCH("Started",D194)),"Incomplete","Other")))))</f>
        <v>Converted</v>
      </c>
      <c r="F194" s="1020" t="str" cm="1">
        <f t="array" ref="F194">_xlfn.LET(_xlpm.u,B194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194" s="1020" t="str" cm="1">
        <f t="array" ref="G194">_xlfn.LET(_xlpm.u,B194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94" s="1021" cm="1">
        <f t="array" ref="H194">_xlfn.LET(_xlpm.u,B194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46125</v>
      </c>
      <c r="I194" s="1021" cm="1">
        <f t="array" ref="I194">_xlfn.LET(_xlpm.u,B194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46125</v>
      </c>
      <c r="J194" s="1021" t="str">
        <f>IF(E194&lt;&gt;"Cancelled/Denied","—",_xlfn.LET(_xlpm.u,B194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94" s="1020" t="str">
        <f t="shared" ref="K194:K200" si="13">IF(OR(E194="Cancelled/Denied",E194="Converted",E194="No Record",C194="NO RECORD"),"—",IF(ISNUMBER(H194),$C$3-H194,"—"))</f>
        <v>—</v>
      </c>
    </row>
    <row r="195" spans="2:11">
      <c r="B195" s="1019" t="str">
        <v>W18-2-1070</v>
      </c>
      <c r="C195" s="1019" t="str" cm="1">
        <f t="array" ref="C195">_xlfn.LET(_xlpm.u,B195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Abdi, Ali</v>
      </c>
      <c r="D195" s="1020" t="str" cm="1">
        <f t="array" ref="D195">_xlfn.LET(_xlpm.u,B195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195" s="1020" t="str">
        <f t="shared" si="12"/>
        <v>Converted</v>
      </c>
      <c r="F195" s="1020" t="str" cm="1">
        <f t="array" ref="F195">_xlfn.LET(_xlpm.u,B195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195" s="1020" t="str" cm="1">
        <f t="array" ref="G195">_xlfn.LET(_xlpm.u,B195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195" s="1021" cm="1">
        <f t="array" ref="H195">_xlfn.LET(_xlpm.u,B195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46116</v>
      </c>
      <c r="I195" s="1021" cm="1">
        <f t="array" ref="I195">_xlfn.LET(_xlpm.u,B195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46123</v>
      </c>
      <c r="J195" s="1021" t="str">
        <f>IF(E195&lt;&gt;"Cancelled/Denied","—",_xlfn.LET(_xlpm.u,B195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95" s="1020" t="str">
        <f t="shared" si="13"/>
        <v>—</v>
      </c>
    </row>
    <row r="196" spans="2:11">
      <c r="B196" s="1019" t="str">
        <v>W18-2-1073</v>
      </c>
      <c r="C196" s="1019" t="str" cm="1">
        <f t="array" ref="C196">_xlfn.LET(_xlpm.u,B196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Enriquez, Jaqueline</v>
      </c>
      <c r="D196" s="1020" t="str" cm="1">
        <f t="array" ref="D196">_xlfn.LET(_xlpm.u,B196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96" s="1020" t="str">
        <f t="shared" si="12"/>
        <v>In Review</v>
      </c>
      <c r="F196" s="1020" t="str" cm="1">
        <f t="array" ref="F196">_xlfn.LET(_xlpm.u,B196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Heath, McKenzi</v>
      </c>
      <c r="G196" s="1020" t="str" cm="1">
        <f t="array" ref="G196">_xlfn.LET(_xlpm.u,B196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196" s="1021" cm="1">
        <f t="array" ref="H196">_xlfn.LET(_xlpm.u,B196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46127</v>
      </c>
      <c r="I196" s="1021" cm="1">
        <f t="array" ref="I196">_xlfn.LET(_xlpm.u,B196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46127</v>
      </c>
      <c r="J196" s="1021" t="str">
        <f>IF(E196&lt;&gt;"Cancelled/Denied","—",_xlfn.LET(_xlpm.u,B196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96" s="1020">
        <f t="shared" si="13"/>
        <v>12</v>
      </c>
    </row>
    <row r="197" spans="2:11">
      <c r="B197" s="1019" t="str">
        <v>W18-2-2070</v>
      </c>
      <c r="C197" s="1019" t="str" cm="1">
        <f t="array" ref="C197">_xlfn.LET(_xlpm.u,B197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Sosa, Robinson</v>
      </c>
      <c r="D197" s="1020" t="str" cm="1">
        <f t="array" ref="D197">_xlfn.LET(_xlpm.u,B197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197" s="1020" t="str">
        <f t="shared" si="12"/>
        <v>In Review</v>
      </c>
      <c r="F197" s="1020" t="str" cm="1">
        <f t="array" ref="F197">_xlfn.LET(_xlpm.u,B197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Heath, McKenzi</v>
      </c>
      <c r="G197" s="1020" t="str" cm="1">
        <f t="array" ref="G197">_xlfn.LET(_xlpm.u,B197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97" s="1021" cm="1">
        <f t="array" ref="H197">_xlfn.LET(_xlpm.u,B197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46124</v>
      </c>
      <c r="I197" s="1021" cm="1">
        <f t="array" ref="I197">_xlfn.LET(_xlpm.u,B197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46128</v>
      </c>
      <c r="J197" s="1021" t="str">
        <f>IF(E197&lt;&gt;"Cancelled/Denied","—",_xlfn.LET(_xlpm.u,B197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97" s="1020">
        <f t="shared" si="13"/>
        <v>15</v>
      </c>
    </row>
    <row r="198" spans="2:11">
      <c r="B198" s="1019" t="str">
        <v>W19-2-2066</v>
      </c>
      <c r="C198" s="1019" t="str" cm="1">
        <f t="array" ref="C198">_xlfn.LET(_xlpm.u,B198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Creeks, Matreka</v>
      </c>
      <c r="D198" s="1020" t="str" cm="1">
        <f t="array" ref="D198">_xlfn.LET(_xlpm.u,B198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198" s="1020" t="str">
        <f t="shared" si="12"/>
        <v>Cancelled/Denied</v>
      </c>
      <c r="F198" s="1020" t="str" cm="1">
        <f t="array" ref="F198">_xlfn.LET(_xlpm.u,B198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98" s="1020" t="str" cm="1">
        <f t="array" ref="G198">_xlfn.LET(_xlpm.u,B198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198" s="1021" cm="1">
        <f t="array" ref="H198">_xlfn.LET(_xlpm.u,B198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46056</v>
      </c>
      <c r="I198" s="1021" cm="1">
        <f t="array" ref="I198">_xlfn.LET(_xlpm.u,B198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98" s="1021">
        <f>IF(E198&lt;&gt;"Cancelled/Denied","—",_xlfn.LET(_xlpm.u,B198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198" s="1020" t="str">
        <f t="shared" si="13"/>
        <v>—</v>
      </c>
    </row>
    <row r="199" spans="2:11">
      <c r="B199" s="1019" t="str">
        <v>W19-2-3066</v>
      </c>
      <c r="C199" s="1019" t="str" cm="1">
        <f t="array" ref="C199">_xlfn.LET(_xlpm.u,B199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Webster, Taniya</v>
      </c>
      <c r="D199" s="1020" t="str" cm="1">
        <f t="array" ref="D199">_xlfn.LET(_xlpm.u,B199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199" s="1020" t="str">
        <f t="shared" si="12"/>
        <v>Incomplete</v>
      </c>
      <c r="F199" s="1020" t="str" cm="1">
        <f t="array" ref="F199">_xlfn.LET(_xlpm.u,B199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199" s="1020" t="str" cm="1">
        <f t="array" ref="G199">_xlfn.LET(_xlpm.u,B199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199" s="1021" cm="1">
        <f t="array" ref="H199">_xlfn.LET(_xlpm.u,B199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46062</v>
      </c>
      <c r="I199" s="1021" cm="1">
        <f t="array" ref="I199">_xlfn.LET(_xlpm.u,B199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199" s="1021" t="str">
        <f>IF(E199&lt;&gt;"Cancelled/Denied","—",_xlfn.LET(_xlpm.u,B199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199" s="1020">
        <f t="shared" si="13"/>
        <v>77</v>
      </c>
    </row>
    <row r="200" spans="2:11">
      <c r="B200" s="1019" t="str">
        <v>W20-2-1065</v>
      </c>
      <c r="C200" s="1019" t="str" cm="1">
        <f t="array" ref="C200">_xlfn.LET(_xlpm.u,B200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Simpson, Tybrasha</v>
      </c>
      <c r="D200" s="1020" t="str" cm="1">
        <f t="array" ref="D200">_xlfn.LET(_xlpm.u,B200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00" s="1020" t="str">
        <f t="shared" si="12"/>
        <v>Incomplete</v>
      </c>
      <c r="F200" s="1020" t="str" cm="1">
        <f t="array" ref="F200">_xlfn.LET(_xlpm.u,B200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200" s="1020" t="str" cm="1">
        <f t="array" ref="G200">_xlfn.LET(_xlpm.u,B200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00" s="1021" cm="1">
        <f t="array" ref="H200">_xlfn.LET(_xlpm.u,B200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46130</v>
      </c>
      <c r="I200" s="1021" cm="1">
        <f t="array" ref="I200">_xlfn.LET(_xlpm.u,B200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00" s="1021" t="str">
        <f>IF(E200&lt;&gt;"Cancelled/Denied","—",_xlfn.LET(_xlpm.u,B200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00" s="1020">
        <f t="shared" si="13"/>
        <v>9</v>
      </c>
    </row>
    <row r="201" spans="2:11">
      <c r="B201" s="1022" t="str">
        <v>W20-2-2064</v>
      </c>
      <c r="C201" s="1019" t="str" cm="1">
        <f t="array" ref="C201">_xlfn.LET(_xlpm.u,B201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Ortiz, Nancy</v>
      </c>
      <c r="D201" s="1020" t="str" cm="1">
        <f t="array" ref="D201">_xlfn.LET(_xlpm.u,B201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01" s="1020" t="str">
        <f t="shared" ref="E201:E233" si="14">IF(D201="Not Found","No Record",IF(OR(ISNUMBER(SEARCH("Cancelled",D201)),ISNUMBER(SEARCH("Denied",D201))),"Cancelled/Denied",IF(ISNUMBER(SEARCH("Lease",D201)),"Converted",IF(ISNUMBER(SEARCH("Completed",D201)),"In Review",IF(ISNUMBER(SEARCH("Started",D201)),"Incomplete","Other")))))</f>
        <v>Converted</v>
      </c>
      <c r="F201" s="1020" t="str" cm="1">
        <f t="array" ref="F201">_xlfn.LET(_xlpm.u,B201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201" s="1020" t="str" cm="1">
        <f t="array" ref="G201">_xlfn.LET(_xlpm.u,B201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01" s="1021" cm="1">
        <f t="array" ref="H201">_xlfn.LET(_xlpm.u,B201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46112</v>
      </c>
      <c r="I201" s="1021" cm="1">
        <f t="array" ref="I201">_xlfn.LET(_xlpm.u,B201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46113</v>
      </c>
      <c r="J201" s="1021" t="str">
        <f>IF(E201&lt;&gt;"Cancelled/Denied","—",_xlfn.LET(_xlpm.u,B201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01" s="1020" t="str">
        <f t="shared" ref="K201:K233" si="15">IF(OR(E201="Cancelled/Denied",E201="Converted",E201="No Record",C201="NO RECORD"),"—",IF(ISNUMBER(H201),$C$3-H201,"—"))</f>
        <v>—</v>
      </c>
    </row>
    <row r="202" spans="2:11">
      <c r="B202" s="1177" t="str">
        <v>W21-2-1054</v>
      </c>
      <c r="C202" s="1177" t="str" cm="1">
        <f t="array" ref="C202">_xlfn.LET(_xlpm.u,B202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Avila, Jaime</v>
      </c>
      <c r="D202" s="1178" t="str" cm="1">
        <f t="array" ref="D202">_xlfn.LET(_xlpm.u,B202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02" s="1178" t="str">
        <f t="shared" si="14"/>
        <v>Cancelled/Denied</v>
      </c>
      <c r="F202" s="1178" t="str" cm="1">
        <f t="array" ref="F202">_xlfn.LET(_xlpm.u,B202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202" s="1178" t="str" cm="1">
        <f t="array" ref="G202">_xlfn.LET(_xlpm.u,B202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Zillow</v>
      </c>
      <c r="H202" s="1179" cm="1">
        <f t="array" ref="H202">_xlfn.LET(_xlpm.u,B202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46026</v>
      </c>
      <c r="I202" s="1179" cm="1">
        <f t="array" ref="I202">_xlfn.LET(_xlpm.u,B202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02" s="1179">
        <f>IF(E202&lt;&gt;"Cancelled/Denied","—",_xlfn.LET(_xlpm.u,B202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202" s="1178" t="str">
        <f t="shared" si="15"/>
        <v>—</v>
      </c>
    </row>
    <row r="203" spans="2:11">
      <c r="B203" s="1177" t="str">
        <v>W21-2-2052</v>
      </c>
      <c r="C203" s="1177" t="str" cm="1">
        <f t="array" ref="C203">_xlfn.LET(_xlpm.u,B203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Seay, John</v>
      </c>
      <c r="D203" s="1178" t="str" cm="1">
        <f t="array" ref="D203">_xlfn.LET(_xlpm.u,B203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03" s="1178" t="str">
        <f t="shared" si="14"/>
        <v>Cancelled/Denied</v>
      </c>
      <c r="F203" s="1178" t="str" cm="1">
        <f t="array" ref="F203">_xlfn.LET(_xlpm.u,B203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203" s="1178" t="str" cm="1">
        <f t="array" ref="G203">_xlfn.LET(_xlpm.u,B203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03" s="1179" cm="1">
        <f t="array" ref="H203">_xlfn.LET(_xlpm.u,B203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46111</v>
      </c>
      <c r="I203" s="1179" cm="1">
        <f t="array" ref="I203">_xlfn.LET(_xlpm.u,B203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03" s="1179">
        <f>IF(E203&lt;&gt;"Cancelled/Denied","—",_xlfn.LET(_xlpm.u,B203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46116</v>
      </c>
      <c r="K203" s="1178" t="str">
        <f t="shared" si="15"/>
        <v>—</v>
      </c>
    </row>
    <row r="204" spans="2:11">
      <c r="B204" s="1177" t="str">
        <v>W21-2-2053</v>
      </c>
      <c r="C204" s="1177" t="str" cm="1">
        <f t="array" ref="C204">_xlfn.LET(_xlpm.u,B204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Martino, Jarvis</v>
      </c>
      <c r="D204" s="1178" t="str" cm="1">
        <f t="array" ref="D204">_xlfn.LET(_xlpm.u,B204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04" s="1178" t="str">
        <f t="shared" si="14"/>
        <v>Cancelled/Denied</v>
      </c>
      <c r="F204" s="1178" t="str" cm="1">
        <f t="array" ref="F204">_xlfn.LET(_xlpm.u,B204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204" s="1178" t="str" cm="1">
        <f t="array" ref="G204">_xlfn.LET(_xlpm.u,B204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04" s="1179" cm="1">
        <f t="array" ref="H204">_xlfn.LET(_xlpm.u,B204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46096</v>
      </c>
      <c r="I204" s="1179" cm="1">
        <f t="array" ref="I204">_xlfn.LET(_xlpm.u,B204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04" s="1179">
        <f>IF(E204&lt;&gt;"Cancelled/Denied","—",_xlfn.LET(_xlpm.u,B204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46115</v>
      </c>
      <c r="K204" s="1178" t="str">
        <f t="shared" si="15"/>
        <v>—</v>
      </c>
    </row>
    <row r="205" spans="2:11">
      <c r="B205" s="1177" t="str">
        <v>W21-2-2058</v>
      </c>
      <c r="C205" s="1177" t="str" cm="1">
        <f t="array" ref="C205">_xlfn.LET(_xlpm.u,B205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Martino, Jarvis</v>
      </c>
      <c r="D205" s="1178" t="str" cm="1">
        <f t="array" ref="D205">_xlfn.LET(_xlpm.u,B205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05" s="1178" t="str">
        <f t="shared" si="14"/>
        <v>Cancelled/Denied</v>
      </c>
      <c r="F205" s="1178" t="str" cm="1">
        <f t="array" ref="F205">_xlfn.LET(_xlpm.u,B205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HOUSE, HOUSE</v>
      </c>
      <c r="G205" s="1178" t="str" cm="1">
        <f t="array" ref="G205">_xlfn.LET(_xlpm.u,B205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205" s="1179" cm="1">
        <f t="array" ref="H205">_xlfn.LET(_xlpm.u,B205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46096</v>
      </c>
      <c r="I205" s="1179" cm="1">
        <f t="array" ref="I205">_xlfn.LET(_xlpm.u,B205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05" s="1179">
        <f>IF(E205&lt;&gt;"Cancelled/Denied","—",_xlfn.LET(_xlpm.u,B205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46115</v>
      </c>
      <c r="K205" s="1178" t="str">
        <f t="shared" si="15"/>
        <v>—</v>
      </c>
    </row>
    <row r="206" spans="2:11">
      <c r="B206" s="1177" t="str">
        <v>W21-2-2059</v>
      </c>
      <c r="C206" s="1177" t="str" cm="1">
        <f t="array" ref="C206">_xlfn.LET(_xlpm.u,B206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Hiday, Luke</v>
      </c>
      <c r="D206" s="1178" t="str" cm="1">
        <f t="array" ref="D206">_xlfn.LET(_xlpm.u,B206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06" s="1178" t="str">
        <f t="shared" si="14"/>
        <v>Cancelled/Denied</v>
      </c>
      <c r="F206" s="1178" t="str" cm="1">
        <f t="array" ref="F206">_xlfn.LET(_xlpm.u,B206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206" s="1178" t="str" cm="1">
        <f t="array" ref="G206">_xlfn.LET(_xlpm.u,B206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06" s="1179" cm="1">
        <f t="array" ref="H206">_xlfn.LET(_xlpm.u,B206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46025</v>
      </c>
      <c r="I206" s="1179" cm="1">
        <f t="array" ref="I206">_xlfn.LET(_xlpm.u,B206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06" s="1179">
        <f>IF(E206&lt;&gt;"Cancelled/Denied","—",_xlfn.LET(_xlpm.u,B206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206" s="1178" t="str">
        <f t="shared" si="15"/>
        <v>—</v>
      </c>
    </row>
    <row r="207" spans="2:11">
      <c r="B207" s="1177" t="str">
        <v>W22-2-2048</v>
      </c>
      <c r="C207" s="1177" t="str" cm="1">
        <f t="array" ref="C207">_xlfn.LET(_xlpm.u,B207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jones, rishye</v>
      </c>
      <c r="D207" s="1178" t="str" cm="1">
        <f t="array" ref="D207">_xlfn.LET(_xlpm.u,B207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07" s="1178" t="str">
        <f t="shared" si="14"/>
        <v>Cancelled/Denied</v>
      </c>
      <c r="F207" s="1178" t="str" cm="1">
        <f t="array" ref="F207">_xlfn.LET(_xlpm.u,B207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207" s="1178" t="str" cm="1">
        <f t="array" ref="G207">_xlfn.LET(_xlpm.u,B207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207" s="1179" cm="1">
        <f t="array" ref="H207">_xlfn.LET(_xlpm.u,B207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46020</v>
      </c>
      <c r="I207" s="1179" cm="1">
        <f t="array" ref="I207">_xlfn.LET(_xlpm.u,B207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07" s="1179">
        <f>IF(E207&lt;&gt;"Cancelled/Denied","—",_xlfn.LET(_xlpm.u,B207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46137</v>
      </c>
      <c r="K207" s="1178" t="str">
        <f t="shared" si="15"/>
        <v>—</v>
      </c>
    </row>
    <row r="208" spans="2:11">
      <c r="B208" s="1177" t="str">
        <v>W22-2-2049</v>
      </c>
      <c r="C208" s="1177" t="str" cm="1">
        <f t="array" ref="C208">_xlfn.LET(_xlpm.u,B208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Garcia, Janette</v>
      </c>
      <c r="D208" s="1178" t="str" cm="1">
        <f t="array" ref="D208">_xlfn.LET(_xlpm.u,B208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08" s="1178" t="str">
        <f t="shared" si="14"/>
        <v>Cancelled/Denied</v>
      </c>
      <c r="F208" s="1178" t="str" cm="1">
        <f t="array" ref="F208">_xlfn.LET(_xlpm.u,B208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208" s="1178" t="str" cm="1">
        <f t="array" ref="G208">_xlfn.LET(_xlpm.u,B208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208" s="1179" cm="1">
        <f t="array" ref="H208">_xlfn.LET(_xlpm.u,B208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46057</v>
      </c>
      <c r="I208" s="1179" cm="1">
        <f t="array" ref="I208">_xlfn.LET(_xlpm.u,B208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46058</v>
      </c>
      <c r="J208" s="1179">
        <f>IF(E208&lt;&gt;"Cancelled/Denied","—",_xlfn.LET(_xlpm.u,B208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208" s="1178" t="str">
        <f t="shared" si="15"/>
        <v>—</v>
      </c>
    </row>
    <row r="209" spans="2:11">
      <c r="B209" s="1180" t="str">
        <v>W22-2-2050</v>
      </c>
      <c r="C209" s="1180" t="str" cm="1">
        <f t="array" ref="C209">_xlfn.LET(_xlpm.u,B209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Edwards, Breanna</v>
      </c>
      <c r="D209" s="1181" t="str" cm="1">
        <f t="array" ref="D209">_xlfn.LET(_xlpm.u,B209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209" s="1181" t="str">
        <f t="shared" si="14"/>
        <v>In Review</v>
      </c>
      <c r="F209" s="1181" t="str" cm="1">
        <f t="array" ref="F209">_xlfn.LET(_xlpm.u,B209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209" s="1181" t="str" cm="1">
        <f t="array" ref="G209">_xlfn.LET(_xlpm.u,B209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09" s="1182" cm="1">
        <f t="array" ref="H209">_xlfn.LET(_xlpm.u,B209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46134</v>
      </c>
      <c r="I209" s="1182" cm="1">
        <f t="array" ref="I209">_xlfn.LET(_xlpm.u,B209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46134</v>
      </c>
      <c r="J209" s="1182" t="str">
        <f>IF(E209&lt;&gt;"Cancelled/Denied","—",_xlfn.LET(_xlpm.u,B209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09" s="1181">
        <f t="shared" si="15"/>
        <v>5</v>
      </c>
    </row>
    <row r="210" spans="2:11">
      <c r="B210" s="1180" t="str">
        <v>W23-2-1040</v>
      </c>
      <c r="C210" s="1180" t="str" cm="1">
        <f t="array" ref="C210">_xlfn.LET(_xlpm.u,B210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Williams, Lakisha</v>
      </c>
      <c r="D210" s="1181" t="str" cm="1">
        <f t="array" ref="D210">_xlfn.LET(_xlpm.u,B210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10" s="1181" t="str">
        <f t="shared" si="14"/>
        <v>Incomplete</v>
      </c>
      <c r="F210" s="1181" t="str" cm="1">
        <f t="array" ref="F210">_xlfn.LET(_xlpm.u,B210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Rodriguez, Jennifer</v>
      </c>
      <c r="G210" s="1181" t="str" cm="1">
        <f t="array" ref="G210">_xlfn.LET(_xlpm.u,B210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210" s="1182" cm="1">
        <f t="array" ref="H210">_xlfn.LET(_xlpm.u,B210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46136</v>
      </c>
      <c r="I210" s="1182" cm="1">
        <f t="array" ref="I210">_xlfn.LET(_xlpm.u,B210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10" s="1182" t="str">
        <f>IF(E210&lt;&gt;"Cancelled/Denied","—",_xlfn.LET(_xlpm.u,B210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10" s="1181">
        <f t="shared" si="15"/>
        <v>3</v>
      </c>
    </row>
    <row r="211" spans="2:11">
      <c r="B211" s="1180" t="str">
        <v>W23-2-1046</v>
      </c>
      <c r="C211" s="1180" t="str" cm="1">
        <f t="array" ref="C211">_xlfn.LET(_xlpm.u,B211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Akinyemi, Olabisi</v>
      </c>
      <c r="D211" s="1181" t="str" cm="1">
        <f t="array" ref="D211">_xlfn.LET(_xlpm.u,B211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211" s="1181" t="str">
        <f t="shared" si="14"/>
        <v>In Review</v>
      </c>
      <c r="F211" s="1181" t="str" cm="1">
        <f t="array" ref="F211">_xlfn.LET(_xlpm.u,B211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Hernandez, Justin</v>
      </c>
      <c r="G211" s="1181" t="str" cm="1">
        <f t="array" ref="G211">_xlfn.LET(_xlpm.u,B211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11" s="1182" cm="1">
        <f t="array" ref="H211">_xlfn.LET(_xlpm.u,B211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46118</v>
      </c>
      <c r="I211" s="1182" cm="1">
        <f t="array" ref="I211">_xlfn.LET(_xlpm.u,B211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46118</v>
      </c>
      <c r="J211" s="1182" t="str">
        <f>IF(E211&lt;&gt;"Cancelled/Denied","—",_xlfn.LET(_xlpm.u,B211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11" s="1181">
        <f t="shared" si="15"/>
        <v>21</v>
      </c>
    </row>
    <row r="212" spans="2:11">
      <c r="B212" s="1180" t="str">
        <v>W24-2-1032</v>
      </c>
      <c r="C212" s="1180" t="str" cm="1">
        <f t="array" ref="C212">_xlfn.LET(_xlpm.u,B212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Dent, Jeffery</v>
      </c>
      <c r="D212" s="1181" t="str" cm="1">
        <f t="array" ref="D212">_xlfn.LET(_xlpm.u,B212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212" s="1181" t="str">
        <f t="shared" si="14"/>
        <v>In Review</v>
      </c>
      <c r="F212" s="1181" t="str" cm="1">
        <f t="array" ref="F212">_xlfn.LET(_xlpm.u,B212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212" s="1181" t="str" cm="1">
        <f t="array" ref="G212">_xlfn.LET(_xlpm.u,B212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12" s="1182" cm="1">
        <f t="array" ref="H212">_xlfn.LET(_xlpm.u,B212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46136</v>
      </c>
      <c r="I212" s="1182" cm="1">
        <f t="array" ref="I212">_xlfn.LET(_xlpm.u,B212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46136</v>
      </c>
      <c r="J212" s="1182" t="str">
        <f>IF(E212&lt;&gt;"Cancelled/Denied","—",_xlfn.LET(_xlpm.u,B212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12" s="1181">
        <f t="shared" si="15"/>
        <v>3</v>
      </c>
    </row>
    <row r="213" spans="2:11">
      <c r="B213" s="1180" t="str">
        <v>W24-2-1036</v>
      </c>
      <c r="C213" s="1180" t="str" cm="1">
        <f t="array" ref="C213">_xlfn.LET(_xlpm.u,B213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Erwin, Krissy</v>
      </c>
      <c r="D213" s="1181" t="str" cm="1">
        <f t="array" ref="D213">_xlfn.LET(_xlpm.u,B213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213" s="1181" t="str">
        <f t="shared" si="14"/>
        <v>In Review</v>
      </c>
      <c r="F213" s="1181" t="str" cm="1">
        <f t="array" ref="F213">_xlfn.LET(_xlpm.u,B213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213" s="1181" t="str" cm="1">
        <f t="array" ref="G213">_xlfn.LET(_xlpm.u,B213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Apple</v>
      </c>
      <c r="H213" s="1182" cm="1">
        <f t="array" ref="H213">_xlfn.LET(_xlpm.u,B213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46134</v>
      </c>
      <c r="I213" s="1182" cm="1">
        <f t="array" ref="I213">_xlfn.LET(_xlpm.u,B213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46136</v>
      </c>
      <c r="J213" s="1182" t="str">
        <f>IF(E213&lt;&gt;"Cancelled/Denied","—",_xlfn.LET(_xlpm.u,B213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13" s="1181">
        <f t="shared" si="15"/>
        <v>5</v>
      </c>
    </row>
    <row r="214" spans="2:11">
      <c r="B214" s="1177" t="str">
        <v>W24-2-2032</v>
      </c>
      <c r="C214" s="1177" t="str" cm="1">
        <f t="array" ref="C214">_xlfn.LET(_xlpm.u,B214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White, Thomasina</v>
      </c>
      <c r="D214" s="1178" t="str" cm="1">
        <f t="array" ref="D214">_xlfn.LET(_xlpm.u,B214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14" s="1178" t="str">
        <f t="shared" si="14"/>
        <v>Cancelled/Denied</v>
      </c>
      <c r="F214" s="1178" t="str" cm="1">
        <f t="array" ref="F214">_xlfn.LET(_xlpm.u,B214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214" s="1178" t="str" cm="1">
        <f t="array" ref="G214">_xlfn.LET(_xlpm.u,B214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214" s="1179" cm="1">
        <f t="array" ref="H214">_xlfn.LET(_xlpm.u,B214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46017</v>
      </c>
      <c r="I214" s="1179" cm="1">
        <f t="array" ref="I214">_xlfn.LET(_xlpm.u,B214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14" s="1179">
        <f>IF(E214&lt;&gt;"Cancelled/Denied","—",_xlfn.LET(_xlpm.u,B214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214" s="1178" t="str">
        <f t="shared" si="15"/>
        <v>—</v>
      </c>
    </row>
    <row r="215" spans="2:11">
      <c r="B215" s="1180" t="str">
        <v>W24-2-2035</v>
      </c>
      <c r="C215" s="1180" t="str" cm="1">
        <f t="array" ref="C215">_xlfn.LET(_xlpm.u,B215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Garrett, Jada</v>
      </c>
      <c r="D215" s="1181" t="str" cm="1">
        <f t="array" ref="D215">_xlfn.LET(_xlpm.u,B215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15" s="1181" t="str">
        <f t="shared" si="14"/>
        <v>Incomplete</v>
      </c>
      <c r="F215" s="1181" t="str" cm="1">
        <f t="array" ref="F215">_xlfn.LET(_xlpm.u,B215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215" s="1181" t="str" cm="1">
        <f t="array" ref="G215">_xlfn.LET(_xlpm.u,B215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15" s="1182" cm="1">
        <f t="array" ref="H215">_xlfn.LET(_xlpm.u,B215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46099</v>
      </c>
      <c r="I215" s="1182" cm="1">
        <f t="array" ref="I215">_xlfn.LET(_xlpm.u,B215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15" s="1182" t="str">
        <f>IF(E215&lt;&gt;"Cancelled/Denied","—",_xlfn.LET(_xlpm.u,B215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15" s="1181">
        <f t="shared" si="15"/>
        <v>40</v>
      </c>
    </row>
    <row r="216" spans="2:11">
      <c r="B216" s="1180" t="str">
        <v>W25-2-1030</v>
      </c>
      <c r="C216" s="1180" t="str" cm="1">
        <f t="array" ref="C216">_xlfn.LET(_xlpm.u,B216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Howze, Azirea</v>
      </c>
      <c r="D216" s="1181" t="str" cm="1">
        <f t="array" ref="D216">_xlfn.LET(_xlpm.u,B216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16" s="1181" t="str">
        <f t="shared" si="14"/>
        <v>Incomplete</v>
      </c>
      <c r="F216" s="1181" t="str" cm="1">
        <f t="array" ref="F216">_xlfn.LET(_xlpm.u,B216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216" s="1181" t="str" cm="1">
        <f t="array" ref="G216">_xlfn.LET(_xlpm.u,B216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16" s="1182" cm="1">
        <f t="array" ref="H216">_xlfn.LET(_xlpm.u,B216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46068</v>
      </c>
      <c r="I216" s="1182" cm="1">
        <f t="array" ref="I216">_xlfn.LET(_xlpm.u,B216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16" s="1182" t="str">
        <f>IF(E216&lt;&gt;"Cancelled/Denied","—",_xlfn.LET(_xlpm.u,B216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16" s="1181">
        <f t="shared" si="15"/>
        <v>71</v>
      </c>
    </row>
    <row r="217" spans="2:11">
      <c r="B217" s="1177" t="str">
        <v>W25-2-2025</v>
      </c>
      <c r="C217" s="1177" t="str" cm="1">
        <f t="array" ref="C217">_xlfn.LET(_xlpm.u,B217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Sterling, Allen</v>
      </c>
      <c r="D217" s="1178" t="str" cm="1">
        <f t="array" ref="D217">_xlfn.LET(_xlpm.u,B217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17" s="1178" t="str">
        <f t="shared" si="14"/>
        <v>Converted</v>
      </c>
      <c r="F217" s="1178" t="str" cm="1">
        <f t="array" ref="F217">_xlfn.LET(_xlpm.u,B217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217" s="1178" t="str" cm="1">
        <f t="array" ref="G217">_xlfn.LET(_xlpm.u,B217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217" s="1179" cm="1">
        <f t="array" ref="H217">_xlfn.LET(_xlpm.u,B217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46060</v>
      </c>
      <c r="I217" s="1179" cm="1">
        <f t="array" ref="I217">_xlfn.LET(_xlpm.u,B217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46060</v>
      </c>
      <c r="J217" s="1179" t="str">
        <f>IF(E217&lt;&gt;"Cancelled/Denied","—",_xlfn.LET(_xlpm.u,B217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17" s="1178" t="str">
        <f t="shared" si="15"/>
        <v>—</v>
      </c>
    </row>
    <row r="218" spans="2:11">
      <c r="B218" s="1180" t="str">
        <v>W25-2-2031</v>
      </c>
      <c r="C218" s="1180" t="str" cm="1">
        <f t="array" ref="C218">_xlfn.LET(_xlpm.u,B218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White, Destiny</v>
      </c>
      <c r="D218" s="1181" t="str" cm="1">
        <f t="array" ref="D218">_xlfn.LET(_xlpm.u,B218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18" s="1181" t="str">
        <f t="shared" si="14"/>
        <v>Incomplete</v>
      </c>
      <c r="F218" s="1181" t="str" cm="1">
        <f t="array" ref="F218">_xlfn.LET(_xlpm.u,B218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218" s="1181" t="str" cm="1">
        <f t="array" ref="G218">_xlfn.LET(_xlpm.u,B218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18" s="1182" cm="1">
        <f t="array" ref="H218">_xlfn.LET(_xlpm.u,B218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46130</v>
      </c>
      <c r="I218" s="1182" cm="1">
        <f t="array" ref="I218">_xlfn.LET(_xlpm.u,B218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18" s="1182" t="str">
        <f>IF(E218&lt;&gt;"Cancelled/Denied","—",_xlfn.LET(_xlpm.u,B218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18" s="1181">
        <f t="shared" si="15"/>
        <v>9</v>
      </c>
    </row>
    <row r="219" spans="2:11">
      <c r="B219" s="1177" t="str">
        <v>W26-2-1016</v>
      </c>
      <c r="C219" s="1177" t="str" cm="1">
        <f t="array" ref="C219">_xlfn.LET(_xlpm.u,B219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Williams, Miranda</v>
      </c>
      <c r="D219" s="1178" t="str" cm="1">
        <f t="array" ref="D219">_xlfn.LET(_xlpm.u,B219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19" s="1178" t="str">
        <f t="shared" si="14"/>
        <v>Cancelled/Denied</v>
      </c>
      <c r="F219" s="1178" t="str" cm="1">
        <f t="array" ref="F219">_xlfn.LET(_xlpm.u,B219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Joe, Shawna</v>
      </c>
      <c r="G219" s="1178" t="str" cm="1">
        <f t="array" ref="G219">_xlfn.LET(_xlpm.u,B219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19" s="1179" cm="1">
        <f t="array" ref="H219">_xlfn.LET(_xlpm.u,B219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46127</v>
      </c>
      <c r="I219" s="1179" cm="1">
        <f t="array" ref="I219">_xlfn.LET(_xlpm.u,B219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46128</v>
      </c>
      <c r="J219" s="1179">
        <f>IF(E219&lt;&gt;"Cancelled/Denied","—",_xlfn.LET(_xlpm.u,B219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46133</v>
      </c>
      <c r="K219" s="1178" t="str">
        <f t="shared" si="15"/>
        <v>—</v>
      </c>
    </row>
    <row r="220" spans="2:11">
      <c r="B220" s="1177" t="str">
        <v>W27-2-1002</v>
      </c>
      <c r="C220" s="1177" t="str" cm="1">
        <f t="array" ref="C220">_xlfn.LET(_xlpm.u,B220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Rodriguez, Jocelyn</v>
      </c>
      <c r="D220" s="1178" t="str" cm="1">
        <f t="array" ref="D220">_xlfn.LET(_xlpm.u,B220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20" s="1178" t="str">
        <f t="shared" si="14"/>
        <v>Converted</v>
      </c>
      <c r="F220" s="1178" t="str" cm="1">
        <f t="array" ref="F220">_xlfn.LET(_xlpm.u,B220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220" s="1178" t="str" cm="1">
        <f t="array" ref="G220">_xlfn.LET(_xlpm.u,B220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Drive By</v>
      </c>
      <c r="H220" s="1179" cm="1">
        <f t="array" ref="H220">_xlfn.LET(_xlpm.u,B220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46086</v>
      </c>
      <c r="I220" s="1179" cm="1">
        <f t="array" ref="I220">_xlfn.LET(_xlpm.u,B220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46089</v>
      </c>
      <c r="J220" s="1179" t="str">
        <f>IF(E220&lt;&gt;"Cancelled/Denied","—",_xlfn.LET(_xlpm.u,B220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20" s="1178" t="str">
        <f t="shared" si="15"/>
        <v>—</v>
      </c>
    </row>
    <row r="221" spans="2:11">
      <c r="B221" s="1180" t="str">
        <v>W27-2-1005</v>
      </c>
      <c r="C221" s="1180" t="str" cm="1">
        <f t="array" ref="C221">_xlfn.LET(_xlpm.u,B221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Loring, Gevan</v>
      </c>
      <c r="D221" s="1181" t="str" cm="1">
        <f t="array" ref="D221">_xlfn.LET(_xlpm.u,B221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21" s="1181" t="str">
        <f t="shared" si="14"/>
        <v>Incomplete</v>
      </c>
      <c r="F221" s="1181" t="str" cm="1">
        <f t="array" ref="F221">_xlfn.LET(_xlpm.u,B221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221" s="1181" t="str" cm="1">
        <f t="array" ref="G221">_xlfn.LET(_xlpm.u,B221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21" s="1182" cm="1">
        <f t="array" ref="H221">_xlfn.LET(_xlpm.u,B221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46139</v>
      </c>
      <c r="I221" s="1182" cm="1">
        <f t="array" ref="I221">_xlfn.LET(_xlpm.u,B221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21" s="1182" t="str">
        <f>IF(E221&lt;&gt;"Cancelled/Denied","—",_xlfn.LET(_xlpm.u,B221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21" s="1181">
        <f t="shared" si="15"/>
        <v>0</v>
      </c>
    </row>
    <row r="222" spans="2:11">
      <c r="B222" s="1177" t="str">
        <v>W27-2-1006</v>
      </c>
      <c r="C222" s="1177" t="str" cm="1">
        <f t="array" ref="C222">_xlfn.LET(_xlpm.u,B222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Tanyiko, Cornelius</v>
      </c>
      <c r="D222" s="1178" t="str" cm="1">
        <f t="array" ref="D222">_xlfn.LET(_xlpm.u,B222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22" s="1178" t="str">
        <f t="shared" si="14"/>
        <v>Cancelled/Denied</v>
      </c>
      <c r="F222" s="1178" t="str" cm="1">
        <f t="array" ref="F222">_xlfn.LET(_xlpm.u,B222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222" s="1178" t="str" cm="1">
        <f t="array" ref="G222">_xlfn.LET(_xlpm.u,B222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22" s="1179" cm="1">
        <f t="array" ref="H222">_xlfn.LET(_xlpm.u,B222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46132</v>
      </c>
      <c r="I222" s="1179" cm="1">
        <f t="array" ref="I222">_xlfn.LET(_xlpm.u,B222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22" s="1179">
        <f>IF(E222&lt;&gt;"Cancelled/Denied","—",_xlfn.LET(_xlpm.u,B222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46135</v>
      </c>
      <c r="K222" s="1178" t="str">
        <f t="shared" si="15"/>
        <v>—</v>
      </c>
    </row>
    <row r="223" spans="2:11">
      <c r="B223" s="1180" t="str">
        <v>W27-2-1009</v>
      </c>
      <c r="C223" s="1180" t="str" cm="1">
        <f t="array" ref="C223">_xlfn.LET(_xlpm.u,B223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Pinales, Natalie</v>
      </c>
      <c r="D223" s="1181" t="str" cm="1">
        <f t="array" ref="D223">_xlfn.LET(_xlpm.u,B223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23" s="1181" t="str">
        <f t="shared" si="14"/>
        <v>Incomplete</v>
      </c>
      <c r="F223" s="1181" t="str" cm="1">
        <f t="array" ref="F223">_xlfn.LET(_xlpm.u,B223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223" s="1181" t="str" cm="1">
        <f t="array" ref="G223">_xlfn.LET(_xlpm.u,B223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 List</v>
      </c>
      <c r="H223" s="1182" cm="1">
        <f t="array" ref="H223">_xlfn.LET(_xlpm.u,B223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46131</v>
      </c>
      <c r="I223" s="1182" cm="1">
        <f t="array" ref="I223">_xlfn.LET(_xlpm.u,B223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23" s="1182" t="str">
        <f>IF(E223&lt;&gt;"Cancelled/Denied","—",_xlfn.LET(_xlpm.u,B223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23" s="1181">
        <f t="shared" si="15"/>
        <v>8</v>
      </c>
    </row>
    <row r="224" spans="2:11">
      <c r="B224" s="1177" t="str">
        <v>W28-2-1017</v>
      </c>
      <c r="C224" s="1177" t="str" cm="1">
        <f t="array" ref="C224">_xlfn.LET(_xlpm.u,B224,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Washington, Denzel</v>
      </c>
      <c r="D224" s="1178" t="str" cm="1">
        <f t="array" ref="D224">_xlfn.LET(_xlpm.u,B224,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24" s="1178" t="str">
        <f t="shared" si="14"/>
        <v>Cancelled/Denied</v>
      </c>
      <c r="F224" s="1178" t="str" cm="1">
        <f t="array" ref="F224">_xlfn.LET(_xlpm.u,B224,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224" s="1178" t="str" cm="1">
        <f t="array" ref="G224">_xlfn.LET(_xlpm.u,B224,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24" s="1179" cm="1">
        <f t="array" ref="H224">_xlfn.LET(_xlpm.u,B224,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46114</v>
      </c>
      <c r="I224" s="1179" cm="1">
        <f t="array" ref="I224">_xlfn.LET(_xlpm.u,B224,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24" s="1179">
        <f>IF(E224&lt;&gt;"Cancelled/Denied","—",_xlfn.LET(_xlpm.u,B224,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46130</v>
      </c>
      <c r="K224" s="1178" t="str">
        <f t="shared" si="15"/>
        <v>—</v>
      </c>
    </row>
    <row r="225" spans="2:11">
      <c r="B225" s="1177" t="str">
        <v>W28-2-1018</v>
      </c>
      <c r="C225" s="1177" t="str" cm="1">
        <f t="array" ref="C225">_xlfn.LET(_xlpm.u,B225,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Washington, Denzel</v>
      </c>
      <c r="D225" s="1178" t="str" cm="1">
        <f t="array" ref="D225">_xlfn.LET(_xlpm.u,B225,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25" s="1178" t="str">
        <f t="shared" si="14"/>
        <v>Converted</v>
      </c>
      <c r="F225" s="1178" t="str" cm="1">
        <f t="array" ref="F225">_xlfn.LET(_xlpm.u,B225,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Gabehart, Jamey</v>
      </c>
      <c r="G225" s="1178" t="str" cm="1">
        <f t="array" ref="G225">_xlfn.LET(_xlpm.u,B225,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25" s="1179" cm="1">
        <f t="array" ref="H225">_xlfn.LET(_xlpm.u,B225,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46114</v>
      </c>
      <c r="I225" s="1179" cm="1">
        <f t="array" ref="I225">_xlfn.LET(_xlpm.u,B225,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46115</v>
      </c>
      <c r="J225" s="1179" t="str">
        <f>IF(E225&lt;&gt;"Cancelled/Denied","—",_xlfn.LET(_xlpm.u,B225,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25" s="1178" t="str">
        <f t="shared" si="15"/>
        <v>—</v>
      </c>
    </row>
    <row r="226" spans="2:11">
      <c r="B226" s="1177" t="str">
        <v>W28-2-1019</v>
      </c>
      <c r="C226" s="1177" t="str" cm="1">
        <f t="array" ref="C226">_xlfn.LET(_xlpm.u,B226,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Averitt, Michael</v>
      </c>
      <c r="D226" s="1178" t="str" cm="1">
        <f t="array" ref="D226">_xlfn.LET(_xlpm.u,B226,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26" s="1178" t="str">
        <f t="shared" si="14"/>
        <v>Converted</v>
      </c>
      <c r="F226" s="1178" t="str" cm="1">
        <f t="array" ref="F226">_xlfn.LET(_xlpm.u,B226,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Heath, McKenzi</v>
      </c>
      <c r="G226" s="1178" t="str" cm="1">
        <f t="array" ref="G226">_xlfn.LET(_xlpm.u,B226,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26" s="1179" cm="1">
        <f t="array" ref="H226">_xlfn.LET(_xlpm.u,B226,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46126</v>
      </c>
      <c r="I226" s="1179" cm="1">
        <f t="array" ref="I226">_xlfn.LET(_xlpm.u,B226,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46126</v>
      </c>
      <c r="J226" s="1179" t="str">
        <f>IF(E226&lt;&gt;"Cancelled/Denied","—",_xlfn.LET(_xlpm.u,B226,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26" s="1178" t="str">
        <f t="shared" si="15"/>
        <v>—</v>
      </c>
    </row>
    <row r="227" spans="2:11">
      <c r="B227" s="1180" t="str">
        <v>W28-2-1020</v>
      </c>
      <c r="C227" s="1180" t="str" cm="1">
        <f t="array" ref="C227">_xlfn.LET(_xlpm.u,B227,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Browder, Briana</v>
      </c>
      <c r="D227" s="1181" t="str" cm="1">
        <f t="array" ref="D227">_xlfn.LET(_xlpm.u,B227,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Completed</v>
      </c>
      <c r="E227" s="1181" t="str">
        <f t="shared" si="14"/>
        <v>In Review</v>
      </c>
      <c r="F227" s="1181" t="str" cm="1">
        <f t="array" ref="F227">_xlfn.LET(_xlpm.u,B227,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227" s="1181" t="str" cm="1">
        <f t="array" ref="G227">_xlfn.LET(_xlpm.u,B227,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27" s="1182" cm="1">
        <f t="array" ref="H227">_xlfn.LET(_xlpm.u,B227,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46066</v>
      </c>
      <c r="I227" s="1182" cm="1">
        <f t="array" ref="I227">_xlfn.LET(_xlpm.u,B227,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46077</v>
      </c>
      <c r="J227" s="1182" t="str">
        <f>IF(E227&lt;&gt;"Cancelled/Denied","—",_xlfn.LET(_xlpm.u,B227,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27" s="1181">
        <f t="shared" si="15"/>
        <v>73</v>
      </c>
    </row>
    <row r="228" spans="2:11">
      <c r="B228" s="1177" t="str">
        <v>W28-2-2017</v>
      </c>
      <c r="C228" s="1177" t="str" cm="1">
        <f t="array" ref="C228">_xlfn.LET(_xlpm.u,B228,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Mosley, Kathy</v>
      </c>
      <c r="D228" s="1178" t="str" cm="1">
        <f t="array" ref="D228">_xlfn.LET(_xlpm.u,B228,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28" s="1178" t="str">
        <f t="shared" si="14"/>
        <v>Converted</v>
      </c>
      <c r="F228" s="1178" t="str" cm="1">
        <f t="array" ref="F228">_xlfn.LET(_xlpm.u,B228,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Reyes, Josie</v>
      </c>
      <c r="G228" s="1178" t="str" cm="1">
        <f t="array" ref="G228">_xlfn.LET(_xlpm.u,B228,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Apartments.com</v>
      </c>
      <c r="H228" s="1179" cm="1">
        <f t="array" ref="H228">_xlfn.LET(_xlpm.u,B228,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46104</v>
      </c>
      <c r="I228" s="1179" cm="1">
        <f t="array" ref="I228">_xlfn.LET(_xlpm.u,B228,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46104</v>
      </c>
      <c r="J228" s="1179" t="str">
        <f>IF(E228&lt;&gt;"Cancelled/Denied","—",_xlfn.LET(_xlpm.u,B228,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28" s="1178" t="str">
        <f t="shared" si="15"/>
        <v>—</v>
      </c>
    </row>
    <row r="229" spans="2:11">
      <c r="B229" s="1180" t="str">
        <v>W28-2-2018</v>
      </c>
      <c r="C229" s="1180" t="str" cm="1">
        <f t="array" ref="C229">_xlfn.LET(_xlpm.u,B229,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Hearne, Deondria</v>
      </c>
      <c r="D229" s="1181" t="str" cm="1">
        <f t="array" ref="D229">_xlfn.LET(_xlpm.u,B229,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29" s="1181" t="str">
        <f t="shared" si="14"/>
        <v>Incomplete</v>
      </c>
      <c r="F229" s="1181" t="str" cm="1">
        <f t="array" ref="F229">_xlfn.LET(_xlpm.u,B229,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Vazquez, Norma</v>
      </c>
      <c r="G229" s="1181" t="str" cm="1">
        <f t="array" ref="G229">_xlfn.LET(_xlpm.u,B229,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29" s="1182" cm="1">
        <f t="array" ref="H229">_xlfn.LET(_xlpm.u,B229,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46124</v>
      </c>
      <c r="I229" s="1182" cm="1">
        <f t="array" ref="I229">_xlfn.LET(_xlpm.u,B229,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29" s="1182" t="str">
        <f>IF(E229&lt;&gt;"Cancelled/Denied","—",_xlfn.LET(_xlpm.u,B229,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29" s="1181">
        <f t="shared" si="15"/>
        <v>15</v>
      </c>
    </row>
    <row r="230" spans="2:11">
      <c r="B230" s="1177" t="str">
        <v>W28-2-2019</v>
      </c>
      <c r="C230" s="1177" t="str" cm="1">
        <f t="array" ref="C230">_xlfn.LET(_xlpm.u,B230,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Aransiola, Deborah</v>
      </c>
      <c r="D230" s="1178" t="str" cm="1">
        <f t="array" ref="D230">_xlfn.LET(_xlpm.u,B230,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30" s="1178" t="str">
        <f t="shared" si="14"/>
        <v>Converted</v>
      </c>
      <c r="F230" s="1178" t="str" cm="1">
        <f t="array" ref="F230">_xlfn.LET(_xlpm.u,B230,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Emily</v>
      </c>
      <c r="G230" s="1178" t="str" cm="1">
        <f t="array" ref="G230">_xlfn.LET(_xlpm.u,B230,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Google</v>
      </c>
      <c r="H230" s="1179" cm="1">
        <f t="array" ref="H230">_xlfn.LET(_xlpm.u,B230,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46072</v>
      </c>
      <c r="I230" s="1179" cm="1">
        <f t="array" ref="I230">_xlfn.LET(_xlpm.u,B230,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46072</v>
      </c>
      <c r="J230" s="1179" t="str">
        <f>IF(E230&lt;&gt;"Cancelled/Denied","—",_xlfn.LET(_xlpm.u,B230,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30" s="1178" t="str">
        <f t="shared" si="15"/>
        <v>—</v>
      </c>
    </row>
    <row r="231" spans="2:11">
      <c r="B231" s="1177" t="str">
        <v>W28-2-2020</v>
      </c>
      <c r="C231" s="1177" t="str" cm="1">
        <f t="array" ref="C231">_xlfn.LET(_xlpm.u,B231,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Pupek, Mira</v>
      </c>
      <c r="D231" s="1178" t="str" cm="1">
        <f t="array" ref="D231">_xlfn.LET(_xlpm.u,B231,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Cancelled</v>
      </c>
      <c r="E231" s="1178" t="str">
        <f t="shared" si="14"/>
        <v>Cancelled/Denied</v>
      </c>
      <c r="F231" s="1178" t="str" cm="1">
        <f t="array" ref="F231">_xlfn.LET(_xlpm.u,B231,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Not Assigned</v>
      </c>
      <c r="G231" s="1178" t="str" cm="1">
        <f t="array" ref="G231">_xlfn.LET(_xlpm.u,B231,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31" s="1179" cm="1">
        <f t="array" ref="H231">_xlfn.LET(_xlpm.u,B231,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46081</v>
      </c>
      <c r="I231" s="1179" cm="1">
        <f t="array" ref="I231">_xlfn.LET(_xlpm.u,B231,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31" s="1179">
        <f>IF(E231&lt;&gt;"Cancelled/Denied","—",_xlfn.LET(_xlpm.u,B231,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46114</v>
      </c>
      <c r="K231" s="1178" t="str">
        <f t="shared" si="15"/>
        <v>—</v>
      </c>
    </row>
    <row r="232" spans="2:11">
      <c r="B232" s="1180" t="str">
        <v>W28-2-2021</v>
      </c>
      <c r="C232" s="1180" t="str" cm="1">
        <f t="array" ref="C232">_xlfn.LET(_xlpm.u,B232,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Washington, Sharonda</v>
      </c>
      <c r="D232" s="1181" t="str" cm="1">
        <f t="array" ref="D232">_xlfn.LET(_xlpm.u,B232,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Application: Started</v>
      </c>
      <c r="E232" s="1181" t="str">
        <f t="shared" si="14"/>
        <v>Incomplete</v>
      </c>
      <c r="F232" s="1181" t="str" cm="1">
        <f t="array" ref="F232">_xlfn.LET(_xlpm.u,B232,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Elise, Meet</v>
      </c>
      <c r="G232" s="1181" t="str" cm="1">
        <f t="array" ref="G232">_xlfn.LET(_xlpm.u,B232,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32" s="1182" cm="1">
        <f t="array" ref="H232">_xlfn.LET(_xlpm.u,B232,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46134</v>
      </c>
      <c r="I232" s="1182" cm="1">
        <f t="array" ref="I232">_xlfn.LET(_xlpm.u,B232,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0</v>
      </c>
      <c r="J232" s="1182" t="str">
        <f>IF(E232&lt;&gt;"Cancelled/Denied","—",_xlfn.LET(_xlpm.u,B232,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32" s="1181">
        <f t="shared" si="15"/>
        <v>5</v>
      </c>
    </row>
    <row r="233" spans="2:11">
      <c r="B233" s="1177" t="str">
        <v>W28-2-2022</v>
      </c>
      <c r="C233" s="1177" t="str" cm="1">
        <f t="array" ref="C233">_xlfn.LET(_xlpm.u,B233,_xlpm.aCnt,COUNTIFS(Application_Status_Apr!I$2:I$3000,_xlpm.u,Application_Status_Apr!E$2:E$3000,"App*")+COUNTIFS(Application_Status_Apr!I$2:I$3000,_xlpm.u,Application_Status_Apr!E$2:E$3000,"Lease*"),IF(_xlpm.aCnt&gt;0,INDEX(_xlfn._xlws.FILTER(Application_Status_Apr!B$2:B$3000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B$2:B$2000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B$2:B$2000,(Application_Status_Feb!I$2:I$2000=_xlpm.u)*(LEFT(Application_Status_Feb!E$2:E$2000,3)&lt;&gt;"Gue")),_xlpm.fD,_xlfn._xlws.FILTER(Application_Status_Feb!J$2:J$2000,(Application_Status_Feb!I$2:I$2000=_xlpm.u)*(LEFT(Application_Status_Feb!E$2:E$2000,3)&lt;&gt;"Gue")),INDEX(_xlpm.fN,MATCH(MAX(_xlpm.fD),_xlpm.fD,0))),"NO RECORD"))))))</f>
        <v>Hodge, Brock</v>
      </c>
      <c r="D233" s="1178" t="str" cm="1">
        <f t="array" ref="D233">_xlfn.LET(_xlpm.u,B233,_xlpm.aCnt,COUNTIFS(Application_Status_Apr!I$2:I$3000,_xlpm.u,Application_Status_Apr!E$2:E$3000,"App*")+COUNTIFS(Application_Status_Apr!I$2:I$3000,_xlpm.u,Application_Status_Apr!E$2:E$3000,"Lease*"),IF(_xlpm.aCnt&gt;0,INDEX(_xlfn._xlws.FILTER(Application_Status_Apr!E$2:E$3000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E$2:E$2000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E$2:E$2000,(Application_Status_Feb!I$2:I$2000=_xlpm.u)*(LEFT(Application_Status_Feb!E$2:E$2000,3)&lt;&gt;"Gue")),_xlpm.fD,_xlfn._xlws.FILTER(Application_Status_Feb!J$2:J$2000,(Application_Status_Feb!I$2:I$2000=_xlpm.u)*(LEFT(Application_Status_Feb!E$2:E$2000,3)&lt;&gt;"Gue")),INDEX(_xlpm.fN,MATCH(MAX(_xlpm.fD),_xlpm.fD,0))),"Not Found"))))))</f>
        <v>Lease: Approved</v>
      </c>
      <c r="E233" s="1178" t="str">
        <f t="shared" si="14"/>
        <v>Converted</v>
      </c>
      <c r="F233" s="1178" t="str" cm="1">
        <f t="array" ref="F233">_xlfn.LET(_xlpm.u,B233,_xlpm.aCnt,COUNTIFS(Application_Status_Apr!I$2:I$3000,_xlpm.u,Application_Status_Apr!E$2:E$3000,"App*")+COUNTIFS(Application_Status_Apr!I$2:I$3000,_xlpm.u,Application_Status_Apr!E$2:E$3000,"Lease*"),IF(_xlpm.aCnt&gt;0,INDEX(_xlfn._xlws.FILTER(Application_Status_Apr!F$2:F$3000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F$2:F$2000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F$2:F$2000,(Application_Status_Feb!I$2:I$2000=_xlpm.u)*(LEFT(Application_Status_Feb!E$2:E$2000,3)&lt;&gt;"Gue")),_xlpm.fD,_xlfn._xlws.FILTER(Application_Status_Feb!J$2:J$2000,(Application_Status_Feb!I$2:I$2000=_xlpm.u)*(LEFT(Application_Status_Feb!E$2:E$2000,3)&lt;&gt;"Gue")),INDEX(_xlpm.fN,MATCH(MAX(_xlpm.fD),_xlpm.fD,0))),"—"))))))</f>
        <v>Martinez, Briana</v>
      </c>
      <c r="G233" s="1178" t="str" cm="1">
        <f t="array" ref="G233">_xlfn.LET(_xlpm.u,B233,_xlpm.aCnt,COUNTIFS(Application_Status_Apr!I$2:I$3000,_xlpm.u,Application_Status_Apr!E$2:E$3000,"App*")+COUNTIFS(Application_Status_Apr!I$2:I$3000,_xlpm.u,Application_Status_Apr!E$2:E$3000,"Lease*"),IF(_xlpm.aCnt&gt;0,INDEX(_xlfn._xlws.FILTER(Application_Status_Apr!H$2:H$3000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H$2:H$2000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H$2:H$2000,(Application_Status_Feb!I$2:I$2000=_xlpm.u)*(LEFT(Application_Status_Feb!E$2:E$2000,3)&lt;&gt;"Gue")),_xlpm.fD,_xlfn._xlws.FILTER(Application_Status_Feb!J$2:J$2000,(Application_Status_Feb!I$2:I$2000=_xlpm.u)*(LEFT(Application_Status_Feb!E$2:E$2000,3)&lt;&gt;"Gue")),INDEX(_xlpm.fN,MATCH(MAX(_xlpm.fD),_xlpm.fD,0))),"—"))))))</f>
        <v>Website</v>
      </c>
      <c r="H233" s="1179" cm="1">
        <f t="array" ref="H233">_xlfn.LET(_xlpm.u,B233,_xlpm.aCnt,COUNTIFS(Application_Status_Apr!I$2:I$3000,_xlpm.u,Application_Status_Apr!E$2:E$3000,"App*")+COUNTIFS(Application_Status_Apr!I$2:I$3000,_xlpm.u,Application_Status_Apr!E$2:E$3000,"Lease*"),IF(_xlpm.aCnt&gt;0,INDEX(_xlfn._xlws.FILTER(Application_Status_Apr!J$2:J$3000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J$2:J$2000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J$2:J$2000,(Application_Status_Feb!I$2:I$2000=_xlpm.u)*(LEFT(Application_Status_Feb!E$2:E$2000,3)&lt;&gt;"Gue")),INDEX(_xlpm.fN,MATCH(MAX(_xlpm.fN),_xlpm.fN,0))),"—"))))))</f>
        <v>46065</v>
      </c>
      <c r="I233" s="1179" cm="1">
        <f t="array" ref="I233">_xlfn.LET(_xlpm.u,B233,_xlpm.aCnt,COUNTIFS(Application_Status_Apr!I$2:I$3000,_xlpm.u,Application_Status_Apr!E$2:E$3000,"App*")+COUNTIFS(Application_Status_Apr!I$2:I$3000,_xlpm.u,Application_Status_Apr!E$2:E$3000,"Lease*"),IF(_xlpm.aCnt&gt;0,INDEX(_xlfn._xlws.FILTER(Application_Status_Apr!L$2:L$3000,(Application_Status_Apr!I$2:I$3000=_xlpm.u)*(LEFT(Application_Status_Apr!E$2:E$3000,3)&lt;&gt;"Gue")),_xlpm.aCnt),_xlfn.LET(_xlpm.mCnt,COUNTIFS(Application_Status_Mar!I$2:I$2000,_xlpm.u,Application_Status_Mar!E$2:E$2000,"App*")+COUNTIFS(Application_Status_Mar!I$2:I$2000,_xlpm.u,Application_Status_Mar!E$2:E$2000,"Lease*"),IF(_xlpm.mCnt&gt;0,INDEX(_xlfn._xlws.FILTER(Application_Status_Mar!L$2:L$2000,(Application_Status_Mar!I$2:I$2000=_xlpm.u)*(LEFT(Application_Status_Mar!E$2:E$2000,3)&lt;&gt;"Gue")),_xlpm.mCnt),_xlfn.LET(_xlpm.fCnt,COUNTIFS(Application_Status_Feb!I$2:I$2000,_xlpm.u,Application_Status_Feb!E$2:E$2000,"App*")+COUNTIFS(Application_Status_Feb!I$2:I$2000,_xlpm.u,Application_Status_Feb!E$2:E$2000,"Lease*"),IF(_xlpm.fCnt&gt;0,_xlfn.LET(_xlpm.fN,_xlfn._xlws.FILTER(Application_Status_Feb!L$2:L$2000,(Application_Status_Feb!I$2:I$2000=_xlpm.u)*(LEFT(Application_Status_Feb!E$2:E$2000,3)&lt;&gt;"Gue")),_xlpm.fD,_xlfn._xlws.FILTER(Application_Status_Feb!J$2:J$2000,(Application_Status_Feb!I$2:I$2000=_xlpm.u)*(LEFT(Application_Status_Feb!E$2:E$2000,3)&lt;&gt;"Gue")),INDEX(_xlpm.fN,MATCH(MAX(_xlpm.fD),_xlpm.fD,0))),"—"))))))</f>
        <v>46075</v>
      </c>
      <c r="J233" s="1179" t="str">
        <f>IF(E233&lt;&gt;"Cancelled/Denied","—",_xlfn.LET(_xlpm.u,B233,_xlpm.aC,_xlfn.MAXIFS(Application_Status_Apr!R$2:R$3000,Application_Status_Apr!I$2:I$3000,_xlpm.u),_xlpm.aD,_xlfn.MAXIFS(Application_Status_Apr!S$2:S$3000,Application_Status_Apr!I$2:I$3000,_xlpm.u),_xlpm.mC,_xlfn.MAXIFS(Application_Status_Mar!R$2:R$2000,Application_Status_Mar!I$2:I$2000,_xlpm.u),_xlpm.mD,_xlfn.MAXIFS(Application_Status_Mar!S$2:S$2000,Application_Status_Mar!I$2:I$2000,_xlpm.u),_xlpm.fC,_xlfn.MAXIFS(Application_Status_Feb!R$2:R$2000,Application_Status_Feb!I$2:I$2000,_xlpm.u),_xlpm.fD,_xlfn.MAXIFS(Application_Status_Feb!S$2:S$2000,Application_Status_Feb!I$2:I$2000,_xlpm.u),MAX(_xlpm.aC,_xlpm.aD,_xlpm.mC,_xlpm.mD,_xlpm.fC,_xlpm.fD)))</f>
        <v>—</v>
      </c>
      <c r="K233" s="1178" t="str">
        <f t="shared" si="15"/>
        <v>—</v>
      </c>
    </row>
  </sheetData>
  <autoFilter ref="A65:K65" xr:uid="{C9C68511-1F50-4F71-954F-03B3498C5CE9}"/>
  <mergeCells count="7">
    <mergeCell ref="G21:H21"/>
    <mergeCell ref="G18:H18"/>
    <mergeCell ref="G13:H13"/>
    <mergeCell ref="G14:H14"/>
    <mergeCell ref="G15:H15"/>
    <mergeCell ref="G16:H16"/>
    <mergeCell ref="G17:H17"/>
  </mergeCells>
  <conditionalFormatting sqref="B66:K155">
    <cfRule type="expression" dxfId="15" priority="7">
      <formula>OR(AND(OR($E66="In Review",$E66="Incomplete"),$K66&lt;&gt;"—",ISNUMBER($K66),$K66&gt;=22),AND($E66="Incomplete",$K66&lt;&gt;"—",ISNUMBER($K66),$K66&gt;=15))</formula>
    </cfRule>
    <cfRule type="expression" dxfId="14" priority="8">
      <formula>OR(AND($E66="In Review",$K66&lt;&gt;"—",ISNUMBER($K66),$K66&gt;=15,$K66&lt;22),AND($E66="Incomplete",OR($F66="Not Assigned",$F66="HOUSE, HOUSE"),$K66&lt;&gt;"—",ISNUMBER($K66),$K66&gt;=8))</formula>
    </cfRule>
    <cfRule type="expression" dxfId="13" priority="9">
      <formula>AND(OR($E66="In Review",$E66="Incomplete"),$K66&lt;&gt;"—",ISNUMBER($K66),$K66&gt;=8,$K66&lt;15)</formula>
    </cfRule>
  </conditionalFormatting>
  <conditionalFormatting sqref="C156:K178">
    <cfRule type="expression" dxfId="12" priority="1">
      <formula>OR(AND(OR($E156="In Review",$E156="Incomplete"),$K156&lt;&gt;"—",ISNUMBER($K156),$K156&gt;=22),AND($E156="Incomplete",$K156&lt;&gt;"—",ISNUMBER($K156),$K156&gt;=15))</formula>
    </cfRule>
    <cfRule type="expression" dxfId="11" priority="2">
      <formula>OR(AND($E156="In Review",$K156&lt;&gt;"—",ISNUMBER($K156),$K156&gt;=15,$K156&lt;22),AND($E156="Incomplete",OR($F156="Not Assigned",$F156="HOUSE, HOUSE"),$K156&lt;&gt;"—",ISNUMBER($K156),$K156&gt;=8))</formula>
    </cfRule>
    <cfRule type="expression" dxfId="10" priority="3">
      <formula>AND(OR($E156="In Review",$E156="Incomplete"),$K156&lt;&gt;"—",ISNUMBER($K156),$K156&gt;=8,$K156&lt;15)</formula>
    </cfRule>
  </conditionalFormatting>
  <printOptions horizontalCentered="1" verticalCentered="1"/>
  <pageMargins left="0" right="0" top="0" bottom="0" header="0" footer="0"/>
  <pageSetup scale="55" fitToHeight="0" orientation="landscape" r:id="rId1"/>
  <rowBreaks count="1" manualBreakCount="1">
    <brk id="62"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742DB-0A4D-4C06-8CC6-CEE3B76FD3F6}">
  <sheetPr>
    <tabColor rgb="FF002060"/>
  </sheetPr>
  <dimension ref="A1:H57"/>
  <sheetViews>
    <sheetView showGridLines="0" tabSelected="1" zoomScale="70" zoomScaleNormal="70" workbookViewId="0">
      <pane ySplit="5" topLeftCell="A6" activePane="bottomLeft" state="frozen"/>
      <selection pane="bottomLeft" activeCell="B15" sqref="B15"/>
    </sheetView>
  </sheetViews>
  <sheetFormatPr defaultRowHeight="14.5"/>
  <cols>
    <col min="1" max="1" width="4.26953125" customWidth="1"/>
    <col min="2" max="2" width="23.54296875" customWidth="1"/>
    <col min="3" max="3" width="63.54296875" customWidth="1"/>
    <col min="4" max="4" width="20" customWidth="1"/>
    <col min="5" max="5" width="16.453125" customWidth="1"/>
    <col min="6" max="6" width="14.54296875" customWidth="1"/>
    <col min="7" max="7" width="54.54296875" customWidth="1"/>
    <col min="8" max="8" width="14.54296875" customWidth="1"/>
  </cols>
  <sheetData>
    <row r="1" spans="1:8" ht="23.5">
      <c r="B1" s="336" t="s">
        <v>218</v>
      </c>
      <c r="C1" s="137"/>
      <c r="D1" s="137"/>
      <c r="E1" s="137"/>
      <c r="F1" s="137"/>
      <c r="G1" s="137"/>
      <c r="H1" s="137"/>
    </row>
    <row r="2" spans="1:8">
      <c r="B2" s="349" t="s">
        <v>606</v>
      </c>
      <c r="C2" s="138"/>
      <c r="D2" s="137"/>
      <c r="E2" s="137"/>
      <c r="F2" s="137"/>
      <c r="G2" s="137"/>
      <c r="H2" s="137"/>
    </row>
    <row r="3" spans="1:8">
      <c r="B3" s="350" t="s">
        <v>332</v>
      </c>
      <c r="C3" s="351">
        <f>Dashboard_1!C3</f>
        <v>17</v>
      </c>
      <c r="D3" s="352" t="s">
        <v>607</v>
      </c>
      <c r="E3" s="137"/>
      <c r="F3" s="137"/>
      <c r="G3" s="137"/>
      <c r="H3" s="137"/>
    </row>
    <row r="4" spans="1:8">
      <c r="B4" s="137"/>
      <c r="C4" s="140"/>
      <c r="D4" s="137"/>
      <c r="E4" s="137"/>
      <c r="F4" s="137"/>
      <c r="G4" s="137"/>
      <c r="H4" s="137"/>
    </row>
    <row r="5" spans="1:8">
      <c r="B5" s="677" t="s">
        <v>608</v>
      </c>
      <c r="C5" s="677" t="s">
        <v>609</v>
      </c>
      <c r="D5" s="677" t="s">
        <v>610</v>
      </c>
      <c r="E5" s="677" t="s">
        <v>611</v>
      </c>
      <c r="F5" s="677" t="s">
        <v>340</v>
      </c>
      <c r="G5" s="677" t="s">
        <v>612</v>
      </c>
      <c r="H5" s="677" t="s">
        <v>613</v>
      </c>
    </row>
    <row r="6" spans="1:8">
      <c r="A6" s="127"/>
      <c r="B6" s="675" t="s">
        <v>614</v>
      </c>
      <c r="C6" s="676"/>
      <c r="D6" s="676"/>
      <c r="E6" s="676"/>
      <c r="F6" s="676"/>
      <c r="G6" s="676"/>
      <c r="H6" s="676"/>
    </row>
    <row r="7" spans="1:8" ht="24">
      <c r="A7" s="31"/>
      <c r="B7" s="1002" t="s">
        <v>615</v>
      </c>
      <c r="C7" s="1003" t="s">
        <v>616</v>
      </c>
      <c r="D7" s="1004" t="s">
        <v>617</v>
      </c>
      <c r="E7" s="1005">
        <v>46113</v>
      </c>
      <c r="F7" s="1006" t="s">
        <v>618</v>
      </c>
      <c r="G7" s="1003" t="s">
        <v>619</v>
      </c>
      <c r="H7" s="1007" t="s">
        <v>620</v>
      </c>
    </row>
    <row r="8" spans="1:8">
      <c r="A8" s="127"/>
      <c r="B8" s="1008" t="s">
        <v>621</v>
      </c>
      <c r="C8" s="1009"/>
      <c r="D8" s="1010"/>
      <c r="E8" s="1010"/>
      <c r="F8" s="1010"/>
      <c r="G8" s="1009"/>
      <c r="H8" s="1010"/>
    </row>
    <row r="9" spans="1:8" ht="24">
      <c r="A9" s="31"/>
      <c r="B9" s="1014" t="s">
        <v>622</v>
      </c>
      <c r="C9" s="1015" t="s">
        <v>623</v>
      </c>
      <c r="D9" s="1016" t="s">
        <v>287</v>
      </c>
      <c r="E9" s="1016" t="s">
        <v>624</v>
      </c>
      <c r="F9" s="1006" t="s">
        <v>625</v>
      </c>
      <c r="G9" s="1015" t="s">
        <v>626</v>
      </c>
      <c r="H9" s="1017" t="s">
        <v>627</v>
      </c>
    </row>
    <row r="10" spans="1:8" ht="36">
      <c r="A10" s="138"/>
      <c r="B10" s="1081" t="s">
        <v>628</v>
      </c>
      <c r="C10" s="1082" t="s">
        <v>629</v>
      </c>
      <c r="D10" s="1083" t="s">
        <v>617</v>
      </c>
      <c r="E10" s="1083" t="s">
        <v>630</v>
      </c>
      <c r="F10" s="1084" t="s">
        <v>625</v>
      </c>
      <c r="G10" s="1082" t="s">
        <v>7465</v>
      </c>
      <c r="H10" s="1085" t="s">
        <v>631</v>
      </c>
    </row>
    <row r="11" spans="1:8">
      <c r="A11" s="127"/>
      <c r="B11" s="1011" t="s">
        <v>632</v>
      </c>
      <c r="C11" s="1012"/>
      <c r="D11" s="1013"/>
      <c r="E11" s="1013"/>
      <c r="F11" s="1013"/>
      <c r="G11" s="1012"/>
      <c r="H11" s="1013"/>
    </row>
    <row r="12" spans="1:8" ht="48">
      <c r="A12" s="31"/>
      <c r="B12" s="1018" t="s">
        <v>633</v>
      </c>
      <c r="C12" s="688" t="s">
        <v>634</v>
      </c>
      <c r="D12" s="609" t="s">
        <v>617</v>
      </c>
      <c r="E12" s="609" t="s">
        <v>635</v>
      </c>
      <c r="F12" s="1089" t="s">
        <v>642</v>
      </c>
      <c r="G12" s="688" t="s">
        <v>7466</v>
      </c>
      <c r="H12" s="679" t="s">
        <v>636</v>
      </c>
    </row>
    <row r="13" spans="1:8" ht="72">
      <c r="A13" s="31"/>
      <c r="B13" s="1183" t="s">
        <v>7471</v>
      </c>
      <c r="C13" s="1183" t="s">
        <v>7472</v>
      </c>
      <c r="D13" s="1184" t="s">
        <v>285</v>
      </c>
      <c r="E13" s="1184" t="s">
        <v>641</v>
      </c>
      <c r="F13" s="1185" t="s">
        <v>618</v>
      </c>
      <c r="G13" s="1183" t="s">
        <v>7473</v>
      </c>
      <c r="H13" s="1184" t="s">
        <v>7474</v>
      </c>
    </row>
    <row r="14" spans="1:8" ht="84">
      <c r="A14" s="31"/>
      <c r="B14" s="1189" t="s">
        <v>7475</v>
      </c>
      <c r="C14" s="1189" t="s">
        <v>7476</v>
      </c>
      <c r="D14" s="1190" t="s">
        <v>617</v>
      </c>
      <c r="E14" s="1190" t="s">
        <v>7477</v>
      </c>
      <c r="F14" s="1186" t="s">
        <v>618</v>
      </c>
      <c r="G14" s="1189" t="s">
        <v>7478</v>
      </c>
      <c r="H14" s="1190" t="s">
        <v>7474</v>
      </c>
    </row>
    <row r="15" spans="1:8" ht="36">
      <c r="A15" s="31"/>
      <c r="B15" s="1189" t="s">
        <v>7503</v>
      </c>
      <c r="C15" s="1189" t="s">
        <v>7504</v>
      </c>
      <c r="D15" s="1190" t="s">
        <v>285</v>
      </c>
      <c r="E15" s="1190" t="s">
        <v>630</v>
      </c>
      <c r="F15" s="1186" t="s">
        <v>618</v>
      </c>
      <c r="G15" s="1189" t="s">
        <v>7505</v>
      </c>
      <c r="H15" s="1190" t="s">
        <v>7474</v>
      </c>
    </row>
    <row r="16" spans="1:8">
      <c r="A16" s="127"/>
      <c r="B16" s="1187" t="s">
        <v>637</v>
      </c>
      <c r="C16" s="1188"/>
      <c r="D16" s="678"/>
      <c r="E16" s="678"/>
      <c r="F16" s="678"/>
      <c r="G16" s="1188"/>
      <c r="H16" s="678"/>
    </row>
    <row r="17" spans="1:8" ht="36">
      <c r="A17" s="138"/>
      <c r="B17" s="1086" t="s">
        <v>638</v>
      </c>
      <c r="C17" s="1087" t="s">
        <v>639</v>
      </c>
      <c r="D17" s="1088" t="s">
        <v>640</v>
      </c>
      <c r="E17" s="1088" t="s">
        <v>641</v>
      </c>
      <c r="F17" s="1089" t="s">
        <v>642</v>
      </c>
      <c r="G17" s="1087" t="s">
        <v>643</v>
      </c>
      <c r="H17" s="1090" t="s">
        <v>620</v>
      </c>
    </row>
    <row r="18" spans="1:8" ht="24">
      <c r="A18" s="138"/>
      <c r="B18" s="1091" t="s">
        <v>615</v>
      </c>
      <c r="C18" s="1092" t="s">
        <v>644</v>
      </c>
      <c r="D18" s="1093" t="s">
        <v>617</v>
      </c>
      <c r="E18" s="1094">
        <v>46114</v>
      </c>
      <c r="F18" s="1000" t="s">
        <v>642</v>
      </c>
      <c r="G18" s="1092" t="s">
        <v>645</v>
      </c>
      <c r="H18" s="1095" t="s">
        <v>620</v>
      </c>
    </row>
    <row r="19" spans="1:8" ht="48">
      <c r="A19" s="138"/>
      <c r="B19" s="1096" t="s">
        <v>628</v>
      </c>
      <c r="C19" s="694" t="s">
        <v>646</v>
      </c>
      <c r="D19" s="682" t="s">
        <v>617</v>
      </c>
      <c r="E19" s="682" t="s">
        <v>630</v>
      </c>
      <c r="F19" s="683" t="s">
        <v>647</v>
      </c>
      <c r="G19" s="694" t="s">
        <v>648</v>
      </c>
      <c r="H19" s="684" t="s">
        <v>636</v>
      </c>
    </row>
    <row r="20" spans="1:8" ht="36">
      <c r="B20" s="997" t="s">
        <v>649</v>
      </c>
      <c r="C20" s="998" t="s">
        <v>650</v>
      </c>
      <c r="D20" s="999" t="s">
        <v>651</v>
      </c>
      <c r="E20" s="999" t="s">
        <v>652</v>
      </c>
      <c r="F20" s="1000" t="s">
        <v>642</v>
      </c>
      <c r="G20" s="998"/>
      <c r="H20" s="1001" t="s">
        <v>653</v>
      </c>
    </row>
    <row r="21" spans="1:8" ht="24">
      <c r="B21" s="691" t="s">
        <v>654</v>
      </c>
      <c r="C21" s="692" t="s">
        <v>655</v>
      </c>
      <c r="D21" s="686" t="s">
        <v>640</v>
      </c>
      <c r="E21" s="686" t="s">
        <v>641</v>
      </c>
      <c r="F21" s="681" t="s">
        <v>642</v>
      </c>
      <c r="G21" s="692"/>
      <c r="H21" s="687" t="s">
        <v>656</v>
      </c>
    </row>
    <row r="22" spans="1:8" ht="24">
      <c r="B22" s="689" t="s">
        <v>622</v>
      </c>
      <c r="C22" s="690" t="s">
        <v>657</v>
      </c>
      <c r="D22" s="680" t="s">
        <v>617</v>
      </c>
      <c r="E22" s="680" t="s">
        <v>630</v>
      </c>
      <c r="F22" s="681" t="s">
        <v>642</v>
      </c>
      <c r="G22" s="690" t="s">
        <v>658</v>
      </c>
      <c r="H22" s="685" t="s">
        <v>636</v>
      </c>
    </row>
    <row r="23" spans="1:8" ht="24">
      <c r="B23" s="691" t="s">
        <v>628</v>
      </c>
      <c r="C23" s="692" t="s">
        <v>659</v>
      </c>
      <c r="D23" s="686" t="s">
        <v>660</v>
      </c>
      <c r="E23" s="686" t="s">
        <v>630</v>
      </c>
      <c r="F23" s="681" t="s">
        <v>642</v>
      </c>
      <c r="G23" s="692" t="s">
        <v>661</v>
      </c>
      <c r="H23" s="687" t="s">
        <v>636</v>
      </c>
    </row>
    <row r="24" spans="1:8" ht="36">
      <c r="B24" s="689" t="s">
        <v>662</v>
      </c>
      <c r="C24" s="690" t="s">
        <v>663</v>
      </c>
      <c r="D24" s="680" t="s">
        <v>617</v>
      </c>
      <c r="E24" s="680" t="s">
        <v>630</v>
      </c>
      <c r="F24" s="681" t="s">
        <v>642</v>
      </c>
      <c r="G24" s="690" t="s">
        <v>664</v>
      </c>
      <c r="H24" s="685" t="s">
        <v>636</v>
      </c>
    </row>
    <row r="25" spans="1:8" ht="36">
      <c r="B25" s="691" t="s">
        <v>628</v>
      </c>
      <c r="C25" s="692" t="s">
        <v>665</v>
      </c>
      <c r="D25" s="686" t="s">
        <v>617</v>
      </c>
      <c r="E25" s="686" t="s">
        <v>630</v>
      </c>
      <c r="F25" s="681" t="s">
        <v>642</v>
      </c>
      <c r="G25" s="692" t="s">
        <v>666</v>
      </c>
      <c r="H25" s="687" t="s">
        <v>636</v>
      </c>
    </row>
    <row r="26" spans="1:8" ht="24">
      <c r="B26" s="689" t="s">
        <v>628</v>
      </c>
      <c r="C26" s="690" t="s">
        <v>667</v>
      </c>
      <c r="D26" s="680" t="s">
        <v>660</v>
      </c>
      <c r="E26" s="680" t="s">
        <v>630</v>
      </c>
      <c r="F26" s="681" t="s">
        <v>642</v>
      </c>
      <c r="G26" s="690" t="s">
        <v>668</v>
      </c>
      <c r="H26" s="685" t="s">
        <v>636</v>
      </c>
    </row>
    <row r="27" spans="1:8" ht="24">
      <c r="B27" s="691" t="s">
        <v>669</v>
      </c>
      <c r="C27" s="692" t="s">
        <v>670</v>
      </c>
      <c r="D27" s="686" t="s">
        <v>640</v>
      </c>
      <c r="E27" s="686" t="s">
        <v>630</v>
      </c>
      <c r="F27" s="681" t="s">
        <v>642</v>
      </c>
      <c r="G27" s="692"/>
      <c r="H27" s="687" t="s">
        <v>653</v>
      </c>
    </row>
    <row r="28" spans="1:8" ht="36">
      <c r="B28" s="689" t="s">
        <v>671</v>
      </c>
      <c r="C28" s="690" t="s">
        <v>672</v>
      </c>
      <c r="D28" s="680" t="s">
        <v>617</v>
      </c>
      <c r="E28" s="680" t="s">
        <v>673</v>
      </c>
      <c r="F28" s="681" t="s">
        <v>642</v>
      </c>
      <c r="G28" s="690" t="s">
        <v>674</v>
      </c>
      <c r="H28" s="685" t="s">
        <v>636</v>
      </c>
    </row>
    <row r="29" spans="1:8" ht="36">
      <c r="B29" s="691" t="s">
        <v>675</v>
      </c>
      <c r="C29" s="692" t="s">
        <v>676</v>
      </c>
      <c r="D29" s="686" t="s">
        <v>617</v>
      </c>
      <c r="E29" s="686" t="s">
        <v>677</v>
      </c>
      <c r="F29" s="681" t="s">
        <v>642</v>
      </c>
      <c r="G29" s="692" t="s">
        <v>678</v>
      </c>
      <c r="H29" s="687" t="s">
        <v>636</v>
      </c>
    </row>
    <row r="30" spans="1:8" ht="36">
      <c r="B30" s="689" t="s">
        <v>679</v>
      </c>
      <c r="C30" s="690" t="s">
        <v>680</v>
      </c>
      <c r="D30" s="680" t="s">
        <v>681</v>
      </c>
      <c r="E30" s="680" t="s">
        <v>682</v>
      </c>
      <c r="F30" s="681" t="s">
        <v>642</v>
      </c>
      <c r="G30" s="690" t="s">
        <v>683</v>
      </c>
      <c r="H30" s="685" t="s">
        <v>636</v>
      </c>
    </row>
    <row r="31" spans="1:8" ht="36">
      <c r="B31" s="691" t="s">
        <v>622</v>
      </c>
      <c r="C31" s="692" t="s">
        <v>684</v>
      </c>
      <c r="D31" s="686" t="s">
        <v>617</v>
      </c>
      <c r="E31" s="686" t="s">
        <v>685</v>
      </c>
      <c r="F31" s="681" t="s">
        <v>642</v>
      </c>
      <c r="G31" s="692" t="s">
        <v>686</v>
      </c>
      <c r="H31" s="687" t="s">
        <v>636</v>
      </c>
    </row>
    <row r="32" spans="1:8">
      <c r="B32" s="689" t="s">
        <v>622</v>
      </c>
      <c r="C32" s="690" t="s">
        <v>687</v>
      </c>
      <c r="D32" s="680" t="s">
        <v>617</v>
      </c>
      <c r="E32" s="680" t="s">
        <v>624</v>
      </c>
      <c r="F32" s="681" t="s">
        <v>642</v>
      </c>
      <c r="G32" s="690" t="s">
        <v>688</v>
      </c>
      <c r="H32" s="685" t="s">
        <v>636</v>
      </c>
    </row>
    <row r="33" spans="2:8" ht="24">
      <c r="B33" s="691" t="s">
        <v>689</v>
      </c>
      <c r="C33" s="692" t="s">
        <v>690</v>
      </c>
      <c r="D33" s="686" t="s">
        <v>617</v>
      </c>
      <c r="E33" s="686" t="s">
        <v>630</v>
      </c>
      <c r="F33" s="681" t="s">
        <v>642</v>
      </c>
      <c r="G33" s="692" t="s">
        <v>691</v>
      </c>
      <c r="H33" s="687" t="s">
        <v>636</v>
      </c>
    </row>
    <row r="34" spans="2:8" ht="36">
      <c r="B34" s="689" t="s">
        <v>692</v>
      </c>
      <c r="C34" s="690" t="s">
        <v>693</v>
      </c>
      <c r="D34" s="680" t="s">
        <v>617</v>
      </c>
      <c r="E34" s="680" t="s">
        <v>630</v>
      </c>
      <c r="F34" s="681" t="s">
        <v>642</v>
      </c>
      <c r="G34" s="690" t="s">
        <v>694</v>
      </c>
      <c r="H34" s="685" t="s">
        <v>636</v>
      </c>
    </row>
    <row r="35" spans="2:8" ht="36">
      <c r="B35" s="691" t="s">
        <v>671</v>
      </c>
      <c r="C35" s="692" t="s">
        <v>695</v>
      </c>
      <c r="D35" s="686" t="s">
        <v>617</v>
      </c>
      <c r="E35" s="686" t="s">
        <v>641</v>
      </c>
      <c r="F35" s="681" t="s">
        <v>642</v>
      </c>
      <c r="G35" s="692" t="s">
        <v>696</v>
      </c>
      <c r="H35" s="687" t="s">
        <v>627</v>
      </c>
    </row>
    <row r="36" spans="2:8" ht="36">
      <c r="B36" s="693" t="s">
        <v>628</v>
      </c>
      <c r="C36" s="694" t="s">
        <v>697</v>
      </c>
      <c r="D36" s="682" t="s">
        <v>617</v>
      </c>
      <c r="E36" s="682" t="s">
        <v>630</v>
      </c>
      <c r="F36" s="683" t="s">
        <v>642</v>
      </c>
      <c r="G36" s="694" t="s">
        <v>698</v>
      </c>
      <c r="H36" s="684" t="s">
        <v>636</v>
      </c>
    </row>
    <row r="45" spans="2:8">
      <c r="B45" s="142"/>
      <c r="C45" s="142"/>
      <c r="G45" s="142"/>
    </row>
    <row r="46" spans="2:8">
      <c r="B46" s="142"/>
      <c r="C46" s="142"/>
      <c r="G46" s="142"/>
    </row>
    <row r="47" spans="2:8">
      <c r="B47" s="142"/>
      <c r="C47" s="142"/>
      <c r="G47" s="142"/>
    </row>
    <row r="48" spans="2:8">
      <c r="B48" s="142"/>
      <c r="C48" s="142"/>
      <c r="G48" s="142"/>
    </row>
    <row r="49" spans="2:7">
      <c r="B49" s="142"/>
      <c r="C49" s="142"/>
      <c r="G49" s="142"/>
    </row>
    <row r="50" spans="2:7">
      <c r="B50" s="142"/>
      <c r="C50" s="142"/>
      <c r="G50" s="142"/>
    </row>
    <row r="51" spans="2:7">
      <c r="B51" s="142"/>
      <c r="C51" s="142"/>
      <c r="G51" s="142"/>
    </row>
    <row r="52" spans="2:7">
      <c r="B52" s="142"/>
      <c r="C52" s="142"/>
      <c r="G52" s="142"/>
    </row>
    <row r="53" spans="2:7">
      <c r="B53" s="142"/>
      <c r="C53" s="142"/>
      <c r="G53" s="142"/>
    </row>
    <row r="54" spans="2:7">
      <c r="B54" s="142"/>
      <c r="C54" s="142"/>
      <c r="G54" s="142"/>
    </row>
    <row r="55" spans="2:7">
      <c r="B55" s="142"/>
      <c r="C55" s="142"/>
      <c r="G55" s="142"/>
    </row>
    <row r="56" spans="2:7">
      <c r="B56" s="142"/>
      <c r="C56" s="142"/>
      <c r="G56" s="142"/>
    </row>
    <row r="57" spans="2:7">
      <c r="B57" s="142"/>
      <c r="C57" s="142"/>
      <c r="G57" s="142"/>
    </row>
  </sheetData>
  <dataValidations count="1">
    <dataValidation type="list" allowBlank="1" showInputMessage="1" showErrorMessage="1" sqref="F45:F57" xr:uid="{904FAEC3-11C8-438B-8602-027DC1617D55}">
      <formula1>"Open,In Progress,Complete,Blocked"</formula1>
    </dataValidation>
  </dataValidations>
  <pageMargins left="0.7" right="0.7" top="0.75" bottom="0.75" header="0.3" footer="0.3"/>
  <pageSetup scale="47" fitToWidth="0"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07974-98B1-4C37-85B0-69B7767F2A81}">
  <sheetPr>
    <tabColor rgb="FF002060"/>
  </sheetPr>
  <dimension ref="B1:P35"/>
  <sheetViews>
    <sheetView showGridLines="0" topLeftCell="B1" zoomScale="70" zoomScaleNormal="70" workbookViewId="0">
      <selection activeCell="H24" sqref="H24"/>
    </sheetView>
  </sheetViews>
  <sheetFormatPr defaultRowHeight="14.5"/>
  <cols>
    <col min="2" max="2" width="61.81640625" customWidth="1"/>
    <col min="3" max="3" width="45.453125" customWidth="1"/>
    <col min="4" max="4" width="30" customWidth="1"/>
    <col min="5" max="5" width="10" customWidth="1"/>
    <col min="6" max="7" width="10.81640625" customWidth="1"/>
    <col min="8" max="8" width="52.7265625" customWidth="1"/>
  </cols>
  <sheetData>
    <row r="1" spans="2:9" ht="24" customHeight="1">
      <c r="B1" s="353" t="s">
        <v>218</v>
      </c>
    </row>
    <row r="2" spans="2:9" ht="18" customHeight="1">
      <c r="B2" s="354" t="s">
        <v>699</v>
      </c>
      <c r="C2" s="31"/>
    </row>
    <row r="3" spans="2:9" ht="18" customHeight="1">
      <c r="B3" s="355" t="s">
        <v>332</v>
      </c>
      <c r="C3" s="356">
        <f>Dashboard_1!C3</f>
        <v>17</v>
      </c>
    </row>
    <row r="4" spans="2:9" ht="16" customHeight="1">
      <c r="B4" s="31"/>
      <c r="C4" s="357" t="s">
        <v>700</v>
      </c>
      <c r="D4" s="31"/>
      <c r="E4" s="31"/>
      <c r="F4" s="31"/>
      <c r="G4" s="31"/>
      <c r="H4" s="31"/>
    </row>
    <row r="5" spans="2:9" ht="22" customHeight="1" thickBot="1">
      <c r="B5" s="358" t="s">
        <v>608</v>
      </c>
      <c r="C5" s="358" t="s">
        <v>701</v>
      </c>
      <c r="D5" s="358" t="s">
        <v>702</v>
      </c>
      <c r="E5" s="358" t="s">
        <v>335</v>
      </c>
      <c r="F5" s="358" t="s">
        <v>336</v>
      </c>
      <c r="G5" s="358" t="s">
        <v>337</v>
      </c>
      <c r="H5" s="359" t="s">
        <v>703</v>
      </c>
      <c r="I5" s="31"/>
    </row>
    <row r="6" spans="2:9" ht="15" thickBot="1">
      <c r="B6" s="969" t="s">
        <v>427</v>
      </c>
      <c r="C6" s="970"/>
      <c r="D6" s="970"/>
      <c r="E6" s="970"/>
      <c r="F6" s="970"/>
      <c r="G6" s="970"/>
      <c r="H6" s="970"/>
      <c r="I6" s="31"/>
    </row>
    <row r="7" spans="2:9" ht="60">
      <c r="B7" s="971" t="s">
        <v>7506</v>
      </c>
      <c r="C7" s="972" t="s">
        <v>7507</v>
      </c>
      <c r="D7" s="973" t="s">
        <v>7508</v>
      </c>
      <c r="E7" s="974">
        <v>120</v>
      </c>
      <c r="F7" s="975">
        <v>246</v>
      </c>
      <c r="G7" s="673" t="s">
        <v>7509</v>
      </c>
      <c r="H7" s="976"/>
    </row>
    <row r="8" spans="2:9" ht="60">
      <c r="B8" s="977" t="s">
        <v>7510</v>
      </c>
      <c r="C8" s="978" t="s">
        <v>7511</v>
      </c>
      <c r="D8" s="979" t="s">
        <v>7512</v>
      </c>
      <c r="E8" s="980">
        <v>10</v>
      </c>
      <c r="F8" s="683">
        <v>7</v>
      </c>
      <c r="G8" s="990">
        <v>-3</v>
      </c>
      <c r="H8" s="981"/>
    </row>
    <row r="9" spans="2:9" ht="72">
      <c r="B9" s="982" t="s">
        <v>7513</v>
      </c>
      <c r="C9" s="983" t="s">
        <v>7514</v>
      </c>
      <c r="D9" s="984" t="s">
        <v>7515</v>
      </c>
      <c r="E9" s="1198">
        <v>0.15</v>
      </c>
      <c r="F9" s="1199">
        <v>4.1700000000000001E-2</v>
      </c>
      <c r="G9" s="1200">
        <v>-0.108</v>
      </c>
      <c r="H9" s="988"/>
    </row>
    <row r="10" spans="2:9" ht="15" thickBot="1">
      <c r="B10" s="989" t="s">
        <v>368</v>
      </c>
      <c r="C10" s="678"/>
      <c r="D10" s="678"/>
      <c r="E10" s="678"/>
      <c r="F10" s="678"/>
      <c r="G10" s="678"/>
      <c r="H10" s="678"/>
    </row>
    <row r="11" spans="2:9" ht="60">
      <c r="B11" s="971" t="s">
        <v>7516</v>
      </c>
      <c r="C11" s="972" t="s">
        <v>7517</v>
      </c>
      <c r="D11" s="973" t="s">
        <v>7518</v>
      </c>
      <c r="E11" s="1193">
        <v>0.93</v>
      </c>
      <c r="F11" s="1192">
        <v>0.85399999999999998</v>
      </c>
      <c r="G11" s="1191">
        <v>-7.5999999999999998E-2</v>
      </c>
      <c r="H11" s="976"/>
    </row>
    <row r="12" spans="2:9" ht="48">
      <c r="B12" s="977" t="s">
        <v>7519</v>
      </c>
      <c r="C12" s="978" t="s">
        <v>7520</v>
      </c>
      <c r="D12" s="979" t="s">
        <v>7521</v>
      </c>
      <c r="E12" s="1194">
        <v>-125000</v>
      </c>
      <c r="F12" s="1195">
        <v>-810270</v>
      </c>
      <c r="G12" s="1196">
        <v>-685270</v>
      </c>
      <c r="H12" s="981"/>
      <c r="I12" s="672"/>
    </row>
    <row r="13" spans="2:9" ht="36">
      <c r="B13" s="982" t="s">
        <v>7522</v>
      </c>
      <c r="C13" s="983" t="s">
        <v>7523</v>
      </c>
      <c r="D13" s="984" t="s">
        <v>7524</v>
      </c>
      <c r="E13" s="985" t="s">
        <v>345</v>
      </c>
      <c r="F13" s="991">
        <v>31</v>
      </c>
      <c r="G13" s="674" t="s">
        <v>345</v>
      </c>
      <c r="H13" s="988"/>
    </row>
    <row r="14" spans="2:9">
      <c r="B14" s="989" t="s">
        <v>361</v>
      </c>
      <c r="C14" s="678"/>
      <c r="D14" s="678"/>
      <c r="E14" s="678"/>
      <c r="F14" s="678"/>
      <c r="G14" s="678"/>
      <c r="H14" s="678"/>
      <c r="I14" s="31"/>
    </row>
    <row r="15" spans="2:9" ht="48">
      <c r="B15" s="971" t="s">
        <v>7525</v>
      </c>
      <c r="C15" s="972" t="s">
        <v>7526</v>
      </c>
      <c r="D15" s="973" t="s">
        <v>7527</v>
      </c>
      <c r="E15" s="1193">
        <v>0.8</v>
      </c>
      <c r="F15" s="992">
        <v>0.51700000000000002</v>
      </c>
      <c r="G15" s="993">
        <v>-0.28299999999999997</v>
      </c>
      <c r="H15" s="976"/>
      <c r="I15" s="31"/>
    </row>
    <row r="16" spans="2:9" ht="48">
      <c r="B16" s="977" t="s">
        <v>7528</v>
      </c>
      <c r="C16" s="978" t="s">
        <v>7529</v>
      </c>
      <c r="D16" s="979" t="s">
        <v>7530</v>
      </c>
      <c r="E16" s="1197">
        <v>0.8</v>
      </c>
      <c r="F16" s="994">
        <v>0.39300000000000002</v>
      </c>
      <c r="G16" s="995">
        <v>-0.40699999999999997</v>
      </c>
      <c r="H16" s="981"/>
      <c r="I16" s="31"/>
    </row>
    <row r="17" spans="2:16" ht="60">
      <c r="B17" s="982" t="s">
        <v>7531</v>
      </c>
      <c r="C17" s="983" t="s">
        <v>7532</v>
      </c>
      <c r="D17" s="984" t="s">
        <v>7533</v>
      </c>
      <c r="E17" s="1198">
        <v>0.8</v>
      </c>
      <c r="F17" s="1199">
        <v>0.29099999999999998</v>
      </c>
      <c r="G17" s="1200">
        <v>-0.50900000000000001</v>
      </c>
      <c r="H17" s="988"/>
      <c r="I17" s="31"/>
    </row>
    <row r="18" spans="2:16" ht="15" thickBot="1">
      <c r="B18" s="989" t="s">
        <v>704</v>
      </c>
      <c r="C18" s="678"/>
      <c r="D18" s="678"/>
      <c r="E18" s="678"/>
      <c r="F18" s="678"/>
      <c r="G18" s="678"/>
      <c r="H18" s="678"/>
      <c r="I18" s="31"/>
    </row>
    <row r="19" spans="2:16" ht="60">
      <c r="B19" s="971" t="s">
        <v>7534</v>
      </c>
      <c r="C19" s="972" t="s">
        <v>7535</v>
      </c>
      <c r="D19" s="973" t="s">
        <v>7536</v>
      </c>
      <c r="E19" s="974" t="s">
        <v>345</v>
      </c>
      <c r="F19" s="996">
        <v>101</v>
      </c>
      <c r="G19" s="673" t="s">
        <v>7537</v>
      </c>
      <c r="H19" s="976"/>
      <c r="I19" s="31"/>
    </row>
    <row r="20" spans="2:16">
      <c r="B20" s="989" t="s">
        <v>705</v>
      </c>
      <c r="C20" s="678"/>
      <c r="D20" s="678"/>
      <c r="E20" s="678"/>
      <c r="F20" s="678"/>
      <c r="G20" s="678"/>
      <c r="H20" s="678"/>
      <c r="I20" s="31"/>
    </row>
    <row r="21" spans="2:16" ht="48">
      <c r="B21" s="977" t="s">
        <v>7538</v>
      </c>
      <c r="C21" s="978" t="s">
        <v>7539</v>
      </c>
      <c r="D21" s="979" t="s">
        <v>7540</v>
      </c>
      <c r="E21" s="980" t="s">
        <v>345</v>
      </c>
      <c r="F21" s="683" t="s">
        <v>7541</v>
      </c>
      <c r="G21" s="990" t="s">
        <v>345</v>
      </c>
      <c r="H21" s="981"/>
      <c r="I21" s="31"/>
    </row>
    <row r="22" spans="2:16" ht="36">
      <c r="B22" s="982" t="s">
        <v>7542</v>
      </c>
      <c r="C22" s="983" t="s">
        <v>7543</v>
      </c>
      <c r="D22" s="984" t="s">
        <v>7544</v>
      </c>
      <c r="E22" s="985" t="s">
        <v>345</v>
      </c>
      <c r="F22" s="986" t="s">
        <v>706</v>
      </c>
      <c r="G22" s="987" t="s">
        <v>345</v>
      </c>
      <c r="H22" s="968"/>
      <c r="I22" s="31"/>
    </row>
    <row r="23" spans="2:16" ht="42" customHeight="1">
      <c r="I23" s="31"/>
    </row>
    <row r="24" spans="2:16" ht="42" customHeight="1" thickTop="1">
      <c r="P24" s="139"/>
    </row>
    <row r="25" spans="2:16" ht="26.25" customHeight="1">
      <c r="P25" s="516"/>
    </row>
    <row r="26" spans="2:16" ht="36.75" customHeight="1">
      <c r="P26" s="516"/>
    </row>
    <row r="27" spans="2:16">
      <c r="P27" s="516"/>
    </row>
    <row r="28" spans="2:16">
      <c r="P28" s="516"/>
    </row>
    <row r="29" spans="2:16">
      <c r="P29" s="516"/>
    </row>
    <row r="30" spans="2:16">
      <c r="P30" s="516"/>
    </row>
    <row r="31" spans="2:16">
      <c r="B31" s="421"/>
      <c r="C31" s="421"/>
      <c r="P31" s="516"/>
    </row>
    <row r="32" spans="2:16">
      <c r="B32" s="421"/>
      <c r="C32" s="421"/>
      <c r="P32" s="516"/>
    </row>
    <row r="33" spans="2:16">
      <c r="B33" s="421"/>
      <c r="C33" s="421"/>
      <c r="P33" s="516"/>
    </row>
    <row r="34" spans="2:16">
      <c r="B34" s="421"/>
      <c r="C34" s="421"/>
      <c r="P34" s="516"/>
    </row>
    <row r="35" spans="2:16">
      <c r="B35" s="421"/>
      <c r="C35" s="421"/>
      <c r="P35" s="516"/>
    </row>
  </sheetData>
  <pageMargins left="0.7" right="0.7" top="0.75" bottom="0.75" header="0.3" footer="0.3"/>
  <pageSetup paperSize="5" scale="53" fitToWidth="0" fitToHeight="0" orientation="landscape" r:id="rId1"/>
  <colBreaks count="1" manualBreakCount="1">
    <brk id="8" max="104857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69AC-D9D1-44CA-B728-294D863CA459}">
  <sheetPr>
    <tabColor rgb="FF002060"/>
  </sheetPr>
  <dimension ref="A1:M71"/>
  <sheetViews>
    <sheetView showGridLines="0" zoomScaleNormal="100" workbookViewId="0">
      <pane ySplit="3" topLeftCell="A4" activePane="bottomLeft" state="frozen"/>
      <selection pane="bottomLeft" activeCell="F5" sqref="F5"/>
    </sheetView>
  </sheetViews>
  <sheetFormatPr defaultRowHeight="14.5"/>
  <cols>
    <col min="1" max="1" width="46.453125" customWidth="1"/>
    <col min="2" max="3" width="16.453125" customWidth="1"/>
    <col min="4" max="4" width="36.453125" customWidth="1"/>
    <col min="5" max="5" width="16.453125" customWidth="1"/>
    <col min="6" max="6" width="12.7265625" customWidth="1"/>
    <col min="7" max="7" width="9.453125" bestFit="1" customWidth="1"/>
  </cols>
  <sheetData>
    <row r="1" spans="1:13" ht="23.5">
      <c r="A1" s="726" t="s">
        <v>218</v>
      </c>
      <c r="B1" s="727"/>
      <c r="C1" s="727"/>
      <c r="D1" s="727"/>
      <c r="E1" s="727"/>
      <c r="F1" s="727"/>
      <c r="G1" s="727"/>
      <c r="H1" s="727"/>
      <c r="I1" s="727"/>
      <c r="J1" s="727"/>
      <c r="K1" s="727"/>
      <c r="L1" s="727"/>
      <c r="M1" s="727"/>
    </row>
    <row r="2" spans="1:13">
      <c r="A2" s="728" t="s">
        <v>707</v>
      </c>
      <c r="B2" s="727"/>
      <c r="C2" s="727"/>
      <c r="D2" s="727"/>
      <c r="E2" s="727"/>
      <c r="F2" s="727"/>
      <c r="G2" s="727"/>
      <c r="H2" s="727"/>
      <c r="I2" s="727"/>
      <c r="J2" s="727"/>
      <c r="K2" s="727"/>
      <c r="L2" s="727"/>
      <c r="M2" s="727"/>
    </row>
    <row r="3" spans="1:13">
      <c r="A3" s="729" t="s">
        <v>474</v>
      </c>
      <c r="B3" s="730">
        <f>App_Pipeline_Intel_4!C3</f>
        <v>46139</v>
      </c>
      <c r="C3" s="729" t="s">
        <v>708</v>
      </c>
      <c r="D3" s="731" t="s">
        <v>709</v>
      </c>
      <c r="E3" s="727"/>
      <c r="F3" s="727"/>
      <c r="G3" s="727"/>
      <c r="H3" s="727"/>
      <c r="I3" s="727"/>
      <c r="J3" s="727"/>
      <c r="K3" s="727"/>
      <c r="L3" s="727"/>
      <c r="M3" s="727"/>
    </row>
    <row r="4" spans="1:13" ht="15" thickBot="1">
      <c r="A4" s="341" t="s">
        <v>710</v>
      </c>
      <c r="B4" s="732"/>
      <c r="C4" s="732"/>
      <c r="D4" s="732"/>
      <c r="E4" s="732"/>
      <c r="F4" s="732"/>
      <c r="G4" s="732"/>
      <c r="H4" s="727"/>
      <c r="I4" s="727"/>
      <c r="J4" s="727"/>
      <c r="K4" s="727"/>
      <c r="L4" s="727"/>
      <c r="M4" s="727"/>
    </row>
    <row r="5" spans="1:13">
      <c r="A5" s="733" t="s">
        <v>711</v>
      </c>
      <c r="B5" s="346" t="s">
        <v>712</v>
      </c>
      <c r="C5" s="346" t="s">
        <v>713</v>
      </c>
      <c r="D5" s="733" t="s">
        <v>714</v>
      </c>
      <c r="E5" s="346" t="s">
        <v>528</v>
      </c>
      <c r="F5" s="346" t="s">
        <v>539</v>
      </c>
      <c r="G5" s="346" t="s">
        <v>541</v>
      </c>
      <c r="H5" s="727"/>
      <c r="I5" s="727"/>
      <c r="J5" s="727"/>
      <c r="K5" s="727"/>
      <c r="L5" s="727"/>
      <c r="M5" s="727"/>
    </row>
    <row r="6" spans="1:13">
      <c r="A6" s="734" t="s">
        <v>715</v>
      </c>
      <c r="B6" s="735">
        <f>App_Pipeline_Intel_4!C5</f>
        <v>168</v>
      </c>
      <c r="C6" s="735"/>
      <c r="D6" s="736" t="s">
        <v>543</v>
      </c>
      <c r="E6" s="735">
        <f>App_Pipeline_Intel_4!C22</f>
        <v>18</v>
      </c>
      <c r="F6" s="735">
        <f>App_Pipeline_Intel_4!D22</f>
        <v>18</v>
      </c>
      <c r="G6" s="737" t="s">
        <v>544</v>
      </c>
      <c r="H6" s="727"/>
      <c r="I6" s="727"/>
      <c r="J6" s="727"/>
      <c r="K6" s="727"/>
      <c r="L6" s="727"/>
      <c r="M6" s="727"/>
    </row>
    <row r="7" spans="1:13">
      <c r="A7" s="738" t="s">
        <v>354</v>
      </c>
      <c r="B7" s="739">
        <f>App_Pipeline_Intel_4!C6</f>
        <v>46</v>
      </c>
      <c r="C7" s="740">
        <f>B7/B6</f>
        <v>0.27380952380952384</v>
      </c>
      <c r="D7" s="738" t="s">
        <v>545</v>
      </c>
      <c r="E7" s="739">
        <f>App_Pipeline_Intel_4!C23</f>
        <v>50</v>
      </c>
      <c r="F7" s="739">
        <f>App_Pipeline_Intel_4!D23</f>
        <v>52</v>
      </c>
      <c r="G7" s="741" t="s">
        <v>546</v>
      </c>
      <c r="H7" s="727"/>
      <c r="I7" s="727"/>
      <c r="J7" s="727"/>
      <c r="K7" s="727"/>
      <c r="L7" s="727"/>
      <c r="M7" s="727"/>
    </row>
    <row r="8" spans="1:13">
      <c r="A8" s="742" t="s">
        <v>356</v>
      </c>
      <c r="B8" s="743">
        <f>App_Pipeline_Intel_4!C7</f>
        <v>80</v>
      </c>
      <c r="C8" s="741">
        <f>B8/B6</f>
        <v>0.47619047619047616</v>
      </c>
      <c r="D8" s="738" t="s">
        <v>547</v>
      </c>
      <c r="E8" s="739">
        <f>App_Pipeline_Intel_4!C24</f>
        <v>-47</v>
      </c>
      <c r="F8" s="739">
        <f>App_Pipeline_Intel_4!D24</f>
        <v>-47</v>
      </c>
      <c r="G8" s="744" t="s">
        <v>548</v>
      </c>
      <c r="H8" s="727"/>
      <c r="I8" s="727"/>
      <c r="J8" s="727"/>
      <c r="K8" s="727"/>
      <c r="L8" s="727"/>
      <c r="M8" s="727"/>
    </row>
    <row r="9" spans="1:13">
      <c r="A9" s="745" t="s">
        <v>355</v>
      </c>
      <c r="B9" s="746">
        <f>App_Pipeline_Intel_4!C8</f>
        <v>42</v>
      </c>
      <c r="C9" s="747">
        <f>B9/B6</f>
        <v>0.25</v>
      </c>
      <c r="D9" s="738" t="s">
        <v>550</v>
      </c>
      <c r="E9" s="739">
        <f>App_Pipeline_Intel_4!C25</f>
        <v>42</v>
      </c>
      <c r="F9" s="739">
        <f>App_Pipeline_Intel_4!D25</f>
        <v>42</v>
      </c>
      <c r="G9" s="454" t="s">
        <v>551</v>
      </c>
      <c r="H9" s="727"/>
      <c r="I9" s="727"/>
      <c r="J9" s="727"/>
      <c r="K9" s="727"/>
      <c r="L9" s="727"/>
      <c r="M9" s="727"/>
    </row>
    <row r="10" spans="1:13">
      <c r="A10" s="738" t="s">
        <v>522</v>
      </c>
      <c r="B10" s="739">
        <f>App_Pipeline_Intel_4!C9</f>
        <v>0</v>
      </c>
      <c r="C10" s="740">
        <f>B10/B6</f>
        <v>0</v>
      </c>
      <c r="D10" s="738" t="s">
        <v>552</v>
      </c>
      <c r="E10" s="739">
        <f>App_Pipeline_Intel_4!C26</f>
        <v>17</v>
      </c>
      <c r="F10" s="739">
        <f>App_Pipeline_Intel_4!D26</f>
        <v>20</v>
      </c>
      <c r="G10" s="744" t="s">
        <v>548</v>
      </c>
      <c r="H10" s="727"/>
      <c r="I10" s="727"/>
      <c r="J10" s="727"/>
      <c r="K10" s="727"/>
      <c r="L10" s="727"/>
      <c r="M10" s="727"/>
    </row>
    <row r="11" spans="1:13">
      <c r="A11" s="748" t="s">
        <v>716</v>
      </c>
      <c r="B11" s="740">
        <f>E6/B6</f>
        <v>0.10714285714285714</v>
      </c>
      <c r="C11" s="738"/>
      <c r="D11" s="748" t="s">
        <v>717</v>
      </c>
      <c r="E11" s="739">
        <f>SUM(E6:E10)</f>
        <v>80</v>
      </c>
      <c r="F11" s="739">
        <f>SUM(F6:F10)</f>
        <v>85</v>
      </c>
      <c r="G11" s="456"/>
      <c r="H11" s="727"/>
      <c r="I11" s="727"/>
      <c r="J11" s="727"/>
      <c r="K11" s="727"/>
      <c r="L11" s="727"/>
      <c r="M11" s="727"/>
    </row>
    <row r="12" spans="1:13">
      <c r="A12" s="748" t="s">
        <v>718</v>
      </c>
      <c r="B12" s="740">
        <f>B8/B6</f>
        <v>0.47619047619047616</v>
      </c>
      <c r="C12" s="738"/>
      <c r="D12" s="745" t="s">
        <v>357</v>
      </c>
      <c r="E12" s="747">
        <f>B9/B6</f>
        <v>0.25</v>
      </c>
      <c r="F12" s="738"/>
      <c r="G12" s="456"/>
      <c r="H12" s="727"/>
      <c r="I12" s="727"/>
      <c r="J12" s="727"/>
      <c r="K12" s="727"/>
      <c r="L12" s="727"/>
      <c r="M12" s="727"/>
    </row>
    <row r="13" spans="1:13">
      <c r="A13" s="749" t="s">
        <v>719</v>
      </c>
      <c r="B13" s="750">
        <f>E6/(B6-B7+B9)</f>
        <v>0.10975609756097561</v>
      </c>
      <c r="C13" s="751"/>
      <c r="D13" s="752" t="s">
        <v>720</v>
      </c>
      <c r="E13" s="753">
        <f>COUNTIFS(Application_Status_Feb!S2:S561,"&gt;0",Application_Status_Feb!J2:J561,"&gt;="&amp;DATE(2026,1,1))+COUNTIFS(Application_Status_Mar!S2:S2000,"&gt;0",Application_Status_Mar!J2:J2000,"&gt;="&amp;DATE(2026,1,1))+COUNTIFS(Application_Status_Apr!S2:S3000,"&gt;0",Application_Status_Apr!J2:J3000,"&gt;="&amp;DATE(2026,1,1))</f>
        <v>21</v>
      </c>
      <c r="F13" s="754" t="s">
        <v>721</v>
      </c>
      <c r="G13" s="455"/>
      <c r="H13" s="727"/>
      <c r="I13" s="727"/>
      <c r="J13" s="727"/>
      <c r="K13" s="727"/>
      <c r="L13" s="727"/>
      <c r="M13" s="727"/>
    </row>
    <row r="14" spans="1:13" ht="15" thickBot="1">
      <c r="A14" s="341" t="s">
        <v>722</v>
      </c>
      <c r="B14" s="732"/>
      <c r="C14" s="732"/>
      <c r="D14" s="732"/>
      <c r="E14" s="732"/>
      <c r="F14" s="732"/>
      <c r="G14" s="180"/>
      <c r="H14" s="727"/>
      <c r="I14" s="727"/>
      <c r="J14" s="727"/>
      <c r="K14" s="727"/>
      <c r="L14" s="727"/>
      <c r="M14" s="727"/>
    </row>
    <row r="15" spans="1:13">
      <c r="A15" s="733" t="s">
        <v>723</v>
      </c>
      <c r="B15" s="346" t="s">
        <v>724</v>
      </c>
      <c r="C15" s="346" t="s">
        <v>725</v>
      </c>
      <c r="D15" s="346" t="s">
        <v>726</v>
      </c>
      <c r="E15" s="733" t="s">
        <v>727</v>
      </c>
      <c r="F15" s="733"/>
      <c r="G15" s="120"/>
      <c r="H15" s="727"/>
      <c r="I15" s="727"/>
      <c r="J15" s="727"/>
      <c r="K15" s="727"/>
      <c r="L15" s="727"/>
      <c r="M15" s="727"/>
    </row>
    <row r="16" spans="1:13">
      <c r="A16" s="734" t="s">
        <v>728</v>
      </c>
      <c r="B16" s="1110">
        <f>Delinquency_Detail_3!C7</f>
        <v>19</v>
      </c>
      <c r="C16" s="755">
        <f>Delinquency_Detail_3!H7</f>
        <v>189054.75</v>
      </c>
      <c r="D16" s="755">
        <f t="shared" ref="D16:D22" si="0">IF(B16&gt;0,C16/B16,0)</f>
        <v>9950.25</v>
      </c>
      <c r="E16" s="731" t="s">
        <v>729</v>
      </c>
      <c r="F16" s="727"/>
      <c r="G16" s="31"/>
      <c r="H16" s="727"/>
      <c r="I16" s="727"/>
      <c r="J16" s="727"/>
      <c r="K16" s="727"/>
      <c r="L16" s="727"/>
      <c r="M16" s="727"/>
    </row>
    <row r="17" spans="1:13">
      <c r="A17" s="748" t="s">
        <v>730</v>
      </c>
      <c r="B17" s="1111">
        <f>Delinquency_Detail_3!C8</f>
        <v>51</v>
      </c>
      <c r="C17" s="756">
        <f>Delinquency_Detail_3!H8</f>
        <v>317056.23000000016</v>
      </c>
      <c r="D17" s="756">
        <f t="shared" si="0"/>
        <v>6216.7888235294149</v>
      </c>
      <c r="E17" s="757" t="s">
        <v>731</v>
      </c>
      <c r="F17" s="738"/>
      <c r="G17" s="456"/>
      <c r="H17" s="727"/>
      <c r="I17" s="727"/>
      <c r="J17" s="727"/>
      <c r="K17" s="727"/>
      <c r="L17" s="727"/>
      <c r="M17" s="727"/>
    </row>
    <row r="18" spans="1:13">
      <c r="A18" s="748" t="s">
        <v>732</v>
      </c>
      <c r="B18" s="739">
        <f ca="1">Write_Off_Recon!J8</f>
        <v>26</v>
      </c>
      <c r="C18" s="756">
        <f ca="1">Write_Off_Recon!K8</f>
        <v>28015.96</v>
      </c>
      <c r="D18" s="756">
        <f t="shared" ca="1" si="0"/>
        <v>1077.5369230769231</v>
      </c>
      <c r="E18" s="757" t="s">
        <v>733</v>
      </c>
      <c r="F18" s="738"/>
      <c r="G18" s="456"/>
      <c r="H18" s="727"/>
      <c r="I18" s="727"/>
      <c r="J18" s="727"/>
      <c r="K18" s="727"/>
      <c r="L18" s="727"/>
      <c r="M18" s="727"/>
    </row>
    <row r="19" spans="1:13">
      <c r="A19" s="748" t="s">
        <v>734</v>
      </c>
      <c r="B19" s="739">
        <f ca="1">Write_Off_Recon!B6</f>
        <v>45</v>
      </c>
      <c r="C19" s="756">
        <f ca="1">Write_Off_Recon!B7</f>
        <v>168901.03000000006</v>
      </c>
      <c r="D19" s="756">
        <f t="shared" ca="1" si="0"/>
        <v>3753.3562222222236</v>
      </c>
      <c r="E19" s="757" t="s">
        <v>735</v>
      </c>
      <c r="F19" s="738"/>
      <c r="G19" s="456"/>
      <c r="H19" s="727"/>
      <c r="I19" s="727"/>
      <c r="J19" s="727"/>
      <c r="K19" s="727"/>
      <c r="L19" s="727"/>
      <c r="M19" s="727"/>
    </row>
    <row r="20" spans="1:13">
      <c r="A20" s="738" t="s">
        <v>736</v>
      </c>
      <c r="B20" s="739">
        <f ca="1">Write_Off_Recon!B10</f>
        <v>15</v>
      </c>
      <c r="C20" s="756">
        <f ca="1">Write_Off_Recon!D10</f>
        <v>70219.810000000027</v>
      </c>
      <c r="D20" s="756">
        <f t="shared" ca="1" si="0"/>
        <v>4681.3206666666683</v>
      </c>
      <c r="E20" s="757" t="s">
        <v>737</v>
      </c>
      <c r="F20" s="738"/>
      <c r="G20" s="456"/>
      <c r="H20" s="727"/>
      <c r="I20" s="727"/>
      <c r="J20" s="727"/>
      <c r="K20" s="727"/>
      <c r="L20" s="727"/>
      <c r="M20" s="727"/>
    </row>
    <row r="21" spans="1:13">
      <c r="A21" s="748" t="s">
        <v>738</v>
      </c>
      <c r="B21" s="1111">
        <f>Delinquency_Detail_3!C6</f>
        <v>193</v>
      </c>
      <c r="C21" s="756">
        <f>Delinquency_Detail_3!C5</f>
        <v>810268.66000000027</v>
      </c>
      <c r="D21" s="756">
        <f t="shared" si="0"/>
        <v>4198.2832124352344</v>
      </c>
      <c r="E21" s="757" t="s">
        <v>739</v>
      </c>
      <c r="F21" s="738"/>
      <c r="G21" s="456"/>
      <c r="H21" s="727"/>
      <c r="I21" s="727"/>
      <c r="J21" s="727"/>
      <c r="K21" s="727"/>
      <c r="L21" s="727"/>
      <c r="M21" s="727"/>
    </row>
    <row r="22" spans="1:13">
      <c r="A22" s="758" t="s">
        <v>740</v>
      </c>
      <c r="B22" s="759">
        <f>COUNTIFS('Delinq Data'!C51:C500,"Current*",'Delinq Data'!D51:D500,"&gt;="&amp;1500)</f>
        <v>21</v>
      </c>
      <c r="C22" s="760">
        <f>SUMIFS('Delinq Data'!D51:D500, 'Delinq Data'!C51:C500, "Current*", 'Delinq Data'!D51:D500, "&gt;=1500")</f>
        <v>79354.63</v>
      </c>
      <c r="D22" s="760">
        <f t="shared" si="0"/>
        <v>3778.7919047619048</v>
      </c>
      <c r="E22" s="457" t="s">
        <v>741</v>
      </c>
      <c r="F22" s="758"/>
      <c r="G22" s="458"/>
      <c r="H22" s="727"/>
      <c r="I22" s="727"/>
      <c r="J22" s="727"/>
      <c r="K22" s="727"/>
      <c r="L22" s="727"/>
      <c r="M22" s="727"/>
    </row>
    <row r="23" spans="1:13" ht="15" thickBot="1">
      <c r="A23" s="761" t="s">
        <v>742</v>
      </c>
      <c r="B23" s="761"/>
      <c r="C23" s="761"/>
      <c r="D23" s="762">
        <f ca="1">IF((B16+B17+B19)&gt;0, (C16+C17+C19)/(B16+B17+B19), 0)</f>
        <v>5869.669652173915</v>
      </c>
      <c r="E23" s="459" t="s">
        <v>743</v>
      </c>
      <c r="F23" s="459"/>
      <c r="G23" s="459"/>
      <c r="H23" s="727"/>
      <c r="I23" s="727"/>
      <c r="J23" s="727"/>
      <c r="K23" s="727"/>
      <c r="L23" s="727"/>
      <c r="M23" s="727"/>
    </row>
    <row r="24" spans="1:13">
      <c r="A24" s="461" t="s">
        <v>744</v>
      </c>
      <c r="B24" s="763"/>
      <c r="C24" s="763"/>
      <c r="D24" s="763"/>
      <c r="E24" s="763"/>
      <c r="F24" s="763"/>
      <c r="G24" s="462"/>
      <c r="H24" s="727"/>
      <c r="I24" s="727"/>
      <c r="J24" s="727"/>
      <c r="K24" s="727"/>
      <c r="L24" s="727"/>
      <c r="M24" s="727"/>
    </row>
    <row r="25" spans="1:13">
      <c r="A25" s="751" t="s">
        <v>745</v>
      </c>
      <c r="B25" s="753">
        <f>COUNTA(Evictions_RSI!A2:A62)</f>
        <v>61</v>
      </c>
      <c r="C25" s="764">
        <f>Delinquency_Detail_3!C9</f>
        <v>76690.44</v>
      </c>
      <c r="D25" s="764">
        <f>IF(B25&gt;0,C25/B25,0)</f>
        <v>1257.2203278688526</v>
      </c>
      <c r="E25" s="754" t="s">
        <v>746</v>
      </c>
      <c r="F25" s="751"/>
      <c r="G25" s="455"/>
      <c r="H25" s="727"/>
      <c r="I25" s="727"/>
      <c r="J25" s="727"/>
      <c r="K25" s="727"/>
      <c r="L25" s="727"/>
      <c r="M25" s="727"/>
    </row>
    <row r="26" spans="1:13" ht="15" thickBot="1">
      <c r="A26" s="765" t="s">
        <v>747</v>
      </c>
      <c r="B26" s="766"/>
      <c r="C26" s="766"/>
      <c r="D26" s="766"/>
      <c r="E26" s="766"/>
      <c r="F26" s="766"/>
      <c r="G26" s="288"/>
      <c r="H26" s="727"/>
      <c r="I26" s="727"/>
      <c r="J26" s="727"/>
      <c r="K26" s="727"/>
      <c r="L26" s="727"/>
      <c r="M26" s="727"/>
    </row>
    <row r="27" spans="1:13">
      <c r="A27" s="767" t="s">
        <v>748</v>
      </c>
      <c r="B27" s="768"/>
      <c r="C27" s="768"/>
      <c r="D27" s="768"/>
      <c r="E27" s="768"/>
      <c r="F27" s="768"/>
      <c r="G27" s="460"/>
      <c r="H27" s="727"/>
      <c r="I27" s="727"/>
      <c r="J27" s="727"/>
      <c r="K27" s="727"/>
      <c r="L27" s="727"/>
      <c r="M27" s="727"/>
    </row>
    <row r="28" spans="1:13">
      <c r="A28" s="733" t="s">
        <v>749</v>
      </c>
      <c r="B28" s="346" t="s">
        <v>712</v>
      </c>
      <c r="C28" s="346" t="s">
        <v>750</v>
      </c>
      <c r="D28" s="346" t="s">
        <v>751</v>
      </c>
      <c r="E28" s="733" t="s">
        <v>752</v>
      </c>
      <c r="F28" s="769"/>
      <c r="G28" s="120"/>
      <c r="H28" s="727"/>
      <c r="I28" s="727"/>
      <c r="J28" s="727"/>
      <c r="K28" s="727"/>
      <c r="L28" s="727"/>
      <c r="M28" s="727"/>
    </row>
    <row r="29" spans="1:13">
      <c r="A29" s="736" t="s">
        <v>753</v>
      </c>
      <c r="B29" s="735">
        <f>E13</f>
        <v>21</v>
      </c>
      <c r="C29" s="755">
        <f ca="1">D23</f>
        <v>5869.669652173915</v>
      </c>
      <c r="D29" s="755">
        <f ca="1">B29*C29</f>
        <v>123263.06269565222</v>
      </c>
      <c r="E29" s="731" t="s">
        <v>754</v>
      </c>
      <c r="F29" s="727"/>
      <c r="G29" s="31"/>
      <c r="H29" s="727"/>
      <c r="I29" s="727"/>
      <c r="J29" s="727"/>
      <c r="K29" s="727"/>
      <c r="L29" s="727"/>
      <c r="M29" s="727"/>
    </row>
    <row r="30" spans="1:13">
      <c r="A30" s="738" t="s">
        <v>755</v>
      </c>
      <c r="B30" s="739">
        <f>E7</f>
        <v>50</v>
      </c>
      <c r="C30" s="756">
        <f ca="1">D23*0.25</f>
        <v>1467.4174130434787</v>
      </c>
      <c r="D30" s="756">
        <f ca="1">B30*C30</f>
        <v>73370.870652173937</v>
      </c>
      <c r="E30" s="757" t="s">
        <v>756</v>
      </c>
      <c r="F30" s="738"/>
      <c r="G30" s="456"/>
      <c r="H30" s="727"/>
      <c r="I30" s="727"/>
      <c r="J30" s="727"/>
      <c r="K30" s="727"/>
      <c r="L30" s="727"/>
      <c r="M30" s="727"/>
    </row>
    <row r="31" spans="1:13">
      <c r="A31" s="738" t="s">
        <v>547</v>
      </c>
      <c r="B31" s="739">
        <f>E8</f>
        <v>-47</v>
      </c>
      <c r="C31" s="756">
        <f ca="1">D23*0.15</f>
        <v>880.45044782608727</v>
      </c>
      <c r="D31" s="756">
        <f ca="1">B31*C31</f>
        <v>-41381.171047826101</v>
      </c>
      <c r="E31" s="757" t="s">
        <v>757</v>
      </c>
      <c r="F31" s="738"/>
      <c r="G31" s="456"/>
      <c r="H31" s="727"/>
      <c r="I31" s="727"/>
      <c r="J31" s="727"/>
      <c r="K31" s="727"/>
      <c r="L31" s="727"/>
      <c r="M31" s="727"/>
    </row>
    <row r="32" spans="1:13">
      <c r="A32" s="738" t="s">
        <v>550</v>
      </c>
      <c r="B32" s="739">
        <f>E9</f>
        <v>42</v>
      </c>
      <c r="C32" s="756">
        <f ca="1">D23*0.5</f>
        <v>2934.8348260869575</v>
      </c>
      <c r="D32" s="756">
        <f ca="1">B32*C32</f>
        <v>123263.06269565222</v>
      </c>
      <c r="E32" s="757" t="s">
        <v>758</v>
      </c>
      <c r="F32" s="738"/>
      <c r="G32" s="456"/>
      <c r="H32" s="727"/>
      <c r="I32" s="727"/>
      <c r="J32" s="727"/>
      <c r="K32" s="727"/>
      <c r="L32" s="727"/>
      <c r="M32" s="727"/>
    </row>
    <row r="33" spans="1:13">
      <c r="A33" s="751" t="s">
        <v>552</v>
      </c>
      <c r="B33" s="753">
        <f>E10</f>
        <v>17</v>
      </c>
      <c r="C33" s="764">
        <f ca="1">D23*0.1</f>
        <v>586.96696521739148</v>
      </c>
      <c r="D33" s="764">
        <f ca="1">B33*C33</f>
        <v>9978.4384086956543</v>
      </c>
      <c r="E33" s="754" t="s">
        <v>759</v>
      </c>
      <c r="F33" s="751"/>
      <c r="G33" s="455"/>
      <c r="H33" s="727"/>
      <c r="I33" s="727"/>
      <c r="J33" s="727"/>
      <c r="K33" s="727"/>
      <c r="L33" s="727"/>
      <c r="M33" s="727"/>
    </row>
    <row r="34" spans="1:13">
      <c r="A34" s="733" t="s">
        <v>760</v>
      </c>
      <c r="B34" s="346">
        <f>SUM(B29:B33)</f>
        <v>83</v>
      </c>
      <c r="C34" s="346"/>
      <c r="D34" s="770">
        <f ca="1">SUM(D29:D33)</f>
        <v>288494.26340434793</v>
      </c>
      <c r="E34" s="733"/>
      <c r="F34" s="733"/>
      <c r="G34" s="463"/>
      <c r="H34" s="727"/>
      <c r="I34" s="727"/>
      <c r="J34" s="727"/>
      <c r="K34" s="727"/>
      <c r="L34" s="727"/>
      <c r="M34" s="727"/>
    </row>
    <row r="35" spans="1:13">
      <c r="A35" s="734" t="s">
        <v>761</v>
      </c>
      <c r="B35" s="735">
        <f>B29</f>
        <v>21</v>
      </c>
      <c r="C35" s="755">
        <f ca="1">C29</f>
        <v>5869.669652173915</v>
      </c>
      <c r="D35" s="755">
        <f ca="1">D29</f>
        <v>123263.06269565222</v>
      </c>
      <c r="E35" s="731" t="s">
        <v>762</v>
      </c>
      <c r="F35" s="727"/>
      <c r="G35" s="31"/>
      <c r="H35" s="727"/>
      <c r="I35" s="727"/>
      <c r="J35" s="727"/>
      <c r="K35" s="727"/>
      <c r="L35" s="727"/>
      <c r="M35" s="727"/>
    </row>
    <row r="36" spans="1:13">
      <c r="A36" s="748" t="s">
        <v>763</v>
      </c>
      <c r="B36" s="739">
        <f>B29+B30</f>
        <v>71</v>
      </c>
      <c r="C36" s="739"/>
      <c r="D36" s="756">
        <f ca="1">D29+D30</f>
        <v>196633.93334782615</v>
      </c>
      <c r="E36" s="757" t="s">
        <v>764</v>
      </c>
      <c r="F36" s="738"/>
      <c r="G36" s="456"/>
      <c r="H36" s="727"/>
      <c r="I36" s="727"/>
      <c r="J36" s="727"/>
      <c r="K36" s="727"/>
      <c r="L36" s="727"/>
      <c r="M36" s="727"/>
    </row>
    <row r="37" spans="1:13">
      <c r="A37" s="749" t="s">
        <v>765</v>
      </c>
      <c r="B37" s="753">
        <f>B34</f>
        <v>83</v>
      </c>
      <c r="C37" s="753"/>
      <c r="D37" s="764">
        <f ca="1">D34</f>
        <v>288494.26340434793</v>
      </c>
      <c r="E37" s="754" t="s">
        <v>766</v>
      </c>
      <c r="F37" s="751"/>
      <c r="G37" s="455"/>
      <c r="H37" s="727"/>
      <c r="I37" s="727"/>
      <c r="J37" s="727"/>
      <c r="K37" s="727"/>
      <c r="L37" s="727"/>
      <c r="M37" s="727"/>
    </row>
    <row r="38" spans="1:13">
      <c r="A38" s="733" t="s">
        <v>767</v>
      </c>
      <c r="B38" s="346" t="s">
        <v>768</v>
      </c>
      <c r="C38" s="769"/>
      <c r="D38" s="733" t="s">
        <v>769</v>
      </c>
      <c r="E38" s="769"/>
      <c r="F38" s="769"/>
      <c r="G38" s="120"/>
      <c r="H38" s="727"/>
      <c r="I38" s="727"/>
      <c r="J38" s="727"/>
      <c r="K38" s="727"/>
      <c r="L38" s="727"/>
      <c r="M38" s="727"/>
    </row>
    <row r="39" spans="1:13">
      <c r="A39" s="727" t="s">
        <v>770</v>
      </c>
      <c r="B39" s="771">
        <f ca="1">D34/C21</f>
        <v>0.35604766375185709</v>
      </c>
      <c r="C39" s="727"/>
      <c r="D39" s="731" t="s">
        <v>771</v>
      </c>
      <c r="E39" s="727"/>
      <c r="F39" s="727"/>
      <c r="G39" s="31"/>
      <c r="H39" s="727"/>
      <c r="I39" s="727"/>
      <c r="J39" s="727"/>
      <c r="K39" s="727"/>
      <c r="L39" s="727"/>
      <c r="M39" s="727"/>
    </row>
    <row r="40" spans="1:13">
      <c r="A40" s="738" t="s">
        <v>772</v>
      </c>
      <c r="B40" s="772">
        <f ca="1">D34/C19</f>
        <v>1.7080669277407476</v>
      </c>
      <c r="C40" s="738"/>
      <c r="D40" s="757" t="s">
        <v>773</v>
      </c>
      <c r="E40" s="738"/>
      <c r="F40" s="738"/>
      <c r="G40" s="456"/>
      <c r="H40" s="727"/>
      <c r="I40" s="727"/>
      <c r="J40" s="727"/>
      <c r="K40" s="727"/>
      <c r="L40" s="727"/>
      <c r="M40" s="727"/>
    </row>
    <row r="41" spans="1:13">
      <c r="A41" s="738" t="s">
        <v>774</v>
      </c>
      <c r="B41" s="740">
        <f ca="1">D34/(C16+C17)</f>
        <v>0.57002174385615556</v>
      </c>
      <c r="C41" s="738"/>
      <c r="D41" s="757" t="s">
        <v>775</v>
      </c>
      <c r="E41" s="738"/>
      <c r="F41" s="738"/>
      <c r="G41" s="456"/>
      <c r="H41" s="727"/>
      <c r="I41" s="727"/>
      <c r="J41" s="727"/>
      <c r="K41" s="727"/>
      <c r="L41" s="727"/>
      <c r="M41" s="727"/>
    </row>
    <row r="42" spans="1:13">
      <c r="A42" s="751" t="s">
        <v>776</v>
      </c>
      <c r="B42" s="773">
        <f>B29/B16</f>
        <v>1.1052631578947369</v>
      </c>
      <c r="C42" s="751"/>
      <c r="D42" s="754" t="s">
        <v>777</v>
      </c>
      <c r="E42" s="751"/>
      <c r="F42" s="751"/>
      <c r="G42" s="455"/>
      <c r="H42" s="727"/>
      <c r="I42" s="727"/>
      <c r="J42" s="727"/>
      <c r="K42" s="727"/>
      <c r="L42" s="727"/>
      <c r="M42" s="727"/>
    </row>
    <row r="43" spans="1:13" ht="15" thickBot="1">
      <c r="A43" s="341" t="s">
        <v>778</v>
      </c>
      <c r="B43" s="732"/>
      <c r="C43" s="732"/>
      <c r="D43" s="732"/>
      <c r="E43" s="732"/>
      <c r="F43" s="732"/>
      <c r="G43" s="180"/>
      <c r="H43" s="727"/>
      <c r="I43" s="727"/>
      <c r="J43" s="727"/>
      <c r="K43" s="727"/>
      <c r="L43" s="727"/>
      <c r="M43" s="727"/>
    </row>
    <row r="44" spans="1:13">
      <c r="A44" s="733" t="s">
        <v>779</v>
      </c>
      <c r="B44" s="346" t="s">
        <v>780</v>
      </c>
      <c r="C44" s="346" t="s">
        <v>781</v>
      </c>
      <c r="D44" s="346" t="s">
        <v>782</v>
      </c>
      <c r="E44" s="733" t="s">
        <v>531</v>
      </c>
      <c r="F44" s="769"/>
      <c r="G44" s="120"/>
      <c r="H44" s="727"/>
      <c r="I44" s="727"/>
      <c r="J44" s="727"/>
      <c r="K44" s="727"/>
      <c r="L44" s="727"/>
      <c r="M44" s="727"/>
    </row>
    <row r="45" spans="1:13">
      <c r="A45" s="727" t="s">
        <v>783</v>
      </c>
      <c r="B45" s="755">
        <f>'trending delinquency'!D7</f>
        <v>851881.52</v>
      </c>
      <c r="C45" s="771">
        <f>'trending delinquency'!E7</f>
        <v>0.81320000000000003</v>
      </c>
      <c r="D45" s="735">
        <f>'trending delinquency'!F7</f>
        <v>570</v>
      </c>
      <c r="E45" s="727"/>
      <c r="F45" s="727"/>
      <c r="G45" s="31"/>
      <c r="H45" s="727"/>
      <c r="I45" s="727"/>
      <c r="J45" s="727"/>
      <c r="K45" s="727"/>
      <c r="L45" s="727"/>
      <c r="M45" s="727"/>
    </row>
    <row r="46" spans="1:13">
      <c r="A46" s="738" t="s">
        <v>784</v>
      </c>
      <c r="B46" s="756">
        <f>'trending delinquency'!D33</f>
        <v>561793.73</v>
      </c>
      <c r="C46" s="740">
        <f>'trending delinquency'!E33</f>
        <v>0.51459999999999995</v>
      </c>
      <c r="D46" s="739">
        <f>'trending delinquency'!F33</f>
        <v>174</v>
      </c>
      <c r="E46" s="738"/>
      <c r="F46" s="738"/>
      <c r="G46" s="456"/>
      <c r="H46" s="727"/>
      <c r="I46" s="727"/>
      <c r="J46" s="727"/>
      <c r="K46" s="727"/>
      <c r="L46" s="727"/>
      <c r="M46" s="727"/>
    </row>
    <row r="47" spans="1:13">
      <c r="A47" s="738" t="s">
        <v>785</v>
      </c>
      <c r="B47" s="756">
        <f>'trending delinquency'!D34</f>
        <v>1078174.99</v>
      </c>
      <c r="C47" s="740">
        <f>'trending delinquency'!E34</f>
        <v>0.57840000000000003</v>
      </c>
      <c r="D47" s="739">
        <f>'trending delinquency'!F34</f>
        <v>514</v>
      </c>
      <c r="E47" s="738"/>
      <c r="F47" s="738"/>
      <c r="G47" s="456"/>
      <c r="H47" s="727"/>
      <c r="I47" s="727"/>
      <c r="J47" s="727"/>
      <c r="K47" s="727"/>
      <c r="L47" s="727"/>
      <c r="M47" s="727"/>
    </row>
    <row r="48" spans="1:13">
      <c r="A48" s="748" t="s">
        <v>786</v>
      </c>
      <c r="B48" s="756">
        <f>'trending delinquency'!D42</f>
        <v>711072.26</v>
      </c>
      <c r="C48" s="740">
        <f>'trending delinquency'!E42</f>
        <v>0.36149999999999999</v>
      </c>
      <c r="D48" s="739">
        <f>'trending delinquency'!F42</f>
        <v>270</v>
      </c>
      <c r="E48" s="738"/>
      <c r="F48" s="738"/>
      <c r="G48" s="456"/>
      <c r="H48" s="727"/>
      <c r="I48" s="727"/>
      <c r="J48" s="727"/>
      <c r="K48" s="727"/>
      <c r="L48" s="727"/>
      <c r="M48" s="727"/>
    </row>
    <row r="49" spans="1:13">
      <c r="A49" s="751" t="s">
        <v>787</v>
      </c>
      <c r="B49" s="774">
        <f>B48-B45</f>
        <v>-140809.26</v>
      </c>
      <c r="C49" s="775">
        <f>C48-C45</f>
        <v>-0.45170000000000005</v>
      </c>
      <c r="D49" s="753">
        <f>D48-D45</f>
        <v>-300</v>
      </c>
      <c r="E49" s="754" t="s">
        <v>788</v>
      </c>
      <c r="F49" s="751"/>
      <c r="G49" s="455"/>
      <c r="H49" s="727"/>
      <c r="I49" s="727"/>
      <c r="J49" s="727"/>
      <c r="K49" s="727"/>
      <c r="L49" s="727"/>
      <c r="M49" s="727"/>
    </row>
    <row r="50" spans="1:13">
      <c r="A50" s="733" t="s">
        <v>789</v>
      </c>
      <c r="B50" s="346" t="s">
        <v>465</v>
      </c>
      <c r="C50" s="346" t="s">
        <v>790</v>
      </c>
      <c r="D50" s="346" t="s">
        <v>340</v>
      </c>
      <c r="E50" s="769"/>
      <c r="F50" s="769"/>
      <c r="G50" s="120"/>
      <c r="H50" s="727"/>
      <c r="I50" s="727"/>
      <c r="J50" s="727"/>
      <c r="K50" s="727"/>
      <c r="L50" s="727"/>
      <c r="M50" s="727"/>
    </row>
    <row r="51" spans="1:13">
      <c r="A51" s="727" t="s">
        <v>791</v>
      </c>
      <c r="B51" s="776">
        <f>AVERAGE(DSO_Calculation!F9:'DSO_Calculation'!F20)</f>
        <v>7.4765632517120011</v>
      </c>
      <c r="C51" s="735"/>
      <c r="D51" s="735"/>
      <c r="E51" s="727"/>
      <c r="F51" s="727"/>
      <c r="G51" s="31"/>
      <c r="H51" s="727"/>
      <c r="I51" s="727"/>
      <c r="J51" s="727"/>
      <c r="K51" s="727"/>
      <c r="L51" s="727"/>
      <c r="M51" s="727"/>
    </row>
    <row r="52" spans="1:13">
      <c r="A52" s="738" t="s">
        <v>792</v>
      </c>
      <c r="B52" s="777">
        <f>DSO_Calculation!F31</f>
        <v>17.271259239936814</v>
      </c>
      <c r="C52" s="777">
        <f>DSO_Calculation!G31</f>
        <v>15.088933755161474</v>
      </c>
      <c r="D52" s="739" t="str">
        <f>DSO_Calculation!H31</f>
        <v>✗ Off Track</v>
      </c>
      <c r="E52" s="738"/>
      <c r="F52" s="738"/>
      <c r="G52" s="456"/>
      <c r="H52" s="727"/>
      <c r="I52" s="727"/>
      <c r="J52" s="727"/>
      <c r="K52" s="727"/>
      <c r="L52" s="727"/>
      <c r="M52" s="727"/>
    </row>
    <row r="53" spans="1:13">
      <c r="A53" s="748" t="s">
        <v>793</v>
      </c>
      <c r="B53" s="777">
        <f>DSO_Calculation!F32</f>
        <v>17.111578106361637</v>
      </c>
      <c r="C53" s="777">
        <f>DSO_Calculation!G32</f>
        <v>17.191418673149226</v>
      </c>
      <c r="D53" s="739" t="str">
        <f>DSO_Calculation!H32</f>
        <v>✗ Off Track</v>
      </c>
      <c r="E53" s="738"/>
      <c r="F53" s="738"/>
      <c r="G53" s="456"/>
      <c r="H53" s="727"/>
      <c r="I53" s="727"/>
      <c r="J53" s="727"/>
      <c r="K53" s="727"/>
      <c r="L53" s="727"/>
      <c r="M53" s="727"/>
    </row>
    <row r="54" spans="1:13">
      <c r="A54" s="738" t="s">
        <v>794</v>
      </c>
      <c r="B54" s="777">
        <f>DSO_Calculation!B39</f>
        <v>7</v>
      </c>
      <c r="C54" s="739"/>
      <c r="D54" s="739"/>
      <c r="E54" s="757" t="s">
        <v>795</v>
      </c>
      <c r="F54" s="738"/>
      <c r="G54" s="456"/>
      <c r="H54" s="727"/>
      <c r="I54" s="727"/>
      <c r="J54" s="727"/>
      <c r="K54" s="727"/>
      <c r="L54" s="727"/>
      <c r="M54" s="727"/>
    </row>
    <row r="55" spans="1:13">
      <c r="A55" s="752" t="s">
        <v>796</v>
      </c>
      <c r="B55" s="778">
        <f>B53-B54</f>
        <v>10.111578106361637</v>
      </c>
      <c r="C55" s="753"/>
      <c r="D55" s="753" t="s">
        <v>797</v>
      </c>
      <c r="E55" s="751"/>
      <c r="F55" s="751"/>
      <c r="G55" s="455"/>
      <c r="H55" s="727"/>
      <c r="I55" s="727"/>
      <c r="J55" s="727"/>
      <c r="K55" s="727"/>
      <c r="L55" s="727"/>
      <c r="M55" s="727"/>
    </row>
    <row r="56" spans="1:13">
      <c r="A56" s="733" t="s">
        <v>798</v>
      </c>
      <c r="B56" s="346" t="s">
        <v>712</v>
      </c>
      <c r="C56" s="346" t="s">
        <v>799</v>
      </c>
      <c r="D56" s="346" t="s">
        <v>800</v>
      </c>
      <c r="E56" s="733" t="s">
        <v>801</v>
      </c>
      <c r="F56" s="769"/>
      <c r="G56" s="120"/>
      <c r="H56" s="727"/>
      <c r="I56" s="727"/>
      <c r="J56" s="727"/>
      <c r="K56" s="727"/>
      <c r="L56" s="727"/>
      <c r="M56" s="727"/>
    </row>
    <row r="57" spans="1:13">
      <c r="A57" s="736" t="s">
        <v>802</v>
      </c>
      <c r="B57" s="735">
        <f>COUNTIFS(Move_Out_Reasons!H2:H200,"Skipped Without Notice",Move_Out_Reasons!G2:G200,"&gt;="&amp;DATE(2026,1,1))</f>
        <v>34</v>
      </c>
      <c r="C57" s="755">
        <f>SUMIFS(Move_Out_Reasons!M2:M200,Move_Out_Reasons!H2:H200,"Skipped Without Notice",Move_Out_Reasons!G2:G200,"&gt;="&amp;DATE(2026,1,1))</f>
        <v>144395.88000000003</v>
      </c>
      <c r="D57" s="755">
        <f>IF(B57&gt;0,C57/B57,0)</f>
        <v>4246.937647058825</v>
      </c>
      <c r="E57" s="731" t="s">
        <v>803</v>
      </c>
      <c r="F57" s="727"/>
      <c r="G57" s="31"/>
      <c r="H57" s="727"/>
      <c r="I57" s="727"/>
      <c r="J57" s="727"/>
      <c r="K57" s="727"/>
      <c r="L57" s="727"/>
      <c r="M57" s="727"/>
    </row>
    <row r="58" spans="1:13">
      <c r="A58" s="738" t="s">
        <v>804</v>
      </c>
      <c r="B58" s="739">
        <f>COUNTIFS(Move_Out_Reasons!H2:H200,"Failure To Pay",Move_Out_Reasons!G2:G200,"&gt;="&amp;DATE(2026,1,1))+COUNTIFS(Move_Out_Reasons!H2:H200,"Skipped During Eviction",Move_Out_Reasons!G2:G200,"&gt;="&amp;DATE(2026,1,1))</f>
        <v>9</v>
      </c>
      <c r="C58" s="756">
        <f>SUMIFS(Move_Out_Reasons!M2:M200,Move_Out_Reasons!H2:H200,"Failure To Pay",Move_Out_Reasons!G2:G200,"&gt;="&amp;DATE(2026,1,1))+SUMIFS(Move_Out_Reasons!M2:M200,Move_Out_Reasons!H2:H200,"Skipped During Eviction",Move_Out_Reasons!G2:G200,"&gt;="&amp;DATE(2026,1,1))</f>
        <v>82221.73</v>
      </c>
      <c r="D58" s="756">
        <f>IF(B58&gt;0,C58/B58,0)</f>
        <v>9135.7477777777767</v>
      </c>
      <c r="E58" s="757" t="s">
        <v>805</v>
      </c>
      <c r="F58" s="738"/>
      <c r="G58" s="456"/>
      <c r="H58" s="727"/>
      <c r="I58" s="727"/>
      <c r="J58" s="727"/>
      <c r="K58" s="727"/>
      <c r="L58" s="727"/>
      <c r="M58" s="727"/>
    </row>
    <row r="59" spans="1:13">
      <c r="A59" s="751" t="s">
        <v>806</v>
      </c>
      <c r="B59" s="753">
        <f>COUNTIFS(Move_Out_Reasons!H2:H200,"Non-Renewal (by Property)",Move_Out_Reasons!G2:G200,"&gt;="&amp;DATE(2026,1,1))</f>
        <v>4</v>
      </c>
      <c r="C59" s="764">
        <f>SUMIFS(Move_Out_Reasons!M2:M200,Move_Out_Reasons!H2:H200,"Non-Renewal (by Property)",Move_Out_Reasons!G2:G200,"&gt;="&amp;DATE(2026,1,1))</f>
        <v>9711.44</v>
      </c>
      <c r="D59" s="764">
        <f>IF(B59&gt;0,C59/B59,0)</f>
        <v>2427.86</v>
      </c>
      <c r="E59" s="754" t="s">
        <v>807</v>
      </c>
      <c r="F59" s="751"/>
      <c r="G59" s="455"/>
      <c r="H59" s="727"/>
      <c r="I59" s="727"/>
      <c r="J59" s="727"/>
      <c r="K59" s="727"/>
      <c r="L59" s="727"/>
      <c r="M59" s="727"/>
    </row>
    <row r="60" spans="1:13" ht="15" thickBot="1">
      <c r="A60" s="341" t="s">
        <v>808</v>
      </c>
      <c r="B60" s="732"/>
      <c r="C60" s="732"/>
      <c r="D60" s="732"/>
      <c r="E60" s="732"/>
      <c r="F60" s="732"/>
      <c r="G60" s="180"/>
      <c r="H60" s="727"/>
      <c r="I60" s="727"/>
      <c r="J60" s="727"/>
      <c r="K60" s="727"/>
      <c r="L60" s="727"/>
      <c r="M60" s="727"/>
    </row>
    <row r="61" spans="1:13">
      <c r="A61" s="733" t="s">
        <v>809</v>
      </c>
      <c r="B61" s="346" t="s">
        <v>810</v>
      </c>
      <c r="C61" s="733"/>
      <c r="D61" s="733" t="s">
        <v>811</v>
      </c>
      <c r="E61" s="769"/>
      <c r="F61" s="769"/>
      <c r="G61" s="120"/>
      <c r="H61" s="727"/>
      <c r="I61" s="727"/>
      <c r="J61" s="727"/>
      <c r="K61" s="727"/>
      <c r="L61" s="727"/>
      <c r="M61" s="727"/>
    </row>
    <row r="62" spans="1:13">
      <c r="A62" s="734" t="s">
        <v>812</v>
      </c>
      <c r="B62" s="755">
        <f ca="1">D23</f>
        <v>5869.669652173915</v>
      </c>
      <c r="C62" s="727"/>
      <c r="D62" s="731" t="s">
        <v>813</v>
      </c>
      <c r="E62" s="727"/>
      <c r="F62" s="727"/>
      <c r="G62" s="31"/>
      <c r="H62" s="727"/>
      <c r="I62" s="727"/>
      <c r="J62" s="727"/>
      <c r="K62" s="727"/>
      <c r="L62" s="727"/>
      <c r="M62" s="727"/>
    </row>
    <row r="63" spans="1:13">
      <c r="A63" s="738" t="s">
        <v>814</v>
      </c>
      <c r="B63" s="464">
        <v>1500</v>
      </c>
      <c r="C63" s="738"/>
      <c r="D63" s="757" t="s">
        <v>815</v>
      </c>
      <c r="E63" s="738"/>
      <c r="F63" s="738"/>
      <c r="G63" s="456"/>
      <c r="H63" s="727"/>
      <c r="I63" s="727"/>
      <c r="J63" s="727"/>
      <c r="K63" s="727"/>
      <c r="L63" s="727"/>
      <c r="M63" s="727"/>
    </row>
    <row r="64" spans="1:13">
      <c r="A64" s="738" t="s">
        <v>816</v>
      </c>
      <c r="B64" s="464">
        <v>2500</v>
      </c>
      <c r="C64" s="738"/>
      <c r="D64" s="757" t="s">
        <v>817</v>
      </c>
      <c r="E64" s="738"/>
      <c r="F64" s="738"/>
      <c r="G64" s="456"/>
      <c r="H64" s="727"/>
      <c r="I64" s="727"/>
      <c r="J64" s="727"/>
      <c r="K64" s="727"/>
      <c r="L64" s="727"/>
      <c r="M64" s="727"/>
    </row>
    <row r="65" spans="1:13">
      <c r="A65" s="751" t="s">
        <v>818</v>
      </c>
      <c r="B65" s="764">
        <f>AVERAGE(Move_Out_Reasons!J2:J200)*45/30</f>
        <v>1459.5806451612902</v>
      </c>
      <c r="C65" s="751"/>
      <c r="D65" s="754" t="s">
        <v>819</v>
      </c>
      <c r="E65" s="751"/>
      <c r="F65" s="751"/>
      <c r="G65" s="455"/>
      <c r="H65" s="727"/>
      <c r="I65" s="727"/>
      <c r="J65" s="727"/>
      <c r="K65" s="727"/>
      <c r="L65" s="727"/>
      <c r="M65" s="727"/>
    </row>
    <row r="66" spans="1:13">
      <c r="A66" s="733" t="s">
        <v>820</v>
      </c>
      <c r="B66" s="770">
        <f ca="1">SUM(B62:B65)</f>
        <v>11329.250297335204</v>
      </c>
      <c r="C66" s="733"/>
      <c r="D66" s="733"/>
      <c r="E66" s="733"/>
      <c r="F66" s="733"/>
      <c r="G66" s="463"/>
      <c r="H66" s="727"/>
      <c r="I66" s="727"/>
      <c r="J66" s="727"/>
      <c r="K66" s="727"/>
      <c r="L66" s="727"/>
      <c r="M66" s="727"/>
    </row>
    <row r="67" spans="1:13">
      <c r="A67" s="733" t="s">
        <v>821</v>
      </c>
      <c r="B67" s="346" t="s">
        <v>822</v>
      </c>
      <c r="C67" s="346" t="s">
        <v>823</v>
      </c>
      <c r="D67" s="346" t="s">
        <v>824</v>
      </c>
      <c r="E67" s="733" t="s">
        <v>825</v>
      </c>
      <c r="F67" s="769"/>
      <c r="G67" s="120"/>
      <c r="H67" s="727"/>
      <c r="I67" s="727"/>
      <c r="J67" s="727"/>
      <c r="K67" s="727"/>
      <c r="L67" s="727"/>
      <c r="M67" s="727"/>
    </row>
    <row r="68" spans="1:13">
      <c r="A68" s="734" t="s">
        <v>826</v>
      </c>
      <c r="B68" s="735">
        <f>B35</f>
        <v>21</v>
      </c>
      <c r="C68" s="735">
        <f>B36</f>
        <v>71</v>
      </c>
      <c r="D68" s="735">
        <f>B37</f>
        <v>83</v>
      </c>
      <c r="E68" s="727"/>
      <c r="F68" s="727"/>
      <c r="G68" s="31"/>
      <c r="H68" s="727"/>
      <c r="I68" s="727"/>
      <c r="J68" s="727"/>
      <c r="K68" s="727"/>
      <c r="L68" s="727"/>
      <c r="M68" s="727"/>
    </row>
    <row r="69" spans="1:13">
      <c r="A69" s="748" t="s">
        <v>827</v>
      </c>
      <c r="B69" s="756">
        <f ca="1">D35</f>
        <v>123263.06269565222</v>
      </c>
      <c r="C69" s="756">
        <f ca="1">D36</f>
        <v>196633.93334782615</v>
      </c>
      <c r="D69" s="756">
        <f ca="1">D37</f>
        <v>288494.26340434793</v>
      </c>
      <c r="E69" s="738"/>
      <c r="F69" s="738"/>
      <c r="G69" s="456"/>
      <c r="H69" s="727"/>
      <c r="I69" s="727"/>
      <c r="J69" s="727"/>
      <c r="K69" s="727"/>
      <c r="L69" s="727"/>
      <c r="M69" s="727"/>
    </row>
    <row r="70" spans="1:13">
      <c r="A70" s="749" t="s">
        <v>828</v>
      </c>
      <c r="B70" s="764">
        <f>B68*(B63+B64+B65)</f>
        <v>114651.19354838709</v>
      </c>
      <c r="C70" s="764">
        <f>C68*(B63+B64+B65)*0.25</f>
        <v>96907.556451612894</v>
      </c>
      <c r="D70" s="764">
        <f>(B29*(B63+B64+B65))+(B30*(B63+B64+B65)*0.25)+(B31*(B63+B64+B65)*0.15)+(B32*(B63+B64+B65)*0.5)+(B33*(B63+B64+B65)*0.1)</f>
        <v>268338.38870967738</v>
      </c>
      <c r="E70" s="754" t="s">
        <v>829</v>
      </c>
      <c r="F70" s="751"/>
      <c r="G70" s="455"/>
      <c r="H70" s="727"/>
      <c r="I70" s="727"/>
      <c r="J70" s="727"/>
      <c r="K70" s="727"/>
      <c r="L70" s="727"/>
      <c r="M70" s="727"/>
    </row>
    <row r="71" spans="1:13">
      <c r="A71" s="733" t="s">
        <v>830</v>
      </c>
      <c r="B71" s="770">
        <f ca="1">B69+B70</f>
        <v>237914.25624403931</v>
      </c>
      <c r="C71" s="770">
        <f ca="1">C69+C70</f>
        <v>293541.48979943903</v>
      </c>
      <c r="D71" s="770">
        <f ca="1">D69+D70</f>
        <v>556832.65211402532</v>
      </c>
      <c r="E71" s="779"/>
      <c r="F71" s="733"/>
      <c r="G71" s="463"/>
      <c r="H71" s="727"/>
      <c r="I71" s="727"/>
      <c r="J71" s="727"/>
      <c r="K71" s="727"/>
      <c r="L71" s="727"/>
      <c r="M71" s="727"/>
    </row>
  </sheetData>
  <pageMargins left="0.7" right="0.7" top="0.75" bottom="0.75" header="0.3" footer="0.3"/>
  <pageSetup scale="50" fitToWidth="0" fitToHeight="0"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B21E5-4206-429B-8975-D3242CBE10FF}">
  <sheetPr>
    <tabColor rgb="FF002060"/>
  </sheetPr>
  <dimension ref="A1:F148"/>
  <sheetViews>
    <sheetView showGridLines="0" zoomScaleNormal="100" workbookViewId="0">
      <pane ySplit="3" topLeftCell="A59" activePane="bottomLeft" state="frozen"/>
      <selection pane="bottomLeft" activeCell="A78" sqref="A78:F78"/>
    </sheetView>
  </sheetViews>
  <sheetFormatPr defaultRowHeight="14.5"/>
  <cols>
    <col min="1" max="1" width="49.1796875" customWidth="1"/>
    <col min="2" max="2" width="23.54296875" customWidth="1"/>
    <col min="3" max="3" width="21.81640625" customWidth="1"/>
    <col min="4" max="4" width="23.54296875" customWidth="1"/>
    <col min="5" max="5" width="54.54296875" customWidth="1"/>
    <col min="6" max="6" width="12.7265625" customWidth="1"/>
    <col min="7" max="7" width="14.54296875" customWidth="1"/>
    <col min="8" max="8" width="29.1796875" customWidth="1"/>
    <col min="9" max="9" width="18.1796875" customWidth="1"/>
  </cols>
  <sheetData>
    <row r="1" spans="1:6" ht="23.5">
      <c r="A1" s="1218" t="s">
        <v>218</v>
      </c>
      <c r="B1" s="1218"/>
      <c r="C1" s="1218"/>
      <c r="D1" s="1218"/>
      <c r="E1" s="1218"/>
      <c r="F1" s="1218"/>
    </row>
    <row r="2" spans="1:6">
      <c r="A2" s="1219" t="s">
        <v>831</v>
      </c>
      <c r="B2" s="1220"/>
      <c r="C2" s="1220"/>
      <c r="D2" s="1220"/>
      <c r="E2" s="1220"/>
      <c r="F2" s="1220"/>
    </row>
    <row r="3" spans="1:6">
      <c r="A3" s="606" t="s">
        <v>832</v>
      </c>
      <c r="B3" s="607" t="s">
        <v>833</v>
      </c>
      <c r="C3" s="608"/>
      <c r="D3" s="606" t="s">
        <v>834</v>
      </c>
      <c r="E3" s="607" t="s">
        <v>835</v>
      </c>
      <c r="F3" s="592"/>
    </row>
    <row r="4" spans="1:6">
      <c r="A4" s="1221" t="s">
        <v>836</v>
      </c>
      <c r="B4" s="1222"/>
      <c r="C4" s="1222"/>
      <c r="D4" s="1222"/>
      <c r="E4" s="640"/>
      <c r="F4" s="641"/>
    </row>
    <row r="5" spans="1:6">
      <c r="A5" s="780" t="s">
        <v>837</v>
      </c>
      <c r="B5" s="606">
        <v>144</v>
      </c>
      <c r="C5" s="609"/>
      <c r="D5" s="609"/>
      <c r="E5" s="609"/>
      <c r="F5" s="593"/>
    </row>
    <row r="6" spans="1:6">
      <c r="A6" s="781" t="s">
        <v>838</v>
      </c>
      <c r="B6" s="639">
        <v>415894.97</v>
      </c>
      <c r="C6" s="638"/>
      <c r="D6" s="638"/>
      <c r="E6" s="638"/>
      <c r="F6" s="594"/>
    </row>
    <row r="7" spans="1:6">
      <c r="A7" s="608"/>
      <c r="B7" s="608"/>
      <c r="C7" s="608"/>
      <c r="D7" s="608"/>
      <c r="E7" s="608"/>
      <c r="F7" s="592"/>
    </row>
    <row r="8" spans="1:6">
      <c r="A8" s="1221" t="s">
        <v>839</v>
      </c>
      <c r="B8" s="1222"/>
      <c r="C8" s="1222"/>
      <c r="D8" s="1222"/>
      <c r="E8" s="640"/>
      <c r="F8" s="593"/>
    </row>
    <row r="9" spans="1:6">
      <c r="A9" s="780" t="s">
        <v>840</v>
      </c>
      <c r="B9" s="606">
        <f>COUNTA(A20:A101)</f>
        <v>82</v>
      </c>
      <c r="C9" s="609"/>
      <c r="D9" s="609"/>
      <c r="E9" s="609"/>
      <c r="F9" s="593"/>
    </row>
    <row r="10" spans="1:6">
      <c r="A10" s="781" t="s">
        <v>841</v>
      </c>
      <c r="B10" s="639">
        <f>SUM(C20:C101)</f>
        <v>261950.74000000008</v>
      </c>
      <c r="C10" s="638"/>
      <c r="D10" s="638"/>
      <c r="E10" s="638"/>
      <c r="F10" s="594"/>
    </row>
    <row r="11" spans="1:6">
      <c r="A11" s="592"/>
      <c r="B11" s="592"/>
      <c r="C11" s="592"/>
      <c r="D11" s="592"/>
      <c r="E11" s="592"/>
      <c r="F11" s="592"/>
    </row>
    <row r="12" spans="1:6">
      <c r="A12" s="595" t="s">
        <v>842</v>
      </c>
      <c r="B12" s="127"/>
      <c r="C12" s="127"/>
      <c r="D12" s="127"/>
      <c r="E12" s="127"/>
      <c r="F12" s="642"/>
    </row>
    <row r="13" spans="1:6">
      <c r="A13" s="644" t="s">
        <v>608</v>
      </c>
      <c r="B13" s="645" t="s">
        <v>712</v>
      </c>
      <c r="C13" s="645" t="s">
        <v>843</v>
      </c>
      <c r="D13" s="645" t="s">
        <v>844</v>
      </c>
      <c r="E13" s="645" t="s">
        <v>713</v>
      </c>
      <c r="F13" s="643"/>
    </row>
    <row r="14" spans="1:6">
      <c r="A14" s="598" t="s">
        <v>845</v>
      </c>
      <c r="B14" s="600">
        <f>COUNTIF(F20:F101,"Yes")</f>
        <v>15</v>
      </c>
      <c r="C14" s="601">
        <f>SUMIF(F20:F101,"Yes",C20:C101)</f>
        <v>80224.340000000011</v>
      </c>
      <c r="D14" s="601">
        <f>SUMIF(F20:F101,"Yes",D20:D101)</f>
        <v>56233.16</v>
      </c>
      <c r="E14" s="602">
        <f>C14/C16</f>
        <v>0.30625735205023663</v>
      </c>
      <c r="F14" s="596"/>
    </row>
    <row r="15" spans="1:6">
      <c r="A15" s="599" t="s">
        <v>846</v>
      </c>
      <c r="B15" s="603">
        <f>COUNTIF(F20:F101,"No")</f>
        <v>67</v>
      </c>
      <c r="C15" s="604">
        <f>SUMIF(F20:F101,"No",C20:C101)</f>
        <v>181726.40000000002</v>
      </c>
      <c r="D15" s="604" t="s">
        <v>847</v>
      </c>
      <c r="E15" s="605">
        <f>C15/C16</f>
        <v>0.69374264794976337</v>
      </c>
      <c r="F15" s="597"/>
    </row>
    <row r="16" spans="1:6">
      <c r="A16" s="646" t="s">
        <v>291</v>
      </c>
      <c r="B16" s="647">
        <f>B14+B15</f>
        <v>82</v>
      </c>
      <c r="C16" s="648">
        <f>C14+C15</f>
        <v>261950.74000000005</v>
      </c>
      <c r="D16" s="647"/>
      <c r="E16" s="649">
        <f>E14+E15</f>
        <v>1</v>
      </c>
      <c r="F16" s="642"/>
    </row>
    <row r="18" spans="1:6">
      <c r="A18" s="595" t="s">
        <v>848</v>
      </c>
      <c r="B18" s="127"/>
      <c r="C18" s="127"/>
      <c r="D18" s="127"/>
      <c r="E18" s="127"/>
      <c r="F18" s="127"/>
    </row>
    <row r="19" spans="1:6">
      <c r="A19" s="650" t="s">
        <v>496</v>
      </c>
      <c r="B19" s="650" t="s">
        <v>497</v>
      </c>
      <c r="C19" s="650" t="s">
        <v>849</v>
      </c>
      <c r="D19" s="650" t="s">
        <v>844</v>
      </c>
      <c r="E19" s="650" t="s">
        <v>850</v>
      </c>
      <c r="F19" s="650" t="s">
        <v>851</v>
      </c>
    </row>
    <row r="20" spans="1:6">
      <c r="A20" s="662" t="s">
        <v>852</v>
      </c>
      <c r="B20" s="662" t="str">
        <f>INDEX(Move_Out_Reasons!D:D,MATCH(A20,Move_Out_Reasons!B:B,0))</f>
        <v>Renee, Breana</v>
      </c>
      <c r="C20" s="663">
        <f>INDEX(Move_Out_Reasons!M:M,MATCH(A20,Move_Out_Reasons!B:B,0))</f>
        <v>2571.16</v>
      </c>
      <c r="D20" s="663">
        <v>22182.15</v>
      </c>
      <c r="E20" s="662" t="str">
        <f>INDEX(Move_Out_Reasons!H:H,MATCH(A20,Move_Out_Reasons!B:B,0))</f>
        <v>Skipped Without Notice</v>
      </c>
      <c r="F20" s="662" t="s">
        <v>853</v>
      </c>
    </row>
    <row r="21" spans="1:6">
      <c r="A21" s="664" t="s">
        <v>854</v>
      </c>
      <c r="B21" s="664" t="str">
        <f>INDEX(Move_Out_Reasons!D:D,MATCH(A21,Move_Out_Reasons!B:B,0))</f>
        <v>Candler, Brittany</v>
      </c>
      <c r="C21" s="665">
        <f>INDEX(Move_Out_Reasons!M:M,MATCH(A21,Move_Out_Reasons!B:B,0))</f>
        <v>13089.83</v>
      </c>
      <c r="D21" s="665">
        <v>9611.5</v>
      </c>
      <c r="E21" s="664" t="str">
        <f>INDEX(Move_Out_Reasons!H:H,MATCH(A21,Move_Out_Reasons!B:B,0))</f>
        <v>Failure To Pay</v>
      </c>
      <c r="F21" s="664" t="s">
        <v>853</v>
      </c>
    </row>
    <row r="22" spans="1:6">
      <c r="A22" s="651" t="s">
        <v>855</v>
      </c>
      <c r="B22" s="651" t="str">
        <f>INDEX(Move_Out_Reasons!D:D,MATCH(A22,Move_Out_Reasons!B:B,0))</f>
        <v>Clark, Deborah</v>
      </c>
      <c r="C22" s="652">
        <f>INDEX(Move_Out_Reasons!M:M,MATCH(A22,Move_Out_Reasons!B:B,0))</f>
        <v>11503.54</v>
      </c>
      <c r="D22" s="652">
        <v>4374.74</v>
      </c>
      <c r="E22" s="651" t="str">
        <f>INDEX(Move_Out_Reasons!H:H,MATCH(A22,Move_Out_Reasons!B:B,0))</f>
        <v>Skipped Without Notice</v>
      </c>
      <c r="F22" s="651" t="s">
        <v>853</v>
      </c>
    </row>
    <row r="23" spans="1:6">
      <c r="A23" s="664" t="s">
        <v>856</v>
      </c>
      <c r="B23" s="664" t="str">
        <f>INDEX(Move_Out_Reasons!D:D,MATCH(A23,Move_Out_Reasons!B:B,0))</f>
        <v>Wiggins, Amariah</v>
      </c>
      <c r="C23" s="665">
        <f>INDEX(Move_Out_Reasons!M:M,MATCH(A23,Move_Out_Reasons!B:B,0))</f>
        <v>9482.35</v>
      </c>
      <c r="D23" s="665">
        <v>2759.04</v>
      </c>
      <c r="E23" s="664" t="str">
        <f>INDEX(Move_Out_Reasons!H:H,MATCH(A23,Move_Out_Reasons!B:B,0))</f>
        <v>Skipped Without Notice</v>
      </c>
      <c r="F23" s="664" t="s">
        <v>853</v>
      </c>
    </row>
    <row r="24" spans="1:6">
      <c r="A24" s="651" t="s">
        <v>857</v>
      </c>
      <c r="B24" s="651" t="str">
        <f>INDEX(Move_Out_Reasons!D:D,MATCH(A24,Move_Out_Reasons!B:B,0))</f>
        <v>Carrasco, Anay</v>
      </c>
      <c r="C24" s="652">
        <f>INDEX(Move_Out_Reasons!M:M,MATCH(A24,Move_Out_Reasons!B:B,0))</f>
        <v>9117.59</v>
      </c>
      <c r="D24" s="652"/>
      <c r="E24" s="651" t="str">
        <f>INDEX(Move_Out_Reasons!H:H,MATCH(A24,Move_Out_Reasons!B:B,0))</f>
        <v>Skipped Without Notice</v>
      </c>
      <c r="F24" s="651" t="s">
        <v>858</v>
      </c>
    </row>
    <row r="25" spans="1:6">
      <c r="A25" s="664" t="s">
        <v>859</v>
      </c>
      <c r="B25" s="664" t="str">
        <f>INDEX(Move_Out_Reasons!D:D,MATCH(A25,Move_Out_Reasons!B:B,0))</f>
        <v>Perez, Jocelyn</v>
      </c>
      <c r="C25" s="665">
        <f>INDEX(Move_Out_Reasons!M:M,MATCH(A25,Move_Out_Reasons!B:B,0))</f>
        <v>1924.33</v>
      </c>
      <c r="D25" s="665">
        <v>4066.09</v>
      </c>
      <c r="E25" s="664" t="str">
        <f>INDEX(Move_Out_Reasons!H:H,MATCH(A25,Move_Out_Reasons!B:B,0))</f>
        <v>Skipped Without Notice</v>
      </c>
      <c r="F25" s="664" t="s">
        <v>853</v>
      </c>
    </row>
    <row r="26" spans="1:6">
      <c r="A26" s="651" t="s">
        <v>860</v>
      </c>
      <c r="B26" s="651" t="str">
        <f>INDEX(Move_Out_Reasons!D:D,MATCH(A26,Move_Out_Reasons!B:B,0))</f>
        <v>Ogundipe, Aramide</v>
      </c>
      <c r="C26" s="652">
        <f>INDEX(Move_Out_Reasons!M:M,MATCH(A26,Move_Out_Reasons!B:B,0))</f>
        <v>7752.3</v>
      </c>
      <c r="D26" s="652">
        <v>1501.29</v>
      </c>
      <c r="E26" s="651" t="str">
        <f>INDEX(Move_Out_Reasons!H:H,MATCH(A26,Move_Out_Reasons!B:B,0))</f>
        <v>Skipped Without Notice</v>
      </c>
      <c r="F26" s="651" t="s">
        <v>853</v>
      </c>
    </row>
    <row r="27" spans="1:6">
      <c r="A27" s="664" t="s">
        <v>861</v>
      </c>
      <c r="B27" s="664" t="str">
        <f>INDEX(Move_Out_Reasons!D:D,MATCH(A27,Move_Out_Reasons!B:B,0))</f>
        <v>Querevalu, Oscar</v>
      </c>
      <c r="C27" s="665">
        <f>INDEX(Move_Out_Reasons!M:M,MATCH(A27,Move_Out_Reasons!B:B,0))</f>
        <v>6725.93</v>
      </c>
      <c r="D27" s="665"/>
      <c r="E27" s="664" t="str">
        <f>INDEX(Move_Out_Reasons!H:H,MATCH(A27,Move_Out_Reasons!B:B,0))</f>
        <v>Skipped Without Notice</v>
      </c>
      <c r="F27" s="664" t="s">
        <v>858</v>
      </c>
    </row>
    <row r="28" spans="1:6">
      <c r="A28" s="651" t="s">
        <v>862</v>
      </c>
      <c r="B28" s="651" t="str">
        <f>INDEX(Move_Out_Reasons!D:D,MATCH(A28,Move_Out_Reasons!B:B,0))</f>
        <v>Enrique, Danny</v>
      </c>
      <c r="C28" s="652">
        <f>INDEX(Move_Out_Reasons!M:M,MATCH(A28,Move_Out_Reasons!B:B,0))</f>
        <v>6330.15</v>
      </c>
      <c r="D28" s="652">
        <v>1801.25</v>
      </c>
      <c r="E28" s="651" t="str">
        <f>INDEX(Move_Out_Reasons!H:H,MATCH(A28,Move_Out_Reasons!B:B,0))</f>
        <v>Skipped Without Notice</v>
      </c>
      <c r="F28" s="651" t="s">
        <v>853</v>
      </c>
    </row>
    <row r="29" spans="1:6">
      <c r="A29" s="664" t="s">
        <v>863</v>
      </c>
      <c r="B29" s="664" t="str">
        <f>INDEX(Move_Out_Reasons!D:D,MATCH(A29,Move_Out_Reasons!B:B,0))</f>
        <v>Odebiyi, Christiana</v>
      </c>
      <c r="C29" s="665">
        <f>INDEX(Move_Out_Reasons!M:M,MATCH(A29,Move_Out_Reasons!B:B,0))</f>
        <v>6169.06</v>
      </c>
      <c r="D29" s="665">
        <v>1186.45</v>
      </c>
      <c r="E29" s="664" t="str">
        <f>INDEX(Move_Out_Reasons!H:H,MATCH(A29,Move_Out_Reasons!B:B,0))</f>
        <v>Skipped Without Notice</v>
      </c>
      <c r="F29" s="664" t="s">
        <v>853</v>
      </c>
    </row>
    <row r="30" spans="1:6">
      <c r="A30" s="651" t="s">
        <v>864</v>
      </c>
      <c r="B30" s="651" t="str">
        <f>INDEX(Move_Out_Reasons!D:D,MATCH(A30,Move_Out_Reasons!B:B,0))</f>
        <v>Williams, Teresa</v>
      </c>
      <c r="C30" s="652">
        <f>INDEX(Move_Out_Reasons!M:M,MATCH(A30,Move_Out_Reasons!B:B,0))</f>
        <v>5976.83</v>
      </c>
      <c r="D30" s="652">
        <v>1314.21</v>
      </c>
      <c r="E30" s="651" t="str">
        <f>INDEX(Move_Out_Reasons!H:H,MATCH(A30,Move_Out_Reasons!B:B,0))</f>
        <v>Skipped Without Notice</v>
      </c>
      <c r="F30" s="651" t="s">
        <v>853</v>
      </c>
    </row>
    <row r="31" spans="1:6">
      <c r="A31" s="664" t="s">
        <v>865</v>
      </c>
      <c r="B31" s="664" t="str">
        <f>INDEX(Move_Out_Reasons!D:D,MATCH(A31,Move_Out_Reasons!B:B,0))</f>
        <v>Cruz, Josue</v>
      </c>
      <c r="C31" s="665">
        <f>INDEX(Move_Out_Reasons!M:M,MATCH(A31,Move_Out_Reasons!B:B,0))</f>
        <v>5837.96</v>
      </c>
      <c r="D31" s="665">
        <v>1425.13</v>
      </c>
      <c r="E31" s="664" t="str">
        <f>INDEX(Move_Out_Reasons!H:H,MATCH(A31,Move_Out_Reasons!B:B,0))</f>
        <v>Skipped Without Notice</v>
      </c>
      <c r="F31" s="664" t="s">
        <v>853</v>
      </c>
    </row>
    <row r="32" spans="1:6">
      <c r="A32" s="651" t="s">
        <v>866</v>
      </c>
      <c r="B32" s="651" t="str">
        <f>INDEX(Move_Out_Reasons!D:D,MATCH(A32,Move_Out_Reasons!B:B,0))</f>
        <v>Jose, Yender</v>
      </c>
      <c r="C32" s="652">
        <f>INDEX(Move_Out_Reasons!M:M,MATCH(A32,Move_Out_Reasons!B:B,0))</f>
        <v>4947.92</v>
      </c>
      <c r="D32" s="652">
        <v>1418.87</v>
      </c>
      <c r="E32" s="651" t="str">
        <f>INDEX(Move_Out_Reasons!H:H,MATCH(A32,Move_Out_Reasons!B:B,0))</f>
        <v>Skipped Without Notice</v>
      </c>
      <c r="F32" s="651" t="s">
        <v>853</v>
      </c>
    </row>
    <row r="33" spans="1:6">
      <c r="A33" s="664" t="s">
        <v>867</v>
      </c>
      <c r="B33" s="664" t="str">
        <f>INDEX(Move_Out_Reasons!D:D,MATCH(A33,Move_Out_Reasons!B:B,0))</f>
        <v>Enriquez, Victor</v>
      </c>
      <c r="C33" s="665">
        <f>INDEX(Move_Out_Reasons!M:M,MATCH(A33,Move_Out_Reasons!B:B,0))</f>
        <v>4707.2700000000004</v>
      </c>
      <c r="D33" s="665"/>
      <c r="E33" s="664" t="str">
        <f>INDEX(Move_Out_Reasons!H:H,MATCH(A33,Move_Out_Reasons!B:B,0))</f>
        <v>Skipped Without Notice</v>
      </c>
      <c r="F33" s="664" t="s">
        <v>858</v>
      </c>
    </row>
    <row r="34" spans="1:6">
      <c r="A34" s="651" t="s">
        <v>868</v>
      </c>
      <c r="B34" s="651" t="str">
        <f>INDEX(Move_Out_Reasons!D:D,MATCH(A34,Move_Out_Reasons!B:B,0))</f>
        <v>Rangel, Juan</v>
      </c>
      <c r="C34" s="652">
        <f>INDEX(Move_Out_Reasons!M:M,MATCH(A34,Move_Out_Reasons!B:B,0))</f>
        <v>4032.04</v>
      </c>
      <c r="D34" s="652"/>
      <c r="E34" s="651" t="str">
        <f>INDEX(Move_Out_Reasons!H:H,MATCH(A34,Move_Out_Reasons!B:B,0))</f>
        <v>Skipped Without Notice</v>
      </c>
      <c r="F34" s="651" t="s">
        <v>858</v>
      </c>
    </row>
    <row r="35" spans="1:6">
      <c r="A35" s="664" t="s">
        <v>869</v>
      </c>
      <c r="B35" s="664" t="str">
        <f>INDEX(Move_Out_Reasons!D:D,MATCH(A35,Move_Out_Reasons!B:B,0))</f>
        <v>Raudales, Joser</v>
      </c>
      <c r="C35" s="665">
        <f>INDEX(Move_Out_Reasons!M:M,MATCH(A35,Move_Out_Reasons!B:B,0))</f>
        <v>2954.5</v>
      </c>
      <c r="D35" s="665">
        <v>1433.05</v>
      </c>
      <c r="E35" s="664" t="str">
        <f>INDEX(Move_Out_Reasons!H:H,MATCH(A35,Move_Out_Reasons!B:B,0))</f>
        <v>Skipped Without Notice</v>
      </c>
      <c r="F35" s="664" t="s">
        <v>853</v>
      </c>
    </row>
    <row r="36" spans="1:6">
      <c r="A36" s="651" t="s">
        <v>870</v>
      </c>
      <c r="B36" s="651" t="str">
        <f>INDEX(Move_Out_Reasons!D:D,MATCH(A36,Move_Out_Reasons!B:B,0))</f>
        <v>Cetz, Manuel</v>
      </c>
      <c r="C36" s="652">
        <f>INDEX(Move_Out_Reasons!M:M,MATCH(A36,Move_Out_Reasons!B:B,0))</f>
        <v>3182.58</v>
      </c>
      <c r="D36" s="652"/>
      <c r="E36" s="651" t="str">
        <f>INDEX(Move_Out_Reasons!H:H,MATCH(A36,Move_Out_Reasons!B:B,0))</f>
        <v>Skipped Without Notice</v>
      </c>
      <c r="F36" s="651" t="s">
        <v>858</v>
      </c>
    </row>
    <row r="37" spans="1:6">
      <c r="A37" s="664" t="s">
        <v>871</v>
      </c>
      <c r="B37" s="664" t="str">
        <f>INDEX(Move_Out_Reasons!D:D,MATCH(A37,Move_Out_Reasons!B:B,0))</f>
        <v>Yazmin, Karen</v>
      </c>
      <c r="C37" s="665">
        <f>INDEX(Move_Out_Reasons!M:M,MATCH(A37,Move_Out_Reasons!B:B,0))</f>
        <v>2886.13</v>
      </c>
      <c r="D37" s="665"/>
      <c r="E37" s="664" t="str">
        <f>INDEX(Move_Out_Reasons!H:H,MATCH(A37,Move_Out_Reasons!B:B,0))</f>
        <v>Job Transfer / Lost Job</v>
      </c>
      <c r="F37" s="664" t="s">
        <v>858</v>
      </c>
    </row>
    <row r="38" spans="1:6">
      <c r="A38" s="651" t="s">
        <v>872</v>
      </c>
      <c r="B38" s="651" t="str">
        <f>INDEX(Move_Out_Reasons!D:D,MATCH(A38,Move_Out_Reasons!B:B,0))</f>
        <v>Davila, Lisa</v>
      </c>
      <c r="C38" s="652">
        <f>INDEX(Move_Out_Reasons!M:M,MATCH(A38,Move_Out_Reasons!B:B,0))</f>
        <v>1778.38</v>
      </c>
      <c r="D38" s="652"/>
      <c r="E38" s="651" t="str">
        <f>INDEX(Move_Out_Reasons!H:H,MATCH(A38,Move_Out_Reasons!B:B,0))</f>
        <v>Skipped Without Notice</v>
      </c>
      <c r="F38" s="651" t="s">
        <v>858</v>
      </c>
    </row>
    <row r="39" spans="1:6">
      <c r="A39" s="664" t="s">
        <v>873</v>
      </c>
      <c r="B39" s="664" t="str">
        <f>INDEX(Move_Out_Reasons!D:D,MATCH(A39,Move_Out_Reasons!B:B,0))</f>
        <v>Elhakim, Ahmed</v>
      </c>
      <c r="C39" s="665">
        <f>INDEX(Move_Out_Reasons!M:M,MATCH(A39,Move_Out_Reasons!B:B,0))</f>
        <v>1723.73</v>
      </c>
      <c r="D39" s="665"/>
      <c r="E39" s="664" t="str">
        <f>INDEX(Move_Out_Reasons!H:H,MATCH(A39,Move_Out_Reasons!B:B,0))</f>
        <v>Financial Difficulties</v>
      </c>
      <c r="F39" s="664" t="s">
        <v>858</v>
      </c>
    </row>
    <row r="40" spans="1:6">
      <c r="A40" s="651" t="s">
        <v>874</v>
      </c>
      <c r="B40" s="651" t="str">
        <f>INDEX(Move_Out_Reasons!D:D,MATCH(A40,Move_Out_Reasons!B:B,0))</f>
        <v>Armstrong, Randy</v>
      </c>
      <c r="C40" s="652">
        <f>INDEX(Move_Out_Reasons!M:M,MATCH(A40,Move_Out_Reasons!B:B,0))</f>
        <v>578.65</v>
      </c>
      <c r="D40" s="652"/>
      <c r="E40" s="651" t="str">
        <f>INDEX(Move_Out_Reasons!H:H,MATCH(A40,Move_Out_Reasons!B:B,0))</f>
        <v>Non-Renewal (by Property)</v>
      </c>
      <c r="F40" s="651" t="s">
        <v>858</v>
      </c>
    </row>
    <row r="41" spans="1:6">
      <c r="A41" s="664" t="s">
        <v>875</v>
      </c>
      <c r="B41" s="664" t="str">
        <f>INDEX(Move_Out_Reasons!D:D,MATCH(A41,Move_Out_Reasons!B:B,0))</f>
        <v>Edu, Almudena</v>
      </c>
      <c r="C41" s="665">
        <f>INDEX(Move_Out_Reasons!M:M,MATCH(A41,Move_Out_Reasons!B:B,0))</f>
        <v>2220.71</v>
      </c>
      <c r="D41" s="665"/>
      <c r="E41" s="664" t="str">
        <f>INDEX(Move_Out_Reasons!H:H,MATCH(A41,Move_Out_Reasons!B:B,0))</f>
        <v>Skipped During Eviction</v>
      </c>
      <c r="F41" s="664" t="s">
        <v>858</v>
      </c>
    </row>
    <row r="42" spans="1:6">
      <c r="A42" s="651" t="s">
        <v>876</v>
      </c>
      <c r="B42" s="651" t="str">
        <f>INDEX(Move_Out_Reasons!D:D,MATCH(A42,Move_Out_Reasons!B:B,0))</f>
        <v>Magarin, Sergio</v>
      </c>
      <c r="C42" s="652">
        <f>INDEX(Move_Out_Reasons!M:M,MATCH(A42,Move_Out_Reasons!B:B,0))</f>
        <v>1354.14</v>
      </c>
      <c r="D42" s="652"/>
      <c r="E42" s="651" t="str">
        <f>INDEX(Move_Out_Reasons!H:H,MATCH(A42,Move_Out_Reasons!B:B,0))</f>
        <v>Rental Increase</v>
      </c>
      <c r="F42" s="651" t="s">
        <v>858</v>
      </c>
    </row>
    <row r="43" spans="1:6">
      <c r="A43" s="664" t="s">
        <v>877</v>
      </c>
      <c r="B43" s="664" t="str">
        <f>INDEX(Move_Out_Reasons!D:D,MATCH(A43,Move_Out_Reasons!B:B,0))</f>
        <v>Sunday, Prince</v>
      </c>
      <c r="C43" s="665">
        <f>INDEX(Move_Out_Reasons!M:M,MATCH(A43,Move_Out_Reasons!B:B,0))</f>
        <v>0</v>
      </c>
      <c r="D43" s="665">
        <v>1538.65</v>
      </c>
      <c r="E43" s="664" t="str">
        <f>INDEX(Move_Out_Reasons!H:H,MATCH(A43,Move_Out_Reasons!B:B,0))</f>
        <v>Non-Renewal (by Property)</v>
      </c>
      <c r="F43" s="664" t="s">
        <v>853</v>
      </c>
    </row>
    <row r="44" spans="1:6">
      <c r="A44" s="651" t="s">
        <v>878</v>
      </c>
      <c r="B44" s="651" t="str">
        <f>INDEX(Move_Out_Reasons!D:D,MATCH(A44,Move_Out_Reasons!B:B,0))</f>
        <v>Rox, Artie</v>
      </c>
      <c r="C44" s="652">
        <f>INDEX(Move_Out_Reasons!M:M,MATCH(A44,Move_Out_Reasons!B:B,0))</f>
        <v>1498.63</v>
      </c>
      <c r="D44" s="652"/>
      <c r="E44" s="651" t="str">
        <f>INDEX(Move_Out_Reasons!H:H,MATCH(A44,Move_Out_Reasons!B:B,0))</f>
        <v>Death</v>
      </c>
      <c r="F44" s="651" t="s">
        <v>858</v>
      </c>
    </row>
    <row r="45" spans="1:6">
      <c r="A45" s="664" t="s">
        <v>879</v>
      </c>
      <c r="B45" s="664" t="str">
        <f>INDEX(Move_Out_Reasons!D:D,MATCH(A45,Move_Out_Reasons!B:B,0))</f>
        <v>Yeon, Hyo</v>
      </c>
      <c r="C45" s="665">
        <f>INDEX(Move_Out_Reasons!M:M,MATCH(A45,Move_Out_Reasons!B:B,0))</f>
        <v>1340.57</v>
      </c>
      <c r="D45" s="665"/>
      <c r="E45" s="664" t="str">
        <f>INDEX(Move_Out_Reasons!H:H,MATCH(A45,Move_Out_Reasons!B:B,0))</f>
        <v>Need Larger Apartment</v>
      </c>
      <c r="F45" s="664" t="s">
        <v>858</v>
      </c>
    </row>
    <row r="46" spans="1:6">
      <c r="A46" s="651" t="s">
        <v>880</v>
      </c>
      <c r="B46" s="651" t="str">
        <f>INDEX(Move_Out_Reasons!D:D,MATCH(A46,Move_Out_Reasons!B:B,0))</f>
        <v>Straw, Zantevia</v>
      </c>
      <c r="C46" s="652">
        <f>INDEX(Move_Out_Reasons!M:M,MATCH(A46,Move_Out_Reasons!B:B,0))</f>
        <v>1267.5</v>
      </c>
      <c r="D46" s="652">
        <v>234.88</v>
      </c>
      <c r="E46" s="651" t="str">
        <f>INDEX(Move_Out_Reasons!H:H,MATCH(A46,Move_Out_Reasons!B:B,0))</f>
        <v>Job Transfer / Lost Job</v>
      </c>
      <c r="F46" s="651" t="s">
        <v>853</v>
      </c>
    </row>
    <row r="47" spans="1:6">
      <c r="A47" s="664" t="s">
        <v>881</v>
      </c>
      <c r="B47" s="664" t="str">
        <f>INDEX(Move_Out_Reasons!D:D,MATCH(A47,Move_Out_Reasons!B:B,0))</f>
        <v>Nunez, Raul</v>
      </c>
      <c r="C47" s="665">
        <f>INDEX(Move_Out_Reasons!M:M,MATCH(A47,Move_Out_Reasons!B:B,0))</f>
        <v>308.06</v>
      </c>
      <c r="D47" s="665"/>
      <c r="E47" s="664" t="str">
        <f>INDEX(Move_Out_Reasons!H:H,MATCH(A47,Move_Out_Reasons!B:B,0))</f>
        <v>Job Transfer / Lost Job</v>
      </c>
      <c r="F47" s="664" t="s">
        <v>858</v>
      </c>
    </row>
    <row r="48" spans="1:6">
      <c r="A48" s="651" t="s">
        <v>882</v>
      </c>
      <c r="B48" s="651" t="str">
        <f>INDEX(Move_Out_Reasons!D:D,MATCH(A48,Move_Out_Reasons!B:B,0))</f>
        <v>Palomino, Keiry</v>
      </c>
      <c r="C48" s="652">
        <f>INDEX(Move_Out_Reasons!M:M,MATCH(A48,Move_Out_Reasons!B:B,0))</f>
        <v>488.04</v>
      </c>
      <c r="D48" s="652"/>
      <c r="E48" s="651" t="str">
        <f>INDEX(Move_Out_Reasons!H:H,MATCH(A48,Move_Out_Reasons!B:B,0))</f>
        <v>Job Transfer / Lost Job</v>
      </c>
      <c r="F48" s="651" t="s">
        <v>858</v>
      </c>
    </row>
    <row r="49" spans="1:6">
      <c r="A49" s="664" t="s">
        <v>883</v>
      </c>
      <c r="B49" s="664" t="str">
        <f>INDEX(Move_Out_Reasons!D:D,MATCH(A49,Move_Out_Reasons!B:B,0))</f>
        <v>Chavez, Jessica</v>
      </c>
      <c r="C49" s="665">
        <f>INDEX(Move_Out_Reasons!M:M,MATCH(A49,Move_Out_Reasons!B:B,0))</f>
        <v>0</v>
      </c>
      <c r="D49" s="665"/>
      <c r="E49" s="664" t="str">
        <f>INDEX(Move_Out_Reasons!H:H,MATCH(A49,Move_Out_Reasons!B:B,0))</f>
        <v>Need Larger Apartment</v>
      </c>
      <c r="F49" s="664" t="s">
        <v>858</v>
      </c>
    </row>
    <row r="50" spans="1:6">
      <c r="A50" s="651" t="s">
        <v>884</v>
      </c>
      <c r="B50" s="651" t="str">
        <f>INDEX(Move_Out_Reasons!D:D,MATCH(A50,Move_Out_Reasons!B:B,0))</f>
        <v>Mavungo, Ramon</v>
      </c>
      <c r="C50" s="652">
        <f>INDEX(Move_Out_Reasons!M:M,MATCH(A50,Move_Out_Reasons!B:B,0))</f>
        <v>663</v>
      </c>
      <c r="D50" s="652"/>
      <c r="E50" s="651" t="str">
        <f>INDEX(Move_Out_Reasons!H:H,MATCH(A50,Move_Out_Reasons!B:B,0))</f>
        <v>Skipped Without Notice</v>
      </c>
      <c r="F50" s="651" t="s">
        <v>858</v>
      </c>
    </row>
    <row r="51" spans="1:6">
      <c r="A51" s="664" t="s">
        <v>885</v>
      </c>
      <c r="B51" s="664" t="str">
        <f>INDEX(Move_Out_Reasons!D:D,MATCH(A51,Move_Out_Reasons!B:B,0))</f>
        <v>Dennis, Christy</v>
      </c>
      <c r="C51" s="665">
        <f>INDEX(Move_Out_Reasons!M:M,MATCH(A51,Move_Out_Reasons!B:B,0))</f>
        <v>474.84</v>
      </c>
      <c r="D51" s="665"/>
      <c r="E51" s="664" t="str">
        <f>INDEX(Move_Out_Reasons!H:H,MATCH(A51,Move_Out_Reasons!B:B,0))</f>
        <v>Skipped Without Notice</v>
      </c>
      <c r="F51" s="664" t="s">
        <v>858</v>
      </c>
    </row>
    <row r="52" spans="1:6">
      <c r="A52" s="651" t="s">
        <v>886</v>
      </c>
      <c r="B52" s="651" t="str">
        <f>INDEX(Move_Out_Reasons!D:D,MATCH(A52,Move_Out_Reasons!B:B,0))</f>
        <v>Giles, Avelaura</v>
      </c>
      <c r="C52" s="652">
        <f>INDEX(Move_Out_Reasons!M:M,MATCH(A52,Move_Out_Reasons!B:B,0))</f>
        <v>469.06</v>
      </c>
      <c r="D52" s="652"/>
      <c r="E52" s="651" t="str">
        <f>INDEX(Move_Out_Reasons!H:H,MATCH(A52,Move_Out_Reasons!B:B,0))</f>
        <v>Skipped Without Notice</v>
      </c>
      <c r="F52" s="651" t="s">
        <v>858</v>
      </c>
    </row>
    <row r="53" spans="1:6">
      <c r="A53" s="664" t="s">
        <v>887</v>
      </c>
      <c r="B53" s="664" t="str">
        <f>INDEX(Move_Out_Reasons!D:D,MATCH(A53,Move_Out_Reasons!B:B,0))</f>
        <v>Mendieta, Isaac</v>
      </c>
      <c r="C53" s="665">
        <f>INDEX(Move_Out_Reasons!M:M,MATCH(A53,Move_Out_Reasons!B:B,0))</f>
        <v>429.63</v>
      </c>
      <c r="D53" s="665"/>
      <c r="E53" s="664" t="str">
        <f>INDEX(Move_Out_Reasons!H:H,MATCH(A53,Move_Out_Reasons!B:B,0))</f>
        <v>Moving out of state</v>
      </c>
      <c r="F53" s="664" t="s">
        <v>858</v>
      </c>
    </row>
    <row r="54" spans="1:6">
      <c r="A54" s="651" t="s">
        <v>888</v>
      </c>
      <c r="B54" s="651" t="str">
        <f>INDEX(Move_Out_Reasons!D:D,MATCH(A54,Move_Out_Reasons!B:B,0))</f>
        <v>Barr, Ebony</v>
      </c>
      <c r="C54" s="652">
        <f>INDEX(Move_Out_Reasons!M:M,MATCH(A54,Move_Out_Reasons!B:B,0))</f>
        <v>416.91</v>
      </c>
      <c r="D54" s="652">
        <v>1385.86</v>
      </c>
      <c r="E54" s="651" t="str">
        <f>INDEX(Move_Out_Reasons!H:H,MATCH(A54,Move_Out_Reasons!B:B,0))</f>
        <v>Transfer On-Site</v>
      </c>
      <c r="F54" s="651" t="s">
        <v>853</v>
      </c>
    </row>
    <row r="55" spans="1:6">
      <c r="A55" s="664" t="s">
        <v>889</v>
      </c>
      <c r="B55" s="664" t="str">
        <f>INDEX(Move_Out_Reasons!D:D,MATCH(A55,Move_Out_Reasons!B:B,0))</f>
        <v>Catalan, Yacqueline</v>
      </c>
      <c r="C55" s="665">
        <f>INDEX(Move_Out_Reasons!M:M,MATCH(A55,Move_Out_Reasons!B:B,0))</f>
        <v>151.1</v>
      </c>
      <c r="D55" s="665"/>
      <c r="E55" s="664" t="str">
        <f>INDEX(Move_Out_Reasons!H:H,MATCH(A55,Move_Out_Reasons!B:B,0))</f>
        <v>Skipped Without Notice</v>
      </c>
      <c r="F55" s="664" t="s">
        <v>858</v>
      </c>
    </row>
    <row r="56" spans="1:6">
      <c r="A56" s="651" t="s">
        <v>890</v>
      </c>
      <c r="B56" s="651" t="str">
        <f>INDEX(Move_Out_Reasons!D:D,MATCH(A56,Move_Out_Reasons!B:B,0))</f>
        <v>Ugiomoh, Jude</v>
      </c>
      <c r="C56" s="652">
        <f>INDEX(Move_Out_Reasons!M:M,MATCH(A56,Move_Out_Reasons!B:B,0))</f>
        <v>325</v>
      </c>
      <c r="D56" s="652"/>
      <c r="E56" s="651" t="str">
        <f>INDEX(Move_Out_Reasons!H:H,MATCH(A56,Move_Out_Reasons!B:B,0))</f>
        <v>Need Larger Apartment</v>
      </c>
      <c r="F56" s="651" t="s">
        <v>858</v>
      </c>
    </row>
    <row r="57" spans="1:6">
      <c r="A57" s="664" t="s">
        <v>560</v>
      </c>
      <c r="B57" s="664" t="str">
        <f>INDEX(Move_Out_Reasons!D:D,MATCH(A57,Move_Out_Reasons!B:B,0))</f>
        <v>Dominguez, Amanda</v>
      </c>
      <c r="C57" s="665">
        <f>INDEX(Move_Out_Reasons!M:M,MATCH(A57,Move_Out_Reasons!B:B,0))</f>
        <v>193.16</v>
      </c>
      <c r="D57" s="665"/>
      <c r="E57" s="664" t="str">
        <f>INDEX(Move_Out_Reasons!H:H,MATCH(A57,Move_Out_Reasons!B:B,0))</f>
        <v>Moving out of state</v>
      </c>
      <c r="F57" s="664" t="s">
        <v>858</v>
      </c>
    </row>
    <row r="58" spans="1:6">
      <c r="A58" s="651" t="s">
        <v>891</v>
      </c>
      <c r="B58" s="651" t="str">
        <f>INDEX(Move_Out_Reasons!D:D,MATCH(A58,Move_Out_Reasons!B:B,0))</f>
        <v>Diaz, Noemi</v>
      </c>
      <c r="C58" s="652">
        <f>INDEX(Move_Out_Reasons!M:M,MATCH(A58,Move_Out_Reasons!B:B,0))</f>
        <v>242.16</v>
      </c>
      <c r="D58" s="652"/>
      <c r="E58" s="651" t="str">
        <f>INDEX(Move_Out_Reasons!H:H,MATCH(A58,Move_Out_Reasons!B:B,0))</f>
        <v>Rental Increase</v>
      </c>
      <c r="F58" s="651" t="s">
        <v>858</v>
      </c>
    </row>
    <row r="59" spans="1:6">
      <c r="A59" s="664" t="s">
        <v>892</v>
      </c>
      <c r="B59" s="664" t="str">
        <f>INDEX(Move_Out_Reasons!D:D,MATCH(A59,Move_Out_Reasons!B:B,0))</f>
        <v>Sunday, Akinola</v>
      </c>
      <c r="C59" s="665">
        <f>INDEX(Move_Out_Reasons!M:M,MATCH(A59,Move_Out_Reasons!B:B,0))</f>
        <v>0</v>
      </c>
      <c r="D59" s="665"/>
      <c r="E59" s="664" t="str">
        <f>INDEX(Move_Out_Reasons!H:H,MATCH(A59,Move_Out_Reasons!B:B,0))</f>
        <v>Job Transfer / Lost Job</v>
      </c>
      <c r="F59" s="664" t="s">
        <v>858</v>
      </c>
    </row>
    <row r="60" spans="1:6">
      <c r="A60" s="651" t="s">
        <v>893</v>
      </c>
      <c r="B60" s="651" t="str">
        <f>INDEX(Move_Out_Reasons!D:D,MATCH(A60,Move_Out_Reasons!B:B,0))</f>
        <v>Beltran, Rosio</v>
      </c>
      <c r="C60" s="652">
        <f>INDEX(Move_Out_Reasons!M:M,MATCH(A60,Move_Out_Reasons!B:B,0))</f>
        <v>150.68</v>
      </c>
      <c r="D60" s="652"/>
      <c r="E60" s="651" t="str">
        <f>INDEX(Move_Out_Reasons!H:H,MATCH(A60,Move_Out_Reasons!B:B,0))</f>
        <v>Job Transfer / Lost Job</v>
      </c>
      <c r="F60" s="651" t="s">
        <v>858</v>
      </c>
    </row>
    <row r="61" spans="1:6">
      <c r="A61" s="664" t="s">
        <v>894</v>
      </c>
      <c r="B61" s="664" t="str">
        <f>INDEX(Move_Out_Reasons!D:D,MATCH(A61,Move_Out_Reasons!B:B,0))</f>
        <v>Nwosu, Michael</v>
      </c>
      <c r="C61" s="665">
        <f>INDEX(Move_Out_Reasons!M:M,MATCH(A61,Move_Out_Reasons!B:B,0))</f>
        <v>0</v>
      </c>
      <c r="D61" s="665"/>
      <c r="E61" s="664" t="str">
        <f>INDEX(Move_Out_Reasons!H:H,MATCH(A61,Move_Out_Reasons!B:B,0))</f>
        <v>Skipped Without Notice</v>
      </c>
      <c r="F61" s="664" t="s">
        <v>858</v>
      </c>
    </row>
    <row r="62" spans="1:6">
      <c r="A62" s="651" t="s">
        <v>895</v>
      </c>
      <c r="B62" s="651" t="str">
        <f>INDEX(Move_Out_Reasons!D:D,MATCH(A62,Move_Out_Reasons!B:B,0))</f>
        <v>Adeoye, Emmanuel</v>
      </c>
      <c r="C62" s="652">
        <f>INDEX(Move_Out_Reasons!M:M,MATCH(A62,Move_Out_Reasons!B:B,0))</f>
        <v>118.22</v>
      </c>
      <c r="D62" s="652"/>
      <c r="E62" s="651" t="str">
        <f>INDEX(Move_Out_Reasons!H:H,MATCH(A62,Move_Out_Reasons!B:B,0))</f>
        <v>Maintenance Issue in Unit</v>
      </c>
      <c r="F62" s="651" t="s">
        <v>858</v>
      </c>
    </row>
    <row r="63" spans="1:6">
      <c r="A63" s="664" t="s">
        <v>896</v>
      </c>
      <c r="B63" s="664" t="str">
        <f>INDEX(Move_Out_Reasons!D:D,MATCH(A63,Move_Out_Reasons!B:B,0))</f>
        <v>Ihenyen, Jude</v>
      </c>
      <c r="C63" s="665">
        <f>INDEX(Move_Out_Reasons!M:M,MATCH(A63,Move_Out_Reasons!B:B,0))</f>
        <v>103.61</v>
      </c>
      <c r="D63" s="665"/>
      <c r="E63" s="664" t="str">
        <f>INDEX(Move_Out_Reasons!H:H,MATCH(A63,Move_Out_Reasons!B:B,0))</f>
        <v>Job Transfer / Lost Job</v>
      </c>
      <c r="F63" s="664" t="s">
        <v>858</v>
      </c>
    </row>
    <row r="64" spans="1:6">
      <c r="A64" s="651" t="s">
        <v>897</v>
      </c>
      <c r="B64" s="651" t="str">
        <f>INDEX(Move_Out_Reasons!D:D,MATCH(A64,Move_Out_Reasons!B:B,0))</f>
        <v>Aguilera, Angelica</v>
      </c>
      <c r="C64" s="652">
        <f>INDEX(Move_Out_Reasons!M:M,MATCH(A64,Move_Out_Reasons!B:B,0))</f>
        <v>93.02</v>
      </c>
      <c r="D64" s="652"/>
      <c r="E64" s="651" t="str">
        <f>INDEX(Move_Out_Reasons!H:H,MATCH(A64,Move_Out_Reasons!B:B,0))</f>
        <v>Job Transfer / Lost Job</v>
      </c>
      <c r="F64" s="651" t="s">
        <v>858</v>
      </c>
    </row>
    <row r="65" spans="1:6">
      <c r="A65" s="664" t="s">
        <v>898</v>
      </c>
      <c r="B65" s="664" t="str">
        <f>INDEX(Move_Out_Reasons!D:D,MATCH(A65,Move_Out_Reasons!B:B,0))</f>
        <v>Ofili, Bukunmi</v>
      </c>
      <c r="C65" s="665">
        <f>INDEX(Move_Out_Reasons!M:M,MATCH(A65,Move_Out_Reasons!B:B,0))</f>
        <v>0</v>
      </c>
      <c r="D65" s="665"/>
      <c r="E65" s="664" t="str">
        <f>INDEX(Move_Out_Reasons!H:H,MATCH(A65,Move_Out_Reasons!B:B,0))</f>
        <v>Need Larger Apartment</v>
      </c>
      <c r="F65" s="664" t="s">
        <v>858</v>
      </c>
    </row>
    <row r="66" spans="1:6">
      <c r="A66" s="651" t="s">
        <v>899</v>
      </c>
      <c r="B66" s="651" t="str">
        <f>INDEX(Move_Out_Reasons!D:D,MATCH(A66,Move_Out_Reasons!B:B,0))</f>
        <v>Fairley, Azreal</v>
      </c>
      <c r="C66" s="652">
        <f>INDEX(Move_Out_Reasons!M:M,MATCH(A66,Move_Out_Reasons!B:B,0))</f>
        <v>62.6</v>
      </c>
      <c r="D66" s="652"/>
      <c r="E66" s="651" t="str">
        <f>INDEX(Move_Out_Reasons!H:H,MATCH(A66,Move_Out_Reasons!B:B,0))</f>
        <v>Skipped Without Notice</v>
      </c>
      <c r="F66" s="651" t="s">
        <v>858</v>
      </c>
    </row>
    <row r="67" spans="1:6">
      <c r="A67" s="651" t="s">
        <v>1643</v>
      </c>
      <c r="B67" s="651" t="str">
        <f>INDEX(Move_Out_Reasons!D:D,MATCH(A67,Move_Out_Reasons!B:B,0))</f>
        <v>Brown, Nicole</v>
      </c>
      <c r="C67" s="652">
        <f>INDEX(Move_Out_Reasons!M:M,MATCH(A67,Move_Out_Reasons!B:B,0))</f>
        <v>13768.56</v>
      </c>
      <c r="D67" s="652"/>
      <c r="E67" s="651" t="str">
        <f>INDEX(Move_Out_Reasons!H:H,MATCH(A67,Move_Out_Reasons!B:B,0))</f>
        <v>Skipped During Eviction</v>
      </c>
      <c r="F67" s="651" t="s">
        <v>858</v>
      </c>
    </row>
    <row r="68" spans="1:6">
      <c r="A68" s="651" t="s">
        <v>1781</v>
      </c>
      <c r="B68" s="651" t="str">
        <f>INDEX(Move_Out_Reasons!D:D,MATCH(A68,Move_Out_Reasons!B:B,0))</f>
        <v>Miller, Faye</v>
      </c>
      <c r="C68" s="652">
        <f>INDEX(Move_Out_Reasons!M:M,MATCH(A68,Move_Out_Reasons!B:B,0))</f>
        <v>13609.69</v>
      </c>
      <c r="D68" s="652"/>
      <c r="E68" s="651" t="str">
        <f>INDEX(Move_Out_Reasons!H:H,MATCH(A68,Move_Out_Reasons!B:B,0))</f>
        <v>Skipped During Eviction</v>
      </c>
      <c r="F68" s="651" t="s">
        <v>858</v>
      </c>
    </row>
    <row r="69" spans="1:6">
      <c r="A69" s="651" t="s">
        <v>1822</v>
      </c>
      <c r="B69" s="651" t="str">
        <f>INDEX(Move_Out_Reasons!D:D,MATCH(A69,Move_Out_Reasons!B:B,0))</f>
        <v>Oladejo, Olufemi</v>
      </c>
      <c r="C69" s="652">
        <f>INDEX(Move_Out_Reasons!M:M,MATCH(A69,Move_Out_Reasons!B:B,0))</f>
        <v>11673.18</v>
      </c>
      <c r="D69" s="652"/>
      <c r="E69" s="651" t="str">
        <f>INDEX(Move_Out_Reasons!H:H,MATCH(A69,Move_Out_Reasons!B:B,0))</f>
        <v>Skipped Without Notice</v>
      </c>
      <c r="F69" s="651" t="s">
        <v>858</v>
      </c>
    </row>
    <row r="70" spans="1:6">
      <c r="A70" s="651" t="s">
        <v>1724</v>
      </c>
      <c r="B70" s="651" t="str">
        <f>INDEX(Move_Out_Reasons!D:D,MATCH(A70,Move_Out_Reasons!B:B,0))</f>
        <v>Contreras, Rocio</v>
      </c>
      <c r="C70" s="652">
        <f>INDEX(Move_Out_Reasons!M:M,MATCH(A70,Move_Out_Reasons!B:B,0))</f>
        <v>8402.24</v>
      </c>
      <c r="D70" s="652"/>
      <c r="E70" s="651" t="str">
        <f>INDEX(Move_Out_Reasons!H:H,MATCH(A70,Move_Out_Reasons!B:B,0))</f>
        <v>Skipped During Eviction</v>
      </c>
      <c r="F70" s="651" t="s">
        <v>858</v>
      </c>
    </row>
    <row r="71" spans="1:6">
      <c r="A71" s="651" t="s">
        <v>1730</v>
      </c>
      <c r="B71" s="651" t="str">
        <f>INDEX(Move_Out_Reasons!D:D,MATCH(A71,Move_Out_Reasons!B:B,0))</f>
        <v>Williams, Latesha</v>
      </c>
      <c r="C71" s="652">
        <f>INDEX(Move_Out_Reasons!M:M,MATCH(A71,Move_Out_Reasons!B:B,0))</f>
        <v>8376.2000000000007</v>
      </c>
      <c r="D71" s="652"/>
      <c r="E71" s="651" t="str">
        <f>INDEX(Move_Out_Reasons!H:H,MATCH(A71,Move_Out_Reasons!B:B,0))</f>
        <v>Skipped During Eviction</v>
      </c>
      <c r="F71" s="651" t="s">
        <v>858</v>
      </c>
    </row>
    <row r="72" spans="1:6">
      <c r="A72" s="651" t="s">
        <v>1739</v>
      </c>
      <c r="B72" s="651" t="str">
        <f>INDEX(Move_Out_Reasons!D:D,MATCH(A72,Move_Out_Reasons!B:B,0))</f>
        <v>Smiley, Brianca</v>
      </c>
      <c r="C72" s="652">
        <f>INDEX(Move_Out_Reasons!M:M,MATCH(A72,Move_Out_Reasons!B:B,0))</f>
        <v>8354.07</v>
      </c>
      <c r="D72" s="652"/>
      <c r="E72" s="651" t="str">
        <f>INDEX(Move_Out_Reasons!H:H,MATCH(A72,Move_Out_Reasons!B:B,0))</f>
        <v>Skipped During Eviction</v>
      </c>
      <c r="F72" s="651" t="s">
        <v>858</v>
      </c>
    </row>
    <row r="73" spans="1:6">
      <c r="A73" s="651" t="s">
        <v>1665</v>
      </c>
      <c r="B73" s="651" t="str">
        <f>INDEX(Move_Out_Reasons!D:D,MATCH(A73,Move_Out_Reasons!B:B,0))</f>
        <v>Antony, Tyler</v>
      </c>
      <c r="C73" s="652">
        <f>INDEX(Move_Out_Reasons!M:M,MATCH(A73,Move_Out_Reasons!B:B,0))</f>
        <v>8144.06</v>
      </c>
      <c r="D73" s="652"/>
      <c r="E73" s="651" t="str">
        <f>INDEX(Move_Out_Reasons!H:H,MATCH(A73,Move_Out_Reasons!B:B,0))</f>
        <v>Skipped Without Notice</v>
      </c>
      <c r="F73" s="651" t="s">
        <v>858</v>
      </c>
    </row>
    <row r="74" spans="1:6">
      <c r="A74" s="651" t="s">
        <v>1737</v>
      </c>
      <c r="B74" s="651" t="str">
        <f>INDEX(Move_Out_Reasons!D:D,MATCH(A74,Move_Out_Reasons!B:B,0))</f>
        <v>Smith, Katera</v>
      </c>
      <c r="C74" s="652">
        <f>INDEX(Move_Out_Reasons!M:M,MATCH(A74,Move_Out_Reasons!B:B,0))</f>
        <v>7202.71</v>
      </c>
      <c r="D74" s="652"/>
      <c r="E74" s="651" t="str">
        <f>INDEX(Move_Out_Reasons!H:H,MATCH(A74,Move_Out_Reasons!B:B,0))</f>
        <v>Skipped During Eviction</v>
      </c>
      <c r="F74" s="651" t="s">
        <v>858</v>
      </c>
    </row>
    <row r="75" spans="1:6">
      <c r="A75" s="651" t="s">
        <v>1684</v>
      </c>
      <c r="B75" s="651" t="str">
        <f>INDEX(Move_Out_Reasons!D:D,MATCH(A75,Move_Out_Reasons!B:B,0))</f>
        <v>Farrell, Krystal</v>
      </c>
      <c r="C75" s="652">
        <f>INDEX(Move_Out_Reasons!M:M,MATCH(A75,Move_Out_Reasons!B:B,0))</f>
        <v>7197.72</v>
      </c>
      <c r="D75" s="652"/>
      <c r="E75" s="651" t="str">
        <f>INDEX(Move_Out_Reasons!H:H,MATCH(A75,Move_Out_Reasons!B:B,0))</f>
        <v>Failure To Pay</v>
      </c>
      <c r="F75" s="651" t="s">
        <v>858</v>
      </c>
    </row>
    <row r="76" spans="1:6">
      <c r="A76" s="651" t="s">
        <v>1722</v>
      </c>
      <c r="B76" s="651" t="str">
        <f>INDEX(Move_Out_Reasons!D:D,MATCH(A76,Move_Out_Reasons!B:B,0))</f>
        <v>Asuncion, Eustacio</v>
      </c>
      <c r="C76" s="652">
        <f>INDEX(Move_Out_Reasons!M:M,MATCH(A76,Move_Out_Reasons!B:B,0))</f>
        <v>6455.43</v>
      </c>
      <c r="D76" s="652"/>
      <c r="E76" s="651" t="str">
        <f>INDEX(Move_Out_Reasons!H:H,MATCH(A76,Move_Out_Reasons!B:B,0))</f>
        <v>Skipped Without Notice</v>
      </c>
      <c r="F76" s="651" t="s">
        <v>858</v>
      </c>
    </row>
    <row r="77" spans="1:6">
      <c r="A77" s="651" t="s">
        <v>1770</v>
      </c>
      <c r="B77" s="651" t="str">
        <f>INDEX(Move_Out_Reasons!D:D,MATCH(A77,Move_Out_Reasons!B:B,0))</f>
        <v>Hugo Gonzalez, Jose</v>
      </c>
      <c r="C77" s="652">
        <f>INDEX(Move_Out_Reasons!M:M,MATCH(A77,Move_Out_Reasons!B:B,0))</f>
        <v>6480.04</v>
      </c>
      <c r="D77" s="652"/>
      <c r="E77" s="651" t="str">
        <f>INDEX(Move_Out_Reasons!H:H,MATCH(A77,Move_Out_Reasons!B:B,0))</f>
        <v>Skipped Without Notice</v>
      </c>
      <c r="F77" s="651" t="s">
        <v>858</v>
      </c>
    </row>
    <row r="78" spans="1:6">
      <c r="A78" s="651" t="s">
        <v>1800</v>
      </c>
      <c r="B78" s="651" t="str">
        <f>INDEX(Move_Out_Reasons!D:D,MATCH(A78,Move_Out_Reasons!B:B,0))</f>
        <v>Brown, Tamiko</v>
      </c>
      <c r="C78" s="652">
        <f>INDEX(Move_Out_Reasons!M:M,MATCH(A78,Move_Out_Reasons!B:B,0))</f>
        <v>7786.81</v>
      </c>
      <c r="D78" s="652"/>
      <c r="E78" s="651" t="str">
        <f>INDEX(Move_Out_Reasons!H:H,MATCH(A78,Move_Out_Reasons!B:B,0))</f>
        <v>Non-Renewal (by Property)</v>
      </c>
      <c r="F78" s="651" t="s">
        <v>858</v>
      </c>
    </row>
    <row r="79" spans="1:6">
      <c r="A79" s="651" t="s">
        <v>1825</v>
      </c>
      <c r="B79" s="651" t="str">
        <f>INDEX(Move_Out_Reasons!D:D,MATCH(A79,Move_Out_Reasons!B:B,0))</f>
        <v>Pinto, Arlin</v>
      </c>
      <c r="C79" s="652">
        <f>INDEX(Move_Out_Reasons!M:M,MATCH(A79,Move_Out_Reasons!B:B,0))</f>
        <v>6235.59</v>
      </c>
      <c r="D79" s="652"/>
      <c r="E79" s="651" t="str">
        <f>INDEX(Move_Out_Reasons!H:H,MATCH(A79,Move_Out_Reasons!B:B,0))</f>
        <v>Skipped Without Notice</v>
      </c>
      <c r="F79" s="651" t="s">
        <v>858</v>
      </c>
    </row>
    <row r="80" spans="1:6">
      <c r="A80" s="651" t="s">
        <v>1764</v>
      </c>
      <c r="B80" s="651" t="str">
        <f>INDEX(Move_Out_Reasons!D:D,MATCH(A80,Move_Out_Reasons!B:B,0))</f>
        <v>Tinoco, Jonathan</v>
      </c>
      <c r="C80" s="652">
        <f>INDEX(Move_Out_Reasons!M:M,MATCH(A80,Move_Out_Reasons!B:B,0))</f>
        <v>1593.57</v>
      </c>
      <c r="D80" s="652"/>
      <c r="E80" s="651" t="str">
        <f>INDEX(Move_Out_Reasons!H:H,MATCH(A80,Move_Out_Reasons!B:B,0))</f>
        <v>Moving Out of Area</v>
      </c>
      <c r="F80" s="651" t="s">
        <v>858</v>
      </c>
    </row>
    <row r="81" spans="1:6">
      <c r="A81" s="651" t="s">
        <v>1680</v>
      </c>
      <c r="B81" s="651" t="str">
        <f>INDEX(Move_Out_Reasons!D:D,MATCH(A81,Move_Out_Reasons!B:B,0))</f>
        <v>Brown, Ronald</v>
      </c>
      <c r="C81" s="652">
        <f>INDEX(Move_Out_Reasons!M:M,MATCH(A81,Move_Out_Reasons!B:B,0))</f>
        <v>1546.51</v>
      </c>
      <c r="D81" s="652"/>
      <c r="E81" s="651" t="str">
        <f>INDEX(Move_Out_Reasons!H:H,MATCH(A81,Move_Out_Reasons!B:B,0))</f>
        <v>Skipped Without Notice</v>
      </c>
      <c r="F81" s="651" t="s">
        <v>858</v>
      </c>
    </row>
    <row r="82" spans="1:6">
      <c r="A82" s="651" t="s">
        <v>1808</v>
      </c>
      <c r="B82" s="651" t="str">
        <f>INDEX(Move_Out_Reasons!D:D,MATCH(A82,Move_Out_Reasons!B:B,0))</f>
        <v>Moya, Cherilyn</v>
      </c>
      <c r="C82" s="652">
        <f>INDEX(Move_Out_Reasons!M:M,MATCH(A82,Move_Out_Reasons!B:B,0))</f>
        <v>2650.6</v>
      </c>
      <c r="D82" s="652"/>
      <c r="E82" s="651" t="str">
        <f>INDEX(Move_Out_Reasons!H:H,MATCH(A82,Move_Out_Reasons!B:B,0))</f>
        <v>Skipped Without Notice</v>
      </c>
      <c r="F82" s="651" t="s">
        <v>858</v>
      </c>
    </row>
    <row r="83" spans="1:6">
      <c r="A83" s="651" t="s">
        <v>1735</v>
      </c>
      <c r="B83" s="651" t="str">
        <f>INDEX(Move_Out_Reasons!D:D,MATCH(A83,Move_Out_Reasons!B:B,0))</f>
        <v>Lee, Nikiya</v>
      </c>
      <c r="C83" s="652">
        <f>INDEX(Move_Out_Reasons!M:M,MATCH(A83,Move_Out_Reasons!B:B,0))</f>
        <v>2084.2600000000002</v>
      </c>
      <c r="D83" s="652"/>
      <c r="E83" s="651" t="str">
        <f>INDEX(Move_Out_Reasons!H:H,MATCH(A83,Move_Out_Reasons!B:B,0))</f>
        <v>Relationship / Marital Change</v>
      </c>
      <c r="F83" s="651" t="s">
        <v>858</v>
      </c>
    </row>
    <row r="84" spans="1:6">
      <c r="A84" s="651" t="s">
        <v>1785</v>
      </c>
      <c r="B84" s="651" t="str">
        <f>INDEX(Move_Out_Reasons!D:D,MATCH(A84,Move_Out_Reasons!B:B,0))</f>
        <v>Babatope, Fakuade</v>
      </c>
      <c r="C84" s="652">
        <f>INDEX(Move_Out_Reasons!M:M,MATCH(A84,Move_Out_Reasons!B:B,0))</f>
        <v>1697.22</v>
      </c>
      <c r="D84" s="652"/>
      <c r="E84" s="651" t="str">
        <f>INDEX(Move_Out_Reasons!H:H,MATCH(A84,Move_Out_Reasons!B:B,0))</f>
        <v>Moving Out of Area</v>
      </c>
      <c r="F84" s="651" t="s">
        <v>858</v>
      </c>
    </row>
    <row r="85" spans="1:6">
      <c r="A85" s="651" t="s">
        <v>1760</v>
      </c>
      <c r="B85" s="651" t="str">
        <f>INDEX(Move_Out_Reasons!D:D,MATCH(A85,Move_Out_Reasons!B:B,0))</f>
        <v>Rojas, Mari</v>
      </c>
      <c r="C85" s="652">
        <f>INDEX(Move_Out_Reasons!M:M,MATCH(A85,Move_Out_Reasons!B:B,0))</f>
        <v>1223.83</v>
      </c>
      <c r="D85" s="652"/>
      <c r="E85" s="651" t="str">
        <f>INDEX(Move_Out_Reasons!H:H,MATCH(A85,Move_Out_Reasons!B:B,0))</f>
        <v>Too Far From Work</v>
      </c>
      <c r="F85" s="651" t="s">
        <v>858</v>
      </c>
    </row>
    <row r="86" spans="1:6">
      <c r="A86" s="651" t="s">
        <v>1140</v>
      </c>
      <c r="B86" s="651" t="str">
        <f>INDEX(Move_Out_Reasons!D:D,MATCH(A86,Move_Out_Reasons!B:B,0))</f>
        <v>Fonwo, Nicholas</v>
      </c>
      <c r="C86" s="652">
        <f>INDEX(Move_Out_Reasons!M:M,MATCH(A86,Move_Out_Reasons!B:B,0))</f>
        <v>1099.25</v>
      </c>
      <c r="D86" s="652"/>
      <c r="E86" s="651" t="str">
        <f>INDEX(Move_Out_Reasons!H:H,MATCH(A86,Move_Out_Reasons!B:B,0))</f>
        <v>Moving Out of Area</v>
      </c>
      <c r="F86" s="651" t="s">
        <v>858</v>
      </c>
    </row>
    <row r="87" spans="1:6">
      <c r="A87" s="651" t="s">
        <v>1877</v>
      </c>
      <c r="B87" s="651" t="str">
        <f>INDEX(Move_Out_Reasons!D:D,MATCH(A87,Move_Out_Reasons!B:B,0))</f>
        <v>Lennan, Trevion</v>
      </c>
      <c r="C87" s="652">
        <f>INDEX(Move_Out_Reasons!M:M,MATCH(A87,Move_Out_Reasons!B:B,0))</f>
        <v>1079.67</v>
      </c>
      <c r="D87" s="652"/>
      <c r="E87" s="651" t="str">
        <f>INDEX(Move_Out_Reasons!H:H,MATCH(A87,Move_Out_Reasons!B:B,0))</f>
        <v>Transfer On-Site</v>
      </c>
      <c r="F87" s="651" t="s">
        <v>858</v>
      </c>
    </row>
    <row r="88" spans="1:6">
      <c r="A88" s="651" t="s">
        <v>1655</v>
      </c>
      <c r="B88" s="651" t="str">
        <f>INDEX(Move_Out_Reasons!D:D,MATCH(A88,Move_Out_Reasons!B:B,0))</f>
        <v>Alejandro, Victor</v>
      </c>
      <c r="C88" s="652">
        <f>INDEX(Move_Out_Reasons!M:M,MATCH(A88,Move_Out_Reasons!B:B,0))</f>
        <v>1015.84</v>
      </c>
      <c r="D88" s="652"/>
      <c r="E88" s="651" t="str">
        <f>INDEX(Move_Out_Reasons!H:H,MATCH(A88,Move_Out_Reasons!B:B,0))</f>
        <v>Maintenance Issue in Unit</v>
      </c>
      <c r="F88" s="651" t="s">
        <v>858</v>
      </c>
    </row>
    <row r="89" spans="1:6">
      <c r="A89" s="651" t="s">
        <v>1862</v>
      </c>
      <c r="B89" s="651" t="str">
        <f>INDEX(Move_Out_Reasons!D:D,MATCH(A89,Move_Out_Reasons!B:B,0))</f>
        <v>Roof, Earl</v>
      </c>
      <c r="C89" s="652">
        <f>INDEX(Move_Out_Reasons!M:M,MATCH(A89,Move_Out_Reasons!B:B,0))</f>
        <v>1029.1300000000001</v>
      </c>
      <c r="D89" s="652"/>
      <c r="E89" s="651" t="str">
        <f>INDEX(Move_Out_Reasons!H:H,MATCH(A89,Move_Out_Reasons!B:B,0))</f>
        <v>Skipped Without Notice</v>
      </c>
      <c r="F89" s="651" t="s">
        <v>858</v>
      </c>
    </row>
    <row r="90" spans="1:6">
      <c r="A90" s="651" t="s">
        <v>1816</v>
      </c>
      <c r="B90" s="651" t="str">
        <f>INDEX(Move_Out_Reasons!D:D,MATCH(A90,Move_Out_Reasons!B:B,0))</f>
        <v>Rodriguez, Daniel</v>
      </c>
      <c r="C90" s="652">
        <f>INDEX(Move_Out_Reasons!M:M,MATCH(A90,Move_Out_Reasons!B:B,0))</f>
        <v>777.49</v>
      </c>
      <c r="D90" s="652"/>
      <c r="E90" s="651" t="str">
        <f>INDEX(Move_Out_Reasons!H:H,MATCH(A90,Move_Out_Reasons!B:B,0))</f>
        <v>Relationship / Marital Change</v>
      </c>
      <c r="F90" s="651" t="s">
        <v>858</v>
      </c>
    </row>
    <row r="91" spans="1:6">
      <c r="A91" s="651" t="s">
        <v>1873</v>
      </c>
      <c r="B91" s="651" t="str">
        <f>INDEX(Move_Out_Reasons!D:D,MATCH(A91,Move_Out_Reasons!B:B,0))</f>
        <v>Rodriguez, Mariela</v>
      </c>
      <c r="C91" s="652">
        <f>INDEX(Move_Out_Reasons!M:M,MATCH(A91,Move_Out_Reasons!B:B,0))</f>
        <v>437.21</v>
      </c>
      <c r="D91" s="652"/>
      <c r="E91" s="651" t="str">
        <f>INDEX(Move_Out_Reasons!H:H,MATCH(A91,Move_Out_Reasons!B:B,0))</f>
        <v>Need Larger Apartment</v>
      </c>
      <c r="F91" s="651" t="s">
        <v>858</v>
      </c>
    </row>
    <row r="92" spans="1:6">
      <c r="A92" s="651" t="s">
        <v>1748</v>
      </c>
      <c r="B92" s="651" t="str">
        <f>INDEX(Move_Out_Reasons!D:D,MATCH(A92,Move_Out_Reasons!B:B,0))</f>
        <v>Kayse, Edioye</v>
      </c>
      <c r="C92" s="652">
        <f>INDEX(Move_Out_Reasons!M:M,MATCH(A92,Move_Out_Reasons!B:B,0))</f>
        <v>1345.98</v>
      </c>
      <c r="D92" s="652"/>
      <c r="E92" s="651" t="str">
        <f>INDEX(Move_Out_Reasons!H:H,MATCH(A92,Move_Out_Reasons!B:B,0))</f>
        <v>Non-Renewal (by Property)</v>
      </c>
      <c r="F92" s="651" t="s">
        <v>858</v>
      </c>
    </row>
    <row r="93" spans="1:6">
      <c r="A93" s="651" t="s">
        <v>1777</v>
      </c>
      <c r="B93" s="651" t="str">
        <f>INDEX(Move_Out_Reasons!D:D,MATCH(A93,Move_Out_Reasons!B:B,0))</f>
        <v>Mendoza, Karina</v>
      </c>
      <c r="C93" s="652">
        <f>INDEX(Move_Out_Reasons!M:M,MATCH(A93,Move_Out_Reasons!B:B,0))</f>
        <v>835.45</v>
      </c>
      <c r="D93" s="652"/>
      <c r="E93" s="651" t="str">
        <f>INDEX(Move_Out_Reasons!H:H,MATCH(A93,Move_Out_Reasons!B:B,0))</f>
        <v>Financial Difficulties</v>
      </c>
      <c r="F93" s="651" t="s">
        <v>858</v>
      </c>
    </row>
    <row r="94" spans="1:6">
      <c r="A94" s="651" t="s">
        <v>1833</v>
      </c>
      <c r="B94" s="651" t="str">
        <f>INDEX(Move_Out_Reasons!D:D,MATCH(A94,Move_Out_Reasons!B:B,0))</f>
        <v>Anchondo, Damian</v>
      </c>
      <c r="C94" s="652">
        <f>INDEX(Move_Out_Reasons!M:M,MATCH(A94,Move_Out_Reasons!B:B,0))</f>
        <v>3057.7</v>
      </c>
      <c r="D94" s="652"/>
      <c r="E94" s="651" t="str">
        <f>INDEX(Move_Out_Reasons!H:H,MATCH(A94,Move_Out_Reasons!B:B,0))</f>
        <v>Skipped Without Notice</v>
      </c>
      <c r="F94" s="651" t="s">
        <v>858</v>
      </c>
    </row>
    <row r="95" spans="1:6">
      <c r="A95" s="651" t="s">
        <v>1699</v>
      </c>
      <c r="B95" s="651" t="str">
        <f>INDEX(Move_Out_Reasons!D:D,MATCH(A95,Move_Out_Reasons!B:B,0))</f>
        <v>Hernandez, Andres</v>
      </c>
      <c r="C95" s="652">
        <f>INDEX(Move_Out_Reasons!M:M,MATCH(A95,Move_Out_Reasons!B:B,0))</f>
        <v>935.18</v>
      </c>
      <c r="D95" s="652"/>
      <c r="E95" s="651" t="str">
        <f>INDEX(Move_Out_Reasons!H:H,MATCH(A95,Move_Out_Reasons!B:B,0))</f>
        <v>Skipped Without Notice</v>
      </c>
      <c r="F95" s="651" t="s">
        <v>858</v>
      </c>
    </row>
    <row r="96" spans="1:6">
      <c r="A96" s="651" t="s">
        <v>5921</v>
      </c>
      <c r="B96" s="651" t="str">
        <f>INDEX(Move_Out_Reasons!D:D,MATCH(A96,Move_Out_Reasons!B:B,0))</f>
        <v>Gang, Xie</v>
      </c>
      <c r="C96" s="652">
        <f>INDEX(Move_Out_Reasons!M:M,MATCH(A96,Move_Out_Reasons!B:B,0))</f>
        <v>156.47</v>
      </c>
      <c r="D96" s="652"/>
      <c r="E96" s="651" t="str">
        <f>INDEX(Move_Out_Reasons!H:H,MATCH(A96,Move_Out_Reasons!B:B,0))</f>
        <v>Moving out of state</v>
      </c>
      <c r="F96" s="651" t="s">
        <v>858</v>
      </c>
    </row>
    <row r="97" spans="1:6">
      <c r="A97" s="651" t="s">
        <v>3111</v>
      </c>
      <c r="B97" s="651" t="str">
        <f>INDEX(Move_Out_Reasons!D:D,MATCH(A97,Move_Out_Reasons!B:B,0))</f>
        <v>Wilcox, Heidi</v>
      </c>
      <c r="C97" s="652">
        <f>INDEX(Move_Out_Reasons!M:M,MATCH(A97,Move_Out_Reasons!B:B,0))</f>
        <v>107.53</v>
      </c>
      <c r="D97" s="652"/>
      <c r="E97" s="651" t="str">
        <f>INDEX(Move_Out_Reasons!H:H,MATCH(A97,Move_Out_Reasons!B:B,0))</f>
        <v>Rental Increase</v>
      </c>
      <c r="F97" s="651" t="s">
        <v>858</v>
      </c>
    </row>
    <row r="98" spans="1:6">
      <c r="A98" s="651" t="s">
        <v>6007</v>
      </c>
      <c r="B98" s="651" t="str">
        <f>INDEX(Move_Out_Reasons!D:D,MATCH(A98,Move_Out_Reasons!B:B,0))</f>
        <v>Barriga, Yanheli</v>
      </c>
      <c r="C98" s="652">
        <f>INDEX(Move_Out_Reasons!M:M,MATCH(A98,Move_Out_Reasons!B:B,0))</f>
        <v>325.70999999999998</v>
      </c>
      <c r="D98" s="652"/>
      <c r="E98" s="651" t="str">
        <f>INDEX(Move_Out_Reasons!H:H,MATCH(A98,Move_Out_Reasons!B:B,0))</f>
        <v>Unhappy w/ Neighbors</v>
      </c>
      <c r="F98" s="651" t="s">
        <v>858</v>
      </c>
    </row>
    <row r="99" spans="1:6">
      <c r="A99" s="651" t="s">
        <v>1841</v>
      </c>
      <c r="B99" s="651" t="str">
        <f>INDEX(Move_Out_Reasons!D:D,MATCH(A99,Move_Out_Reasons!B:B,0))</f>
        <v>Newman, Alexandria</v>
      </c>
      <c r="C99" s="652">
        <f>INDEX(Move_Out_Reasons!M:M,MATCH(A99,Move_Out_Reasons!B:B,0))</f>
        <v>290</v>
      </c>
      <c r="D99" s="652"/>
      <c r="E99" s="651" t="str">
        <f>INDEX(Move_Out_Reasons!H:H,MATCH(A99,Move_Out_Reasons!B:B,0))</f>
        <v>Rented House</v>
      </c>
      <c r="F99" s="651" t="s">
        <v>858</v>
      </c>
    </row>
    <row r="100" spans="1:6">
      <c r="A100" s="651" t="s">
        <v>5388</v>
      </c>
      <c r="B100" s="651" t="str">
        <f>INDEX(Move_Out_Reasons!D:D,MATCH(A100,Move_Out_Reasons!B:B,0))</f>
        <v>Olaniran, Oluwafikaunyomi</v>
      </c>
      <c r="C100" s="652">
        <f>INDEX(Move_Out_Reasons!M:M,MATCH(A100,Move_Out_Reasons!B:B,0))</f>
        <v>-626.03</v>
      </c>
      <c r="D100" s="652"/>
      <c r="E100" s="651" t="str">
        <f>INDEX(Move_Out_Reasons!H:H,MATCH(A100,Move_Out_Reasons!B:B,0))</f>
        <v>Skipped Without Notice</v>
      </c>
      <c r="F100" s="651" t="s">
        <v>858</v>
      </c>
    </row>
    <row r="101" spans="1:6" ht="15" thickBot="1">
      <c r="A101" s="651" t="s">
        <v>5742</v>
      </c>
      <c r="B101" s="651" t="str">
        <f>INDEX(Move_Out_Reasons!D:D,MATCH(A101,Move_Out_Reasons!B:B,0))</f>
        <v>Cisse, Oumar</v>
      </c>
      <c r="C101" s="652">
        <f>INDEX(Move_Out_Reasons!M:M,MATCH(A101,Move_Out_Reasons!B:B,0))</f>
        <v>-41</v>
      </c>
      <c r="D101" s="652"/>
      <c r="E101" s="651" t="str">
        <f>INDEX(Move_Out_Reasons!H:H,MATCH(A101,Move_Out_Reasons!B:B,0))</f>
        <v>Relationship / Marital Change</v>
      </c>
      <c r="F101" s="651" t="s">
        <v>858</v>
      </c>
    </row>
    <row r="102" spans="1:6" ht="15" thickBot="1">
      <c r="A102" s="653" t="s">
        <v>291</v>
      </c>
      <c r="B102" s="653" t="str">
        <f>COUNTA(A20:A101)&amp;" Tenants"</f>
        <v>82 Tenants</v>
      </c>
      <c r="C102" s="654">
        <f>SUM(C20:C101)</f>
        <v>261950.74000000008</v>
      </c>
      <c r="D102" s="654">
        <f>SUM(D20:D101)</f>
        <v>56233.16</v>
      </c>
      <c r="E102" s="653"/>
      <c r="F102" s="653"/>
    </row>
    <row r="104" spans="1:6">
      <c r="A104" s="1225" t="s">
        <v>900</v>
      </c>
      <c r="B104" s="1224"/>
      <c r="C104" s="1224"/>
      <c r="D104" s="1224"/>
      <c r="E104" s="1224"/>
      <c r="F104" s="1224"/>
    </row>
    <row r="105" spans="1:6">
      <c r="A105" s="1226" t="s">
        <v>901</v>
      </c>
      <c r="B105" s="1224"/>
      <c r="C105" s="1224"/>
      <c r="D105" s="1224"/>
      <c r="E105" s="1224"/>
      <c r="F105" s="1224"/>
    </row>
    <row r="106" spans="1:6">
      <c r="A106" s="611" t="s">
        <v>294</v>
      </c>
      <c r="B106" s="611" t="s">
        <v>712</v>
      </c>
      <c r="C106" s="611" t="s">
        <v>902</v>
      </c>
      <c r="D106" s="611" t="s">
        <v>903</v>
      </c>
    </row>
    <row r="107" spans="1:6">
      <c r="A107" s="612" t="s">
        <v>904</v>
      </c>
      <c r="B107" s="612">
        <f>B5</f>
        <v>144</v>
      </c>
      <c r="C107" s="631">
        <f>B6</f>
        <v>415894.97</v>
      </c>
      <c r="D107" s="623">
        <f>B107/B107</f>
        <v>1</v>
      </c>
    </row>
    <row r="108" spans="1:6">
      <c r="A108" s="613" t="s">
        <v>905</v>
      </c>
      <c r="B108" s="613">
        <f>B9</f>
        <v>82</v>
      </c>
      <c r="C108" s="632">
        <f>B10</f>
        <v>261950.74000000008</v>
      </c>
      <c r="D108" s="624">
        <f>B108/B107</f>
        <v>0.56944444444444442</v>
      </c>
    </row>
    <row r="109" spans="1:6">
      <c r="A109" s="615" t="s">
        <v>906</v>
      </c>
      <c r="B109" s="615">
        <f>COUNTA(Delinquency_Detail_3!B17:B60)+COUNTA(Delinquency_Detail_3!B64:B96)</f>
        <v>77</v>
      </c>
      <c r="C109" s="633">
        <f>SUM(Delinquency_Detail_3!H17:H60)+SUM(Delinquency_Detail_3!H64:H96)</f>
        <v>431221.85000000003</v>
      </c>
      <c r="D109" s="625">
        <f>B109/B107</f>
        <v>0.53472222222222221</v>
      </c>
    </row>
    <row r="111" spans="1:6">
      <c r="A111" s="1223" t="str">
        <f>"CLEARANCE RATE: "&amp;B108&amp;" of "&amp;B107&amp;" removed ("&amp;TEXT(B108/B107,"0.0%")&amp;" by count) | $"&amp;TEXT(C108,"#,##0")&amp;" of $"&amp;TEXT(C107,"#,##0")&amp;" cleared ("&amp;TEXT(C108/C107,"0.0%")&amp;" by $)"</f>
        <v>CLEARANCE RATE: 82 of 144 removed (56.9% by count) | $261,951 of $415,895 cleared (63.0% by $)</v>
      </c>
      <c r="B111" s="1224"/>
      <c r="C111" s="1224"/>
      <c r="D111" s="1224"/>
      <c r="E111" s="1224"/>
      <c r="F111" s="1224"/>
    </row>
    <row r="113" spans="1:6">
      <c r="A113" s="1227" t="s">
        <v>907</v>
      </c>
      <c r="B113" s="1224"/>
      <c r="C113" s="1224"/>
      <c r="D113" s="1224"/>
      <c r="E113" s="1224"/>
      <c r="F113" s="1224"/>
    </row>
    <row r="114" spans="1:6">
      <c r="A114" s="1226" t="s">
        <v>908</v>
      </c>
      <c r="B114" s="1224"/>
      <c r="C114" s="1224"/>
      <c r="D114" s="1224"/>
      <c r="E114" s="1224"/>
      <c r="F114" s="1224"/>
    </row>
    <row r="116" spans="1:6">
      <c r="A116" s="1223" t="s">
        <v>909</v>
      </c>
      <c r="B116" s="1223"/>
      <c r="C116" s="1223"/>
      <c r="D116" s="1223"/>
      <c r="E116" s="1223"/>
      <c r="F116" s="1223"/>
    </row>
    <row r="117" spans="1:6">
      <c r="A117" s="611" t="s">
        <v>340</v>
      </c>
      <c r="B117" s="611" t="s">
        <v>712</v>
      </c>
      <c r="C117" s="611" t="s">
        <v>902</v>
      </c>
      <c r="D117" s="611" t="s">
        <v>910</v>
      </c>
      <c r="E117" s="611" t="s">
        <v>911</v>
      </c>
    </row>
    <row r="118" spans="1:6">
      <c r="A118" s="613" t="s">
        <v>912</v>
      </c>
      <c r="B118" s="612">
        <f>COUNTIF(Delinquency_Detail_3!G17:G134,"Eviction")</f>
        <v>13</v>
      </c>
      <c r="C118" s="631">
        <f>SUMIF(Delinquency_Detail_3!G17:G134,"Eviction",Delinquency_Detail_3!H17:H134)</f>
        <v>112144.60999999999</v>
      </c>
      <c r="D118" s="623">
        <f>B118/SUM(B118:B120)</f>
        <v>0.1111111111111111</v>
      </c>
      <c r="E118" s="616" t="s">
        <v>913</v>
      </c>
    </row>
    <row r="119" spans="1:6">
      <c r="A119" s="613" t="s">
        <v>914</v>
      </c>
      <c r="B119" s="612">
        <f>COUNTIF(Delinquency_Detail_3!G17:G134,"Skip")</f>
        <v>46</v>
      </c>
      <c r="C119" s="631">
        <f>SUMIF(Delinquency_Detail_3!G17:G134,"Skip",Delinquency_Detail_3!H17:H134)</f>
        <v>255260.51</v>
      </c>
      <c r="D119" s="623">
        <f>B119/SUM(B118:B120)</f>
        <v>0.39316239316239315</v>
      </c>
      <c r="E119" s="616" t="s">
        <v>915</v>
      </c>
    </row>
    <row r="120" spans="1:6">
      <c r="A120" s="619" t="s">
        <v>916</v>
      </c>
      <c r="B120" s="612">
        <f>COUNTIF(Delinquency_Detail_3!G17:G134,"Former")</f>
        <v>58</v>
      </c>
      <c r="C120" s="631">
        <f>SUMIF(Delinquency_Detail_3!G17:G134,"Former",Delinquency_Detail_3!H17:H134)</f>
        <v>88466.530000000013</v>
      </c>
      <c r="D120" s="623">
        <f>B120/SUM(B118:B120)</f>
        <v>0.49572649572649574</v>
      </c>
      <c r="E120" s="616" t="s">
        <v>917</v>
      </c>
    </row>
    <row r="121" spans="1:6">
      <c r="A121" s="620" t="s">
        <v>918</v>
      </c>
      <c r="B121" s="620">
        <f>SUM(B118:B120)</f>
        <v>117</v>
      </c>
      <c r="C121" s="634">
        <f>SUM(C118:C120)</f>
        <v>455871.65</v>
      </c>
      <c r="D121" s="626">
        <f>SUM(D118:D120)</f>
        <v>1</v>
      </c>
      <c r="E121" s="621"/>
    </row>
    <row r="123" spans="1:6">
      <c r="A123" s="610" t="s">
        <v>919</v>
      </c>
      <c r="B123" s="630">
        <f>B121/(B121+B133)</f>
        <v>0.98319327731092432</v>
      </c>
      <c r="C123" s="1228" t="str">
        <f>B121&amp;" removed vs. "&amp;B133&amp;" stalled/dismissed ("&amp;B121&amp;" of "&amp;B121+B133&amp;" cases completed)"</f>
        <v>117 removed vs. 2 stalled/dismissed (117 of 119 cases completed)</v>
      </c>
      <c r="D123" s="1224"/>
      <c r="E123" s="1224"/>
    </row>
    <row r="124" spans="1:6">
      <c r="A124" s="610" t="s">
        <v>920</v>
      </c>
      <c r="B124" s="630">
        <f>B121/(B121+B135)</f>
        <v>0.79054054054054057</v>
      </c>
      <c r="C124" s="1228" t="str">
        <f>B121&amp;" of "&amp;B121+B135&amp;" total delinquent accounts removed"</f>
        <v>117 of 148 total delinquent accounts removed</v>
      </c>
      <c r="D124" s="1224"/>
      <c r="E124" s="1224"/>
    </row>
    <row r="126" spans="1:6">
      <c r="A126" s="1223" t="s">
        <v>921</v>
      </c>
      <c r="B126" s="1224"/>
      <c r="C126" s="1224"/>
      <c r="D126" s="1224"/>
      <c r="E126" s="1224"/>
      <c r="F126" s="1224"/>
    </row>
    <row r="127" spans="1:6">
      <c r="A127" s="611" t="s">
        <v>922</v>
      </c>
      <c r="B127" s="611" t="s">
        <v>712</v>
      </c>
      <c r="C127" s="611" t="s">
        <v>902</v>
      </c>
      <c r="D127" s="611" t="s">
        <v>910</v>
      </c>
      <c r="E127" s="611" t="s">
        <v>923</v>
      </c>
    </row>
    <row r="128" spans="1:6">
      <c r="A128" s="613" t="s">
        <v>924</v>
      </c>
      <c r="B128" s="612">
        <v>3</v>
      </c>
      <c r="C128" s="631">
        <v>12411</v>
      </c>
      <c r="D128" s="623">
        <f>C128/SUM(C128:C134)</f>
        <v>0.13306983126475205</v>
      </c>
      <c r="E128" s="616" t="s">
        <v>925</v>
      </c>
    </row>
    <row r="129" spans="1:6">
      <c r="A129" s="618" t="s">
        <v>926</v>
      </c>
      <c r="B129" s="612">
        <v>6</v>
      </c>
      <c r="C129" s="631">
        <v>20164.04</v>
      </c>
      <c r="D129" s="623">
        <f>C129/SUM(C128:C134)</f>
        <v>0.21619735721663935</v>
      </c>
      <c r="E129" s="616" t="s">
        <v>927</v>
      </c>
    </row>
    <row r="130" spans="1:6">
      <c r="A130" s="618" t="s">
        <v>928</v>
      </c>
      <c r="B130" s="612">
        <v>9</v>
      </c>
      <c r="C130" s="631">
        <v>24418.74</v>
      </c>
      <c r="D130" s="623">
        <f>C130/SUM(C128:C134)</f>
        <v>0.26181593840124501</v>
      </c>
      <c r="E130" s="616" t="s">
        <v>929</v>
      </c>
    </row>
    <row r="131" spans="1:6">
      <c r="A131" s="617" t="s">
        <v>930</v>
      </c>
      <c r="B131" s="612">
        <v>5</v>
      </c>
      <c r="C131" s="631">
        <v>19566</v>
      </c>
      <c r="D131" s="623">
        <f>C131/SUM(C128:C134)</f>
        <v>0.2097852162215888</v>
      </c>
      <c r="E131" s="616" t="s">
        <v>931</v>
      </c>
    </row>
    <row r="132" spans="1:6">
      <c r="A132" s="613" t="s">
        <v>932</v>
      </c>
      <c r="B132" s="612">
        <v>3</v>
      </c>
      <c r="C132" s="631">
        <v>6337.04</v>
      </c>
      <c r="D132" s="623">
        <f>C132/SUM(C128:C134)</f>
        <v>6.7945277859800521E-2</v>
      </c>
      <c r="E132" s="616" t="s">
        <v>933</v>
      </c>
    </row>
    <row r="133" spans="1:6">
      <c r="A133" s="614" t="s">
        <v>934</v>
      </c>
      <c r="B133" s="612">
        <v>2</v>
      </c>
      <c r="C133" s="631">
        <v>6915</v>
      </c>
      <c r="D133" s="623">
        <f>C133/SUM(C128:C134)</f>
        <v>7.4142122568347457E-2</v>
      </c>
      <c r="E133" s="616" t="s">
        <v>935</v>
      </c>
    </row>
    <row r="134" spans="1:6">
      <c r="A134" s="619" t="s">
        <v>936</v>
      </c>
      <c r="B134" s="612">
        <v>3</v>
      </c>
      <c r="C134" s="631">
        <v>3455</v>
      </c>
      <c r="D134" s="623">
        <f>C134/SUM(C128:C134)</f>
        <v>3.7044256467626969E-2</v>
      </c>
      <c r="E134" s="616" t="s">
        <v>937</v>
      </c>
    </row>
    <row r="135" spans="1:6">
      <c r="A135" s="658" t="s">
        <v>918</v>
      </c>
      <c r="B135" s="658">
        <f>SUM(B128:B134)</f>
        <v>31</v>
      </c>
      <c r="C135" s="659">
        <f>SUM(C128:C134)</f>
        <v>93266.819999999992</v>
      </c>
      <c r="D135" s="660">
        <f>SUM(D128:D134)</f>
        <v>1.0000000000000002</v>
      </c>
      <c r="E135" s="661"/>
    </row>
    <row r="136" spans="1:6">
      <c r="A136" s="610" t="s">
        <v>938</v>
      </c>
      <c r="B136" s="630">
        <f>(B128+B129+B132)/B135</f>
        <v>0.38709677419354838</v>
      </c>
    </row>
    <row r="138" spans="1:6">
      <c r="A138" s="1227" t="s">
        <v>939</v>
      </c>
      <c r="B138" s="1224"/>
      <c r="C138" s="1224"/>
      <c r="D138" s="1224"/>
      <c r="E138" s="1224"/>
      <c r="F138" s="1224"/>
    </row>
    <row r="139" spans="1:6">
      <c r="A139" s="611" t="s">
        <v>294</v>
      </c>
      <c r="B139" s="611" t="s">
        <v>712</v>
      </c>
      <c r="C139" s="611" t="s">
        <v>902</v>
      </c>
      <c r="D139" s="611" t="s">
        <v>713</v>
      </c>
    </row>
    <row r="140" spans="1:6">
      <c r="A140" s="655" t="s">
        <v>940</v>
      </c>
      <c r="B140" s="655">
        <f>B121+B135</f>
        <v>148</v>
      </c>
      <c r="C140" s="656">
        <f>C121+C135</f>
        <v>549138.47</v>
      </c>
      <c r="D140" s="657">
        <v>1</v>
      </c>
    </row>
    <row r="141" spans="1:6">
      <c r="A141" s="613" t="s">
        <v>941</v>
      </c>
      <c r="B141" s="613">
        <f>B118+B119+B128+B132</f>
        <v>65</v>
      </c>
      <c r="C141" s="632">
        <f>C118+C119+C128+C132</f>
        <v>386153.16</v>
      </c>
      <c r="D141" s="624">
        <f>B141/B140</f>
        <v>0.4391891891891892</v>
      </c>
    </row>
    <row r="142" spans="1:6">
      <c r="A142" s="618" t="s">
        <v>942</v>
      </c>
      <c r="B142" s="618">
        <f>B129+B130+B131</f>
        <v>20</v>
      </c>
      <c r="C142" s="635">
        <f>C129+C130+C131</f>
        <v>64148.78</v>
      </c>
      <c r="D142" s="627">
        <f>B142/B140</f>
        <v>0.13513513513513514</v>
      </c>
    </row>
    <row r="143" spans="1:6">
      <c r="A143" s="614" t="s">
        <v>943</v>
      </c>
      <c r="B143" s="614">
        <f>B133</f>
        <v>2</v>
      </c>
      <c r="C143" s="636">
        <f>C133</f>
        <v>6915</v>
      </c>
      <c r="D143" s="628">
        <f>B143/B140</f>
        <v>1.3513513513513514E-2</v>
      </c>
    </row>
    <row r="144" spans="1:6">
      <c r="A144" s="612" t="s">
        <v>944</v>
      </c>
      <c r="B144" s="612">
        <f>B120</f>
        <v>58</v>
      </c>
      <c r="C144" s="631">
        <f>C120</f>
        <v>88466.530000000013</v>
      </c>
      <c r="D144" s="623">
        <f>B144/B140</f>
        <v>0.39189189189189189</v>
      </c>
    </row>
    <row r="145" spans="1:6">
      <c r="A145" s="622" t="s">
        <v>936</v>
      </c>
      <c r="B145" s="622">
        <f>B134</f>
        <v>3</v>
      </c>
      <c r="C145" s="637">
        <f>C134</f>
        <v>3455</v>
      </c>
      <c r="D145" s="629">
        <f>B145/B140</f>
        <v>2.0270270270270271E-2</v>
      </c>
    </row>
    <row r="147" spans="1:6">
      <c r="A147" s="1227" t="s">
        <v>945</v>
      </c>
      <c r="B147" s="1224"/>
      <c r="C147" s="1224"/>
      <c r="D147" s="1224"/>
      <c r="E147" s="1224"/>
      <c r="F147" s="1224"/>
    </row>
    <row r="148" spans="1:6">
      <c r="A148" s="1223" t="str">
        <f>"Resolved: "&amp;B141&amp;" of "&amp;B140&amp;" cases ("&amp;TEXT(B141/B140,"0.0%")&amp;") | Active: "&amp;B142&amp;" ("&amp;TEXT(B142/B140,"0.0%")&amp;") | Stalled: "&amp;B143&amp;" ("&amp;TEXT(B143/B140,"0.0%")&amp;") | Collections: "&amp;B144&amp;" ("&amp;TEXT(B144/B140,"0.0%")&amp;")"</f>
        <v>Resolved: 65 of 148 cases (43.9%) | Active: 20 (13.5%) | Stalled: 2 (1.4%) | Collections: 58 (39.2%)</v>
      </c>
      <c r="B148" s="1224"/>
      <c r="C148" s="1224"/>
      <c r="D148" s="1224"/>
      <c r="E148" s="1224"/>
      <c r="F148" s="1224"/>
    </row>
  </sheetData>
  <mergeCells count="16">
    <mergeCell ref="A1:F1"/>
    <mergeCell ref="A2:F2"/>
    <mergeCell ref="A8:D8"/>
    <mergeCell ref="A4:D4"/>
    <mergeCell ref="A148:F148"/>
    <mergeCell ref="A104:F104"/>
    <mergeCell ref="A105:F105"/>
    <mergeCell ref="A111:F111"/>
    <mergeCell ref="A113:F113"/>
    <mergeCell ref="A114:F114"/>
    <mergeCell ref="A116:F116"/>
    <mergeCell ref="C123:E123"/>
    <mergeCell ref="C124:E124"/>
    <mergeCell ref="A126:F126"/>
    <mergeCell ref="A138:F138"/>
    <mergeCell ref="A147:F147"/>
  </mergeCells>
  <pageMargins left="0.7" right="0.7" top="0.75" bottom="0.75" header="0.3" footer="0.3"/>
  <pageSetup scale="48" orientation="portrait" r:id="rId1"/>
  <rowBreaks count="1" manualBreakCount="1">
    <brk id="111" max="16383" man="1"/>
  </rowBreak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64108-1B7C-4CBA-B8B2-48F7B9FC84E3}">
  <sheetPr>
    <tabColor rgb="FFC00000"/>
    <pageSetUpPr fitToPage="1"/>
  </sheetPr>
  <dimension ref="A1:V64"/>
  <sheetViews>
    <sheetView zoomScale="90" zoomScaleNormal="90" workbookViewId="0">
      <pane ySplit="6" topLeftCell="A12" activePane="bottomLeft" state="frozen"/>
      <selection pane="bottomLeft"/>
    </sheetView>
  </sheetViews>
  <sheetFormatPr defaultColWidth="8.7265625" defaultRowHeight="14.5"/>
  <cols>
    <col min="1" max="1" width="20" style="381" bestFit="1" customWidth="1"/>
    <col min="2" max="2" width="20.54296875" style="383" bestFit="1" customWidth="1"/>
    <col min="3" max="4" width="20" style="384" customWidth="1"/>
    <col min="5" max="5" width="12.1796875" style="381" customWidth="1"/>
    <col min="6" max="7" width="20.7265625" style="381" customWidth="1"/>
    <col min="8" max="8" width="16.54296875" style="381" customWidth="1"/>
    <col min="9" max="9" width="20.453125" style="381" customWidth="1"/>
    <col min="10" max="10" width="20.7265625" style="381" customWidth="1"/>
    <col min="11" max="11" width="16.26953125" style="381" customWidth="1"/>
    <col min="12" max="14" width="20.7265625" style="381" customWidth="1"/>
    <col min="15" max="16" width="25.54296875" style="381" customWidth="1"/>
    <col min="17" max="17" width="16" style="384" customWidth="1"/>
    <col min="18" max="18" width="25.54296875" style="382" customWidth="1"/>
    <col min="19" max="19" width="23.54296875" style="382" customWidth="1"/>
    <col min="20" max="20" width="32.54296875" style="381" customWidth="1"/>
    <col min="21" max="21" width="23.54296875" style="381" customWidth="1"/>
    <col min="22" max="22" width="17.453125" style="381" customWidth="1"/>
    <col min="23" max="31" width="9.1796875" style="381" customWidth="1"/>
    <col min="32" max="32" width="8.7265625" style="381"/>
    <col min="33" max="33" width="9.1796875" style="381" customWidth="1"/>
    <col min="34" max="34" width="8.7265625" style="381"/>
    <col min="35" max="40" width="9.1796875" style="381" customWidth="1"/>
    <col min="41" max="41" width="8.7265625" style="381"/>
    <col min="42" max="42" width="9.1796875" style="381" customWidth="1"/>
    <col min="43" max="43" width="8.7265625" style="381"/>
    <col min="44" max="46" width="9.1796875" style="381" customWidth="1"/>
    <col min="47" max="47" width="8.7265625" style="381"/>
    <col min="48" max="48" width="9.1796875" style="381" customWidth="1"/>
    <col min="49" max="49" width="8.7265625" style="381"/>
    <col min="50" max="56" width="9.1796875" style="381" customWidth="1"/>
    <col min="57" max="16384" width="8.7265625" style="381"/>
  </cols>
  <sheetData>
    <row r="1" spans="1:22" ht="26.25" customHeight="1">
      <c r="F1" s="1229" t="s">
        <v>946</v>
      </c>
      <c r="G1" s="1229"/>
      <c r="H1" s="1229"/>
      <c r="I1" s="1229"/>
      <c r="J1" s="391" t="s">
        <v>947</v>
      </c>
      <c r="L1" s="495" t="s">
        <v>948</v>
      </c>
    </row>
    <row r="2" spans="1:22" ht="15.5">
      <c r="A2" s="782" t="s">
        <v>949</v>
      </c>
      <c r="C2" s="783"/>
      <c r="D2" s="395" t="s">
        <v>950</v>
      </c>
      <c r="F2" s="1229"/>
      <c r="G2" s="1229"/>
      <c r="H2" s="1229"/>
      <c r="I2" s="1229"/>
      <c r="J2" s="391" t="s">
        <v>951</v>
      </c>
      <c r="L2" s="389" t="s">
        <v>952</v>
      </c>
    </row>
    <row r="3" spans="1:22">
      <c r="A3" s="784" t="s">
        <v>953</v>
      </c>
      <c r="C3" s="785"/>
      <c r="D3" s="394" t="s">
        <v>954</v>
      </c>
      <c r="F3" s="1229"/>
      <c r="G3" s="1229"/>
      <c r="H3" s="1229"/>
      <c r="I3" s="1229"/>
      <c r="J3" s="391" t="s">
        <v>955</v>
      </c>
      <c r="L3" s="393" t="s">
        <v>956</v>
      </c>
    </row>
    <row r="4" spans="1:22">
      <c r="A4" s="786" t="s">
        <v>957</v>
      </c>
      <c r="C4" s="785"/>
      <c r="D4" s="392" t="s">
        <v>958</v>
      </c>
      <c r="F4" s="1229"/>
      <c r="G4" s="1229"/>
      <c r="H4" s="1229"/>
      <c r="I4" s="1229"/>
      <c r="J4" s="391" t="s">
        <v>959</v>
      </c>
      <c r="L4" s="390" t="s">
        <v>960</v>
      </c>
    </row>
    <row r="5" spans="1:22">
      <c r="F5" s="1229"/>
      <c r="G5" s="1229"/>
      <c r="H5" s="1229"/>
      <c r="I5" s="1229"/>
      <c r="L5" s="494" t="s">
        <v>961</v>
      </c>
    </row>
    <row r="6" spans="1:22" ht="39">
      <c r="A6" s="787" t="s">
        <v>962</v>
      </c>
      <c r="B6" s="788" t="s">
        <v>963</v>
      </c>
      <c r="C6" s="787" t="s">
        <v>964</v>
      </c>
      <c r="D6" s="787" t="s">
        <v>965</v>
      </c>
      <c r="E6" s="787" t="s">
        <v>966</v>
      </c>
      <c r="F6" s="789" t="s">
        <v>967</v>
      </c>
      <c r="G6" s="790" t="s">
        <v>968</v>
      </c>
      <c r="H6" s="791" t="s">
        <v>969</v>
      </c>
      <c r="I6" s="789" t="s">
        <v>970</v>
      </c>
      <c r="J6" s="791" t="s">
        <v>971</v>
      </c>
      <c r="K6" s="791" t="s">
        <v>972</v>
      </c>
      <c r="L6" s="791" t="s">
        <v>973</v>
      </c>
      <c r="M6" s="791" t="s">
        <v>974</v>
      </c>
      <c r="N6" s="791" t="s">
        <v>975</v>
      </c>
      <c r="O6" s="787" t="s">
        <v>976</v>
      </c>
      <c r="P6" s="787" t="s">
        <v>977</v>
      </c>
      <c r="Q6" s="787" t="s">
        <v>978</v>
      </c>
      <c r="R6" s="787" t="s">
        <v>979</v>
      </c>
      <c r="S6" s="787" t="s">
        <v>573</v>
      </c>
      <c r="T6" s="787" t="s">
        <v>825</v>
      </c>
      <c r="U6" s="792" t="s">
        <v>980</v>
      </c>
      <c r="V6" s="793" t="s">
        <v>981</v>
      </c>
    </row>
    <row r="7" spans="1:22" s="585" customFormat="1">
      <c r="A7" s="525" t="s">
        <v>982</v>
      </c>
      <c r="B7" s="588" t="s">
        <v>983</v>
      </c>
      <c r="C7" s="794">
        <v>46076</v>
      </c>
      <c r="D7" s="587" t="s">
        <v>954</v>
      </c>
      <c r="E7" s="795" t="b">
        <v>0</v>
      </c>
      <c r="F7" s="796" t="b">
        <v>0</v>
      </c>
      <c r="G7" s="796" t="b">
        <v>0</v>
      </c>
      <c r="H7" s="796" t="b">
        <v>0</v>
      </c>
      <c r="I7" s="796" t="b">
        <v>0</v>
      </c>
      <c r="J7" s="796" t="b">
        <v>0</v>
      </c>
      <c r="K7" s="796" t="b">
        <v>0</v>
      </c>
      <c r="L7" s="796" t="b">
        <v>0</v>
      </c>
      <c r="M7" s="796" t="b">
        <v>0</v>
      </c>
      <c r="N7" s="796" t="b">
        <v>0</v>
      </c>
      <c r="O7" s="796" t="b">
        <v>0</v>
      </c>
      <c r="P7" s="797" t="b">
        <v>0</v>
      </c>
      <c r="Q7" s="798"/>
      <c r="R7" s="799">
        <v>46091</v>
      </c>
      <c r="S7" s="800" t="s">
        <v>984</v>
      </c>
      <c r="T7" s="586" t="s">
        <v>985</v>
      </c>
      <c r="U7" s="801" t="s">
        <v>953</v>
      </c>
      <c r="V7" s="385"/>
    </row>
    <row r="8" spans="1:22" s="393" customFormat="1" ht="15.75" customHeight="1">
      <c r="A8" s="802" t="s">
        <v>986</v>
      </c>
      <c r="B8" s="584" t="s">
        <v>987</v>
      </c>
      <c r="C8" s="803">
        <v>46088</v>
      </c>
      <c r="D8" s="583" t="s">
        <v>958</v>
      </c>
      <c r="E8" s="804" t="b">
        <v>1</v>
      </c>
      <c r="F8" s="804" t="b">
        <v>1</v>
      </c>
      <c r="G8" s="804" t="b">
        <v>1</v>
      </c>
      <c r="H8" s="804" t="b">
        <v>1</v>
      </c>
      <c r="I8" s="804" t="b">
        <v>1</v>
      </c>
      <c r="J8" s="804" t="b">
        <v>1</v>
      </c>
      <c r="K8" s="804" t="b">
        <v>1</v>
      </c>
      <c r="L8" s="804" t="b">
        <v>1</v>
      </c>
      <c r="M8" s="804" t="b">
        <v>1</v>
      </c>
      <c r="N8" s="804" t="b">
        <v>1</v>
      </c>
      <c r="O8" s="804" t="b">
        <v>1</v>
      </c>
      <c r="P8" s="804" t="b">
        <v>0</v>
      </c>
      <c r="Q8" s="805"/>
      <c r="R8" s="806" t="s">
        <v>988</v>
      </c>
      <c r="S8" s="806" t="s">
        <v>579</v>
      </c>
      <c r="T8" s="582" t="s">
        <v>989</v>
      </c>
      <c r="U8" s="584" t="s">
        <v>953</v>
      </c>
      <c r="V8" s="552"/>
    </row>
    <row r="9" spans="1:22" s="393" customFormat="1">
      <c r="A9" s="802" t="s">
        <v>876</v>
      </c>
      <c r="B9" s="807" t="s">
        <v>990</v>
      </c>
      <c r="C9" s="808">
        <v>46085</v>
      </c>
      <c r="D9" s="581" t="s">
        <v>958</v>
      </c>
      <c r="E9" s="809" t="b">
        <v>1</v>
      </c>
      <c r="F9" s="809" t="b">
        <v>1</v>
      </c>
      <c r="G9" s="809" t="b">
        <v>1</v>
      </c>
      <c r="H9" s="809" t="b">
        <v>1</v>
      </c>
      <c r="I9" s="809" t="b">
        <v>0</v>
      </c>
      <c r="J9" s="809" t="b">
        <v>1</v>
      </c>
      <c r="K9" s="809" t="b">
        <v>1</v>
      </c>
      <c r="L9" s="809" t="b">
        <v>0</v>
      </c>
      <c r="M9" s="809" t="b">
        <v>0</v>
      </c>
      <c r="N9" s="809" t="b">
        <v>0</v>
      </c>
      <c r="O9" s="809" t="b">
        <v>0</v>
      </c>
      <c r="P9" s="809" t="b">
        <v>0</v>
      </c>
      <c r="Q9" s="810"/>
      <c r="R9" s="811" t="s">
        <v>991</v>
      </c>
      <c r="S9" s="811" t="s">
        <v>584</v>
      </c>
      <c r="T9" s="580" t="s">
        <v>992</v>
      </c>
      <c r="U9" s="807" t="s">
        <v>953</v>
      </c>
      <c r="V9" s="552"/>
    </row>
    <row r="10" spans="1:22" s="390" customFormat="1" ht="29">
      <c r="A10" s="812" t="s">
        <v>993</v>
      </c>
      <c r="B10" s="812" t="s">
        <v>994</v>
      </c>
      <c r="C10" s="813">
        <v>46081</v>
      </c>
      <c r="D10" s="579" t="s">
        <v>954</v>
      </c>
      <c r="E10" s="814" t="b">
        <v>0</v>
      </c>
      <c r="F10" s="814" t="b">
        <v>1</v>
      </c>
      <c r="G10" s="814" t="b">
        <v>1</v>
      </c>
      <c r="H10" s="814" t="b">
        <v>1</v>
      </c>
      <c r="I10" s="814" t="b">
        <v>1</v>
      </c>
      <c r="J10" s="814" t="b">
        <v>1</v>
      </c>
      <c r="K10" s="814" t="b">
        <v>1</v>
      </c>
      <c r="L10" s="814" t="b">
        <v>1</v>
      </c>
      <c r="M10" s="814" t="b">
        <v>1</v>
      </c>
      <c r="N10" s="814" t="b">
        <v>1</v>
      </c>
      <c r="O10" s="814" t="b">
        <v>1</v>
      </c>
      <c r="P10" s="814" t="b">
        <v>1</v>
      </c>
      <c r="Q10" s="493">
        <v>4798.3999999999996</v>
      </c>
      <c r="R10" s="815" t="s">
        <v>995</v>
      </c>
      <c r="S10" s="815" t="s">
        <v>578</v>
      </c>
      <c r="T10" s="492" t="s">
        <v>996</v>
      </c>
      <c r="U10" s="812"/>
      <c r="V10" s="387"/>
    </row>
    <row r="11" spans="1:22" s="393" customFormat="1">
      <c r="A11" s="576" t="s">
        <v>563</v>
      </c>
      <c r="B11" s="816" t="s">
        <v>997</v>
      </c>
      <c r="C11" s="817">
        <v>46090</v>
      </c>
      <c r="D11" s="578" t="s">
        <v>958</v>
      </c>
      <c r="E11" s="818" t="b">
        <v>1</v>
      </c>
      <c r="F11" s="818" t="b">
        <v>1</v>
      </c>
      <c r="G11" s="818" t="b">
        <v>1</v>
      </c>
      <c r="H11" s="818" t="b">
        <v>1</v>
      </c>
      <c r="I11" s="818" t="b">
        <v>1</v>
      </c>
      <c r="J11" s="818" t="b">
        <v>1</v>
      </c>
      <c r="K11" s="818" t="b">
        <v>1</v>
      </c>
      <c r="L11" s="818" t="b">
        <v>1</v>
      </c>
      <c r="M11" s="818" t="b">
        <v>1</v>
      </c>
      <c r="N11" s="818" t="b">
        <v>1</v>
      </c>
      <c r="O11" s="818" t="b">
        <v>1</v>
      </c>
      <c r="P11" s="818" t="b">
        <v>0</v>
      </c>
      <c r="Q11" s="819">
        <v>5300.73</v>
      </c>
      <c r="R11" s="820" t="s">
        <v>988</v>
      </c>
      <c r="S11" s="820" t="s">
        <v>579</v>
      </c>
      <c r="T11" s="577" t="s">
        <v>989</v>
      </c>
      <c r="U11" s="816" t="s">
        <v>953</v>
      </c>
      <c r="V11" s="542"/>
    </row>
    <row r="12" spans="1:22">
      <c r="A12" s="576" t="s">
        <v>998</v>
      </c>
      <c r="B12" s="801" t="s">
        <v>999</v>
      </c>
      <c r="C12" s="821">
        <v>46090</v>
      </c>
      <c r="D12" s="491" t="s">
        <v>954</v>
      </c>
      <c r="E12" s="822" t="b">
        <v>1</v>
      </c>
      <c r="F12" s="822" t="b">
        <v>1</v>
      </c>
      <c r="G12" s="822" t="b">
        <v>1</v>
      </c>
      <c r="H12" s="822" t="b">
        <v>1</v>
      </c>
      <c r="I12" s="822" t="b">
        <v>0</v>
      </c>
      <c r="J12" s="822" t="b">
        <v>1</v>
      </c>
      <c r="K12" s="822" t="b">
        <v>1</v>
      </c>
      <c r="L12" s="822" t="b">
        <v>1</v>
      </c>
      <c r="M12" s="822" t="b">
        <v>0</v>
      </c>
      <c r="N12" s="822" t="b">
        <v>1</v>
      </c>
      <c r="O12" s="822" t="b">
        <v>0</v>
      </c>
      <c r="P12" s="822" t="b">
        <v>1</v>
      </c>
      <c r="Q12" s="798"/>
      <c r="R12" s="823" t="s">
        <v>1000</v>
      </c>
      <c r="S12" s="823" t="s">
        <v>1001</v>
      </c>
      <c r="T12" s="386" t="s">
        <v>1002</v>
      </c>
      <c r="U12" s="801" t="s">
        <v>953</v>
      </c>
      <c r="V12" s="385"/>
    </row>
    <row r="13" spans="1:22" ht="29">
      <c r="A13" s="576" t="s">
        <v>1003</v>
      </c>
      <c r="B13" s="816" t="s">
        <v>1004</v>
      </c>
      <c r="C13" s="824">
        <v>46089</v>
      </c>
      <c r="D13" s="490" t="s">
        <v>958</v>
      </c>
      <c r="E13" s="818" t="b">
        <v>1</v>
      </c>
      <c r="F13" s="818" t="b">
        <v>1</v>
      </c>
      <c r="G13" s="818" t="b">
        <v>1</v>
      </c>
      <c r="H13" s="818" t="b">
        <v>1</v>
      </c>
      <c r="I13" s="818" t="b">
        <v>1</v>
      </c>
      <c r="J13" s="818" t="b">
        <v>1</v>
      </c>
      <c r="K13" s="818" t="b">
        <v>1</v>
      </c>
      <c r="L13" s="818" t="b">
        <v>1</v>
      </c>
      <c r="M13" s="818" t="b">
        <v>1</v>
      </c>
      <c r="N13" s="818" t="b">
        <v>1</v>
      </c>
      <c r="O13" s="818" t="b">
        <v>1</v>
      </c>
      <c r="P13" s="818" t="b">
        <v>1</v>
      </c>
      <c r="Q13" s="819"/>
      <c r="R13" s="820" t="s">
        <v>1005</v>
      </c>
      <c r="S13" s="820" t="s">
        <v>583</v>
      </c>
      <c r="T13" s="489" t="s">
        <v>1006</v>
      </c>
      <c r="U13" s="816"/>
      <c r="V13" s="488"/>
    </row>
    <row r="14" spans="1:22">
      <c r="A14" s="575" t="s">
        <v>1007</v>
      </c>
      <c r="B14" s="487" t="s">
        <v>1008</v>
      </c>
      <c r="C14" s="485">
        <v>46090</v>
      </c>
      <c r="D14" s="486" t="s">
        <v>958</v>
      </c>
      <c r="E14" s="483" t="b">
        <v>1</v>
      </c>
      <c r="F14" s="483" t="b">
        <v>1</v>
      </c>
      <c r="G14" s="483" t="b">
        <v>1</v>
      </c>
      <c r="H14" s="483" t="b">
        <v>1</v>
      </c>
      <c r="I14" s="483" t="b">
        <v>0</v>
      </c>
      <c r="J14" s="483" t="b">
        <v>1</v>
      </c>
      <c r="K14" s="483" t="b">
        <v>0</v>
      </c>
      <c r="L14" s="483" t="b">
        <v>1</v>
      </c>
      <c r="M14" s="483" t="b">
        <v>1</v>
      </c>
      <c r="N14" s="483" t="b">
        <v>0</v>
      </c>
      <c r="O14" s="483" t="b">
        <v>0</v>
      </c>
      <c r="P14" s="483" t="b">
        <v>0</v>
      </c>
      <c r="Q14" s="574">
        <v>2547.9</v>
      </c>
      <c r="R14" s="482">
        <v>46109</v>
      </c>
      <c r="S14" s="481" t="s">
        <v>579</v>
      </c>
      <c r="T14" s="480" t="s">
        <v>1009</v>
      </c>
      <c r="U14" s="480"/>
      <c r="V14" s="480"/>
    </row>
    <row r="15" spans="1:22" s="566" customFormat="1" ht="29">
      <c r="A15" s="825" t="s">
        <v>1010</v>
      </c>
      <c r="B15" s="826" t="s">
        <v>1011</v>
      </c>
      <c r="C15" s="827">
        <v>46094</v>
      </c>
      <c r="D15" s="573" t="s">
        <v>954</v>
      </c>
      <c r="E15" s="572" t="b">
        <v>1</v>
      </c>
      <c r="F15" s="572" t="b">
        <v>1</v>
      </c>
      <c r="G15" s="572" t="b">
        <v>1</v>
      </c>
      <c r="H15" s="572" t="b">
        <v>1</v>
      </c>
      <c r="I15" s="572" t="b">
        <v>1</v>
      </c>
      <c r="J15" s="572" t="b">
        <v>1</v>
      </c>
      <c r="K15" s="572" t="b">
        <v>1</v>
      </c>
      <c r="L15" s="572" t="b">
        <v>1</v>
      </c>
      <c r="M15" s="572" t="b">
        <v>1</v>
      </c>
      <c r="N15" s="572" t="b">
        <v>1</v>
      </c>
      <c r="O15" s="572" t="b">
        <v>1</v>
      </c>
      <c r="P15" s="572" t="b">
        <v>0</v>
      </c>
      <c r="Q15" s="571">
        <v>5354.85</v>
      </c>
      <c r="R15" s="570">
        <v>46109</v>
      </c>
      <c r="S15" s="569" t="s">
        <v>582</v>
      </c>
      <c r="T15" s="568" t="s">
        <v>1012</v>
      </c>
      <c r="U15" s="567" t="s">
        <v>953</v>
      </c>
      <c r="V15" s="567"/>
    </row>
    <row r="16" spans="1:22">
      <c r="A16" s="825" t="s">
        <v>1013</v>
      </c>
      <c r="B16" s="828" t="s">
        <v>1014</v>
      </c>
      <c r="C16" s="829">
        <v>46093</v>
      </c>
      <c r="D16" s="565" t="s">
        <v>958</v>
      </c>
      <c r="E16" s="559" t="b">
        <v>1</v>
      </c>
      <c r="F16" s="559" t="b">
        <v>1</v>
      </c>
      <c r="G16" s="559" t="b">
        <v>1</v>
      </c>
      <c r="H16" s="559" t="b">
        <v>1</v>
      </c>
      <c r="I16" s="559" t="b">
        <v>1</v>
      </c>
      <c r="J16" s="559" t="b">
        <v>1</v>
      </c>
      <c r="K16" s="559" t="b">
        <v>1</v>
      </c>
      <c r="L16" s="559" t="b">
        <v>1</v>
      </c>
      <c r="M16" s="559" t="b">
        <v>1</v>
      </c>
      <c r="N16" s="559" t="b">
        <v>1</v>
      </c>
      <c r="O16" s="559" t="b">
        <v>1</v>
      </c>
      <c r="P16" s="559" t="b">
        <v>1</v>
      </c>
      <c r="Q16" s="563">
        <v>5042.4399999999996</v>
      </c>
      <c r="R16" s="562">
        <v>46123</v>
      </c>
      <c r="S16" s="561" t="s">
        <v>578</v>
      </c>
      <c r="T16" s="554" t="s">
        <v>1015</v>
      </c>
      <c r="U16" s="553" t="s">
        <v>953</v>
      </c>
      <c r="V16" s="388"/>
    </row>
    <row r="17" spans="1:22" s="393" customFormat="1" ht="46.5" customHeight="1">
      <c r="A17" s="825" t="s">
        <v>1016</v>
      </c>
      <c r="B17" s="828" t="s">
        <v>1017</v>
      </c>
      <c r="C17" s="829">
        <v>46091</v>
      </c>
      <c r="D17" s="565" t="s">
        <v>958</v>
      </c>
      <c r="E17" s="559" t="b">
        <v>1</v>
      </c>
      <c r="F17" s="559" t="b">
        <v>1</v>
      </c>
      <c r="G17" s="559" t="b">
        <v>1</v>
      </c>
      <c r="H17" s="559" t="b">
        <v>1</v>
      </c>
      <c r="I17" s="559" t="b">
        <v>1</v>
      </c>
      <c r="J17" s="559" t="b">
        <v>1</v>
      </c>
      <c r="K17" s="559" t="b">
        <v>1</v>
      </c>
      <c r="L17" s="559" t="b">
        <v>1</v>
      </c>
      <c r="M17" s="559" t="b">
        <v>1</v>
      </c>
      <c r="N17" s="559" t="b">
        <v>1</v>
      </c>
      <c r="O17" s="559" t="b">
        <v>1</v>
      </c>
      <c r="P17" s="559" t="b">
        <v>0</v>
      </c>
      <c r="Q17" s="563">
        <v>3611.83</v>
      </c>
      <c r="R17" s="562">
        <v>46109</v>
      </c>
      <c r="S17" s="561" t="s">
        <v>582</v>
      </c>
      <c r="T17" s="492" t="s">
        <v>1018</v>
      </c>
      <c r="U17" s="553" t="s">
        <v>953</v>
      </c>
      <c r="V17" s="541"/>
    </row>
    <row r="18" spans="1:22" ht="25.5" customHeight="1">
      <c r="A18" s="525" t="s">
        <v>881</v>
      </c>
      <c r="B18" s="830" t="s">
        <v>1019</v>
      </c>
      <c r="C18" s="831">
        <v>46096</v>
      </c>
      <c r="D18" s="484" t="s">
        <v>954</v>
      </c>
      <c r="E18" s="478" t="b">
        <v>0</v>
      </c>
      <c r="F18" s="478" t="b">
        <v>0</v>
      </c>
      <c r="G18" s="478" t="b">
        <v>0</v>
      </c>
      <c r="H18" s="478" t="b">
        <v>0</v>
      </c>
      <c r="I18" s="478" t="b">
        <v>0</v>
      </c>
      <c r="J18" s="478" t="b">
        <v>0</v>
      </c>
      <c r="K18" s="478" t="b">
        <v>0</v>
      </c>
      <c r="L18" s="478" t="b">
        <v>1</v>
      </c>
      <c r="M18" s="478" t="b">
        <v>0</v>
      </c>
      <c r="N18" s="478" t="b">
        <v>0</v>
      </c>
      <c r="O18" s="478" t="b">
        <v>0</v>
      </c>
      <c r="P18" s="478" t="b">
        <v>0</v>
      </c>
      <c r="Q18" s="477"/>
      <c r="R18" s="476">
        <v>46108</v>
      </c>
      <c r="S18" s="475" t="s">
        <v>577</v>
      </c>
      <c r="T18" s="474"/>
      <c r="U18" s="388" t="s">
        <v>953</v>
      </c>
      <c r="V18" s="388"/>
    </row>
    <row r="19" spans="1:22">
      <c r="A19" s="525" t="s">
        <v>1020</v>
      </c>
      <c r="B19" s="383" t="s">
        <v>1021</v>
      </c>
      <c r="C19" s="831">
        <v>46099</v>
      </c>
      <c r="D19" s="479" t="s">
        <v>1022</v>
      </c>
      <c r="E19" s="478" t="b">
        <v>1</v>
      </c>
      <c r="F19" s="478" t="b">
        <v>1</v>
      </c>
      <c r="G19" s="478" t="b">
        <v>1</v>
      </c>
      <c r="H19" s="478" t="b">
        <v>1</v>
      </c>
      <c r="I19" s="478" t="b">
        <v>0</v>
      </c>
      <c r="J19" s="478" t="b">
        <v>0</v>
      </c>
      <c r="K19" s="478" t="b">
        <v>0</v>
      </c>
      <c r="L19" s="478" t="b">
        <v>1</v>
      </c>
      <c r="M19" s="478" t="b">
        <v>0</v>
      </c>
      <c r="N19" s="478" t="b">
        <v>0</v>
      </c>
      <c r="O19" s="478" t="b">
        <v>0</v>
      </c>
      <c r="P19" s="478" t="b">
        <v>0</v>
      </c>
      <c r="Q19" s="477"/>
      <c r="R19" s="476">
        <v>46102</v>
      </c>
      <c r="S19" s="475" t="s">
        <v>583</v>
      </c>
      <c r="T19" s="474"/>
      <c r="U19" s="388" t="s">
        <v>953</v>
      </c>
      <c r="V19" s="388"/>
    </row>
    <row r="20" spans="1:22" ht="15" customHeight="1">
      <c r="A20" s="525" t="s">
        <v>1023</v>
      </c>
      <c r="B20" s="828" t="s">
        <v>1024</v>
      </c>
      <c r="C20" s="813">
        <v>46095</v>
      </c>
      <c r="D20" s="564" t="s">
        <v>954</v>
      </c>
      <c r="E20" s="559" t="b">
        <v>1</v>
      </c>
      <c r="F20" s="559" t="b">
        <v>1</v>
      </c>
      <c r="G20" s="559" t="b">
        <v>1</v>
      </c>
      <c r="H20" s="559" t="b">
        <v>1</v>
      </c>
      <c r="I20" s="559" t="b">
        <v>1</v>
      </c>
      <c r="J20" s="559" t="b">
        <v>1</v>
      </c>
      <c r="K20" s="559" t="b">
        <v>0</v>
      </c>
      <c r="L20" s="559" t="b">
        <v>1</v>
      </c>
      <c r="M20" s="559" t="b">
        <v>1</v>
      </c>
      <c r="N20" s="559" t="b">
        <v>0</v>
      </c>
      <c r="O20" s="559" t="b">
        <v>0</v>
      </c>
      <c r="P20" s="559" t="b">
        <v>0</v>
      </c>
      <c r="Q20" s="563"/>
      <c r="R20" s="562">
        <v>46113</v>
      </c>
      <c r="S20" s="561" t="s">
        <v>583</v>
      </c>
      <c r="T20" s="492"/>
      <c r="U20" s="387" t="s">
        <v>953</v>
      </c>
      <c r="V20" s="388"/>
    </row>
    <row r="21" spans="1:22" s="393" customFormat="1">
      <c r="A21" s="832" t="s">
        <v>1025</v>
      </c>
      <c r="B21" s="833" t="s">
        <v>1026</v>
      </c>
      <c r="C21" s="834">
        <v>46099</v>
      </c>
      <c r="D21" s="560" t="s">
        <v>954</v>
      </c>
      <c r="E21" s="559" t="b">
        <v>1</v>
      </c>
      <c r="F21" s="559" t="b">
        <v>1</v>
      </c>
      <c r="G21" s="559" t="b">
        <v>1</v>
      </c>
      <c r="H21" s="559" t="b">
        <v>1</v>
      </c>
      <c r="I21" s="559" t="b">
        <v>1</v>
      </c>
      <c r="J21" s="559" t="b">
        <v>1</v>
      </c>
      <c r="K21" s="559" t="b">
        <v>1</v>
      </c>
      <c r="L21" s="559" t="b">
        <v>1</v>
      </c>
      <c r="M21" s="559" t="b">
        <v>1</v>
      </c>
      <c r="N21" s="559" t="b">
        <v>1</v>
      </c>
      <c r="O21" s="559" t="b">
        <v>1</v>
      </c>
      <c r="P21" s="558" t="b">
        <v>1</v>
      </c>
      <c r="Q21" s="557">
        <v>10833.33</v>
      </c>
      <c r="R21" s="556">
        <v>46122</v>
      </c>
      <c r="S21" s="555" t="s">
        <v>583</v>
      </c>
      <c r="T21" s="554" t="s">
        <v>1027</v>
      </c>
      <c r="U21" s="553" t="s">
        <v>953</v>
      </c>
      <c r="V21" s="552"/>
    </row>
    <row r="22" spans="1:22" s="393" customFormat="1">
      <c r="A22" s="551" t="s">
        <v>1028</v>
      </c>
      <c r="B22" s="550" t="s">
        <v>1029</v>
      </c>
      <c r="C22" s="549">
        <v>46098</v>
      </c>
      <c r="D22" s="545" t="s">
        <v>954</v>
      </c>
      <c r="E22" s="548" t="b">
        <v>1</v>
      </c>
      <c r="F22" s="546" t="b">
        <v>1</v>
      </c>
      <c r="G22" s="546" t="b">
        <v>1</v>
      </c>
      <c r="H22" s="546" t="b">
        <v>1</v>
      </c>
      <c r="I22" s="546" t="b">
        <v>1</v>
      </c>
      <c r="J22" s="546" t="b">
        <v>1</v>
      </c>
      <c r="K22" s="546" t="b">
        <v>1</v>
      </c>
      <c r="L22" s="546" t="b">
        <v>1</v>
      </c>
      <c r="M22" s="546" t="b">
        <v>1</v>
      </c>
      <c r="N22" s="546" t="b">
        <v>1</v>
      </c>
      <c r="O22" s="547" t="b">
        <v>1</v>
      </c>
      <c r="P22" s="546" t="b">
        <v>1</v>
      </c>
      <c r="Q22" s="545">
        <v>4506.67</v>
      </c>
      <c r="R22" s="544">
        <v>46113</v>
      </c>
      <c r="S22" s="543" t="s">
        <v>582</v>
      </c>
      <c r="T22" s="542" t="s">
        <v>1012</v>
      </c>
      <c r="U22" s="542" t="s">
        <v>953</v>
      </c>
      <c r="V22" s="541"/>
    </row>
    <row r="23" spans="1:22">
      <c r="A23" s="835" t="s">
        <v>1030</v>
      </c>
      <c r="B23" s="836" t="s">
        <v>1031</v>
      </c>
      <c r="C23" s="837">
        <v>46100</v>
      </c>
      <c r="D23" s="540" t="s">
        <v>954</v>
      </c>
      <c r="E23" s="478" t="b">
        <v>0</v>
      </c>
      <c r="F23" s="478" t="b">
        <v>0</v>
      </c>
      <c r="G23" s="478" t="b">
        <v>0</v>
      </c>
      <c r="H23" s="478" t="b">
        <v>0</v>
      </c>
      <c r="I23" s="478" t="b">
        <v>0</v>
      </c>
      <c r="J23" s="478" t="b">
        <v>0</v>
      </c>
      <c r="K23" s="478" t="b">
        <v>0</v>
      </c>
      <c r="L23" s="478" t="b">
        <v>0</v>
      </c>
      <c r="M23" s="478" t="b">
        <v>0</v>
      </c>
      <c r="N23" s="478" t="b">
        <v>0</v>
      </c>
      <c r="O23" s="478" t="b">
        <v>0</v>
      </c>
      <c r="P23" s="539" t="b">
        <v>0</v>
      </c>
      <c r="Q23" s="538"/>
      <c r="R23" s="537">
        <v>46148</v>
      </c>
      <c r="S23" s="536" t="s">
        <v>583</v>
      </c>
      <c r="T23" s="535"/>
      <c r="U23" s="534" t="s">
        <v>953</v>
      </c>
      <c r="V23" s="534"/>
    </row>
    <row r="24" spans="1:22" ht="23.25" customHeight="1">
      <c r="A24" s="525" t="s">
        <v>897</v>
      </c>
      <c r="B24" s="830" t="s">
        <v>1032</v>
      </c>
      <c r="C24" s="831">
        <v>46101</v>
      </c>
      <c r="D24" s="533" t="s">
        <v>958</v>
      </c>
      <c r="E24" s="478" t="b">
        <v>1</v>
      </c>
      <c r="F24" s="478" t="b">
        <v>1</v>
      </c>
      <c r="G24" s="478" t="b">
        <v>0</v>
      </c>
      <c r="H24" s="478" t="b">
        <v>0</v>
      </c>
      <c r="I24" s="478" t="b">
        <v>0</v>
      </c>
      <c r="J24" s="478" t="b">
        <v>0</v>
      </c>
      <c r="K24" s="478" t="b">
        <v>0</v>
      </c>
      <c r="L24" s="478" t="b">
        <v>1</v>
      </c>
      <c r="M24" s="478" t="b">
        <v>1</v>
      </c>
      <c r="N24" s="478" t="b">
        <v>0</v>
      </c>
      <c r="O24" s="478" t="b">
        <v>0</v>
      </c>
      <c r="P24" s="478" t="b">
        <v>0</v>
      </c>
      <c r="Q24" s="477"/>
      <c r="R24" s="476">
        <v>46123</v>
      </c>
      <c r="S24" s="475" t="s">
        <v>577</v>
      </c>
      <c r="T24" s="532" t="s">
        <v>1033</v>
      </c>
      <c r="U24" s="388" t="s">
        <v>953</v>
      </c>
      <c r="V24" s="388"/>
    </row>
    <row r="25" spans="1:22" s="526" customFormat="1">
      <c r="A25" s="838" t="s">
        <v>1034</v>
      </c>
      <c r="B25" s="839" t="s">
        <v>1035</v>
      </c>
      <c r="C25" s="840">
        <v>46104</v>
      </c>
      <c r="D25" s="531" t="s">
        <v>958</v>
      </c>
      <c r="E25" s="530" t="b">
        <v>0</v>
      </c>
      <c r="F25" s="530" t="b">
        <v>0</v>
      </c>
      <c r="G25" s="530" t="b">
        <v>0</v>
      </c>
      <c r="H25" s="530" t="b">
        <v>0</v>
      </c>
      <c r="I25" s="530" t="b">
        <v>0</v>
      </c>
      <c r="J25" s="530" t="b">
        <v>1</v>
      </c>
      <c r="K25" s="530" t="b">
        <v>0</v>
      </c>
      <c r="L25" s="530" t="b">
        <v>0</v>
      </c>
      <c r="M25" s="530" t="b">
        <v>0</v>
      </c>
      <c r="N25" s="530" t="b">
        <v>0</v>
      </c>
      <c r="O25" s="530" t="b">
        <v>0</v>
      </c>
      <c r="P25" s="530" t="b">
        <v>0</v>
      </c>
      <c r="Q25" s="529"/>
      <c r="R25" s="476"/>
      <c r="S25" s="475"/>
      <c r="T25" s="528"/>
      <c r="U25" s="527" t="s">
        <v>953</v>
      </c>
      <c r="V25" s="527"/>
    </row>
    <row r="26" spans="1:22">
      <c r="A26" s="525" t="s">
        <v>859</v>
      </c>
      <c r="B26" s="524" t="s">
        <v>1036</v>
      </c>
      <c r="C26" s="841">
        <v>46101</v>
      </c>
      <c r="D26" s="523" t="s">
        <v>954</v>
      </c>
      <c r="E26" s="478" t="b">
        <v>0</v>
      </c>
      <c r="F26" s="478" t="b">
        <v>0</v>
      </c>
      <c r="G26" s="478" t="b">
        <v>0</v>
      </c>
      <c r="H26" s="478" t="b">
        <v>0</v>
      </c>
      <c r="I26" s="478" t="b">
        <v>0</v>
      </c>
      <c r="J26" s="478" t="b">
        <v>0</v>
      </c>
      <c r="K26" s="478" t="b">
        <v>0</v>
      </c>
      <c r="L26" s="478" t="b">
        <v>0</v>
      </c>
      <c r="M26" s="478" t="b">
        <v>0</v>
      </c>
      <c r="N26" s="478" t="b">
        <v>0</v>
      </c>
      <c r="O26" s="478" t="b">
        <v>0</v>
      </c>
      <c r="P26" s="478" t="b">
        <v>0</v>
      </c>
      <c r="Q26" s="524"/>
      <c r="R26" s="524"/>
      <c r="S26" s="524"/>
      <c r="T26" s="524"/>
      <c r="U26" s="388" t="s">
        <v>953</v>
      </c>
      <c r="V26" s="524"/>
    </row>
    <row r="27" spans="1:22">
      <c r="A27" s="525" t="s">
        <v>1037</v>
      </c>
      <c r="B27" s="524" t="s">
        <v>1038</v>
      </c>
      <c r="C27" s="821">
        <v>46104</v>
      </c>
      <c r="D27" s="522" t="s">
        <v>1039</v>
      </c>
      <c r="E27" s="478" t="b">
        <v>1</v>
      </c>
      <c r="F27" s="478" t="b">
        <v>1</v>
      </c>
      <c r="G27" s="478" t="b">
        <v>1</v>
      </c>
      <c r="H27" s="478" t="b">
        <v>1</v>
      </c>
      <c r="I27" s="478" t="b">
        <v>0</v>
      </c>
      <c r="J27" s="478" t="b">
        <v>1</v>
      </c>
      <c r="K27" s="478" t="b">
        <v>0</v>
      </c>
      <c r="L27" s="478" t="b">
        <v>1</v>
      </c>
      <c r="M27" s="478" t="b">
        <v>1</v>
      </c>
      <c r="N27" s="478" t="b">
        <v>0</v>
      </c>
      <c r="O27" s="478" t="b">
        <v>0</v>
      </c>
      <c r="P27" s="478" t="b">
        <v>0</v>
      </c>
      <c r="Q27" s="524"/>
      <c r="R27" s="524"/>
      <c r="S27" s="522" t="s">
        <v>577</v>
      </c>
      <c r="T27" s="524"/>
      <c r="U27" s="388" t="s">
        <v>953</v>
      </c>
      <c r="V27" s="524"/>
    </row>
    <row r="28" spans="1:22">
      <c r="A28" s="525" t="s">
        <v>872</v>
      </c>
      <c r="B28" s="524" t="s">
        <v>1040</v>
      </c>
      <c r="C28" s="821">
        <v>46104</v>
      </c>
      <c r="D28" s="522" t="s">
        <v>1041</v>
      </c>
      <c r="E28" s="478" t="b">
        <v>1</v>
      </c>
      <c r="F28" s="478" t="b">
        <v>1</v>
      </c>
      <c r="G28" s="478" t="b">
        <v>1</v>
      </c>
      <c r="H28" s="478" t="b">
        <v>1</v>
      </c>
      <c r="I28" s="478" t="b">
        <v>1</v>
      </c>
      <c r="J28" s="478" t="b">
        <v>1</v>
      </c>
      <c r="K28" s="478" t="b">
        <v>0</v>
      </c>
      <c r="L28" s="478" t="b">
        <v>1</v>
      </c>
      <c r="M28" s="478" t="b">
        <v>1</v>
      </c>
      <c r="N28" s="478" t="b">
        <v>0</v>
      </c>
      <c r="O28" s="478" t="b">
        <v>0</v>
      </c>
      <c r="P28" s="478" t="b">
        <v>0</v>
      </c>
      <c r="Q28" s="524"/>
      <c r="R28" s="524"/>
      <c r="S28" s="522" t="s">
        <v>577</v>
      </c>
      <c r="T28" s="524"/>
      <c r="U28" s="388" t="s">
        <v>953</v>
      </c>
      <c r="V28" s="524"/>
    </row>
    <row r="29" spans="1:22">
      <c r="A29" s="525" t="s">
        <v>1042</v>
      </c>
      <c r="B29" s="524" t="s">
        <v>1043</v>
      </c>
      <c r="C29" s="821">
        <v>46104</v>
      </c>
      <c r="D29" s="523" t="s">
        <v>954</v>
      </c>
      <c r="E29" s="478" t="b">
        <v>0</v>
      </c>
      <c r="F29" s="478" t="b">
        <v>0</v>
      </c>
      <c r="G29" s="478" t="b">
        <v>0</v>
      </c>
      <c r="H29" s="478" t="b">
        <v>0</v>
      </c>
      <c r="I29" s="478" t="b">
        <v>0</v>
      </c>
      <c r="J29" s="478" t="b">
        <v>0</v>
      </c>
      <c r="K29" s="478" t="b">
        <v>0</v>
      </c>
      <c r="L29" s="478" t="b">
        <v>0</v>
      </c>
      <c r="M29" s="478" t="b">
        <v>0</v>
      </c>
      <c r="N29" s="478" t="b">
        <v>0</v>
      </c>
      <c r="O29" s="478" t="b">
        <v>0</v>
      </c>
      <c r="P29" s="478" t="b">
        <v>0</v>
      </c>
      <c r="Q29" s="524"/>
      <c r="R29" s="524"/>
      <c r="S29" s="522" t="s">
        <v>1001</v>
      </c>
      <c r="T29" s="524"/>
      <c r="U29" s="388" t="s">
        <v>953</v>
      </c>
      <c r="V29" s="524"/>
    </row>
    <row r="30" spans="1:22">
      <c r="A30" s="524"/>
      <c r="B30" s="524"/>
      <c r="C30" s="524"/>
      <c r="D30" s="524"/>
      <c r="E30" s="478" t="b">
        <v>0</v>
      </c>
      <c r="F30" s="478" t="b">
        <v>0</v>
      </c>
      <c r="G30" s="478" t="b">
        <v>0</v>
      </c>
      <c r="H30" s="478" t="b">
        <v>0</v>
      </c>
      <c r="I30" s="478" t="b">
        <v>0</v>
      </c>
      <c r="J30" s="478" t="b">
        <v>0</v>
      </c>
      <c r="K30" s="478" t="b">
        <v>0</v>
      </c>
      <c r="L30" s="478" t="b">
        <v>0</v>
      </c>
      <c r="M30" s="478" t="b">
        <v>0</v>
      </c>
      <c r="N30" s="478" t="b">
        <v>0</v>
      </c>
      <c r="O30" s="478" t="b">
        <v>0</v>
      </c>
      <c r="P30" s="478" t="b">
        <v>0</v>
      </c>
      <c r="Q30" s="524"/>
      <c r="R30" s="524"/>
      <c r="S30" s="524"/>
      <c r="T30" s="524"/>
      <c r="U30" s="388" t="s">
        <v>953</v>
      </c>
      <c r="V30" s="524"/>
    </row>
    <row r="31" spans="1:22">
      <c r="A31" s="524"/>
      <c r="B31" s="524"/>
      <c r="C31" s="524"/>
      <c r="D31" s="524"/>
      <c r="E31" s="478" t="b">
        <v>0</v>
      </c>
      <c r="F31" s="478" t="b">
        <v>0</v>
      </c>
      <c r="G31" s="478" t="b">
        <v>0</v>
      </c>
      <c r="H31" s="478" t="b">
        <v>0</v>
      </c>
      <c r="I31" s="478" t="b">
        <v>0</v>
      </c>
      <c r="J31" s="478" t="b">
        <v>0</v>
      </c>
      <c r="K31" s="478" t="b">
        <v>0</v>
      </c>
      <c r="L31" s="478" t="b">
        <v>0</v>
      </c>
      <c r="M31" s="478" t="b">
        <v>0</v>
      </c>
      <c r="N31" s="478" t="b">
        <v>0</v>
      </c>
      <c r="O31" s="478" t="b">
        <v>0</v>
      </c>
      <c r="P31" s="478" t="b">
        <v>0</v>
      </c>
      <c r="Q31" s="524"/>
      <c r="R31" s="524"/>
      <c r="S31" s="524"/>
      <c r="T31" s="524"/>
      <c r="U31" s="388" t="s">
        <v>953</v>
      </c>
      <c r="V31" s="524"/>
    </row>
    <row r="32" spans="1:22">
      <c r="A32" s="524"/>
      <c r="B32" s="524"/>
      <c r="C32" s="524"/>
      <c r="D32" s="524"/>
      <c r="E32" s="478" t="b">
        <v>0</v>
      </c>
      <c r="F32" s="478" t="b">
        <v>0</v>
      </c>
      <c r="G32" s="478" t="b">
        <v>0</v>
      </c>
      <c r="H32" s="478" t="b">
        <v>0</v>
      </c>
      <c r="I32" s="478" t="b">
        <v>0</v>
      </c>
      <c r="J32" s="478" t="b">
        <v>0</v>
      </c>
      <c r="K32" s="478" t="b">
        <v>0</v>
      </c>
      <c r="L32" s="478" t="b">
        <v>0</v>
      </c>
      <c r="M32" s="478" t="b">
        <v>0</v>
      </c>
      <c r="N32" s="478" t="b">
        <v>0</v>
      </c>
      <c r="O32" s="478" t="b">
        <v>0</v>
      </c>
      <c r="P32" s="478" t="b">
        <v>0</v>
      </c>
      <c r="Q32" s="524"/>
      <c r="R32" s="524"/>
      <c r="S32" s="524"/>
      <c r="T32" s="524"/>
      <c r="U32" s="388" t="s">
        <v>953</v>
      </c>
      <c r="V32" s="524"/>
    </row>
    <row r="33" spans="1:22">
      <c r="A33" s="524"/>
      <c r="B33" s="524"/>
      <c r="C33" s="524"/>
      <c r="D33" s="524"/>
      <c r="E33" s="478" t="b">
        <v>0</v>
      </c>
      <c r="F33" s="478" t="b">
        <v>0</v>
      </c>
      <c r="G33" s="478" t="b">
        <v>0</v>
      </c>
      <c r="H33" s="478" t="b">
        <v>0</v>
      </c>
      <c r="I33" s="478" t="b">
        <v>0</v>
      </c>
      <c r="J33" s="478" t="b">
        <v>0</v>
      </c>
      <c r="K33" s="478" t="b">
        <v>0</v>
      </c>
      <c r="L33" s="478" t="b">
        <v>0</v>
      </c>
      <c r="M33" s="478" t="b">
        <v>0</v>
      </c>
      <c r="N33" s="478" t="b">
        <v>0</v>
      </c>
      <c r="O33" s="478" t="b">
        <v>0</v>
      </c>
      <c r="P33" s="478" t="b">
        <v>0</v>
      </c>
      <c r="Q33" s="524"/>
      <c r="R33" s="524"/>
      <c r="S33" s="524"/>
      <c r="T33" s="524"/>
      <c r="U33" s="388" t="s">
        <v>953</v>
      </c>
      <c r="V33" s="524"/>
    </row>
    <row r="34" spans="1:22">
      <c r="A34" s="524"/>
      <c r="B34" s="524"/>
      <c r="C34" s="524"/>
      <c r="D34" s="524"/>
      <c r="E34" s="478" t="b">
        <v>0</v>
      </c>
      <c r="F34" s="478" t="b">
        <v>0</v>
      </c>
      <c r="G34" s="478" t="b">
        <v>0</v>
      </c>
      <c r="H34" s="478" t="b">
        <v>0</v>
      </c>
      <c r="I34" s="478" t="b">
        <v>0</v>
      </c>
      <c r="J34" s="478" t="b">
        <v>0</v>
      </c>
      <c r="K34" s="478" t="b">
        <v>0</v>
      </c>
      <c r="L34" s="478" t="b">
        <v>0</v>
      </c>
      <c r="M34" s="478" t="b">
        <v>0</v>
      </c>
      <c r="N34" s="478" t="b">
        <v>0</v>
      </c>
      <c r="O34" s="478" t="b">
        <v>0</v>
      </c>
      <c r="P34" s="478" t="b">
        <v>0</v>
      </c>
      <c r="Q34" s="524"/>
      <c r="R34" s="524"/>
      <c r="S34" s="524"/>
      <c r="T34" s="524"/>
      <c r="U34" s="388" t="s">
        <v>953</v>
      </c>
      <c r="V34" s="524"/>
    </row>
    <row r="35" spans="1:22">
      <c r="A35" s="524"/>
      <c r="B35" s="524"/>
      <c r="C35" s="524"/>
      <c r="D35" s="524"/>
      <c r="E35" s="478" t="b">
        <v>0</v>
      </c>
      <c r="F35" s="478" t="b">
        <v>0</v>
      </c>
      <c r="G35" s="478" t="b">
        <v>0</v>
      </c>
      <c r="H35" s="478" t="b">
        <v>0</v>
      </c>
      <c r="I35" s="478" t="b">
        <v>0</v>
      </c>
      <c r="J35" s="478" t="b">
        <v>0</v>
      </c>
      <c r="K35" s="478" t="b">
        <v>0</v>
      </c>
      <c r="L35" s="478" t="b">
        <v>0</v>
      </c>
      <c r="M35" s="478" t="b">
        <v>0</v>
      </c>
      <c r="N35" s="478" t="b">
        <v>0</v>
      </c>
      <c r="O35" s="478" t="b">
        <v>0</v>
      </c>
      <c r="P35" s="478" t="b">
        <v>0</v>
      </c>
      <c r="Q35" s="524"/>
      <c r="R35" s="524"/>
      <c r="S35" s="524"/>
      <c r="T35" s="524"/>
      <c r="U35" s="388" t="s">
        <v>953</v>
      </c>
      <c r="V35" s="524"/>
    </row>
    <row r="36" spans="1:22">
      <c r="A36" s="842"/>
      <c r="E36" s="384"/>
    </row>
    <row r="37" spans="1:22">
      <c r="A37" s="842"/>
    </row>
    <row r="38" spans="1:22">
      <c r="A38" s="842"/>
    </row>
    <row r="39" spans="1:22">
      <c r="A39" s="842"/>
    </row>
    <row r="40" spans="1:22">
      <c r="A40" s="842"/>
    </row>
    <row r="41" spans="1:22">
      <c r="A41" s="842"/>
    </row>
    <row r="42" spans="1:22">
      <c r="A42" s="842"/>
    </row>
    <row r="43" spans="1:22">
      <c r="A43" s="842"/>
    </row>
    <row r="44" spans="1:22">
      <c r="A44" s="842"/>
    </row>
    <row r="45" spans="1:22">
      <c r="A45" s="842"/>
    </row>
    <row r="46" spans="1:22">
      <c r="A46" s="842"/>
    </row>
    <row r="47" spans="1:22">
      <c r="A47" s="842"/>
    </row>
    <row r="48" spans="1:22">
      <c r="A48" s="842"/>
    </row>
    <row r="49" spans="1:1">
      <c r="A49" s="842"/>
    </row>
    <row r="50" spans="1:1">
      <c r="A50" s="842"/>
    </row>
    <row r="51" spans="1:1">
      <c r="A51" s="842"/>
    </row>
    <row r="52" spans="1:1">
      <c r="A52" s="842"/>
    </row>
    <row r="53" spans="1:1">
      <c r="A53" s="842"/>
    </row>
    <row r="54" spans="1:1">
      <c r="A54" s="842"/>
    </row>
    <row r="55" spans="1:1">
      <c r="A55" s="842"/>
    </row>
    <row r="56" spans="1:1">
      <c r="A56" s="842"/>
    </row>
    <row r="57" spans="1:1">
      <c r="A57" s="842"/>
    </row>
    <row r="58" spans="1:1">
      <c r="A58" s="842"/>
    </row>
    <row r="59" spans="1:1">
      <c r="A59" s="842"/>
    </row>
    <row r="60" spans="1:1">
      <c r="A60" s="842"/>
    </row>
    <row r="61" spans="1:1">
      <c r="A61" s="842"/>
    </row>
    <row r="62" spans="1:1">
      <c r="A62" s="842"/>
    </row>
    <row r="63" spans="1:1">
      <c r="A63" s="842"/>
    </row>
    <row r="64" spans="1:1">
      <c r="A64" s="842"/>
    </row>
  </sheetData>
  <mergeCells count="1">
    <mergeCell ref="F1:I5"/>
  </mergeCells>
  <conditionalFormatting sqref="A36:A1048576 A1:A14">
    <cfRule type="duplicateValues" dxfId="9" priority="2"/>
  </conditionalFormatting>
  <conditionalFormatting sqref="B36:B1048576 B1:B14">
    <cfRule type="duplicateValues" dxfId="8" priority="1"/>
  </conditionalFormatting>
  <printOptions horizontalCentered="1"/>
  <pageMargins left="0.5" right="0.5" top="0.5" bottom="0.5" header="0.25" footer="0.25"/>
  <pageSetup fitToHeight="0" orientation="landscape" r:id="rId1"/>
  <headerFooter>
    <oddHeader>&amp;L Move-ins 2.0</oddHeader>
    <oddFooter>&amp;L Page &amp;P of &amp;N &amp;R &amp;I Availability 4.5 generated02/26/2026 at 10:28am CST&amp;I</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743A6-E15C-4C0E-91E0-A6EA030A144B}">
  <sheetPr>
    <tabColor rgb="FFC00000"/>
  </sheetPr>
  <dimension ref="A1:Z131"/>
  <sheetViews>
    <sheetView showGridLines="0" zoomScaleNormal="100" workbookViewId="0">
      <pane xSplit="1" ySplit="1" topLeftCell="B2" activePane="bottomRight" state="frozen"/>
      <selection pane="topRight" activeCell="B1" sqref="B1"/>
      <selection pane="bottomLeft" activeCell="A2" sqref="A2"/>
      <selection pane="bottomRight" activeCell="G60" sqref="G60"/>
    </sheetView>
  </sheetViews>
  <sheetFormatPr defaultRowHeight="14.5" outlineLevelCol="1"/>
  <cols>
    <col min="1" max="1" width="2.7265625" customWidth="1"/>
    <col min="2" max="2" width="27.26953125" customWidth="1"/>
    <col min="3" max="3" width="28.1796875" customWidth="1"/>
    <col min="4" max="4" width="22.7265625" customWidth="1"/>
    <col min="5" max="5" width="23.54296875" customWidth="1"/>
    <col min="6" max="6" width="20" customWidth="1"/>
    <col min="7" max="8" width="20.81640625" customWidth="1"/>
    <col min="9" max="9" width="36.453125" customWidth="1"/>
    <col min="10" max="10" width="41.81640625" customWidth="1"/>
    <col min="12" max="25" width="0" hidden="1" customWidth="1" outlineLevel="1"/>
    <col min="26" max="26" width="8.7265625" collapsed="1"/>
  </cols>
  <sheetData>
    <row r="1" spans="1:25" s="327" customFormat="1" ht="20.149999999999999" customHeight="1">
      <c r="A1" s="317"/>
      <c r="B1" s="318" t="s">
        <v>218</v>
      </c>
      <c r="C1" s="317"/>
      <c r="D1" s="317"/>
      <c r="E1" s="317"/>
      <c r="F1" s="317"/>
      <c r="G1" s="317"/>
      <c r="H1" s="317"/>
      <c r="I1" s="317"/>
      <c r="J1" s="317"/>
    </row>
    <row r="2" spans="1:25" s="327" customFormat="1" ht="13" customHeight="1">
      <c r="A2" s="317"/>
      <c r="B2" s="319" t="s">
        <v>1044</v>
      </c>
      <c r="C2" s="317"/>
      <c r="D2" s="317"/>
      <c r="E2" s="317"/>
      <c r="F2" s="317"/>
      <c r="G2" s="317"/>
      <c r="H2" s="317"/>
      <c r="I2" s="317"/>
      <c r="J2" s="317"/>
    </row>
    <row r="3" spans="1:25" s="327" customFormat="1" ht="13" customHeight="1">
      <c r="A3" s="317"/>
      <c r="B3" s="320" t="s">
        <v>474</v>
      </c>
      <c r="C3" s="843">
        <f>Dashboard_1!F3</f>
        <v>46139</v>
      </c>
      <c r="D3" s="317"/>
      <c r="E3" s="321" t="s">
        <v>1045</v>
      </c>
      <c r="F3" s="317"/>
      <c r="G3" s="317"/>
      <c r="H3" s="317"/>
      <c r="I3" s="317"/>
      <c r="J3" s="317"/>
    </row>
    <row r="4" spans="1:25" s="327" customFormat="1" ht="14.15" customHeight="1" thickBot="1">
      <c r="A4" s="317"/>
      <c r="B4" s="322" t="s">
        <v>1046</v>
      </c>
      <c r="C4" s="326"/>
      <c r="D4" s="323"/>
      <c r="E4" s="323"/>
      <c r="F4" s="323"/>
      <c r="G4" s="322" t="s">
        <v>1047</v>
      </c>
      <c r="H4" s="323"/>
      <c r="I4" s="317"/>
      <c r="J4" s="317"/>
    </row>
    <row r="5" spans="1:25" s="327" customFormat="1" ht="13" customHeight="1">
      <c r="A5" s="317"/>
      <c r="B5" s="451" t="s">
        <v>1048</v>
      </c>
      <c r="C5" s="452">
        <v>23</v>
      </c>
      <c r="D5" s="317"/>
      <c r="E5" s="317"/>
      <c r="F5" s="317"/>
      <c r="G5" s="451" t="s">
        <v>1049</v>
      </c>
      <c r="H5" s="453">
        <v>41</v>
      </c>
      <c r="I5" s="317"/>
      <c r="J5" s="317"/>
    </row>
    <row r="6" spans="1:25" s="327" customFormat="1" ht="13" customHeight="1">
      <c r="A6" s="317"/>
      <c r="B6" s="451" t="s">
        <v>1050</v>
      </c>
      <c r="C6" s="452">
        <v>116</v>
      </c>
      <c r="D6" s="317"/>
      <c r="E6" s="317"/>
      <c r="F6" s="317"/>
      <c r="G6" s="451" t="s">
        <v>1051</v>
      </c>
      <c r="H6" s="452">
        <v>0</v>
      </c>
      <c r="I6" s="317"/>
      <c r="J6" s="317"/>
      <c r="L6" s="504" t="s">
        <v>1052</v>
      </c>
      <c r="M6" s="504" t="s">
        <v>1053</v>
      </c>
      <c r="N6" s="504" t="s">
        <v>1054</v>
      </c>
      <c r="O6" s="504" t="s">
        <v>1055</v>
      </c>
      <c r="P6" s="504" t="s">
        <v>1056</v>
      </c>
      <c r="Q6" s="504" t="s">
        <v>1057</v>
      </c>
      <c r="R6" s="504" t="s">
        <v>1058</v>
      </c>
      <c r="S6" s="504" t="s">
        <v>1059</v>
      </c>
      <c r="T6" s="504" t="s">
        <v>1060</v>
      </c>
      <c r="U6" s="504" t="s">
        <v>1061</v>
      </c>
      <c r="V6" s="504" t="s">
        <v>1062</v>
      </c>
      <c r="W6" s="504" t="s">
        <v>1063</v>
      </c>
      <c r="X6" s="504" t="s">
        <v>1064</v>
      </c>
      <c r="Y6" s="504" t="s">
        <v>1065</v>
      </c>
    </row>
    <row r="7" spans="1:25" s="327" customFormat="1" ht="13" customHeight="1">
      <c r="A7" s="317"/>
      <c r="B7" s="451" t="s">
        <v>1066</v>
      </c>
      <c r="C7" s="452">
        <v>14</v>
      </c>
      <c r="D7" s="317"/>
      <c r="E7" s="317"/>
      <c r="F7" s="317"/>
      <c r="G7" s="451" t="s">
        <v>1067</v>
      </c>
      <c r="H7" s="452">
        <v>0</v>
      </c>
      <c r="I7" s="317"/>
      <c r="J7" s="317"/>
      <c r="K7"/>
      <c r="L7" s="505" t="e">
        <f>IF(#REF!="","",#REF!)</f>
        <v>#REF!</v>
      </c>
      <c r="M7" s="505" t="e">
        <f>IF(L7="","",#REF!)</f>
        <v>#REF!</v>
      </c>
      <c r="N7" s="505" t="e">
        <f>IF(L7="","",#REF!)</f>
        <v>#REF!</v>
      </c>
      <c r="O7" s="505" t="e">
        <f>IF(L7="","",IF(#REF!=0,"",#REF!))</f>
        <v>#REF!</v>
      </c>
      <c r="P7" s="505" t="e">
        <f t="shared" ref="P7:P42" si="0">IF(L7="","",L7&amp;"|"&amp;LEFT(M7,FIND(",",M7&amp;",")-1))</f>
        <v>#REF!</v>
      </c>
      <c r="Q7" s="505" t="e" cm="1">
        <f t="array" ref="Q7">IF(P7="","",IFERROR(MATCH(P7,App_Pipeline_Intel_4!$B$66:$B$178&amp;"|"&amp;LEFT(App_Pipeline_Intel_4!$C$66:$C$178,FIND(",",App_Pipeline_Intel_4!$C$66:$C$178&amp;",")-1),0),"NO MATCH"))</f>
        <v>#REF!</v>
      </c>
      <c r="R7" s="505" t="e" cm="1">
        <f t="array" ref="R7">IF(Q7="","",IF(Q7="NO MATCH","—",INDEX(App_Pipeline_Intel_4!$D$66:$D$178,Q7)))</f>
        <v>#REF!</v>
      </c>
      <c r="S7" s="505" t="e" cm="1">
        <f t="array" ref="S7">IF(Q7="","",IF(Q7="NO MATCH","—",INDEX(App_Pipeline_Intel_4!$E$66:$E$178,Q7)))</f>
        <v>#REF!</v>
      </c>
      <c r="T7" s="505" t="e" cm="1">
        <f t="array" ref="T7">IF(Q7="","",IF(Q7="NO MATCH","—",INDEX(App_Pipeline_Intel_4!$K$66:$K$178,Q7)))</f>
        <v>#REF!</v>
      </c>
      <c r="U7" s="505" t="e" cm="1">
        <f t="array" ref="U7">IF(Q7="","",IF(Q7="NO MATCH","—",INDEX(App_Pipeline_Intel_4!$F$66:$F$178,Q7)))</f>
        <v>#REF!</v>
      </c>
      <c r="V7" s="505" t="e">
        <f t="shared" ref="V7:V42" si="1">IF(L7="","",IF(Q7="NO MATCH",FALSE,TRUE))</f>
        <v>#REF!</v>
      </c>
      <c r="W7" s="505" t="e">
        <f t="shared" ref="W7:W42" si="2">IF(V7&lt;&gt;TRUE,"",IF(OR(AND(OR(N7="Failed",N7="Denied"),OR(S7="In Review",S7="Incomplete")),AND(N7="APPROVED",S7&lt;&gt;"Converted"),AND(S7="Cancelled/Denied",N7&lt;&gt;"CANCELLED"),AND(N7="App not completed",ISNUMBER(SEARCH("Completed",R7)))),TRUE,FALSE))</f>
        <v>#REF!</v>
      </c>
      <c r="X7" s="505" t="str">
        <f>IF(App_Pipeline_Intel_4!B67="","",App_Pipeline_Intel_4!B67)</f>
        <v>N01-1002</v>
      </c>
      <c r="Y7" s="505" t="b" cm="1">
        <f t="array" ref="Y7">IF(X7="","",ISNUMBER(MATCH(App_Pipeline_Intel_4!$B67&amp;"|"&amp;LEFT(App_Pipeline_Intel_4!$C67,FIND(",",App_Pipeline_Intel_4!$C67&amp;",")-1),#REF!&amp;"|"&amp;LEFT(#REF!,FIND(",",#REF!&amp;",")-1),0)))</f>
        <v>0</v>
      </c>
    </row>
    <row r="8" spans="1:25" s="327" customFormat="1" ht="13" customHeight="1">
      <c r="A8" s="317"/>
      <c r="B8" s="451" t="s">
        <v>1068</v>
      </c>
      <c r="C8" s="452">
        <v>9</v>
      </c>
      <c r="D8" s="317"/>
      <c r="E8" s="317"/>
      <c r="F8" s="317"/>
      <c r="G8" s="451" t="s">
        <v>1069</v>
      </c>
      <c r="H8" s="452">
        <v>9</v>
      </c>
      <c r="I8" s="317"/>
      <c r="J8" s="317"/>
      <c r="K8"/>
      <c r="L8" s="505" t="e">
        <f>IF(#REF!="","",#REF!)</f>
        <v>#REF!</v>
      </c>
      <c r="M8" s="505" t="e">
        <f>IF(L8="","",#REF!)</f>
        <v>#REF!</v>
      </c>
      <c r="N8" s="505" t="e">
        <f>IF(L8="","",#REF!)</f>
        <v>#REF!</v>
      </c>
      <c r="O8" s="505" t="e">
        <f>IF(L8="","",IF(#REF!=0,"",#REF!))</f>
        <v>#REF!</v>
      </c>
      <c r="P8" s="505" t="e">
        <f t="shared" si="0"/>
        <v>#REF!</v>
      </c>
      <c r="Q8" s="505" t="e" cm="1">
        <f t="array" ref="Q8">IF(P8="","",IFERROR(MATCH(P8,App_Pipeline_Intel_4!$B$66:$B$178&amp;"|"&amp;LEFT(App_Pipeline_Intel_4!$C$66:$C$178,FIND(",",App_Pipeline_Intel_4!$C$66:$C$178&amp;",")-1),0),"NO MATCH"))</f>
        <v>#REF!</v>
      </c>
      <c r="R8" s="505" t="e" cm="1">
        <f t="array" ref="R8">IF(Q8="","",IF(Q8="NO MATCH","—",INDEX(App_Pipeline_Intel_4!$D$66:$D$178,Q8)))</f>
        <v>#REF!</v>
      </c>
      <c r="S8" s="505" t="e" cm="1">
        <f t="array" ref="S8">IF(Q8="","",IF(Q8="NO MATCH","—",INDEX(App_Pipeline_Intel_4!$E$66:$E$178,Q8)))</f>
        <v>#REF!</v>
      </c>
      <c r="T8" s="505" t="e" cm="1">
        <f t="array" ref="T8">IF(Q8="","",IF(Q8="NO MATCH","—",INDEX(App_Pipeline_Intel_4!$K$66:$K$178,Q8)))</f>
        <v>#REF!</v>
      </c>
      <c r="U8" s="505" t="e" cm="1">
        <f t="array" ref="U8">IF(Q8="","",IF(Q8="NO MATCH","—",INDEX(App_Pipeline_Intel_4!$F$66:$F$178,Q8)))</f>
        <v>#REF!</v>
      </c>
      <c r="V8" s="505" t="e">
        <f t="shared" si="1"/>
        <v>#REF!</v>
      </c>
      <c r="W8" s="505" t="e">
        <f t="shared" si="2"/>
        <v>#REF!</v>
      </c>
      <c r="X8" s="505" t="str">
        <f>IF(App_Pipeline_Intel_4!B69="","",App_Pipeline_Intel_4!B69)</f>
        <v>N01-3003</v>
      </c>
      <c r="Y8" s="505" t="b" cm="1">
        <f t="array" ref="Y8">IF(X8="","",ISNUMBER(MATCH(App_Pipeline_Intel_4!$B69&amp;"|"&amp;LEFT(App_Pipeline_Intel_4!$C69,FIND(",",App_Pipeline_Intel_4!$C69&amp;",")-1),#REF!&amp;"|"&amp;LEFT(#REF!,FIND(",",#REF!&amp;",")-1),0)))</f>
        <v>0</v>
      </c>
    </row>
    <row r="9" spans="1:25" s="327" customFormat="1" ht="13" customHeight="1">
      <c r="A9" s="317"/>
      <c r="B9" s="451" t="s">
        <v>1070</v>
      </c>
      <c r="C9" s="452">
        <v>93</v>
      </c>
      <c r="D9" s="317"/>
      <c r="E9" s="317"/>
      <c r="F9" s="317"/>
      <c r="G9" s="451" t="s">
        <v>1071</v>
      </c>
      <c r="H9" s="452">
        <v>0</v>
      </c>
      <c r="I9" s="317"/>
      <c r="J9" s="317"/>
      <c r="K9"/>
      <c r="L9" s="505" t="e">
        <f>IF(#REF!="","",#REF!)</f>
        <v>#REF!</v>
      </c>
      <c r="M9" s="505" t="e">
        <f>IF(L9="","",#REF!)</f>
        <v>#REF!</v>
      </c>
      <c r="N9" s="505" t="e">
        <f>IF(L9="","",#REF!)</f>
        <v>#REF!</v>
      </c>
      <c r="O9" s="505" t="e">
        <f>IF(L9="","",IF(#REF!=0,"",#REF!))</f>
        <v>#REF!</v>
      </c>
      <c r="P9" s="505" t="e">
        <f t="shared" si="0"/>
        <v>#REF!</v>
      </c>
      <c r="Q9" s="505" t="e" cm="1">
        <f t="array" ref="Q9">IF(P9="","",IFERROR(MATCH(P9,App_Pipeline_Intel_4!$B$66:$B$178&amp;"|"&amp;LEFT(App_Pipeline_Intel_4!$C$66:$C$178,FIND(",",App_Pipeline_Intel_4!$C$66:$C$178&amp;",")-1),0),"NO MATCH"))</f>
        <v>#REF!</v>
      </c>
      <c r="R9" s="505" t="e" cm="1">
        <f t="array" ref="R9">IF(Q9="","",IF(Q9="NO MATCH","—",INDEX(App_Pipeline_Intel_4!$D$66:$D$178,Q9)))</f>
        <v>#REF!</v>
      </c>
      <c r="S9" s="505" t="e" cm="1">
        <f t="array" ref="S9">IF(Q9="","",IF(Q9="NO MATCH","—",INDEX(App_Pipeline_Intel_4!$E$66:$E$178,Q9)))</f>
        <v>#REF!</v>
      </c>
      <c r="T9" s="505" t="e" cm="1">
        <f t="array" ref="T9">IF(Q9="","",IF(Q9="NO MATCH","—",INDEX(App_Pipeline_Intel_4!$K$66:$K$178,Q9)))</f>
        <v>#REF!</v>
      </c>
      <c r="U9" s="505" t="e" cm="1">
        <f t="array" ref="U9">IF(Q9="","",IF(Q9="NO MATCH","—",INDEX(App_Pipeline_Intel_4!$F$66:$F$178,Q9)))</f>
        <v>#REF!</v>
      </c>
      <c r="V9" s="505" t="e">
        <f t="shared" si="1"/>
        <v>#REF!</v>
      </c>
      <c r="W9" s="505" t="e">
        <f t="shared" si="2"/>
        <v>#REF!</v>
      </c>
      <c r="X9" s="505" t="str">
        <f>IF(App_Pipeline_Intel_4!B70="","",App_Pipeline_Intel_4!B70)</f>
        <v>N01-3004</v>
      </c>
      <c r="Y9" s="505" t="b" cm="1">
        <f t="array" ref="Y9">IF(X9="","",ISNUMBER(MATCH(App_Pipeline_Intel_4!$B70&amp;"|"&amp;LEFT(App_Pipeline_Intel_4!$C70,FIND(",",App_Pipeline_Intel_4!$C70&amp;",")-1),#REF!&amp;"|"&amp;LEFT(#REF!,FIND(",",#REF!&amp;",")-1),0)))</f>
        <v>0</v>
      </c>
    </row>
    <row r="10" spans="1:25" s="327" customFormat="1" ht="13" customHeight="1">
      <c r="A10"/>
      <c r="B10"/>
      <c r="C10" s="506" t="s">
        <v>1072</v>
      </c>
      <c r="D10"/>
      <c r="E10"/>
      <c r="F10"/>
      <c r="G10"/>
      <c r="H10"/>
      <c r="I10"/>
      <c r="J10"/>
      <c r="K10"/>
      <c r="L10" s="505"/>
      <c r="M10" s="505"/>
      <c r="N10" s="505"/>
      <c r="O10" s="505"/>
      <c r="P10" s="505"/>
      <c r="Q10" s="505"/>
      <c r="R10" s="505"/>
      <c r="S10" s="505"/>
      <c r="T10" s="505"/>
      <c r="U10" s="505"/>
      <c r="V10" s="505"/>
      <c r="W10" s="505"/>
      <c r="X10" s="505"/>
      <c r="Y10" s="505"/>
    </row>
    <row r="11" spans="1:25" s="327" customFormat="1" ht="13" customHeight="1">
      <c r="A11"/>
      <c r="B11"/>
      <c r="C11"/>
      <c r="D11"/>
      <c r="E11"/>
      <c r="F11"/>
      <c r="G11"/>
      <c r="H11"/>
      <c r="I11"/>
      <c r="J11"/>
      <c r="K11"/>
      <c r="L11" s="505"/>
      <c r="M11" s="505"/>
      <c r="N11" s="505"/>
      <c r="O11" s="505"/>
      <c r="P11" s="505"/>
      <c r="Q11" s="505"/>
      <c r="R11" s="505"/>
      <c r="S11" s="505"/>
      <c r="T11" s="505"/>
      <c r="U11" s="505"/>
      <c r="V11" s="505"/>
      <c r="W11" s="505"/>
      <c r="X11" s="505"/>
      <c r="Y11" s="505"/>
    </row>
    <row r="12" spans="1:25" s="327" customFormat="1" ht="13" customHeight="1" thickBot="1">
      <c r="A12"/>
      <c r="B12" s="514" t="s">
        <v>1073</v>
      </c>
      <c r="C12" s="515"/>
      <c r="D12" s="515"/>
      <c r="E12" s="515"/>
      <c r="F12" s="515"/>
      <c r="G12" s="514" t="s">
        <v>1074</v>
      </c>
      <c r="H12" s="515"/>
      <c r="I12"/>
      <c r="J12"/>
      <c r="K12"/>
      <c r="L12" s="505"/>
      <c r="M12" s="505"/>
      <c r="N12" s="505"/>
      <c r="O12" s="505"/>
      <c r="P12" s="505"/>
      <c r="Q12" s="505"/>
      <c r="R12" s="505"/>
      <c r="S12" s="505"/>
      <c r="T12" s="505"/>
      <c r="U12" s="505"/>
      <c r="V12" s="505"/>
      <c r="W12" s="505"/>
      <c r="X12" s="505"/>
      <c r="Y12" s="505"/>
    </row>
    <row r="13" spans="1:25" s="327" customFormat="1" ht="13" customHeight="1">
      <c r="A13"/>
      <c r="B13" s="507" t="s">
        <v>1075</v>
      </c>
      <c r="C13" s="508">
        <v>23</v>
      </c>
      <c r="D13"/>
      <c r="E13"/>
      <c r="F13"/>
      <c r="G13" s="507" t="s">
        <v>1076</v>
      </c>
      <c r="H13" s="509">
        <v>8</v>
      </c>
      <c r="I13"/>
      <c r="J13"/>
      <c r="K13"/>
      <c r="L13" s="505"/>
      <c r="M13" s="505"/>
      <c r="N13" s="505"/>
      <c r="O13" s="505"/>
      <c r="P13" s="505"/>
      <c r="Q13" s="505"/>
      <c r="R13" s="505"/>
      <c r="S13" s="505"/>
      <c r="T13" s="505"/>
      <c r="U13" s="505"/>
      <c r="V13" s="505"/>
      <c r="W13" s="505"/>
      <c r="X13" s="505"/>
      <c r="Y13" s="505"/>
    </row>
    <row r="14" spans="1:25" s="327" customFormat="1" ht="13" customHeight="1">
      <c r="A14"/>
      <c r="B14" s="507" t="s">
        <v>1077</v>
      </c>
      <c r="C14" s="508">
        <v>16</v>
      </c>
      <c r="D14"/>
      <c r="E14"/>
      <c r="F14"/>
      <c r="G14" s="507" t="s">
        <v>1078</v>
      </c>
      <c r="H14" s="510">
        <v>35</v>
      </c>
      <c r="I14"/>
      <c r="J14"/>
      <c r="K14"/>
      <c r="L14" s="505"/>
      <c r="M14" s="505"/>
      <c r="N14" s="505"/>
      <c r="O14" s="505"/>
      <c r="P14" s="505"/>
      <c r="Q14" s="505"/>
      <c r="R14" s="505"/>
      <c r="S14" s="505"/>
      <c r="T14" s="505"/>
      <c r="U14" s="505"/>
      <c r="V14" s="505"/>
      <c r="W14" s="505"/>
      <c r="X14" s="505"/>
      <c r="Y14" s="505"/>
    </row>
    <row r="15" spans="1:25" s="327" customFormat="1" ht="13" customHeight="1">
      <c r="A15"/>
      <c r="B15" s="507" t="s">
        <v>1079</v>
      </c>
      <c r="C15" s="508">
        <v>20</v>
      </c>
      <c r="D15"/>
      <c r="E15"/>
      <c r="F15"/>
      <c r="G15" s="507" t="s">
        <v>1067</v>
      </c>
      <c r="H15" s="508">
        <v>0</v>
      </c>
      <c r="I15"/>
      <c r="J15"/>
      <c r="K15"/>
      <c r="L15" s="505"/>
      <c r="M15" s="505"/>
      <c r="N15" s="505"/>
      <c r="O15" s="505"/>
      <c r="P15" s="505"/>
      <c r="Q15" s="505"/>
      <c r="R15" s="505"/>
      <c r="S15" s="505"/>
      <c r="T15" s="505"/>
      <c r="U15" s="505"/>
      <c r="V15" s="505"/>
      <c r="W15" s="505"/>
      <c r="X15" s="505"/>
      <c r="Y15" s="505"/>
    </row>
    <row r="16" spans="1:25" s="327" customFormat="1" ht="13" customHeight="1">
      <c r="A16"/>
      <c r="B16" s="507" t="s">
        <v>1080</v>
      </c>
      <c r="C16" s="508">
        <v>40</v>
      </c>
      <c r="D16"/>
      <c r="E16"/>
      <c r="F16"/>
      <c r="G16" s="507" t="s">
        <v>1069</v>
      </c>
      <c r="H16" s="508">
        <v>9</v>
      </c>
      <c r="I16"/>
      <c r="J16"/>
      <c r="K16"/>
      <c r="L16" s="505"/>
      <c r="M16" s="505"/>
      <c r="N16" s="505"/>
      <c r="O16" s="505"/>
      <c r="P16" s="505"/>
      <c r="Q16" s="505"/>
      <c r="R16" s="505"/>
      <c r="S16" s="505"/>
      <c r="T16" s="505"/>
      <c r="U16" s="505"/>
      <c r="V16" s="505"/>
      <c r="W16" s="505"/>
      <c r="X16" s="505"/>
      <c r="Y16" s="505"/>
    </row>
    <row r="17" spans="1:25" s="327" customFormat="1" ht="13" customHeight="1">
      <c r="A17"/>
      <c r="B17" s="507" t="s">
        <v>1081</v>
      </c>
      <c r="C17" s="508">
        <v>35</v>
      </c>
      <c r="D17"/>
      <c r="E17"/>
      <c r="F17"/>
      <c r="G17" s="507" t="s">
        <v>1071</v>
      </c>
      <c r="H17" s="508">
        <v>0</v>
      </c>
      <c r="I17"/>
      <c r="J17"/>
      <c r="K17"/>
      <c r="L17" s="505"/>
      <c r="M17" s="505"/>
      <c r="N17" s="505"/>
      <c r="O17" s="505"/>
      <c r="P17" s="505"/>
      <c r="Q17" s="505"/>
      <c r="R17" s="505"/>
      <c r="S17" s="505"/>
      <c r="T17" s="505"/>
      <c r="U17" s="505"/>
      <c r="V17" s="505"/>
      <c r="W17" s="505"/>
      <c r="X17" s="505"/>
      <c r="Y17" s="505"/>
    </row>
    <row r="18" spans="1:25" s="327" customFormat="1" ht="13" customHeight="1">
      <c r="A18"/>
      <c r="B18" s="511" t="s">
        <v>1082</v>
      </c>
      <c r="C18" s="512" t="s">
        <v>1083</v>
      </c>
      <c r="D18" s="439"/>
      <c r="E18" s="439"/>
      <c r="F18" s="439"/>
      <c r="G18" s="439"/>
      <c r="H18" s="439"/>
      <c r="I18"/>
      <c r="J18"/>
      <c r="K18"/>
      <c r="L18" s="505"/>
      <c r="M18" s="505"/>
      <c r="N18" s="505"/>
      <c r="O18" s="505"/>
      <c r="P18" s="505"/>
      <c r="Q18" s="505"/>
      <c r="R18" s="505"/>
      <c r="S18" s="505"/>
      <c r="T18" s="505"/>
      <c r="U18" s="505"/>
      <c r="V18" s="505"/>
      <c r="W18" s="505"/>
      <c r="X18" s="505"/>
      <c r="Y18" s="505"/>
    </row>
    <row r="19" spans="1:25" s="327" customFormat="1" ht="13" customHeight="1">
      <c r="A19"/>
      <c r="B19" s="513" t="s">
        <v>1084</v>
      </c>
      <c r="C19" s="439" t="s">
        <v>1085</v>
      </c>
      <c r="D19" s="439"/>
      <c r="E19" s="439"/>
      <c r="F19" s="439"/>
      <c r="G19" s="439"/>
      <c r="H19" s="439"/>
      <c r="I19"/>
      <c r="J19"/>
      <c r="K19"/>
      <c r="L19" s="505"/>
      <c r="M19" s="505"/>
      <c r="N19" s="505"/>
      <c r="O19" s="505"/>
      <c r="P19" s="505"/>
      <c r="Q19" s="505"/>
      <c r="R19" s="505"/>
      <c r="S19" s="505"/>
      <c r="T19" s="505"/>
      <c r="U19" s="505"/>
      <c r="V19" s="505"/>
      <c r="W19" s="505"/>
      <c r="X19" s="505"/>
      <c r="Y19" s="505"/>
    </row>
    <row r="20" spans="1:25" s="327" customFormat="1" ht="4" customHeight="1">
      <c r="A20" s="317"/>
      <c r="B20" s="317"/>
      <c r="C20" s="317"/>
      <c r="D20" s="317"/>
      <c r="E20" s="317"/>
      <c r="F20" s="317"/>
      <c r="G20" s="317"/>
      <c r="H20" s="317"/>
      <c r="I20" s="317"/>
      <c r="J20" s="317"/>
      <c r="K20"/>
      <c r="L20" s="505" t="e">
        <f>IF(#REF!="","",#REF!)</f>
        <v>#REF!</v>
      </c>
      <c r="M20" s="505" t="e">
        <f>IF(L20="","",#REF!)</f>
        <v>#REF!</v>
      </c>
      <c r="N20" s="505" t="e">
        <f>IF(L20="","",#REF!)</f>
        <v>#REF!</v>
      </c>
      <c r="O20" s="505" t="e">
        <f>IF(L20="","",IF(#REF!=0,"",#REF!))</f>
        <v>#REF!</v>
      </c>
      <c r="P20" s="505" t="e">
        <f t="shared" si="0"/>
        <v>#REF!</v>
      </c>
      <c r="Q20" s="505" t="e" cm="1">
        <f t="array" ref="Q20">IF(P20="","",IFERROR(MATCH(P20,App_Pipeline_Intel_4!$B$66:$B$178&amp;"|"&amp;LEFT(App_Pipeline_Intel_4!$C$66:$C$178,FIND(",",App_Pipeline_Intel_4!$C$66:$C$178&amp;",")-1),0),"NO MATCH"))</f>
        <v>#REF!</v>
      </c>
      <c r="R20" s="505" t="e" cm="1">
        <f t="array" ref="R20">IF(Q20="","",IF(Q20="NO MATCH","—",INDEX(App_Pipeline_Intel_4!$D$66:$D$178,Q20)))</f>
        <v>#REF!</v>
      </c>
      <c r="S20" s="505" t="e" cm="1">
        <f t="array" ref="S20">IF(Q20="","",IF(Q20="NO MATCH","—",INDEX(App_Pipeline_Intel_4!$E$66:$E$178,Q20)))</f>
        <v>#REF!</v>
      </c>
      <c r="T20" s="505" t="e" cm="1">
        <f t="array" ref="T20">IF(Q20="","",IF(Q20="NO MATCH","—",INDEX(App_Pipeline_Intel_4!$K$66:$K$178,Q20)))</f>
        <v>#REF!</v>
      </c>
      <c r="U20" s="505" t="e" cm="1">
        <f t="array" ref="U20">IF(Q20="","",IF(Q20="NO MATCH","—",INDEX(App_Pipeline_Intel_4!$F$66:$F$178,Q20)))</f>
        <v>#REF!</v>
      </c>
      <c r="V20" s="505" t="e">
        <f t="shared" si="1"/>
        <v>#REF!</v>
      </c>
      <c r="W20" s="505" t="e">
        <f t="shared" si="2"/>
        <v>#REF!</v>
      </c>
      <c r="X20" s="505" t="str">
        <f>IF(App_Pipeline_Intel_4!B72="","",App_Pipeline_Intel_4!B72)</f>
        <v>N03-1020</v>
      </c>
      <c r="Y20" s="505" t="b" cm="1">
        <f t="array" ref="Y20">IF(X20="","",ISNUMBER(MATCH(App_Pipeline_Intel_4!$B72&amp;"|"&amp;LEFT(App_Pipeline_Intel_4!$C72,FIND(",",App_Pipeline_Intel_4!$C72&amp;",")-1),#REF!&amp;"|"&amp;LEFT(#REF!,FIND(",",#REF!&amp;",")-1),0)))</f>
        <v>0</v>
      </c>
    </row>
    <row r="21" spans="1:25" s="327" customFormat="1" ht="16" customHeight="1" thickBot="1">
      <c r="A21" s="317"/>
      <c r="B21" s="322" t="s">
        <v>1086</v>
      </c>
      <c r="C21" s="323"/>
      <c r="D21" s="331"/>
      <c r="E21" s="328"/>
      <c r="F21" s="329" t="s">
        <v>1087</v>
      </c>
      <c r="G21" s="330" t="s">
        <v>1088</v>
      </c>
      <c r="H21" s="323" t="s">
        <v>1089</v>
      </c>
      <c r="I21" s="323"/>
      <c r="J21" s="323"/>
      <c r="K21"/>
      <c r="L21" s="505" t="e">
        <f>IF(#REF!="","",#REF!)</f>
        <v>#REF!</v>
      </c>
      <c r="M21" s="505" t="e">
        <f>IF(L21="","",#REF!)</f>
        <v>#REF!</v>
      </c>
      <c r="N21" s="505" t="e">
        <f>IF(L21="","",#REF!)</f>
        <v>#REF!</v>
      </c>
      <c r="O21" s="505" t="e">
        <f>IF(L21="","",IF(#REF!=0,"",#REF!))</f>
        <v>#REF!</v>
      </c>
      <c r="P21" s="505" t="e">
        <f t="shared" si="0"/>
        <v>#REF!</v>
      </c>
      <c r="Q21" s="505" t="e" cm="1">
        <f t="array" ref="Q21">IF(P21="","",IFERROR(MATCH(P21,App_Pipeline_Intel_4!$B$66:$B$178&amp;"|"&amp;LEFT(App_Pipeline_Intel_4!$C$66:$C$178,FIND(",",App_Pipeline_Intel_4!$C$66:$C$178&amp;",")-1),0),"NO MATCH"))</f>
        <v>#REF!</v>
      </c>
      <c r="R21" s="505" t="e" cm="1">
        <f t="array" ref="R21">IF(Q21="","",IF(Q21="NO MATCH","—",INDEX(App_Pipeline_Intel_4!$D$66:$D$178,Q21)))</f>
        <v>#REF!</v>
      </c>
      <c r="S21" s="505" t="e" cm="1">
        <f t="array" ref="S21">IF(Q21="","",IF(Q21="NO MATCH","—",INDEX(App_Pipeline_Intel_4!$E$66:$E$178,Q21)))</f>
        <v>#REF!</v>
      </c>
      <c r="T21" s="505" t="e" cm="1">
        <f t="array" ref="T21">IF(Q21="","",IF(Q21="NO MATCH","—",INDEX(App_Pipeline_Intel_4!$K$66:$K$178,Q21)))</f>
        <v>#REF!</v>
      </c>
      <c r="U21" s="505" t="e" cm="1">
        <f t="array" ref="U21">IF(Q21="","",IF(Q21="NO MATCH","—",INDEX(App_Pipeline_Intel_4!$F$66:$F$178,Q21)))</f>
        <v>#REF!</v>
      </c>
      <c r="V21" s="505" t="e">
        <f t="shared" si="1"/>
        <v>#REF!</v>
      </c>
      <c r="W21" s="505" t="e">
        <f t="shared" si="2"/>
        <v>#REF!</v>
      </c>
      <c r="X21" s="505" t="str">
        <f>IF(App_Pipeline_Intel_4!B75="","",App_Pipeline_Intel_4!B75)</f>
        <v>N06-1031</v>
      </c>
      <c r="Y21" s="505" t="b" cm="1">
        <f t="array" ref="Y21">IF(X21="","",ISNUMBER(MATCH(App_Pipeline_Intel_4!$B75&amp;"|"&amp;LEFT(App_Pipeline_Intel_4!$C75,FIND(",",App_Pipeline_Intel_4!$C75&amp;",")-1),#REF!&amp;"|"&amp;LEFT(#REF!,FIND(",",#REF!&amp;",")-1),0)))</f>
        <v>0</v>
      </c>
    </row>
    <row r="22" spans="1:25" s="327" customFormat="1" ht="16" customHeight="1">
      <c r="A22" s="317"/>
      <c r="B22" s="324" t="s">
        <v>496</v>
      </c>
      <c r="C22" s="324" t="s">
        <v>554</v>
      </c>
      <c r="D22" s="325" t="s">
        <v>1090</v>
      </c>
      <c r="E22" s="325" t="s">
        <v>1091</v>
      </c>
      <c r="F22" s="325" t="s">
        <v>1092</v>
      </c>
      <c r="G22" s="325" t="s">
        <v>555</v>
      </c>
      <c r="H22" s="325" t="s">
        <v>602</v>
      </c>
      <c r="I22" s="325" t="s">
        <v>1093</v>
      </c>
      <c r="J22" s="325" t="s">
        <v>1094</v>
      </c>
      <c r="K22"/>
      <c r="L22" s="505" t="e">
        <f>IF(#REF!="","",#REF!)</f>
        <v>#REF!</v>
      </c>
      <c r="M22" s="505" t="e">
        <f>IF(L22="","",#REF!)</f>
        <v>#REF!</v>
      </c>
      <c r="N22" s="505" t="e">
        <f>IF(L22="","",#REF!)</f>
        <v>#REF!</v>
      </c>
      <c r="O22" s="505" t="e">
        <f>IF(L22="","",IF(#REF!=0,"",#REF!))</f>
        <v>#REF!</v>
      </c>
      <c r="P22" s="505" t="e">
        <f t="shared" si="0"/>
        <v>#REF!</v>
      </c>
      <c r="Q22" s="505" t="e" cm="1">
        <f t="array" ref="Q22">IF(P22="","",IFERROR(MATCH(P22,App_Pipeline_Intel_4!$B$66:$B$178&amp;"|"&amp;LEFT(App_Pipeline_Intel_4!$C$66:$C$178,FIND(",",App_Pipeline_Intel_4!$C$66:$C$178&amp;",")-1),0),"NO MATCH"))</f>
        <v>#REF!</v>
      </c>
      <c r="R22" s="505" t="e" cm="1">
        <f t="array" ref="R22">IF(Q22="","",IF(Q22="NO MATCH","—",INDEX(App_Pipeline_Intel_4!$D$66:$D$178,Q22)))</f>
        <v>#REF!</v>
      </c>
      <c r="S22" s="505" t="e" cm="1">
        <f t="array" ref="S22">IF(Q22="","",IF(Q22="NO MATCH","—",INDEX(App_Pipeline_Intel_4!$E$66:$E$178,Q22)))</f>
        <v>#REF!</v>
      </c>
      <c r="T22" s="505" t="e" cm="1">
        <f t="array" ref="T22">IF(Q22="","",IF(Q22="NO MATCH","—",INDEX(App_Pipeline_Intel_4!$K$66:$K$178,Q22)))</f>
        <v>#REF!</v>
      </c>
      <c r="U22" s="505" t="e" cm="1">
        <f t="array" ref="U22">IF(Q22="","",IF(Q22="NO MATCH","—",INDEX(App_Pipeline_Intel_4!$F$66:$F$178,Q22)))</f>
        <v>#REF!</v>
      </c>
      <c r="V22" s="505" t="e">
        <f t="shared" si="1"/>
        <v>#REF!</v>
      </c>
      <c r="W22" s="505" t="e">
        <f t="shared" si="2"/>
        <v>#REF!</v>
      </c>
      <c r="X22" s="505" t="str">
        <f>IF(App_Pipeline_Intel_4!B77="","",App_Pipeline_Intel_4!B77)</f>
        <v>N07-2051</v>
      </c>
      <c r="Y22" s="505" t="b" cm="1">
        <f t="array" ref="Y22">IF(X22="","",ISNUMBER(MATCH(App_Pipeline_Intel_4!$B77&amp;"|"&amp;LEFT(App_Pipeline_Intel_4!$C77,FIND(",",App_Pipeline_Intel_4!$C77&amp;",")-1),#REF!&amp;"|"&amp;LEFT(#REF!,FIND(",",#REF!&amp;",")-1),0)))</f>
        <v>0</v>
      </c>
    </row>
    <row r="23" spans="1:25" s="327" customFormat="1" ht="16" customHeight="1">
      <c r="A23" s="317"/>
      <c r="B23" s="844"/>
      <c r="C23" s="844"/>
      <c r="D23" s="845"/>
      <c r="E23" s="845"/>
      <c r="F23" s="845"/>
      <c r="G23" s="845"/>
      <c r="H23" s="846"/>
      <c r="I23" s="847" t="s">
        <v>1095</v>
      </c>
      <c r="J23" s="847" t="s">
        <v>1096</v>
      </c>
      <c r="K23"/>
      <c r="L23" s="505" t="e">
        <f>IF(#REF!="","",#REF!)</f>
        <v>#REF!</v>
      </c>
      <c r="M23" s="505" t="e">
        <f>IF(L23="","",#REF!)</f>
        <v>#REF!</v>
      </c>
      <c r="N23" s="505" t="e">
        <f>IF(L23="","",#REF!)</f>
        <v>#REF!</v>
      </c>
      <c r="O23" s="505" t="e">
        <f>IF(L23="","",IF(#REF!=0,"",#REF!))</f>
        <v>#REF!</v>
      </c>
      <c r="P23" s="505" t="e">
        <f t="shared" si="0"/>
        <v>#REF!</v>
      </c>
      <c r="Q23" s="505" t="e" cm="1">
        <f t="array" ref="Q23">IF(P23="","",IFERROR(MATCH(P23,App_Pipeline_Intel_4!$B$66:$B$178&amp;"|"&amp;LEFT(App_Pipeline_Intel_4!$C$66:$C$178,FIND(",",App_Pipeline_Intel_4!$C$66:$C$178&amp;",")-1),0),"NO MATCH"))</f>
        <v>#REF!</v>
      </c>
      <c r="R23" s="505" t="e" cm="1">
        <f t="array" ref="R23">IF(Q23="","",IF(Q23="NO MATCH","—",INDEX(App_Pipeline_Intel_4!$D$66:$D$178,Q23)))</f>
        <v>#REF!</v>
      </c>
      <c r="S23" s="505" t="e" cm="1">
        <f t="array" ref="S23">IF(Q23="","",IF(Q23="NO MATCH","—",INDEX(App_Pipeline_Intel_4!$E$66:$E$178,Q23)))</f>
        <v>#REF!</v>
      </c>
      <c r="T23" s="505" t="e" cm="1">
        <f t="array" ref="T23">IF(Q23="","",IF(Q23="NO MATCH","—",INDEX(App_Pipeline_Intel_4!$K$66:$K$178,Q23)))</f>
        <v>#REF!</v>
      </c>
      <c r="U23" s="505" t="e" cm="1">
        <f t="array" ref="U23">IF(Q23="","",IF(Q23="NO MATCH","—",INDEX(App_Pipeline_Intel_4!$F$66:$F$178,Q23)))</f>
        <v>#REF!</v>
      </c>
      <c r="V23" s="505" t="e">
        <f t="shared" si="1"/>
        <v>#REF!</v>
      </c>
      <c r="W23" s="505" t="e">
        <f t="shared" si="2"/>
        <v>#REF!</v>
      </c>
      <c r="X23" s="505" t="str">
        <f>IF(App_Pipeline_Intel_4!B79="","",App_Pipeline_Intel_4!B79)</f>
        <v>N09-1035</v>
      </c>
      <c r="Y23" s="505" t="b" cm="1">
        <f t="array" ref="Y23">IF(X23="","",ISNUMBER(MATCH(App_Pipeline_Intel_4!$B79&amp;"|"&amp;LEFT(App_Pipeline_Intel_4!$C79,FIND(",",App_Pipeline_Intel_4!$C79&amp;",")-1),#REF!&amp;"|"&amp;LEFT(#REF!,FIND(",",#REF!&amp;",")-1),0)))</f>
        <v>0</v>
      </c>
    </row>
    <row r="24" spans="1:25" s="327" customFormat="1" ht="16" customHeight="1">
      <c r="A24" s="317"/>
      <c r="B24" s="844"/>
      <c r="C24" s="844"/>
      <c r="D24" s="848"/>
      <c r="E24" s="845"/>
      <c r="F24" s="845"/>
      <c r="G24" s="845"/>
      <c r="H24" s="846"/>
      <c r="I24" s="847" t="s">
        <v>1095</v>
      </c>
      <c r="J24" s="847" t="s">
        <v>1096</v>
      </c>
      <c r="K24"/>
      <c r="L24" s="505" t="e">
        <f>IF(#REF!="","",#REF!)</f>
        <v>#REF!</v>
      </c>
      <c r="M24" s="505" t="e">
        <f>IF(L24="","",#REF!)</f>
        <v>#REF!</v>
      </c>
      <c r="N24" s="505" t="e">
        <f>IF(L24="","",#REF!)</f>
        <v>#REF!</v>
      </c>
      <c r="O24" s="505" t="e">
        <f>IF(L24="","",IF(#REF!=0,"",#REF!))</f>
        <v>#REF!</v>
      </c>
      <c r="P24" s="505" t="e">
        <f t="shared" si="0"/>
        <v>#REF!</v>
      </c>
      <c r="Q24" s="505" t="e" cm="1">
        <f t="array" ref="Q24">IF(P24="","",IFERROR(MATCH(P24,App_Pipeline_Intel_4!$B$66:$B$178&amp;"|"&amp;LEFT(App_Pipeline_Intel_4!$C$66:$C$178,FIND(",",App_Pipeline_Intel_4!$C$66:$C$178&amp;",")-1),0),"NO MATCH"))</f>
        <v>#REF!</v>
      </c>
      <c r="R24" s="505" t="e" cm="1">
        <f t="array" ref="R24">IF(Q24="","",IF(Q24="NO MATCH","—",INDEX(App_Pipeline_Intel_4!$D$66:$D$178,Q24)))</f>
        <v>#REF!</v>
      </c>
      <c r="S24" s="505" t="e" cm="1">
        <f t="array" ref="S24">IF(Q24="","",IF(Q24="NO MATCH","—",INDEX(App_Pipeline_Intel_4!$E$66:$E$178,Q24)))</f>
        <v>#REF!</v>
      </c>
      <c r="T24" s="505" t="e" cm="1">
        <f t="array" ref="T24">IF(Q24="","",IF(Q24="NO MATCH","—",INDEX(App_Pipeline_Intel_4!$K$66:$K$178,Q24)))</f>
        <v>#REF!</v>
      </c>
      <c r="U24" s="505" t="e" cm="1">
        <f t="array" ref="U24">IF(Q24="","",IF(Q24="NO MATCH","—",INDEX(App_Pipeline_Intel_4!$F$66:$F$178,Q24)))</f>
        <v>#REF!</v>
      </c>
      <c r="V24" s="505" t="e">
        <f t="shared" si="1"/>
        <v>#REF!</v>
      </c>
      <c r="W24" s="505" t="e">
        <f t="shared" si="2"/>
        <v>#REF!</v>
      </c>
      <c r="X24" s="505" t="str">
        <f>IF(App_Pipeline_Intel_4!B81="","",App_Pipeline_Intel_4!B81)</f>
        <v>N10-1038</v>
      </c>
      <c r="Y24" s="505" t="b" cm="1">
        <f t="array" ref="Y24">IF(X24="","",ISNUMBER(MATCH(App_Pipeline_Intel_4!$B81&amp;"|"&amp;LEFT(App_Pipeline_Intel_4!$C81,FIND(",",App_Pipeline_Intel_4!$C81&amp;",")-1),#REF!&amp;"|"&amp;LEFT(#REF!,FIND(",",#REF!&amp;",")-1),0)))</f>
        <v>0</v>
      </c>
    </row>
    <row r="25" spans="1:25" s="327" customFormat="1" ht="4" customHeight="1">
      <c r="A25" s="317"/>
      <c r="B25" s="849"/>
      <c r="C25" s="849"/>
      <c r="D25" s="849"/>
      <c r="E25" s="849"/>
      <c r="F25" s="849"/>
      <c r="G25" s="849"/>
      <c r="H25" s="849"/>
      <c r="I25" s="849"/>
      <c r="J25" s="849"/>
      <c r="K25"/>
      <c r="L25" s="505" t="e">
        <f>IF(#REF!="","",#REF!)</f>
        <v>#REF!</v>
      </c>
      <c r="M25" s="505" t="e">
        <f>IF(L25="","",#REF!)</f>
        <v>#REF!</v>
      </c>
      <c r="N25" s="505" t="e">
        <f>IF(L25="","",#REF!)</f>
        <v>#REF!</v>
      </c>
      <c r="O25" s="505" t="e">
        <f>IF(L25="","",IF(#REF!=0,"",#REF!))</f>
        <v>#REF!</v>
      </c>
      <c r="P25" s="505" t="e">
        <f t="shared" si="0"/>
        <v>#REF!</v>
      </c>
      <c r="Q25" s="505" t="e" cm="1">
        <f t="array" ref="Q25">IF(P25="","",IFERROR(MATCH(P25,App_Pipeline_Intel_4!$B$66:$B$178&amp;"|"&amp;LEFT(App_Pipeline_Intel_4!$C$66:$C$178,FIND(",",App_Pipeline_Intel_4!$C$66:$C$178&amp;",")-1),0),"NO MATCH"))</f>
        <v>#REF!</v>
      </c>
      <c r="R25" s="505" t="e" cm="1">
        <f t="array" ref="R25">IF(Q25="","",IF(Q25="NO MATCH","—",INDEX(App_Pipeline_Intel_4!$D$66:$D$178,Q25)))</f>
        <v>#REF!</v>
      </c>
      <c r="S25" s="505" t="e" cm="1">
        <f t="array" ref="S25">IF(Q25="","",IF(Q25="NO MATCH","—",INDEX(App_Pipeline_Intel_4!$E$66:$E$178,Q25)))</f>
        <v>#REF!</v>
      </c>
      <c r="T25" s="505" t="e" cm="1">
        <f t="array" ref="T25">IF(Q25="","",IF(Q25="NO MATCH","—",INDEX(App_Pipeline_Intel_4!$K$66:$K$178,Q25)))</f>
        <v>#REF!</v>
      </c>
      <c r="U25" s="505" t="e" cm="1">
        <f t="array" ref="U25">IF(Q25="","",IF(Q25="NO MATCH","—",INDEX(App_Pipeline_Intel_4!$F$66:$F$178,Q25)))</f>
        <v>#REF!</v>
      </c>
      <c r="V25" s="505" t="e">
        <f t="shared" si="1"/>
        <v>#REF!</v>
      </c>
      <c r="W25" s="505" t="e">
        <f t="shared" si="2"/>
        <v>#REF!</v>
      </c>
      <c r="X25" s="505" t="str">
        <f>IF(App_Pipeline_Intel_4!B84="","",App_Pipeline_Intel_4!B84)</f>
        <v>N10-2040</v>
      </c>
      <c r="Y25" s="505" t="b" cm="1">
        <f t="array" ref="Y25">IF(X25="","",ISNUMBER(MATCH(App_Pipeline_Intel_4!$B84&amp;"|"&amp;LEFT(App_Pipeline_Intel_4!$C84,FIND(",",App_Pipeline_Intel_4!$C84&amp;",")-1),#REF!&amp;"|"&amp;LEFT(#REF!,FIND(",",#REF!&amp;",")-1),0)))</f>
        <v>0</v>
      </c>
    </row>
    <row r="26" spans="1:25" s="327" customFormat="1" ht="16" customHeight="1" thickBot="1">
      <c r="A26" s="317"/>
      <c r="B26" s="765" t="s">
        <v>1097</v>
      </c>
      <c r="C26" s="497"/>
      <c r="D26" s="497"/>
      <c r="E26" s="850" t="s">
        <v>596</v>
      </c>
      <c r="F26" s="851" t="s">
        <v>597</v>
      </c>
      <c r="G26" s="852" t="s">
        <v>598</v>
      </c>
      <c r="H26" s="497"/>
      <c r="I26" s="497"/>
      <c r="J26" s="497"/>
      <c r="K26"/>
      <c r="L26" s="505" t="e">
        <f>IF(#REF!="","",#REF!)</f>
        <v>#REF!</v>
      </c>
      <c r="M26" s="505" t="e">
        <f>IF(L26="","",#REF!)</f>
        <v>#REF!</v>
      </c>
      <c r="N26" s="505" t="e">
        <f>IF(L26="","",#REF!)</f>
        <v>#REF!</v>
      </c>
      <c r="O26" s="505" t="e">
        <f>IF(L26="","",IF(#REF!=0,"",#REF!))</f>
        <v>#REF!</v>
      </c>
      <c r="P26" s="505" t="e">
        <f t="shared" si="0"/>
        <v>#REF!</v>
      </c>
      <c r="Q26" s="505" t="e" cm="1">
        <f t="array" ref="Q26">IF(P26="","",IFERROR(MATCH(P26,App_Pipeline_Intel_4!$B$66:$B$178&amp;"|"&amp;LEFT(App_Pipeline_Intel_4!$C$66:$C$178,FIND(",",App_Pipeline_Intel_4!$C$66:$C$178&amp;",")-1),0),"NO MATCH"))</f>
        <v>#REF!</v>
      </c>
      <c r="R26" s="505" t="e" cm="1">
        <f t="array" ref="R26">IF(Q26="","",IF(Q26="NO MATCH","—",INDEX(App_Pipeline_Intel_4!$D$66:$D$178,Q26)))</f>
        <v>#REF!</v>
      </c>
      <c r="S26" s="505" t="e" cm="1">
        <f t="array" ref="S26">IF(Q26="","",IF(Q26="NO MATCH","—",INDEX(App_Pipeline_Intel_4!$E$66:$E$178,Q26)))</f>
        <v>#REF!</v>
      </c>
      <c r="T26" s="505" t="e" cm="1">
        <f t="array" ref="T26">IF(Q26="","",IF(Q26="NO MATCH","—",INDEX(App_Pipeline_Intel_4!$K$66:$K$178,Q26)))</f>
        <v>#REF!</v>
      </c>
      <c r="U26" s="505" t="e" cm="1">
        <f t="array" ref="U26">IF(Q26="","",IF(Q26="NO MATCH","—",INDEX(App_Pipeline_Intel_4!$F$66:$F$178,Q26)))</f>
        <v>#REF!</v>
      </c>
      <c r="V26" s="505" t="e">
        <f t="shared" si="1"/>
        <v>#REF!</v>
      </c>
      <c r="W26" s="505" t="e">
        <f t="shared" si="2"/>
        <v>#REF!</v>
      </c>
      <c r="X26" s="505" t="str">
        <f>IF(App_Pipeline_Intel_4!B85="","",App_Pipeline_Intel_4!B85)</f>
        <v>N10-3038</v>
      </c>
      <c r="Y26" s="505" t="b" cm="1">
        <f t="array" ref="Y26">IF(X26="","",ISNUMBER(MATCH(App_Pipeline_Intel_4!$B85&amp;"|"&amp;LEFT(App_Pipeline_Intel_4!$C85,FIND(",",App_Pipeline_Intel_4!$C85&amp;",")-1),#REF!&amp;"|"&amp;LEFT(#REF!,FIND(",",#REF!&amp;",")-1),0)))</f>
        <v>0</v>
      </c>
    </row>
    <row r="27" spans="1:25" s="327" customFormat="1" ht="14.15" customHeight="1">
      <c r="A27" s="317"/>
      <c r="B27" s="853" t="s">
        <v>496</v>
      </c>
      <c r="C27" s="853" t="s">
        <v>554</v>
      </c>
      <c r="D27" s="853" t="s">
        <v>1091</v>
      </c>
      <c r="E27" s="853" t="s">
        <v>601</v>
      </c>
      <c r="F27" s="853" t="s">
        <v>555</v>
      </c>
      <c r="G27" s="853" t="s">
        <v>602</v>
      </c>
      <c r="H27" s="853" t="s">
        <v>556</v>
      </c>
      <c r="I27" s="853" t="s">
        <v>603</v>
      </c>
      <c r="J27" s="853" t="s">
        <v>825</v>
      </c>
      <c r="K27"/>
      <c r="L27" s="505" t="e">
        <f>IF(#REF!="","",#REF!)</f>
        <v>#REF!</v>
      </c>
      <c r="M27" s="505" t="e">
        <f>IF(L27="","",#REF!)</f>
        <v>#REF!</v>
      </c>
      <c r="N27" s="505" t="e">
        <f>IF(L27="","",#REF!)</f>
        <v>#REF!</v>
      </c>
      <c r="O27" s="505" t="e">
        <f>IF(L27="","",IF(#REF!=0,"",#REF!))</f>
        <v>#REF!</v>
      </c>
      <c r="P27" s="505" t="e">
        <f t="shared" si="0"/>
        <v>#REF!</v>
      </c>
      <c r="Q27" s="505" t="e" cm="1">
        <f t="array" ref="Q27">IF(P27="","",IFERROR(MATCH(P27,App_Pipeline_Intel_4!$B$66:$B$178&amp;"|"&amp;LEFT(App_Pipeline_Intel_4!$C$66:$C$178,FIND(",",App_Pipeline_Intel_4!$C$66:$C$178&amp;",")-1),0),"NO MATCH"))</f>
        <v>#REF!</v>
      </c>
      <c r="R27" s="505" t="e" cm="1">
        <f t="array" ref="R27">IF(Q27="","",IF(Q27="NO MATCH","—",INDEX(App_Pipeline_Intel_4!$D$66:$D$178,Q27)))</f>
        <v>#REF!</v>
      </c>
      <c r="S27" s="505" t="e" cm="1">
        <f t="array" ref="S27">IF(Q27="","",IF(Q27="NO MATCH","—",INDEX(App_Pipeline_Intel_4!$E$66:$E$178,Q27)))</f>
        <v>#REF!</v>
      </c>
      <c r="T27" s="505" t="e" cm="1">
        <f t="array" ref="T27">IF(Q27="","",IF(Q27="NO MATCH","—",INDEX(App_Pipeline_Intel_4!$K$66:$K$178,Q27)))</f>
        <v>#REF!</v>
      </c>
      <c r="U27" s="505" t="e" cm="1">
        <f t="array" ref="U27">IF(Q27="","",IF(Q27="NO MATCH","—",INDEX(App_Pipeline_Intel_4!$F$66:$F$178,Q27)))</f>
        <v>#REF!</v>
      </c>
      <c r="V27" s="505" t="e">
        <f t="shared" si="1"/>
        <v>#REF!</v>
      </c>
      <c r="W27" s="505" t="e">
        <f t="shared" si="2"/>
        <v>#REF!</v>
      </c>
      <c r="X27" s="505" t="str">
        <f>IF(App_Pipeline_Intel_4!B89="","",App_Pipeline_Intel_4!B89)</f>
        <v>N12-2048</v>
      </c>
      <c r="Y27" s="505" t="b" cm="1">
        <f t="array" ref="Y27">IF(X27="","",ISNUMBER(MATCH(App_Pipeline_Intel_4!$B89&amp;"|"&amp;LEFT(App_Pipeline_Intel_4!$C89,FIND(",",App_Pipeline_Intel_4!$C89&amp;",")-1),#REF!&amp;"|"&amp;LEFT(#REF!,FIND(",",#REF!&amp;",")-1),0)))</f>
        <v>0</v>
      </c>
    </row>
    <row r="28" spans="1:25" s="327" customFormat="1" ht="14.15" customHeight="1">
      <c r="A28" s="317"/>
      <c r="B28" s="498" t="s">
        <v>1098</v>
      </c>
      <c r="C28" s="498" t="s">
        <v>1099</v>
      </c>
      <c r="D28" s="450" t="s">
        <v>1100</v>
      </c>
      <c r="E28" s="450" t="s">
        <v>1101</v>
      </c>
      <c r="F28" s="450">
        <v>49</v>
      </c>
      <c r="G28" s="450" t="s">
        <v>984</v>
      </c>
      <c r="H28" s="450" t="s">
        <v>587</v>
      </c>
      <c r="I28" s="499">
        <v>46056</v>
      </c>
      <c r="J28" s="703" t="s">
        <v>546</v>
      </c>
      <c r="K28"/>
      <c r="L28" s="505" t="e">
        <f>IF(#REF!="","",#REF!)</f>
        <v>#REF!</v>
      </c>
      <c r="M28" s="505" t="e">
        <f>IF(L28="","",#REF!)</f>
        <v>#REF!</v>
      </c>
      <c r="N28" s="505" t="e">
        <f>IF(L28="","",#REF!)</f>
        <v>#REF!</v>
      </c>
      <c r="O28" s="505" t="e">
        <f>IF(L28="","",IF(#REF!=0,"",#REF!))</f>
        <v>#REF!</v>
      </c>
      <c r="P28" s="505" t="e">
        <f t="shared" si="0"/>
        <v>#REF!</v>
      </c>
      <c r="Q28" s="505" t="e" cm="1">
        <f t="array" ref="Q28">IF(P28="","",IFERROR(MATCH(P28,App_Pipeline_Intel_4!$B$66:$B$178&amp;"|"&amp;LEFT(App_Pipeline_Intel_4!$C$66:$C$178,FIND(",",App_Pipeline_Intel_4!$C$66:$C$178&amp;",")-1),0),"NO MATCH"))</f>
        <v>#REF!</v>
      </c>
      <c r="R28" s="505" t="e" cm="1">
        <f t="array" ref="R28">IF(Q28="","",IF(Q28="NO MATCH","—",INDEX(App_Pipeline_Intel_4!$D$66:$D$178,Q28)))</f>
        <v>#REF!</v>
      </c>
      <c r="S28" s="505" t="e" cm="1">
        <f t="array" ref="S28">IF(Q28="","",IF(Q28="NO MATCH","—",INDEX(App_Pipeline_Intel_4!$E$66:$E$178,Q28)))</f>
        <v>#REF!</v>
      </c>
      <c r="T28" s="505" t="e" cm="1">
        <f t="array" ref="T28">IF(Q28="","",IF(Q28="NO MATCH","—",INDEX(App_Pipeline_Intel_4!$K$66:$K$178,Q28)))</f>
        <v>#REF!</v>
      </c>
      <c r="U28" s="505" t="e" cm="1">
        <f t="array" ref="U28">IF(Q28="","",IF(Q28="NO MATCH","—",INDEX(App_Pipeline_Intel_4!$F$66:$F$178,Q28)))</f>
        <v>#REF!</v>
      </c>
      <c r="V28" s="505" t="e">
        <f t="shared" si="1"/>
        <v>#REF!</v>
      </c>
      <c r="W28" s="505" t="e">
        <f t="shared" si="2"/>
        <v>#REF!</v>
      </c>
      <c r="X28" s="505" t="str">
        <f>IF(App_Pipeline_Intel_4!B90="","",App_Pipeline_Intel_4!B90)</f>
        <v>N12-3049</v>
      </c>
      <c r="Y28" s="505" t="b" cm="1">
        <f t="array" ref="Y28">IF(X28="","",ISNUMBER(MATCH(App_Pipeline_Intel_4!$B90&amp;"|"&amp;LEFT(App_Pipeline_Intel_4!$C90,FIND(",",App_Pipeline_Intel_4!$C90&amp;",")-1),#REF!&amp;"|"&amp;LEFT(#REF!,FIND(",",#REF!&amp;",")-1),0)))</f>
        <v>0</v>
      </c>
    </row>
    <row r="29" spans="1:25" s="327" customFormat="1" ht="14.15" customHeight="1">
      <c r="A29" s="317"/>
      <c r="B29" s="498" t="s">
        <v>1102</v>
      </c>
      <c r="C29" s="498" t="s">
        <v>1103</v>
      </c>
      <c r="D29" s="450" t="s">
        <v>1104</v>
      </c>
      <c r="E29" s="450" t="s">
        <v>1105</v>
      </c>
      <c r="F29" s="450">
        <v>48</v>
      </c>
      <c r="G29" s="450" t="s">
        <v>579</v>
      </c>
      <c r="H29" s="450" t="s">
        <v>588</v>
      </c>
      <c r="I29" s="499">
        <v>46057</v>
      </c>
      <c r="J29" s="703" t="s">
        <v>546</v>
      </c>
      <c r="K29"/>
      <c r="L29" s="505" t="e">
        <f>IF(#REF!="","",#REF!)</f>
        <v>#REF!</v>
      </c>
      <c r="M29" s="505" t="e">
        <f>IF(L29="","",#REF!)</f>
        <v>#REF!</v>
      </c>
      <c r="N29" s="505" t="e">
        <f>IF(L29="","",#REF!)</f>
        <v>#REF!</v>
      </c>
      <c r="O29" s="505" t="e">
        <f>IF(L29="","",IF(#REF!=0,"",#REF!))</f>
        <v>#REF!</v>
      </c>
      <c r="P29" s="505" t="e">
        <f t="shared" si="0"/>
        <v>#REF!</v>
      </c>
      <c r="Q29" s="505" t="e" cm="1">
        <f t="array" ref="Q29">IF(P29="","",IFERROR(MATCH(P29,App_Pipeline_Intel_4!$B$66:$B$178&amp;"|"&amp;LEFT(App_Pipeline_Intel_4!$C$66:$C$178,FIND(",",App_Pipeline_Intel_4!$C$66:$C$178&amp;",")-1),0),"NO MATCH"))</f>
        <v>#REF!</v>
      </c>
      <c r="R29" s="505" t="e" cm="1">
        <f t="array" ref="R29">IF(Q29="","",IF(Q29="NO MATCH","—",INDEX(App_Pipeline_Intel_4!$D$66:$D$178,Q29)))</f>
        <v>#REF!</v>
      </c>
      <c r="S29" s="505" t="e" cm="1">
        <f t="array" ref="S29">IF(Q29="","",IF(Q29="NO MATCH","—",INDEX(App_Pipeline_Intel_4!$E$66:$E$178,Q29)))</f>
        <v>#REF!</v>
      </c>
      <c r="T29" s="505" t="e" cm="1">
        <f t="array" ref="T29">IF(Q29="","",IF(Q29="NO MATCH","—",INDEX(App_Pipeline_Intel_4!$K$66:$K$178,Q29)))</f>
        <v>#REF!</v>
      </c>
      <c r="U29" s="505" t="e" cm="1">
        <f t="array" ref="U29">IF(Q29="","",IF(Q29="NO MATCH","—",INDEX(App_Pipeline_Intel_4!$F$66:$F$178,Q29)))</f>
        <v>#REF!</v>
      </c>
      <c r="V29" s="505" t="e">
        <f t="shared" si="1"/>
        <v>#REF!</v>
      </c>
      <c r="W29" s="505" t="e">
        <f t="shared" si="2"/>
        <v>#REF!</v>
      </c>
      <c r="X29" s="505" t="str">
        <f>IF(App_Pipeline_Intel_4!B96="","",App_Pipeline_Intel_4!B96)</f>
        <v>N15-1069</v>
      </c>
      <c r="Y29" s="505" t="b" cm="1">
        <f t="array" ref="Y29">IF(X29="","",ISNUMBER(MATCH(App_Pipeline_Intel_4!$B96&amp;"|"&amp;LEFT(App_Pipeline_Intel_4!$C96,FIND(",",App_Pipeline_Intel_4!$C96&amp;",")-1),#REF!&amp;"|"&amp;LEFT(#REF!,FIND(",",#REF!&amp;",")-1),0)))</f>
        <v>0</v>
      </c>
    </row>
    <row r="30" spans="1:25" s="327" customFormat="1" ht="14.15" customHeight="1">
      <c r="A30" s="317"/>
      <c r="B30" s="498" t="s">
        <v>1106</v>
      </c>
      <c r="C30" s="498" t="s">
        <v>1107</v>
      </c>
      <c r="D30" s="450" t="s">
        <v>1100</v>
      </c>
      <c r="E30" s="450" t="s">
        <v>1101</v>
      </c>
      <c r="F30" s="450">
        <v>47</v>
      </c>
      <c r="G30" s="450" t="s">
        <v>1001</v>
      </c>
      <c r="H30" s="450" t="s">
        <v>592</v>
      </c>
      <c r="I30" s="499">
        <v>46058</v>
      </c>
      <c r="J30" s="703" t="s">
        <v>546</v>
      </c>
      <c r="K30"/>
      <c r="L30" s="505" t="e">
        <f>IF(#REF!="","",#REF!)</f>
        <v>#REF!</v>
      </c>
      <c r="M30" s="505" t="e">
        <f>IF(L30="","",#REF!)</f>
        <v>#REF!</v>
      </c>
      <c r="N30" s="505" t="e">
        <f>IF(L30="","",#REF!)</f>
        <v>#REF!</v>
      </c>
      <c r="O30" s="505" t="e">
        <f>IF(L30="","",IF(#REF!=0,"",#REF!))</f>
        <v>#REF!</v>
      </c>
      <c r="P30" s="505" t="e">
        <f t="shared" si="0"/>
        <v>#REF!</v>
      </c>
      <c r="Q30" s="505" t="e" cm="1">
        <f t="array" ref="Q30">IF(P30="","",IFERROR(MATCH(P30,App_Pipeline_Intel_4!$B$66:$B$178&amp;"|"&amp;LEFT(App_Pipeline_Intel_4!$C$66:$C$178,FIND(",",App_Pipeline_Intel_4!$C$66:$C$178&amp;",")-1),0),"NO MATCH"))</f>
        <v>#REF!</v>
      </c>
      <c r="R30" s="505" t="e" cm="1">
        <f t="array" ref="R30">IF(Q30="","",IF(Q30="NO MATCH","—",INDEX(App_Pipeline_Intel_4!$D$66:$D$178,Q30)))</f>
        <v>#REF!</v>
      </c>
      <c r="S30" s="505" t="e" cm="1">
        <f t="array" ref="S30">IF(Q30="","",IF(Q30="NO MATCH","—",INDEX(App_Pipeline_Intel_4!$E$66:$E$178,Q30)))</f>
        <v>#REF!</v>
      </c>
      <c r="T30" s="505" t="e" cm="1">
        <f t="array" ref="T30">IF(Q30="","",IF(Q30="NO MATCH","—",INDEX(App_Pipeline_Intel_4!$K$66:$K$178,Q30)))</f>
        <v>#REF!</v>
      </c>
      <c r="U30" s="505" t="e" cm="1">
        <f t="array" ref="U30">IF(Q30="","",IF(Q30="NO MATCH","—",INDEX(App_Pipeline_Intel_4!$F$66:$F$178,Q30)))</f>
        <v>#REF!</v>
      </c>
      <c r="V30" s="505" t="e">
        <f t="shared" si="1"/>
        <v>#REF!</v>
      </c>
      <c r="W30" s="505" t="e">
        <f t="shared" si="2"/>
        <v>#REF!</v>
      </c>
      <c r="X30" s="505" t="str">
        <f>IF(App_Pipeline_Intel_4!B97="","",App_Pipeline_Intel_4!B97)</f>
        <v>N15-3068</v>
      </c>
      <c r="Y30" s="505" t="b" cm="1">
        <f t="array" ref="Y30">IF(X30="","",ISNUMBER(MATCH(App_Pipeline_Intel_4!$B97&amp;"|"&amp;LEFT(App_Pipeline_Intel_4!$C97,FIND(",",App_Pipeline_Intel_4!$C97&amp;",")-1),#REF!&amp;"|"&amp;LEFT(#REF!,FIND(",",#REF!&amp;",")-1),0)))</f>
        <v>0</v>
      </c>
    </row>
    <row r="31" spans="1:25" s="327" customFormat="1" ht="14.15" customHeight="1">
      <c r="A31" s="317"/>
      <c r="B31" s="498" t="s">
        <v>1108</v>
      </c>
      <c r="C31" s="498" t="s">
        <v>1109</v>
      </c>
      <c r="D31" s="450" t="s">
        <v>1110</v>
      </c>
      <c r="E31" s="450" t="s">
        <v>1105</v>
      </c>
      <c r="F31" s="450">
        <v>45</v>
      </c>
      <c r="G31" s="450" t="s">
        <v>578</v>
      </c>
      <c r="H31" s="450" t="s">
        <v>592</v>
      </c>
      <c r="I31" s="499">
        <v>46062</v>
      </c>
      <c r="J31" s="703" t="s">
        <v>546</v>
      </c>
      <c r="K31"/>
      <c r="L31" s="505" t="e">
        <f>IF(#REF!="","",#REF!)</f>
        <v>#REF!</v>
      </c>
      <c r="M31" s="505" t="e">
        <f>IF(L31="","",#REF!)</f>
        <v>#REF!</v>
      </c>
      <c r="N31" s="505" t="e">
        <f>IF(L31="","",#REF!)</f>
        <v>#REF!</v>
      </c>
      <c r="O31" s="505" t="e">
        <f>IF(L31="","",IF(#REF!=0,"",#REF!))</f>
        <v>#REF!</v>
      </c>
      <c r="P31" s="505" t="e">
        <f t="shared" si="0"/>
        <v>#REF!</v>
      </c>
      <c r="Q31" s="505" t="e" cm="1">
        <f t="array" ref="Q31">IF(P31="","",IFERROR(MATCH(P31,App_Pipeline_Intel_4!$B$66:$B$178&amp;"|"&amp;LEFT(App_Pipeline_Intel_4!$C$66:$C$178,FIND(",",App_Pipeline_Intel_4!$C$66:$C$178&amp;",")-1),0),"NO MATCH"))</f>
        <v>#REF!</v>
      </c>
      <c r="R31" s="505" t="e" cm="1">
        <f t="array" ref="R31">IF(Q31="","",IF(Q31="NO MATCH","—",INDEX(App_Pipeline_Intel_4!$D$66:$D$178,Q31)))</f>
        <v>#REF!</v>
      </c>
      <c r="S31" s="505" t="e" cm="1">
        <f t="array" ref="S31">IF(Q31="","",IF(Q31="NO MATCH","—",INDEX(App_Pipeline_Intel_4!$E$66:$E$178,Q31)))</f>
        <v>#REF!</v>
      </c>
      <c r="T31" s="505" t="e" cm="1">
        <f t="array" ref="T31">IF(Q31="","",IF(Q31="NO MATCH","—",INDEX(App_Pipeline_Intel_4!$K$66:$K$178,Q31)))</f>
        <v>#REF!</v>
      </c>
      <c r="U31" s="505" t="e" cm="1">
        <f t="array" ref="U31">IF(Q31="","",IF(Q31="NO MATCH","—",INDEX(App_Pipeline_Intel_4!$F$66:$F$178,Q31)))</f>
        <v>#REF!</v>
      </c>
      <c r="V31" s="505" t="e">
        <f t="shared" si="1"/>
        <v>#REF!</v>
      </c>
      <c r="W31" s="505" t="e">
        <f t="shared" si="2"/>
        <v>#REF!</v>
      </c>
      <c r="X31" s="505" t="str">
        <f>IF(App_Pipeline_Intel_4!B100="","",App_Pipeline_Intel_4!B100)</f>
        <v>N17-1074</v>
      </c>
      <c r="Y31" s="505" t="b" cm="1">
        <f t="array" ref="Y31">IF(X31="","",ISNUMBER(MATCH(App_Pipeline_Intel_4!$B100&amp;"|"&amp;LEFT(App_Pipeline_Intel_4!$C100,FIND(",",App_Pipeline_Intel_4!$C100&amp;",")-1),#REF!&amp;"|"&amp;LEFT(#REF!,FIND(",",#REF!&amp;",")-1),0)))</f>
        <v>0</v>
      </c>
    </row>
    <row r="32" spans="1:25" s="327" customFormat="1" ht="14.15" customHeight="1">
      <c r="A32" s="317"/>
      <c r="B32" s="498" t="s">
        <v>1111</v>
      </c>
      <c r="C32" s="498" t="s">
        <v>1112</v>
      </c>
      <c r="D32" s="450" t="s">
        <v>1100</v>
      </c>
      <c r="E32" s="450" t="s">
        <v>1101</v>
      </c>
      <c r="F32" s="450">
        <v>43</v>
      </c>
      <c r="G32" s="450" t="s">
        <v>984</v>
      </c>
      <c r="H32" s="450" t="s">
        <v>592</v>
      </c>
      <c r="I32" s="499">
        <v>46065</v>
      </c>
      <c r="J32" s="703" t="s">
        <v>546</v>
      </c>
      <c r="K32"/>
      <c r="L32" s="505" t="e">
        <f>IF(#REF!="","",#REF!)</f>
        <v>#REF!</v>
      </c>
      <c r="M32" s="505" t="e">
        <f>IF(L32="","",#REF!)</f>
        <v>#REF!</v>
      </c>
      <c r="N32" s="505" t="e">
        <f>IF(L32="","",#REF!)</f>
        <v>#REF!</v>
      </c>
      <c r="O32" s="505" t="e">
        <f>IF(L32="","",IF(#REF!=0,"",#REF!))</f>
        <v>#REF!</v>
      </c>
      <c r="P32" s="505" t="e">
        <f t="shared" si="0"/>
        <v>#REF!</v>
      </c>
      <c r="Q32" s="505" t="e" cm="1">
        <f t="array" ref="Q32">IF(P32="","",IFERROR(MATCH(P32,App_Pipeline_Intel_4!$B$66:$B$178&amp;"|"&amp;LEFT(App_Pipeline_Intel_4!$C$66:$C$178,FIND(",",App_Pipeline_Intel_4!$C$66:$C$178&amp;",")-1),0),"NO MATCH"))</f>
        <v>#REF!</v>
      </c>
      <c r="R32" s="505" t="e" cm="1">
        <f t="array" ref="R32">IF(Q32="","",IF(Q32="NO MATCH","—",INDEX(App_Pipeline_Intel_4!$D$66:$D$178,Q32)))</f>
        <v>#REF!</v>
      </c>
      <c r="S32" s="505" t="e" cm="1">
        <f t="array" ref="S32">IF(Q32="","",IF(Q32="NO MATCH","—",INDEX(App_Pipeline_Intel_4!$E$66:$E$178,Q32)))</f>
        <v>#REF!</v>
      </c>
      <c r="T32" s="505" t="e" cm="1">
        <f t="array" ref="T32">IF(Q32="","",IF(Q32="NO MATCH","—",INDEX(App_Pipeline_Intel_4!$K$66:$K$178,Q32)))</f>
        <v>#REF!</v>
      </c>
      <c r="U32" s="505" t="e" cm="1">
        <f t="array" ref="U32">IF(Q32="","",IF(Q32="NO MATCH","—",INDEX(App_Pipeline_Intel_4!$F$66:$F$178,Q32)))</f>
        <v>#REF!</v>
      </c>
      <c r="V32" s="505" t="e">
        <f t="shared" si="1"/>
        <v>#REF!</v>
      </c>
      <c r="W32" s="505" t="e">
        <f t="shared" si="2"/>
        <v>#REF!</v>
      </c>
      <c r="X32" s="505" t="str">
        <f>IF(App_Pipeline_Intel_4!B104="","",App_Pipeline_Intel_4!B104)</f>
        <v>N18-2084</v>
      </c>
      <c r="Y32" s="505" t="b" cm="1">
        <f t="array" ref="Y32">IF(X32="","",ISNUMBER(MATCH(App_Pipeline_Intel_4!$B104&amp;"|"&amp;LEFT(App_Pipeline_Intel_4!$C104,FIND(",",App_Pipeline_Intel_4!$C104&amp;",")-1),#REF!&amp;"|"&amp;LEFT(#REF!,FIND(",",#REF!&amp;",")-1),0)))</f>
        <v>0</v>
      </c>
    </row>
    <row r="33" spans="1:25" s="327" customFormat="1" ht="14.15" customHeight="1">
      <c r="A33" s="317"/>
      <c r="B33" s="498" t="s">
        <v>1113</v>
      </c>
      <c r="C33" s="498" t="s">
        <v>1114</v>
      </c>
      <c r="D33" s="450" t="s">
        <v>1100</v>
      </c>
      <c r="E33" s="450" t="s">
        <v>1101</v>
      </c>
      <c r="F33" s="450">
        <v>40</v>
      </c>
      <c r="G33" s="450" t="s">
        <v>1115</v>
      </c>
      <c r="H33" s="450" t="s">
        <v>587</v>
      </c>
      <c r="I33" s="499">
        <v>46066</v>
      </c>
      <c r="J33" s="703" t="s">
        <v>546</v>
      </c>
      <c r="K33"/>
      <c r="L33" s="505" t="e">
        <f>IF(#REF!="","",#REF!)</f>
        <v>#REF!</v>
      </c>
      <c r="M33" s="505" t="e">
        <f>IF(L33="","",#REF!)</f>
        <v>#REF!</v>
      </c>
      <c r="N33" s="505" t="e">
        <f>IF(L33="","",#REF!)</f>
        <v>#REF!</v>
      </c>
      <c r="O33" s="505" t="e">
        <f>IF(L33="","",IF(#REF!=0,"",#REF!))</f>
        <v>#REF!</v>
      </c>
      <c r="P33" s="505" t="e">
        <f t="shared" si="0"/>
        <v>#REF!</v>
      </c>
      <c r="Q33" s="505" t="e" cm="1">
        <f t="array" ref="Q33">IF(P33="","",IFERROR(MATCH(P33,App_Pipeline_Intel_4!$B$66:$B$178&amp;"|"&amp;LEFT(App_Pipeline_Intel_4!$C$66:$C$178,FIND(",",App_Pipeline_Intel_4!$C$66:$C$178&amp;",")-1),0),"NO MATCH"))</f>
        <v>#REF!</v>
      </c>
      <c r="R33" s="505" t="e" cm="1">
        <f t="array" ref="R33">IF(Q33="","",IF(Q33="NO MATCH","—",INDEX(App_Pipeline_Intel_4!$D$66:$D$178,Q33)))</f>
        <v>#REF!</v>
      </c>
      <c r="S33" s="505" t="e" cm="1">
        <f t="array" ref="S33">IF(Q33="","",IF(Q33="NO MATCH","—",INDEX(App_Pipeline_Intel_4!$E$66:$E$178,Q33)))</f>
        <v>#REF!</v>
      </c>
      <c r="T33" s="505" t="e" cm="1">
        <f t="array" ref="T33">IF(Q33="","",IF(Q33="NO MATCH","—",INDEX(App_Pipeline_Intel_4!$K$66:$K$178,Q33)))</f>
        <v>#REF!</v>
      </c>
      <c r="U33" s="505" t="e" cm="1">
        <f t="array" ref="U33">IF(Q33="","",IF(Q33="NO MATCH","—",INDEX(App_Pipeline_Intel_4!$F$66:$F$178,Q33)))</f>
        <v>#REF!</v>
      </c>
      <c r="V33" s="505" t="e">
        <f t="shared" si="1"/>
        <v>#REF!</v>
      </c>
      <c r="W33" s="505" t="e">
        <f t="shared" si="2"/>
        <v>#REF!</v>
      </c>
      <c r="X33" s="505" t="str">
        <f>IF(App_Pipeline_Intel_4!B105="","",App_Pipeline_Intel_4!B105)</f>
        <v>N18-2086</v>
      </c>
      <c r="Y33" s="505" t="b" cm="1">
        <f t="array" ref="Y33">IF(X33="","",ISNUMBER(MATCH(App_Pipeline_Intel_4!$B105&amp;"|"&amp;LEFT(App_Pipeline_Intel_4!$C105,FIND(",",App_Pipeline_Intel_4!$C105&amp;",")-1),#REF!&amp;"|"&amp;LEFT(#REF!,FIND(",",#REF!&amp;",")-1),0)))</f>
        <v>0</v>
      </c>
    </row>
    <row r="34" spans="1:25" s="327" customFormat="1" ht="14.15" customHeight="1">
      <c r="A34" s="317"/>
      <c r="B34" s="498" t="s">
        <v>1116</v>
      </c>
      <c r="C34" s="498" t="s">
        <v>1117</v>
      </c>
      <c r="D34" s="450" t="s">
        <v>1100</v>
      </c>
      <c r="E34" s="450" t="s">
        <v>1101</v>
      </c>
      <c r="F34" s="450">
        <v>37</v>
      </c>
      <c r="G34" s="450" t="s">
        <v>1001</v>
      </c>
      <c r="H34" s="450" t="s">
        <v>587</v>
      </c>
      <c r="I34" s="499">
        <v>46066</v>
      </c>
      <c r="J34" s="703" t="s">
        <v>546</v>
      </c>
      <c r="K34"/>
      <c r="L34" s="505" t="e">
        <f>IF(#REF!="","",#REF!)</f>
        <v>#REF!</v>
      </c>
      <c r="M34" s="505" t="e">
        <f>IF(L34="","",#REF!)</f>
        <v>#REF!</v>
      </c>
      <c r="N34" s="505" t="e">
        <f>IF(L34="","",#REF!)</f>
        <v>#REF!</v>
      </c>
      <c r="O34" s="505" t="e">
        <f>IF(L34="","",IF(#REF!=0,"",#REF!))</f>
        <v>#REF!</v>
      </c>
      <c r="P34" s="505" t="e">
        <f t="shared" si="0"/>
        <v>#REF!</v>
      </c>
      <c r="Q34" s="505" t="e" cm="1">
        <f t="array" ref="Q34">IF(P34="","",IFERROR(MATCH(P34,App_Pipeline_Intel_4!$B$66:$B$178&amp;"|"&amp;LEFT(App_Pipeline_Intel_4!$C$66:$C$178,FIND(",",App_Pipeline_Intel_4!$C$66:$C$178&amp;",")-1),0),"NO MATCH"))</f>
        <v>#REF!</v>
      </c>
      <c r="R34" s="505" t="e" cm="1">
        <f t="array" ref="R34">IF(Q34="","",IF(Q34="NO MATCH","—",INDEX(App_Pipeline_Intel_4!$D$66:$D$178,Q34)))</f>
        <v>#REF!</v>
      </c>
      <c r="S34" s="505" t="e" cm="1">
        <f t="array" ref="S34">IF(Q34="","",IF(Q34="NO MATCH","—",INDEX(App_Pipeline_Intel_4!$E$66:$E$178,Q34)))</f>
        <v>#REF!</v>
      </c>
      <c r="T34" s="505" t="e" cm="1">
        <f t="array" ref="T34">IF(Q34="","",IF(Q34="NO MATCH","—",INDEX(App_Pipeline_Intel_4!$K$66:$K$178,Q34)))</f>
        <v>#REF!</v>
      </c>
      <c r="U34" s="505" t="e" cm="1">
        <f t="array" ref="U34">IF(Q34="","",IF(Q34="NO MATCH","—",INDEX(App_Pipeline_Intel_4!$F$66:$F$178,Q34)))</f>
        <v>#REF!</v>
      </c>
      <c r="V34" s="505" t="e">
        <f t="shared" si="1"/>
        <v>#REF!</v>
      </c>
      <c r="W34" s="505" t="e">
        <f t="shared" si="2"/>
        <v>#REF!</v>
      </c>
      <c r="X34" s="505" t="str">
        <f>IF(App_Pipeline_Intel_4!B106="","",App_Pipeline_Intel_4!B106)</f>
        <v>N19-1080</v>
      </c>
      <c r="Y34" s="505" t="b" cm="1">
        <f t="array" ref="Y34">IF(X34="","",ISNUMBER(MATCH(App_Pipeline_Intel_4!$B106&amp;"|"&amp;LEFT(App_Pipeline_Intel_4!$C106,FIND(",",App_Pipeline_Intel_4!$C106&amp;",")-1),#REF!&amp;"|"&amp;LEFT(#REF!,FIND(",",#REF!&amp;",")-1),0)))</f>
        <v>0</v>
      </c>
    </row>
    <row r="35" spans="1:25" s="327" customFormat="1" ht="14.15" customHeight="1">
      <c r="A35" s="317"/>
      <c r="B35" s="498" t="s">
        <v>1118</v>
      </c>
      <c r="C35" s="498" t="s">
        <v>1119</v>
      </c>
      <c r="D35" s="450" t="s">
        <v>1100</v>
      </c>
      <c r="E35" s="450" t="s">
        <v>1101</v>
      </c>
      <c r="F35" s="450">
        <v>34</v>
      </c>
      <c r="G35" s="450" t="s">
        <v>1115</v>
      </c>
      <c r="H35" s="450" t="s">
        <v>592</v>
      </c>
      <c r="I35" s="499">
        <v>46068</v>
      </c>
      <c r="J35" s="703" t="s">
        <v>546</v>
      </c>
      <c r="K35"/>
      <c r="L35" s="505" t="e">
        <f>IF(#REF!="","",#REF!)</f>
        <v>#REF!</v>
      </c>
      <c r="M35" s="505" t="e">
        <f>IF(L35="","",#REF!)</f>
        <v>#REF!</v>
      </c>
      <c r="N35" s="505" t="e">
        <f>IF(L35="","",#REF!)</f>
        <v>#REF!</v>
      </c>
      <c r="O35" s="505" t="e">
        <f>IF(L35="","",IF(#REF!=0,"",#REF!))</f>
        <v>#REF!</v>
      </c>
      <c r="P35" s="505" t="e">
        <f t="shared" si="0"/>
        <v>#REF!</v>
      </c>
      <c r="Q35" s="505" t="e" cm="1">
        <f t="array" ref="Q35">IF(P35="","",IFERROR(MATCH(P35,App_Pipeline_Intel_4!$B$66:$B$178&amp;"|"&amp;LEFT(App_Pipeline_Intel_4!$C$66:$C$178,FIND(",",App_Pipeline_Intel_4!$C$66:$C$178&amp;",")-1),0),"NO MATCH"))</f>
        <v>#REF!</v>
      </c>
      <c r="R35" s="505" t="e" cm="1">
        <f t="array" ref="R35">IF(Q35="","",IF(Q35="NO MATCH","—",INDEX(App_Pipeline_Intel_4!$D$66:$D$178,Q35)))</f>
        <v>#REF!</v>
      </c>
      <c r="S35" s="505" t="e" cm="1">
        <f t="array" ref="S35">IF(Q35="","",IF(Q35="NO MATCH","—",INDEX(App_Pipeline_Intel_4!$E$66:$E$178,Q35)))</f>
        <v>#REF!</v>
      </c>
      <c r="T35" s="505" t="e" cm="1">
        <f t="array" ref="T35">IF(Q35="","",IF(Q35="NO MATCH","—",INDEX(App_Pipeline_Intel_4!$K$66:$K$178,Q35)))</f>
        <v>#REF!</v>
      </c>
      <c r="U35" s="505" t="e" cm="1">
        <f t="array" ref="U35">IF(Q35="","",IF(Q35="NO MATCH","—",INDEX(App_Pipeline_Intel_4!$F$66:$F$178,Q35)))</f>
        <v>#REF!</v>
      </c>
      <c r="V35" s="505" t="e">
        <f t="shared" si="1"/>
        <v>#REF!</v>
      </c>
      <c r="W35" s="505" t="e">
        <f t="shared" si="2"/>
        <v>#REF!</v>
      </c>
      <c r="X35" s="505" t="str">
        <f>IF(App_Pipeline_Intel_4!B108="","",App_Pipeline_Intel_4!B108)</f>
        <v>N19-2076</v>
      </c>
      <c r="Y35" s="505" t="b" cm="1">
        <f t="array" ref="Y35">IF(X35="","",ISNUMBER(MATCH(App_Pipeline_Intel_4!$B108&amp;"|"&amp;LEFT(App_Pipeline_Intel_4!$C108,FIND(",",App_Pipeline_Intel_4!$C108&amp;",")-1),#REF!&amp;"|"&amp;LEFT(#REF!,FIND(",",#REF!&amp;",")-1),0)))</f>
        <v>0</v>
      </c>
    </row>
    <row r="36" spans="1:25" s="327" customFormat="1" ht="14.15" customHeight="1">
      <c r="A36" s="317"/>
      <c r="B36" s="498" t="s">
        <v>1120</v>
      </c>
      <c r="C36" s="498" t="s">
        <v>1121</v>
      </c>
      <c r="D36" s="450" t="s">
        <v>1110</v>
      </c>
      <c r="E36" s="450" t="s">
        <v>1105</v>
      </c>
      <c r="F36" s="450">
        <v>33</v>
      </c>
      <c r="G36" s="450" t="s">
        <v>579</v>
      </c>
      <c r="H36" s="450" t="s">
        <v>589</v>
      </c>
      <c r="I36" s="499">
        <v>46071</v>
      </c>
      <c r="J36" s="703" t="s">
        <v>546</v>
      </c>
      <c r="K36"/>
      <c r="L36" s="505" t="e">
        <f>IF(#REF!="","",#REF!)</f>
        <v>#REF!</v>
      </c>
      <c r="M36" s="505" t="e">
        <f>IF(L36="","",#REF!)</f>
        <v>#REF!</v>
      </c>
      <c r="N36" s="505" t="e">
        <f>IF(L36="","",#REF!)</f>
        <v>#REF!</v>
      </c>
      <c r="O36" s="505" t="e">
        <f>IF(L36="","",IF(#REF!=0,"",#REF!))</f>
        <v>#REF!</v>
      </c>
      <c r="P36" s="505" t="e">
        <f t="shared" si="0"/>
        <v>#REF!</v>
      </c>
      <c r="Q36" s="505" t="e" cm="1">
        <f t="array" ref="Q36">IF(P36="","",IFERROR(MATCH(P36,App_Pipeline_Intel_4!$B$66:$B$178&amp;"|"&amp;LEFT(App_Pipeline_Intel_4!$C$66:$C$178,FIND(",",App_Pipeline_Intel_4!$C$66:$C$178&amp;",")-1),0),"NO MATCH"))</f>
        <v>#REF!</v>
      </c>
      <c r="R36" s="505" t="e" cm="1">
        <f t="array" ref="R36">IF(Q36="","",IF(Q36="NO MATCH","—",INDEX(App_Pipeline_Intel_4!$D$66:$D$178,Q36)))</f>
        <v>#REF!</v>
      </c>
      <c r="S36" s="505" t="e" cm="1">
        <f t="array" ref="S36">IF(Q36="","",IF(Q36="NO MATCH","—",INDEX(App_Pipeline_Intel_4!$E$66:$E$178,Q36)))</f>
        <v>#REF!</v>
      </c>
      <c r="T36" s="505" t="e" cm="1">
        <f t="array" ref="T36">IF(Q36="","",IF(Q36="NO MATCH","—",INDEX(App_Pipeline_Intel_4!$K$66:$K$178,Q36)))</f>
        <v>#REF!</v>
      </c>
      <c r="U36" s="505" t="e" cm="1">
        <f t="array" ref="U36">IF(Q36="","",IF(Q36="NO MATCH","—",INDEX(App_Pipeline_Intel_4!$F$66:$F$178,Q36)))</f>
        <v>#REF!</v>
      </c>
      <c r="V36" s="505" t="e">
        <f t="shared" si="1"/>
        <v>#REF!</v>
      </c>
      <c r="W36" s="505" t="e">
        <f t="shared" si="2"/>
        <v>#REF!</v>
      </c>
      <c r="X36" s="505" t="str">
        <f>IF(App_Pipeline_Intel_4!B110="","",App_Pipeline_Intel_4!B110)</f>
        <v>N20-2091</v>
      </c>
      <c r="Y36" s="505" t="b" cm="1">
        <f t="array" ref="Y36">IF(X36="","",ISNUMBER(MATCH(App_Pipeline_Intel_4!$B110&amp;"|"&amp;LEFT(App_Pipeline_Intel_4!$C110,FIND(",",App_Pipeline_Intel_4!$C110&amp;",")-1),#REF!&amp;"|"&amp;LEFT(#REF!,FIND(",",#REF!&amp;",")-1),0)))</f>
        <v>0</v>
      </c>
    </row>
    <row r="37" spans="1:25" s="327" customFormat="1" ht="14.15" customHeight="1">
      <c r="A37" s="317"/>
      <c r="B37" s="498" t="s">
        <v>1122</v>
      </c>
      <c r="C37" s="498" t="s">
        <v>1123</v>
      </c>
      <c r="D37" s="450" t="s">
        <v>1110</v>
      </c>
      <c r="E37" s="450" t="s">
        <v>1105</v>
      </c>
      <c r="F37" s="450">
        <v>33</v>
      </c>
      <c r="G37" s="450" t="s">
        <v>579</v>
      </c>
      <c r="H37" s="450" t="s">
        <v>592</v>
      </c>
      <c r="I37" s="499">
        <v>46071</v>
      </c>
      <c r="J37" s="703" t="s">
        <v>546</v>
      </c>
      <c r="K37"/>
      <c r="L37" s="505" t="e">
        <f>IF(#REF!="","",#REF!)</f>
        <v>#REF!</v>
      </c>
      <c r="M37" s="505" t="e">
        <f>IF(L37="","",#REF!)</f>
        <v>#REF!</v>
      </c>
      <c r="N37" s="505" t="e">
        <f>IF(L37="","",#REF!)</f>
        <v>#REF!</v>
      </c>
      <c r="O37" s="505" t="e">
        <f>IF(L37="","",IF(#REF!=0,"",#REF!))</f>
        <v>#REF!</v>
      </c>
      <c r="P37" s="505" t="e">
        <f t="shared" si="0"/>
        <v>#REF!</v>
      </c>
      <c r="Q37" s="505" t="e" cm="1">
        <f t="array" ref="Q37">IF(P37="","",IFERROR(MATCH(P37,App_Pipeline_Intel_4!$B$66:$B$178&amp;"|"&amp;LEFT(App_Pipeline_Intel_4!$C$66:$C$178,FIND(",",App_Pipeline_Intel_4!$C$66:$C$178&amp;",")-1),0),"NO MATCH"))</f>
        <v>#REF!</v>
      </c>
      <c r="R37" s="505" t="e" cm="1">
        <f t="array" ref="R37">IF(Q37="","",IF(Q37="NO MATCH","—",INDEX(App_Pipeline_Intel_4!$D$66:$D$178,Q37)))</f>
        <v>#REF!</v>
      </c>
      <c r="S37" s="505" t="e" cm="1">
        <f t="array" ref="S37">IF(Q37="","",IF(Q37="NO MATCH","—",INDEX(App_Pipeline_Intel_4!$E$66:$E$178,Q37)))</f>
        <v>#REF!</v>
      </c>
      <c r="T37" s="505" t="e" cm="1">
        <f t="array" ref="T37">IF(Q37="","",IF(Q37="NO MATCH","—",INDEX(App_Pipeline_Intel_4!$K$66:$K$178,Q37)))</f>
        <v>#REF!</v>
      </c>
      <c r="U37" s="505" t="e" cm="1">
        <f t="array" ref="U37">IF(Q37="","",IF(Q37="NO MATCH","—",INDEX(App_Pipeline_Intel_4!$F$66:$F$178,Q37)))</f>
        <v>#REF!</v>
      </c>
      <c r="V37" s="505" t="e">
        <f t="shared" si="1"/>
        <v>#REF!</v>
      </c>
      <c r="W37" s="505" t="e">
        <f t="shared" si="2"/>
        <v>#REF!</v>
      </c>
      <c r="X37" s="505" t="str">
        <f>IF(App_Pipeline_Intel_4!B112="","",App_Pipeline_Intel_4!B112)</f>
        <v>N20-3091</v>
      </c>
      <c r="Y37" s="505" t="b" cm="1">
        <f t="array" ref="Y37">IF(X37="","",ISNUMBER(MATCH(App_Pipeline_Intel_4!$B112&amp;"|"&amp;LEFT(App_Pipeline_Intel_4!$C112,FIND(",",App_Pipeline_Intel_4!$C112&amp;",")-1),#REF!&amp;"|"&amp;LEFT(#REF!,FIND(",",#REF!&amp;",")-1),0)))</f>
        <v>0</v>
      </c>
    </row>
    <row r="38" spans="1:25" s="327" customFormat="1" ht="14.15" customHeight="1">
      <c r="A38" s="317"/>
      <c r="B38" s="854" t="s">
        <v>1124</v>
      </c>
      <c r="C38" s="854" t="s">
        <v>1125</v>
      </c>
      <c r="D38" s="855" t="s">
        <v>1100</v>
      </c>
      <c r="E38" s="855" t="s">
        <v>1101</v>
      </c>
      <c r="F38" s="855">
        <v>28</v>
      </c>
      <c r="G38" s="855" t="s">
        <v>577</v>
      </c>
      <c r="H38" s="855" t="s">
        <v>589</v>
      </c>
      <c r="I38" s="856">
        <v>46077</v>
      </c>
      <c r="J38" s="500" t="s">
        <v>544</v>
      </c>
      <c r="K38"/>
      <c r="L38" s="505" t="e">
        <f>IF(#REF!="","",#REF!)</f>
        <v>#REF!</v>
      </c>
      <c r="M38" s="505" t="e">
        <f>IF(L38="","",#REF!)</f>
        <v>#REF!</v>
      </c>
      <c r="N38" s="505" t="e">
        <f>IF(L38="","",#REF!)</f>
        <v>#REF!</v>
      </c>
      <c r="O38" s="505" t="e">
        <f>IF(L38="","",IF(#REF!=0,"",#REF!))</f>
        <v>#REF!</v>
      </c>
      <c r="P38" s="505" t="e">
        <f t="shared" si="0"/>
        <v>#REF!</v>
      </c>
      <c r="Q38" s="505" t="e" cm="1">
        <f t="array" ref="Q38">IF(P38="","",IFERROR(MATCH(P38,App_Pipeline_Intel_4!$B$66:$B$178&amp;"|"&amp;LEFT(App_Pipeline_Intel_4!$C$66:$C$178,FIND(",",App_Pipeline_Intel_4!$C$66:$C$178&amp;",")-1),0),"NO MATCH"))</f>
        <v>#REF!</v>
      </c>
      <c r="R38" s="505" t="e" cm="1">
        <f t="array" ref="R38">IF(Q38="","",IF(Q38="NO MATCH","—",INDEX(App_Pipeline_Intel_4!$D$66:$D$178,Q38)))</f>
        <v>#REF!</v>
      </c>
      <c r="S38" s="505" t="e" cm="1">
        <f t="array" ref="S38">IF(Q38="","",IF(Q38="NO MATCH","—",INDEX(App_Pipeline_Intel_4!$E$66:$E$178,Q38)))</f>
        <v>#REF!</v>
      </c>
      <c r="T38" s="505" t="e" cm="1">
        <f t="array" ref="T38">IF(Q38="","",IF(Q38="NO MATCH","—",INDEX(App_Pipeline_Intel_4!$K$66:$K$178,Q38)))</f>
        <v>#REF!</v>
      </c>
      <c r="U38" s="505" t="e" cm="1">
        <f t="array" ref="U38">IF(Q38="","",IF(Q38="NO MATCH","—",INDEX(App_Pipeline_Intel_4!$F$66:$F$178,Q38)))</f>
        <v>#REF!</v>
      </c>
      <c r="V38" s="505" t="e">
        <f t="shared" si="1"/>
        <v>#REF!</v>
      </c>
      <c r="W38" s="505" t="e">
        <f t="shared" si="2"/>
        <v>#REF!</v>
      </c>
      <c r="X38" s="505" t="str">
        <f>IF(App_Pipeline_Intel_4!B114="","",App_Pipeline_Intel_4!B114)</f>
        <v>N22-2097</v>
      </c>
      <c r="Y38" s="505" t="b" cm="1">
        <f t="array" ref="Y38">IF(X38="","",ISNUMBER(MATCH(App_Pipeline_Intel_4!$B114&amp;"|"&amp;LEFT(App_Pipeline_Intel_4!$C114,FIND(",",App_Pipeline_Intel_4!$C114&amp;",")-1),#REF!&amp;"|"&amp;LEFT(#REF!,FIND(",",#REF!&amp;",")-1),0)))</f>
        <v>0</v>
      </c>
    </row>
    <row r="39" spans="1:25" s="327" customFormat="1" ht="14.15" customHeight="1">
      <c r="A39" s="317"/>
      <c r="B39" s="854" t="s">
        <v>1126</v>
      </c>
      <c r="C39" s="854" t="s">
        <v>1127</v>
      </c>
      <c r="D39" s="855" t="s">
        <v>1100</v>
      </c>
      <c r="E39" s="855" t="s">
        <v>1101</v>
      </c>
      <c r="F39" s="855">
        <v>27</v>
      </c>
      <c r="G39" s="855" t="s">
        <v>984</v>
      </c>
      <c r="H39" s="855" t="s">
        <v>587</v>
      </c>
      <c r="I39" s="856">
        <v>46078</v>
      </c>
      <c r="J39" s="500" t="s">
        <v>544</v>
      </c>
      <c r="K39"/>
      <c r="L39" s="505" t="e">
        <f>IF(#REF!="","",#REF!)</f>
        <v>#REF!</v>
      </c>
      <c r="M39" s="505" t="e">
        <f>IF(L39="","",#REF!)</f>
        <v>#REF!</v>
      </c>
      <c r="N39" s="505" t="e">
        <f>IF(L39="","",#REF!)</f>
        <v>#REF!</v>
      </c>
      <c r="O39" s="505" t="e">
        <f>IF(L39="","",IF(#REF!=0,"",#REF!))</f>
        <v>#REF!</v>
      </c>
      <c r="P39" s="505" t="e">
        <f t="shared" si="0"/>
        <v>#REF!</v>
      </c>
      <c r="Q39" s="505" t="e" cm="1">
        <f t="array" ref="Q39">IF(P39="","",IFERROR(MATCH(P39,App_Pipeline_Intel_4!$B$66:$B$178&amp;"|"&amp;LEFT(App_Pipeline_Intel_4!$C$66:$C$178,FIND(",",App_Pipeline_Intel_4!$C$66:$C$178&amp;",")-1),0),"NO MATCH"))</f>
        <v>#REF!</v>
      </c>
      <c r="R39" s="505" t="e" cm="1">
        <f t="array" ref="R39">IF(Q39="","",IF(Q39="NO MATCH","—",INDEX(App_Pipeline_Intel_4!$D$66:$D$178,Q39)))</f>
        <v>#REF!</v>
      </c>
      <c r="S39" s="505" t="e" cm="1">
        <f t="array" ref="S39">IF(Q39="","",IF(Q39="NO MATCH","—",INDEX(App_Pipeline_Intel_4!$E$66:$E$178,Q39)))</f>
        <v>#REF!</v>
      </c>
      <c r="T39" s="505" t="e" cm="1">
        <f t="array" ref="T39">IF(Q39="","",IF(Q39="NO MATCH","—",INDEX(App_Pipeline_Intel_4!$K$66:$K$178,Q39)))</f>
        <v>#REF!</v>
      </c>
      <c r="U39" s="505" t="e" cm="1">
        <f t="array" ref="U39">IF(Q39="","",IF(Q39="NO MATCH","—",INDEX(App_Pipeline_Intel_4!$F$66:$F$178,Q39)))</f>
        <v>#REF!</v>
      </c>
      <c r="V39" s="505" t="e">
        <f t="shared" si="1"/>
        <v>#REF!</v>
      </c>
      <c r="W39" s="505" t="e">
        <f t="shared" si="2"/>
        <v>#REF!</v>
      </c>
      <c r="X39" s="505" t="str">
        <f>IF(App_Pipeline_Intel_4!B115="","",App_Pipeline_Intel_4!B115)</f>
        <v>N24-1101</v>
      </c>
      <c r="Y39" s="505" t="b" cm="1">
        <f t="array" ref="Y39">IF(X39="","",ISNUMBER(MATCH(App_Pipeline_Intel_4!$B115&amp;"|"&amp;LEFT(App_Pipeline_Intel_4!$C115,FIND(",",App_Pipeline_Intel_4!$C115&amp;",")-1),#REF!&amp;"|"&amp;LEFT(#REF!,FIND(",",#REF!&amp;",")-1),0)))</f>
        <v>0</v>
      </c>
    </row>
    <row r="40" spans="1:25" s="327" customFormat="1" ht="14.15" customHeight="1">
      <c r="A40" s="317"/>
      <c r="B40" s="854" t="s">
        <v>1128</v>
      </c>
      <c r="C40" s="854" t="s">
        <v>1129</v>
      </c>
      <c r="D40" s="855" t="s">
        <v>1110</v>
      </c>
      <c r="E40" s="855" t="s">
        <v>1105</v>
      </c>
      <c r="F40" s="855">
        <v>26</v>
      </c>
      <c r="G40" s="855" t="s">
        <v>577</v>
      </c>
      <c r="H40" s="855" t="s">
        <v>588</v>
      </c>
      <c r="I40" s="856">
        <v>46078</v>
      </c>
      <c r="J40" s="500" t="s">
        <v>544</v>
      </c>
      <c r="K40"/>
      <c r="L40" s="505" t="e">
        <f>IF(#REF!="","",#REF!)</f>
        <v>#REF!</v>
      </c>
      <c r="M40" s="505" t="e">
        <f>IF(L40="","",#REF!)</f>
        <v>#REF!</v>
      </c>
      <c r="N40" s="505" t="e">
        <f>IF(L40="","",#REF!)</f>
        <v>#REF!</v>
      </c>
      <c r="O40" s="505" t="e">
        <f>IF(L40="","",IF(#REF!=0,"",#REF!))</f>
        <v>#REF!</v>
      </c>
      <c r="P40" s="505" t="e">
        <f t="shared" si="0"/>
        <v>#REF!</v>
      </c>
      <c r="Q40" s="505" t="e" cm="1">
        <f t="array" ref="Q40">IF(P40="","",IFERROR(MATCH(P40,App_Pipeline_Intel_4!$B$66:$B$178&amp;"|"&amp;LEFT(App_Pipeline_Intel_4!$C$66:$C$178,FIND(",",App_Pipeline_Intel_4!$C$66:$C$178&amp;",")-1),0),"NO MATCH"))</f>
        <v>#REF!</v>
      </c>
      <c r="R40" s="505" t="e" cm="1">
        <f t="array" ref="R40">IF(Q40="","",IF(Q40="NO MATCH","—",INDEX(App_Pipeline_Intel_4!$D$66:$D$178,Q40)))</f>
        <v>#REF!</v>
      </c>
      <c r="S40" s="505" t="e" cm="1">
        <f t="array" ref="S40">IF(Q40="","",IF(Q40="NO MATCH","—",INDEX(App_Pipeline_Intel_4!$E$66:$E$178,Q40)))</f>
        <v>#REF!</v>
      </c>
      <c r="T40" s="505" t="e" cm="1">
        <f t="array" ref="T40">IF(Q40="","",IF(Q40="NO MATCH","—",INDEX(App_Pipeline_Intel_4!$K$66:$K$178,Q40)))</f>
        <v>#REF!</v>
      </c>
      <c r="U40" s="505" t="e" cm="1">
        <f t="array" ref="U40">IF(Q40="","",IF(Q40="NO MATCH","—",INDEX(App_Pipeline_Intel_4!$F$66:$F$178,Q40)))</f>
        <v>#REF!</v>
      </c>
      <c r="V40" s="505" t="e">
        <f t="shared" si="1"/>
        <v>#REF!</v>
      </c>
      <c r="W40" s="505" t="e">
        <f t="shared" si="2"/>
        <v>#REF!</v>
      </c>
      <c r="X40" s="505" t="str">
        <f>IF(App_Pipeline_Intel_4!B117="","",App_Pipeline_Intel_4!B117)</f>
        <v>N25-2102</v>
      </c>
      <c r="Y40" s="505" t="b" cm="1">
        <f t="array" ref="Y40">IF(X40="","",ISNUMBER(MATCH(App_Pipeline_Intel_4!$B117&amp;"|"&amp;LEFT(App_Pipeline_Intel_4!$C117,FIND(",",App_Pipeline_Intel_4!$C117&amp;",")-1),#REF!&amp;"|"&amp;LEFT(#REF!,FIND(",",#REF!&amp;",")-1),0)))</f>
        <v>0</v>
      </c>
    </row>
    <row r="41" spans="1:25" s="327" customFormat="1" ht="14.15" customHeight="1">
      <c r="A41" s="317"/>
      <c r="B41" s="854" t="s">
        <v>1130</v>
      </c>
      <c r="C41" s="854" t="s">
        <v>1131</v>
      </c>
      <c r="D41" s="855" t="s">
        <v>1100</v>
      </c>
      <c r="E41" s="855" t="s">
        <v>1101</v>
      </c>
      <c r="F41" s="855">
        <v>26</v>
      </c>
      <c r="G41" s="855" t="s">
        <v>984</v>
      </c>
      <c r="H41" s="855" t="s">
        <v>590</v>
      </c>
      <c r="I41" s="856">
        <v>46079</v>
      </c>
      <c r="J41" s="500" t="s">
        <v>544</v>
      </c>
      <c r="K41"/>
      <c r="L41" s="505" t="e">
        <f>IF(#REF!="","",#REF!)</f>
        <v>#REF!</v>
      </c>
      <c r="M41" s="505" t="e">
        <f>IF(L41="","",#REF!)</f>
        <v>#REF!</v>
      </c>
      <c r="N41" s="505" t="e">
        <f>IF(L41="","",#REF!)</f>
        <v>#REF!</v>
      </c>
      <c r="O41" s="505" t="e">
        <f>IF(L41="","",IF(#REF!=0,"",#REF!))</f>
        <v>#REF!</v>
      </c>
      <c r="P41" s="505" t="e">
        <f t="shared" si="0"/>
        <v>#REF!</v>
      </c>
      <c r="Q41" s="505" t="e" cm="1">
        <f t="array" ref="Q41">IF(P41="","",IFERROR(MATCH(P41,App_Pipeline_Intel_4!$B$66:$B$178&amp;"|"&amp;LEFT(App_Pipeline_Intel_4!$C$66:$C$178,FIND(",",App_Pipeline_Intel_4!$C$66:$C$178&amp;",")-1),0),"NO MATCH"))</f>
        <v>#REF!</v>
      </c>
      <c r="R41" s="505" t="e" cm="1">
        <f t="array" ref="R41">IF(Q41="","",IF(Q41="NO MATCH","—",INDEX(App_Pipeline_Intel_4!$D$66:$D$178,Q41)))</f>
        <v>#REF!</v>
      </c>
      <c r="S41" s="505" t="e" cm="1">
        <f t="array" ref="S41">IF(Q41="","",IF(Q41="NO MATCH","—",INDEX(App_Pipeline_Intel_4!$E$66:$E$178,Q41)))</f>
        <v>#REF!</v>
      </c>
      <c r="T41" s="505" t="e" cm="1">
        <f t="array" ref="T41">IF(Q41="","",IF(Q41="NO MATCH","—",INDEX(App_Pipeline_Intel_4!$K$66:$K$178,Q41)))</f>
        <v>#REF!</v>
      </c>
      <c r="U41" s="505" t="e" cm="1">
        <f t="array" ref="U41">IF(Q41="","",IF(Q41="NO MATCH","—",INDEX(App_Pipeline_Intel_4!$F$66:$F$178,Q41)))</f>
        <v>#REF!</v>
      </c>
      <c r="V41" s="505" t="e">
        <f t="shared" si="1"/>
        <v>#REF!</v>
      </c>
      <c r="W41" s="505" t="e">
        <f t="shared" si="2"/>
        <v>#REF!</v>
      </c>
      <c r="X41" s="505" t="str">
        <f>IF(App_Pipeline_Intel_4!B119="","",App_Pipeline_Intel_4!B119)</f>
        <v>N26-1104</v>
      </c>
      <c r="Y41" s="505" t="b" cm="1">
        <f t="array" ref="Y41">IF(X41="","",ISNUMBER(MATCH(App_Pipeline_Intel_4!$B119&amp;"|"&amp;LEFT(App_Pipeline_Intel_4!$C119,FIND(",",App_Pipeline_Intel_4!$C119&amp;",")-1),#REF!&amp;"|"&amp;LEFT(#REF!,FIND(",",#REF!&amp;",")-1),0)))</f>
        <v>0</v>
      </c>
    </row>
    <row r="42" spans="1:25" s="327" customFormat="1" ht="14.15" customHeight="1">
      <c r="A42" s="317"/>
      <c r="B42" s="854" t="s">
        <v>1132</v>
      </c>
      <c r="C42" s="854" t="s">
        <v>1133</v>
      </c>
      <c r="D42" s="855" t="s">
        <v>1100</v>
      </c>
      <c r="E42" s="855" t="s">
        <v>1101</v>
      </c>
      <c r="F42" s="855">
        <v>26</v>
      </c>
      <c r="G42" s="855" t="s">
        <v>582</v>
      </c>
      <c r="H42" s="855" t="s">
        <v>588</v>
      </c>
      <c r="I42" s="856">
        <v>46081</v>
      </c>
      <c r="J42" s="500" t="s">
        <v>544</v>
      </c>
      <c r="K42"/>
      <c r="L42" s="505" t="e">
        <f>IF(#REF!="","",#REF!)</f>
        <v>#REF!</v>
      </c>
      <c r="M42" s="505" t="e">
        <f>IF(L42="","",#REF!)</f>
        <v>#REF!</v>
      </c>
      <c r="N42" s="505" t="e">
        <f>IF(L42="","",#REF!)</f>
        <v>#REF!</v>
      </c>
      <c r="O42" s="505" t="e">
        <f>IF(L42="","",IF(#REF!=0,"",#REF!))</f>
        <v>#REF!</v>
      </c>
      <c r="P42" s="505" t="e">
        <f t="shared" si="0"/>
        <v>#REF!</v>
      </c>
      <c r="Q42" s="505" t="e" cm="1">
        <f t="array" ref="Q42">IF(P42="","",IFERROR(MATCH(P42,App_Pipeline_Intel_4!$B$66:$B$178&amp;"|"&amp;LEFT(App_Pipeline_Intel_4!$C$66:$C$178,FIND(",",App_Pipeline_Intel_4!$C$66:$C$178&amp;",")-1),0),"NO MATCH"))</f>
        <v>#REF!</v>
      </c>
      <c r="R42" s="505" t="e" cm="1">
        <f t="array" ref="R42">IF(Q42="","",IF(Q42="NO MATCH","—",INDEX(App_Pipeline_Intel_4!$D$66:$D$178,Q42)))</f>
        <v>#REF!</v>
      </c>
      <c r="S42" s="505" t="e" cm="1">
        <f t="array" ref="S42">IF(Q42="","",IF(Q42="NO MATCH","—",INDEX(App_Pipeline_Intel_4!$E$66:$E$178,Q42)))</f>
        <v>#REF!</v>
      </c>
      <c r="T42" s="505" t="e" cm="1">
        <f t="array" ref="T42">IF(Q42="","",IF(Q42="NO MATCH","—",INDEX(App_Pipeline_Intel_4!$K$66:$K$178,Q42)))</f>
        <v>#REF!</v>
      </c>
      <c r="U42" s="505" t="e" cm="1">
        <f t="array" ref="U42">IF(Q42="","",IF(Q42="NO MATCH","—",INDEX(App_Pipeline_Intel_4!$F$66:$F$178,Q42)))</f>
        <v>#REF!</v>
      </c>
      <c r="V42" s="505" t="e">
        <f t="shared" si="1"/>
        <v>#REF!</v>
      </c>
      <c r="W42" s="505" t="e">
        <f t="shared" si="2"/>
        <v>#REF!</v>
      </c>
      <c r="X42" s="505" t="str">
        <f>IF(App_Pipeline_Intel_4!B121="","",App_Pipeline_Intel_4!B121)</f>
        <v>S26-403</v>
      </c>
      <c r="Y42" s="505" t="b" cm="1">
        <f t="array" ref="Y42">IF(X42="","",ISNUMBER(MATCH(App_Pipeline_Intel_4!$B121&amp;"|"&amp;LEFT(App_Pipeline_Intel_4!$C121,FIND(",",App_Pipeline_Intel_4!$C121&amp;",")-1),#REF!&amp;"|"&amp;LEFT(#REF!,FIND(",",#REF!&amp;",")-1),0)))</f>
        <v>0</v>
      </c>
    </row>
    <row r="43" spans="1:25" s="327" customFormat="1" ht="14.15" customHeight="1">
      <c r="A43" s="317"/>
      <c r="B43" s="854" t="s">
        <v>1134</v>
      </c>
      <c r="C43" s="854" t="s">
        <v>1135</v>
      </c>
      <c r="D43" s="855" t="s">
        <v>1104</v>
      </c>
      <c r="E43" s="855" t="s">
        <v>1105</v>
      </c>
      <c r="F43" s="855">
        <v>24</v>
      </c>
      <c r="G43" s="855" t="s">
        <v>578</v>
      </c>
      <c r="H43" s="855" t="s">
        <v>589</v>
      </c>
      <c r="I43" s="856">
        <v>46083</v>
      </c>
      <c r="J43" s="500" t="s">
        <v>544</v>
      </c>
      <c r="K43"/>
      <c r="L43"/>
      <c r="M43"/>
      <c r="N43"/>
      <c r="O43"/>
      <c r="P43"/>
      <c r="Q43"/>
      <c r="R43"/>
      <c r="S43"/>
      <c r="T43"/>
      <c r="U43"/>
      <c r="V43"/>
      <c r="W43"/>
      <c r="X43" s="505" t="str">
        <f>IF(App_Pipeline_Intel_4!B123="","",App_Pipeline_Intel_4!B123)</f>
        <v>S26-407</v>
      </c>
      <c r="Y43" s="505" t="b" cm="1">
        <f t="array" ref="Y43">IF(X43="","",ISNUMBER(MATCH(App_Pipeline_Intel_4!$B123&amp;"|"&amp;LEFT(App_Pipeline_Intel_4!$C123,FIND(",",App_Pipeline_Intel_4!$C123&amp;",")-1),#REF!&amp;"|"&amp;LEFT(#REF!,FIND(",",#REF!&amp;",")-1),0)))</f>
        <v>0</v>
      </c>
    </row>
    <row r="44" spans="1:25" s="327" customFormat="1" ht="14.15" customHeight="1">
      <c r="A44" s="317"/>
      <c r="B44" s="854" t="s">
        <v>1136</v>
      </c>
      <c r="C44" s="854" t="s">
        <v>1137</v>
      </c>
      <c r="D44" s="855" t="s">
        <v>1100</v>
      </c>
      <c r="E44" s="855" t="s">
        <v>1101</v>
      </c>
      <c r="F44" s="855">
        <v>22</v>
      </c>
      <c r="G44" s="855" t="s">
        <v>582</v>
      </c>
      <c r="H44" s="855" t="s">
        <v>588</v>
      </c>
      <c r="I44" s="856">
        <v>46083</v>
      </c>
      <c r="J44" s="500" t="s">
        <v>544</v>
      </c>
      <c r="K44"/>
      <c r="L44"/>
      <c r="M44"/>
      <c r="N44"/>
      <c r="O44"/>
      <c r="P44"/>
      <c r="Q44"/>
      <c r="R44"/>
      <c r="S44"/>
      <c r="T44"/>
      <c r="U44"/>
      <c r="V44"/>
      <c r="W44"/>
      <c r="X44" s="505" t="str">
        <f>IF(App_Pipeline_Intel_4!B125="","",App_Pipeline_Intel_4!B125)</f>
        <v>S26-415</v>
      </c>
      <c r="Y44" s="505" t="b" cm="1">
        <f t="array" ref="Y44">IF(X44="","",ISNUMBER(MATCH(App_Pipeline_Intel_4!$B125&amp;"|"&amp;LEFT(App_Pipeline_Intel_4!$C125,FIND(",",App_Pipeline_Intel_4!$C125&amp;",")-1),#REF!&amp;"|"&amp;LEFT(#REF!,FIND(",",#REF!&amp;",")-1),0)))</f>
        <v>0</v>
      </c>
    </row>
    <row r="45" spans="1:25" s="327" customFormat="1" ht="14.15" customHeight="1">
      <c r="A45" s="317"/>
      <c r="B45" s="857" t="s">
        <v>1138</v>
      </c>
      <c r="C45" s="857" t="s">
        <v>1139</v>
      </c>
      <c r="D45" s="858" t="s">
        <v>1100</v>
      </c>
      <c r="E45" s="858" t="s">
        <v>1101</v>
      </c>
      <c r="F45" s="858">
        <v>22</v>
      </c>
      <c r="G45" s="858" t="s">
        <v>581</v>
      </c>
      <c r="H45" s="858" t="s">
        <v>587</v>
      </c>
      <c r="I45" s="859">
        <v>46084</v>
      </c>
      <c r="J45" s="858" t="s">
        <v>551</v>
      </c>
      <c r="K45"/>
      <c r="L45"/>
      <c r="M45"/>
      <c r="N45"/>
      <c r="O45"/>
      <c r="P45"/>
      <c r="Q45"/>
      <c r="R45"/>
      <c r="S45"/>
      <c r="T45"/>
      <c r="U45"/>
      <c r="V45"/>
      <c r="W45"/>
      <c r="X45" s="505" t="str">
        <f>IF(App_Pipeline_Intel_4!B129="","",App_Pipeline_Intel_4!B129)</f>
        <v>S28-107</v>
      </c>
      <c r="Y45" s="505" t="b" cm="1">
        <f t="array" ref="Y45">IF(X45="","",ISNUMBER(MATCH(App_Pipeline_Intel_4!$B129&amp;"|"&amp;LEFT(App_Pipeline_Intel_4!$C129,FIND(",",App_Pipeline_Intel_4!$C129&amp;",")-1),#REF!&amp;"|"&amp;LEFT(#REF!,FIND(",",#REF!&amp;",")-1),0)))</f>
        <v>0</v>
      </c>
    </row>
    <row r="46" spans="1:25" s="327" customFormat="1" ht="14.15" customHeight="1">
      <c r="A46" s="317"/>
      <c r="B46" s="857" t="s">
        <v>1140</v>
      </c>
      <c r="C46" s="857" t="s">
        <v>1141</v>
      </c>
      <c r="D46" s="858" t="s">
        <v>1100</v>
      </c>
      <c r="E46" s="858" t="s">
        <v>1101</v>
      </c>
      <c r="F46" s="858">
        <v>21</v>
      </c>
      <c r="G46" s="858" t="s">
        <v>1115</v>
      </c>
      <c r="H46" s="858" t="s">
        <v>587</v>
      </c>
      <c r="I46" s="859">
        <v>46084</v>
      </c>
      <c r="J46" s="858" t="s">
        <v>551</v>
      </c>
      <c r="K46"/>
      <c r="L46"/>
      <c r="M46"/>
      <c r="N46"/>
      <c r="O46"/>
      <c r="P46"/>
      <c r="Q46"/>
      <c r="R46"/>
      <c r="S46"/>
      <c r="T46"/>
      <c r="U46"/>
      <c r="V46"/>
      <c r="W46"/>
      <c r="X46" s="505" t="str">
        <f>IF(App_Pipeline_Intel_4!B131="","",App_Pipeline_Intel_4!B131)</f>
        <v>S30-221</v>
      </c>
      <c r="Y46" s="505" t="b" cm="1">
        <f t="array" ref="Y46">IF(X46="","",ISNUMBER(MATCH(App_Pipeline_Intel_4!$B131&amp;"|"&amp;LEFT(App_Pipeline_Intel_4!$C131,FIND(",",App_Pipeline_Intel_4!$C131&amp;",")-1),#REF!&amp;"|"&amp;LEFT(#REF!,FIND(",",#REF!&amp;",")-1),0)))</f>
        <v>0</v>
      </c>
    </row>
    <row r="47" spans="1:25" s="327" customFormat="1" ht="14.15" customHeight="1">
      <c r="A47" s="317"/>
      <c r="B47" s="857" t="s">
        <v>1142</v>
      </c>
      <c r="C47" s="857" t="s">
        <v>1143</v>
      </c>
      <c r="D47" s="858" t="s">
        <v>1100</v>
      </c>
      <c r="E47" s="858" t="s">
        <v>1101</v>
      </c>
      <c r="F47" s="858">
        <v>15</v>
      </c>
      <c r="G47" s="858" t="s">
        <v>579</v>
      </c>
      <c r="H47" s="858" t="s">
        <v>1144</v>
      </c>
      <c r="I47" s="859">
        <v>46084</v>
      </c>
      <c r="J47" s="858" t="s">
        <v>551</v>
      </c>
      <c r="K47"/>
      <c r="L47"/>
      <c r="M47"/>
      <c r="N47"/>
      <c r="O47"/>
      <c r="P47"/>
      <c r="Q47"/>
      <c r="R47"/>
      <c r="S47"/>
      <c r="T47"/>
      <c r="U47"/>
      <c r="V47"/>
      <c r="W47"/>
      <c r="X47" s="505" t="str">
        <f>IF(App_Pipeline_Intel_4!B133="","",App_Pipeline_Intel_4!B133)</f>
        <v>S30-224</v>
      </c>
      <c r="Y47" s="505" t="b" cm="1">
        <f t="array" ref="Y47">IF(X47="","",ISNUMBER(MATCH(App_Pipeline_Intel_4!$B133&amp;"|"&amp;LEFT(App_Pipeline_Intel_4!$C133,FIND(",",App_Pipeline_Intel_4!$C133&amp;",")-1),#REF!&amp;"|"&amp;LEFT(#REF!,FIND(",",#REF!&amp;",")-1),0)))</f>
        <v>0</v>
      </c>
    </row>
    <row r="48" spans="1:25" s="327" customFormat="1" ht="14.15" customHeight="1">
      <c r="A48" s="317"/>
      <c r="B48" s="857" t="s">
        <v>1145</v>
      </c>
      <c r="C48" s="857" t="s">
        <v>1146</v>
      </c>
      <c r="D48" s="858" t="s">
        <v>1100</v>
      </c>
      <c r="E48" s="858" t="s">
        <v>1101</v>
      </c>
      <c r="F48" s="858">
        <v>15</v>
      </c>
      <c r="G48" s="858" t="s">
        <v>582</v>
      </c>
      <c r="H48" s="858" t="s">
        <v>587</v>
      </c>
      <c r="I48" s="859">
        <v>46086</v>
      </c>
      <c r="J48" s="858" t="s">
        <v>551</v>
      </c>
      <c r="K48"/>
      <c r="L48"/>
      <c r="M48"/>
      <c r="N48"/>
      <c r="O48"/>
      <c r="P48"/>
      <c r="Q48"/>
      <c r="R48"/>
      <c r="S48"/>
      <c r="T48"/>
      <c r="U48"/>
      <c r="V48"/>
      <c r="W48"/>
      <c r="X48" s="505" t="str">
        <f>IF(App_Pipeline_Intel_4!B137="","",App_Pipeline_Intel_4!B137)</f>
        <v>S32-431</v>
      </c>
      <c r="Y48" s="505" t="b" cm="1">
        <f t="array" ref="Y48">IF(X48="","",ISNUMBER(MATCH(App_Pipeline_Intel_4!$B137&amp;"|"&amp;LEFT(App_Pipeline_Intel_4!$C137,FIND(",",App_Pipeline_Intel_4!$C137&amp;",")-1),#REF!&amp;"|"&amp;LEFT(#REF!,FIND(",",#REF!&amp;",")-1),0)))</f>
        <v>0</v>
      </c>
    </row>
    <row r="49" spans="1:25" s="327" customFormat="1" ht="14.15" customHeight="1">
      <c r="A49" s="317"/>
      <c r="B49" s="857" t="s">
        <v>1147</v>
      </c>
      <c r="C49" s="857" t="s">
        <v>1148</v>
      </c>
      <c r="D49" s="858" t="s">
        <v>1100</v>
      </c>
      <c r="E49" s="858" t="s">
        <v>1101</v>
      </c>
      <c r="F49" s="858">
        <v>13</v>
      </c>
      <c r="G49" s="858" t="s">
        <v>581</v>
      </c>
      <c r="H49" s="858" t="s">
        <v>587</v>
      </c>
      <c r="I49" s="859">
        <v>46089</v>
      </c>
      <c r="J49" s="858" t="s">
        <v>551</v>
      </c>
      <c r="K49"/>
      <c r="L49"/>
      <c r="M49"/>
      <c r="N49"/>
      <c r="O49"/>
      <c r="P49"/>
      <c r="Q49"/>
      <c r="R49"/>
      <c r="S49"/>
      <c r="T49"/>
      <c r="U49"/>
      <c r="V49"/>
      <c r="W49"/>
      <c r="X49" s="505" t="str">
        <f>IF(App_Pipeline_Intel_4!B141="","",App_Pipeline_Intel_4!B141)</f>
        <v>S35-147</v>
      </c>
      <c r="Y49" s="505" t="b" cm="1">
        <f t="array" ref="Y49">IF(X49="","",ISNUMBER(MATCH(App_Pipeline_Intel_4!$B141&amp;"|"&amp;LEFT(App_Pipeline_Intel_4!$C141,FIND(",",App_Pipeline_Intel_4!$C141&amp;",")-1),#REF!&amp;"|"&amp;LEFT(#REF!,FIND(",",#REF!&amp;",")-1),0)))</f>
        <v>0</v>
      </c>
    </row>
    <row r="50" spans="1:25" s="327" customFormat="1" ht="14.15" customHeight="1">
      <c r="A50" s="317"/>
      <c r="B50" s="857" t="s">
        <v>1149</v>
      </c>
      <c r="C50" s="857" t="s">
        <v>1150</v>
      </c>
      <c r="D50" s="858" t="s">
        <v>1100</v>
      </c>
      <c r="E50" s="858" t="s">
        <v>1101</v>
      </c>
      <c r="F50" s="858">
        <v>11</v>
      </c>
      <c r="G50" s="858" t="s">
        <v>581</v>
      </c>
      <c r="H50" s="858" t="s">
        <v>590</v>
      </c>
      <c r="I50" s="859">
        <v>46090</v>
      </c>
      <c r="J50" s="858" t="s">
        <v>551</v>
      </c>
      <c r="K50"/>
      <c r="L50"/>
      <c r="M50"/>
      <c r="N50"/>
      <c r="O50"/>
      <c r="P50"/>
      <c r="Q50"/>
      <c r="R50"/>
      <c r="S50"/>
      <c r="T50"/>
      <c r="U50"/>
      <c r="V50"/>
      <c r="W50"/>
      <c r="X50" s="505" t="str">
        <f>IF(App_Pipeline_Intel_4!B145="","",App_Pipeline_Intel_4!B145)</f>
        <v>S36-436</v>
      </c>
      <c r="Y50" s="505" t="b" cm="1">
        <f t="array" ref="Y50">IF(X50="","",ISNUMBER(MATCH(App_Pipeline_Intel_4!$B145&amp;"|"&amp;LEFT(App_Pipeline_Intel_4!$C145,FIND(",",App_Pipeline_Intel_4!$C145&amp;",")-1),#REF!&amp;"|"&amp;LEFT(#REF!,FIND(",",#REF!&amp;",")-1),0)))</f>
        <v>0</v>
      </c>
    </row>
    <row r="51" spans="1:25" s="327" customFormat="1" ht="14.15" customHeight="1">
      <c r="A51" s="317"/>
      <c r="B51" s="857" t="s">
        <v>1151</v>
      </c>
      <c r="C51" s="857" t="s">
        <v>1152</v>
      </c>
      <c r="D51" s="858" t="s">
        <v>1100</v>
      </c>
      <c r="E51" s="858" t="s">
        <v>1101</v>
      </c>
      <c r="F51" s="858">
        <v>10</v>
      </c>
      <c r="G51" s="858" t="s">
        <v>581</v>
      </c>
      <c r="H51" s="858" t="s">
        <v>588</v>
      </c>
      <c r="I51" s="859">
        <v>46090</v>
      </c>
      <c r="J51" s="858" t="s">
        <v>551</v>
      </c>
      <c r="K51"/>
      <c r="L51"/>
      <c r="M51"/>
      <c r="N51"/>
      <c r="O51"/>
      <c r="P51"/>
      <c r="Q51"/>
      <c r="R51"/>
      <c r="S51"/>
      <c r="T51"/>
      <c r="U51"/>
      <c r="V51"/>
      <c r="W51"/>
      <c r="X51" s="505" t="str">
        <f>IF(App_Pipeline_Intel_4!B147="","",App_Pipeline_Intel_4!B147)</f>
        <v>S39-256</v>
      </c>
      <c r="Y51" s="505" t="b" cm="1">
        <f t="array" ref="Y51">IF(X51="","",ISNUMBER(MATCH(App_Pipeline_Intel_4!$B147&amp;"|"&amp;LEFT(App_Pipeline_Intel_4!$C147,FIND(",",App_Pipeline_Intel_4!$C147&amp;",")-1),#REF!&amp;"|"&amp;LEFT(#REF!,FIND(",",#REF!&amp;",")-1),0)))</f>
        <v>0</v>
      </c>
    </row>
    <row r="52" spans="1:25" s="327" customFormat="1" ht="14.15" customHeight="1">
      <c r="A52" s="317"/>
      <c r="B52" s="860" t="s">
        <v>894</v>
      </c>
      <c r="C52" s="860" t="s">
        <v>1153</v>
      </c>
      <c r="D52" s="861" t="s">
        <v>1100</v>
      </c>
      <c r="E52" s="861" t="s">
        <v>1101</v>
      </c>
      <c r="F52" s="861">
        <v>10</v>
      </c>
      <c r="G52" s="861" t="s">
        <v>581</v>
      </c>
      <c r="H52" s="861" t="s">
        <v>589</v>
      </c>
      <c r="I52" s="862">
        <v>46092</v>
      </c>
      <c r="J52" s="861"/>
      <c r="K52"/>
      <c r="L52"/>
      <c r="M52"/>
      <c r="N52"/>
      <c r="O52"/>
      <c r="P52"/>
      <c r="Q52"/>
      <c r="R52"/>
      <c r="S52"/>
      <c r="T52"/>
      <c r="U52"/>
      <c r="V52"/>
      <c r="W52"/>
      <c r="X52" s="505" t="str">
        <f>IF(App_Pipeline_Intel_4!B150="","",App_Pipeline_Intel_4!B150)</f>
        <v>W01-1-0111</v>
      </c>
      <c r="Y52" s="505" t="b" cm="1">
        <f t="array" ref="Y52">IF(X52="","",ISNUMBER(MATCH(App_Pipeline_Intel_4!$B150&amp;"|"&amp;LEFT(App_Pipeline_Intel_4!$C150,FIND(",",App_Pipeline_Intel_4!$C150&amp;",")-1),#REF!&amp;"|"&amp;LEFT(#REF!,FIND(",",#REF!&amp;",")-1),0)))</f>
        <v>0</v>
      </c>
    </row>
    <row r="53" spans="1:25" s="327" customFormat="1" ht="14.15" customHeight="1">
      <c r="A53" s="317"/>
      <c r="B53" s="860" t="s">
        <v>1154</v>
      </c>
      <c r="C53" s="860" t="s">
        <v>1155</v>
      </c>
      <c r="D53" s="861" t="s">
        <v>1100</v>
      </c>
      <c r="E53" s="861" t="s">
        <v>1101</v>
      </c>
      <c r="F53" s="861">
        <v>9</v>
      </c>
      <c r="G53" s="861" t="s">
        <v>1001</v>
      </c>
      <c r="H53" s="861" t="s">
        <v>587</v>
      </c>
      <c r="I53" s="862">
        <v>46093</v>
      </c>
      <c r="J53" s="861"/>
      <c r="K53"/>
      <c r="L53"/>
      <c r="M53"/>
      <c r="N53"/>
      <c r="O53"/>
      <c r="P53"/>
      <c r="Q53"/>
      <c r="R53"/>
      <c r="S53"/>
      <c r="T53"/>
      <c r="U53"/>
      <c r="V53"/>
      <c r="W53"/>
      <c r="X53" s="505" t="str">
        <f>IF(App_Pipeline_Intel_4!B151="","",App_Pipeline_Intel_4!B151)</f>
        <v>W01-1-0116</v>
      </c>
      <c r="Y53" s="505" t="b" cm="1">
        <f t="array" ref="Y53">IF(X53="","",ISNUMBER(MATCH(App_Pipeline_Intel_4!$B151&amp;"|"&amp;LEFT(App_Pipeline_Intel_4!$C151,FIND(",",App_Pipeline_Intel_4!$C151&amp;",")-1),#REF!&amp;"|"&amp;LEFT(#REF!,FIND(",",#REF!&amp;",")-1),0)))</f>
        <v>0</v>
      </c>
    </row>
    <row r="54" spans="1:25" s="327" customFormat="1" ht="14.15" customHeight="1">
      <c r="A54" s="317"/>
      <c r="B54" s="860" t="s">
        <v>873</v>
      </c>
      <c r="C54" s="860" t="s">
        <v>1155</v>
      </c>
      <c r="D54" s="861" t="s">
        <v>1100</v>
      </c>
      <c r="E54" s="861" t="s">
        <v>1101</v>
      </c>
      <c r="F54" s="861">
        <v>9</v>
      </c>
      <c r="G54" s="861" t="s">
        <v>984</v>
      </c>
      <c r="H54" s="861" t="s">
        <v>592</v>
      </c>
      <c r="I54" s="862">
        <v>46093</v>
      </c>
      <c r="J54" s="861"/>
      <c r="K54"/>
      <c r="L54"/>
      <c r="M54"/>
      <c r="N54"/>
      <c r="O54"/>
      <c r="P54"/>
      <c r="Q54"/>
      <c r="R54"/>
      <c r="S54"/>
      <c r="T54"/>
      <c r="U54"/>
      <c r="V54"/>
      <c r="W54"/>
      <c r="X54" s="505" t="str">
        <f>IF(App_Pipeline_Intel_4!B154="","",App_Pipeline_Intel_4!B154)</f>
        <v>W04-1-0403</v>
      </c>
      <c r="Y54" s="505" t="b" cm="1">
        <f t="array" ref="Y54">IF(X54="","",ISNUMBER(MATCH(App_Pipeline_Intel_4!$B154&amp;"|"&amp;LEFT(App_Pipeline_Intel_4!$C154,FIND(",",App_Pipeline_Intel_4!$C154&amp;",")-1),#REF!&amp;"|"&amp;LEFT(#REF!,FIND(",",#REF!&amp;",")-1),0)))</f>
        <v>0</v>
      </c>
    </row>
    <row r="55" spans="1:25" s="327" customFormat="1" ht="14.15" customHeight="1">
      <c r="A55" s="317"/>
      <c r="B55" s="860" t="s">
        <v>1156</v>
      </c>
      <c r="C55" s="860" t="s">
        <v>1157</v>
      </c>
      <c r="D55" s="861" t="s">
        <v>1100</v>
      </c>
      <c r="E55" s="861" t="s">
        <v>1101</v>
      </c>
      <c r="F55" s="861">
        <v>8</v>
      </c>
      <c r="G55" s="861" t="s">
        <v>1001</v>
      </c>
      <c r="H55" s="861" t="s">
        <v>592</v>
      </c>
      <c r="I55" s="862">
        <v>46094</v>
      </c>
      <c r="J55" s="861"/>
      <c r="K55"/>
      <c r="L55"/>
      <c r="M55"/>
      <c r="N55"/>
      <c r="O55"/>
      <c r="P55"/>
      <c r="Q55"/>
      <c r="R55"/>
      <c r="S55"/>
      <c r="T55"/>
      <c r="U55"/>
      <c r="V55"/>
      <c r="W55"/>
      <c r="X55" s="505" t="str">
        <f>IF(App_Pipeline_Intel_4!B157="","",App_Pipeline_Intel_4!B157)</f>
        <v>W04-1-0416</v>
      </c>
      <c r="Y55" s="505" t="b" cm="1">
        <f t="array" ref="Y55">IF(X55="","",ISNUMBER(MATCH(App_Pipeline_Intel_4!$B157&amp;"|"&amp;LEFT(App_Pipeline_Intel_4!$C157,FIND(",",App_Pipeline_Intel_4!$C157&amp;",")-1),#REF!&amp;"|"&amp;LEFT(#REF!,FIND(",",#REF!&amp;",")-1),0)))</f>
        <v>0</v>
      </c>
    </row>
    <row r="56" spans="1:25" s="327" customFormat="1" ht="14.15" customHeight="1">
      <c r="A56" s="317"/>
      <c r="B56" s="860" t="s">
        <v>1158</v>
      </c>
      <c r="C56" s="860" t="s">
        <v>1159</v>
      </c>
      <c r="D56" s="861" t="s">
        <v>1100</v>
      </c>
      <c r="E56" s="861" t="s">
        <v>1101</v>
      </c>
      <c r="F56" s="861">
        <v>7</v>
      </c>
      <c r="G56" s="861" t="s">
        <v>581</v>
      </c>
      <c r="H56" s="861" t="s">
        <v>592</v>
      </c>
      <c r="I56" s="862">
        <v>46094</v>
      </c>
      <c r="J56" s="861"/>
      <c r="K56"/>
      <c r="L56"/>
      <c r="M56"/>
      <c r="N56"/>
      <c r="O56"/>
      <c r="P56"/>
      <c r="Q56"/>
      <c r="R56"/>
      <c r="S56"/>
      <c r="T56"/>
      <c r="U56"/>
      <c r="V56"/>
      <c r="W56"/>
      <c r="X56" s="505" t="str">
        <f>IF(App_Pipeline_Intel_4!B158="","",App_Pipeline_Intel_4!B158)</f>
        <v>W05-1-0501</v>
      </c>
      <c r="Y56" s="505" t="b" cm="1">
        <f t="array" ref="Y56">IF(X56="","",ISNUMBER(MATCH(App_Pipeline_Intel_4!$B158&amp;"|"&amp;LEFT(App_Pipeline_Intel_4!$C158,FIND(",",App_Pipeline_Intel_4!$C158&amp;",")-1),#REF!&amp;"|"&amp;LEFT(#REF!,FIND(",",#REF!&amp;",")-1),0)))</f>
        <v>0</v>
      </c>
    </row>
    <row r="57" spans="1:25" s="327" customFormat="1" ht="14.15" customHeight="1">
      <c r="A57" s="317"/>
      <c r="B57" s="860" t="s">
        <v>1160</v>
      </c>
      <c r="C57" s="860" t="s">
        <v>1161</v>
      </c>
      <c r="D57" s="861" t="s">
        <v>1100</v>
      </c>
      <c r="E57" s="861" t="s">
        <v>1101</v>
      </c>
      <c r="F57" s="861">
        <v>6</v>
      </c>
      <c r="G57" s="861" t="s">
        <v>578</v>
      </c>
      <c r="H57" s="861" t="s">
        <v>587</v>
      </c>
      <c r="I57" s="862">
        <v>46095</v>
      </c>
      <c r="J57" s="861"/>
      <c r="K57"/>
      <c r="L57"/>
      <c r="M57"/>
      <c r="N57"/>
      <c r="O57"/>
      <c r="P57"/>
      <c r="Q57"/>
      <c r="R57"/>
      <c r="S57"/>
      <c r="T57"/>
      <c r="U57"/>
      <c r="V57"/>
      <c r="W57"/>
      <c r="X57" s="505" t="str">
        <f>IF(App_Pipeline_Intel_4!B160="","",App_Pipeline_Intel_4!B160)</f>
        <v>W05-1-0514</v>
      </c>
      <c r="Y57" s="505" t="b" cm="1">
        <f t="array" ref="Y57">IF(X57="","",ISNUMBER(MATCH(App_Pipeline_Intel_4!$B160&amp;"|"&amp;LEFT(App_Pipeline_Intel_4!$C160,FIND(",",App_Pipeline_Intel_4!$C160&amp;",")-1),#REF!&amp;"|"&amp;LEFT(#REF!,FIND(",",#REF!&amp;",")-1),0)))</f>
        <v>0</v>
      </c>
    </row>
    <row r="58" spans="1:25" s="327" customFormat="1" ht="14.15" customHeight="1">
      <c r="A58" s="317"/>
      <c r="B58" s="860" t="s">
        <v>1162</v>
      </c>
      <c r="C58" s="860" t="s">
        <v>1163</v>
      </c>
      <c r="D58" s="861" t="s">
        <v>1100</v>
      </c>
      <c r="E58" s="861" t="s">
        <v>1101</v>
      </c>
      <c r="F58" s="861">
        <v>6</v>
      </c>
      <c r="G58" s="861" t="s">
        <v>581</v>
      </c>
      <c r="H58" s="861" t="s">
        <v>587</v>
      </c>
      <c r="I58" s="862">
        <v>46095</v>
      </c>
      <c r="J58" s="861"/>
      <c r="K58"/>
      <c r="L58"/>
      <c r="M58"/>
      <c r="N58"/>
      <c r="O58"/>
      <c r="P58"/>
      <c r="Q58"/>
      <c r="R58"/>
      <c r="S58"/>
      <c r="T58"/>
      <c r="U58"/>
      <c r="V58"/>
      <c r="W58"/>
      <c r="X58" s="505" t="str">
        <f>IF(App_Pipeline_Intel_4!B162="","",App_Pipeline_Intel_4!B162)</f>
        <v>W06-1-0613</v>
      </c>
      <c r="Y58" s="505" t="b" cm="1">
        <f t="array" ref="Y58">IF(X58="","",ISNUMBER(MATCH(App_Pipeline_Intel_4!$B162&amp;"|"&amp;LEFT(App_Pipeline_Intel_4!$C162,FIND(",",App_Pipeline_Intel_4!$C162&amp;",")-1),#REF!&amp;"|"&amp;LEFT(#REF!,FIND(",",#REF!&amp;",")-1),0)))</f>
        <v>0</v>
      </c>
    </row>
    <row r="59" spans="1:25" s="327" customFormat="1" ht="14.15" customHeight="1">
      <c r="A59" s="317"/>
      <c r="B59" s="860" t="s">
        <v>899</v>
      </c>
      <c r="C59" s="860" t="s">
        <v>1164</v>
      </c>
      <c r="D59" s="861" t="s">
        <v>1100</v>
      </c>
      <c r="E59" s="861" t="s">
        <v>1101</v>
      </c>
      <c r="F59" s="861">
        <v>5</v>
      </c>
      <c r="G59" s="861" t="s">
        <v>581</v>
      </c>
      <c r="H59" s="861" t="s">
        <v>587</v>
      </c>
      <c r="I59" s="862">
        <v>46096</v>
      </c>
      <c r="J59" s="861"/>
      <c r="K59"/>
      <c r="L59"/>
      <c r="M59"/>
      <c r="N59"/>
      <c r="O59"/>
      <c r="P59"/>
      <c r="Q59"/>
      <c r="R59"/>
      <c r="S59"/>
      <c r="T59"/>
      <c r="U59"/>
      <c r="V59"/>
      <c r="W59"/>
      <c r="X59" s="505" t="str">
        <f>IF(App_Pipeline_Intel_4!B163="","",App_Pipeline_Intel_4!B163)</f>
        <v>W07-1-0703</v>
      </c>
      <c r="Y59" s="505" t="b" cm="1">
        <f t="array" ref="Y59">IF(X59="","",ISNUMBER(MATCH(App_Pipeline_Intel_4!$B163&amp;"|"&amp;LEFT(App_Pipeline_Intel_4!$C163,FIND(",",App_Pipeline_Intel_4!$C163&amp;",")-1),#REF!&amp;"|"&amp;LEFT(#REF!,FIND(",",#REF!&amp;",")-1),0)))</f>
        <v>0</v>
      </c>
    </row>
    <row r="60" spans="1:25" s="327" customFormat="1" ht="14.15" customHeight="1">
      <c r="A60" s="317"/>
      <c r="B60" s="860" t="s">
        <v>1165</v>
      </c>
      <c r="C60" s="860" t="s">
        <v>1032</v>
      </c>
      <c r="D60" s="861" t="s">
        <v>1100</v>
      </c>
      <c r="E60" s="861" t="s">
        <v>1101</v>
      </c>
      <c r="F60" s="861">
        <v>5</v>
      </c>
      <c r="G60" s="861" t="s">
        <v>577</v>
      </c>
      <c r="H60" s="861" t="s">
        <v>589</v>
      </c>
      <c r="I60" s="862">
        <v>46096</v>
      </c>
      <c r="J60" s="861"/>
      <c r="K60"/>
      <c r="L60"/>
      <c r="M60"/>
      <c r="N60"/>
      <c r="O60"/>
      <c r="P60"/>
      <c r="Q60"/>
      <c r="R60"/>
      <c r="S60"/>
      <c r="T60"/>
      <c r="U60"/>
      <c r="V60"/>
      <c r="W60"/>
      <c r="X60" s="505" t="str">
        <f>IF(App_Pipeline_Intel_4!B164="","",App_Pipeline_Intel_4!B164)</f>
        <v>W07-1-0708</v>
      </c>
      <c r="Y60" s="505" t="b" cm="1">
        <f t="array" ref="Y60">IF(X60="","",ISNUMBER(MATCH(App_Pipeline_Intel_4!$B164&amp;"|"&amp;LEFT(App_Pipeline_Intel_4!$C164,FIND(",",App_Pipeline_Intel_4!$C164&amp;",")-1),#REF!&amp;"|"&amp;LEFT(#REF!,FIND(",",#REF!&amp;",")-1),0)))</f>
        <v>0</v>
      </c>
    </row>
    <row r="61" spans="1:25" s="327" customFormat="1" ht="14.15" customHeight="1">
      <c r="A61" s="317"/>
      <c r="B61" s="860" t="s">
        <v>570</v>
      </c>
      <c r="C61" s="860" t="s">
        <v>1166</v>
      </c>
      <c r="D61" s="861" t="s">
        <v>1100</v>
      </c>
      <c r="E61" s="861" t="s">
        <v>1101</v>
      </c>
      <c r="F61" s="861">
        <v>5</v>
      </c>
      <c r="G61" s="861" t="s">
        <v>581</v>
      </c>
      <c r="H61" s="861" t="s">
        <v>587</v>
      </c>
      <c r="I61" s="862">
        <v>46097</v>
      </c>
      <c r="J61" s="861"/>
      <c r="K61"/>
      <c r="L61"/>
      <c r="M61"/>
      <c r="N61"/>
      <c r="O61"/>
      <c r="P61"/>
      <c r="Q61"/>
      <c r="R61"/>
      <c r="S61"/>
      <c r="T61"/>
      <c r="U61"/>
      <c r="V61"/>
      <c r="W61"/>
      <c r="X61" s="505" t="str">
        <f>IF(App_Pipeline_Intel_4!B165="","",App_Pipeline_Intel_4!B165)</f>
        <v>W07-1-0717</v>
      </c>
      <c r="Y61" s="505" t="b" cm="1">
        <f t="array" ref="Y61">IF(X61="","",ISNUMBER(MATCH(App_Pipeline_Intel_4!$B165&amp;"|"&amp;LEFT(App_Pipeline_Intel_4!$C165,FIND(",",App_Pipeline_Intel_4!$C165&amp;",")-1),#REF!&amp;"|"&amp;LEFT(#REF!,FIND(",",#REF!&amp;",")-1),0)))</f>
        <v>0</v>
      </c>
    </row>
    <row r="62" spans="1:25" s="327" customFormat="1" ht="14.15" customHeight="1">
      <c r="A62" s="317"/>
      <c r="B62" s="860" t="s">
        <v>1167</v>
      </c>
      <c r="C62" s="860" t="s">
        <v>1168</v>
      </c>
      <c r="D62" s="861" t="s">
        <v>1100</v>
      </c>
      <c r="E62" s="861" t="s">
        <v>1101</v>
      </c>
      <c r="F62" s="861">
        <v>4</v>
      </c>
      <c r="G62" s="861" t="s">
        <v>581</v>
      </c>
      <c r="H62" s="861" t="s">
        <v>587</v>
      </c>
      <c r="I62" s="862">
        <v>46098</v>
      </c>
      <c r="J62" s="861"/>
      <c r="K62"/>
      <c r="L62"/>
      <c r="M62"/>
      <c r="N62"/>
      <c r="O62"/>
      <c r="P62"/>
      <c r="Q62"/>
      <c r="R62"/>
      <c r="S62"/>
      <c r="T62"/>
      <c r="U62"/>
      <c r="V62"/>
      <c r="W62"/>
      <c r="X62" s="505" t="str">
        <f>IF(App_Pipeline_Intel_4!B166="","",App_Pipeline_Intel_4!B166)</f>
        <v>W07-1-0723</v>
      </c>
      <c r="Y62" s="505" t="b" cm="1">
        <f t="array" ref="Y62">IF(X62="","",ISNUMBER(MATCH(App_Pipeline_Intel_4!$B166&amp;"|"&amp;LEFT(App_Pipeline_Intel_4!$C166,FIND(",",App_Pipeline_Intel_4!$C166&amp;",")-1),#REF!&amp;"|"&amp;LEFT(#REF!,FIND(",",#REF!&amp;",")-1),0)))</f>
        <v>0</v>
      </c>
    </row>
    <row r="63" spans="1:25" s="327" customFormat="1" ht="14.15" customHeight="1">
      <c r="A63" s="317"/>
      <c r="B63" s="863" t="s">
        <v>1169</v>
      </c>
      <c r="C63" s="863" t="s">
        <v>1170</v>
      </c>
      <c r="D63" s="724" t="s">
        <v>1100</v>
      </c>
      <c r="E63" s="724" t="s">
        <v>1101</v>
      </c>
      <c r="F63" s="724">
        <v>4</v>
      </c>
      <c r="G63" s="724" t="s">
        <v>577</v>
      </c>
      <c r="H63" s="724" t="s">
        <v>587</v>
      </c>
      <c r="I63" s="864">
        <v>46098</v>
      </c>
      <c r="J63" s="724"/>
      <c r="K63"/>
      <c r="L63"/>
      <c r="M63"/>
      <c r="N63"/>
      <c r="O63"/>
      <c r="P63"/>
      <c r="Q63"/>
      <c r="R63"/>
      <c r="S63"/>
      <c r="T63"/>
      <c r="U63"/>
      <c r="V63"/>
      <c r="W63"/>
      <c r="X63" s="505" t="str">
        <f>IF(App_Pipeline_Intel_4!B167="","",App_Pipeline_Intel_4!B167)</f>
        <v>W07-1-0724</v>
      </c>
      <c r="Y63" s="505" t="b" cm="1">
        <f t="array" ref="Y63">IF(X63="","",ISNUMBER(MATCH(App_Pipeline_Intel_4!$B167&amp;"|"&amp;LEFT(App_Pipeline_Intel_4!$C167,FIND(",",App_Pipeline_Intel_4!$C167&amp;",")-1),#REF!&amp;"|"&amp;LEFT(#REF!,FIND(",",#REF!&amp;",")-1),0)))</f>
        <v>0</v>
      </c>
    </row>
    <row r="64" spans="1:25" s="327" customFormat="1" ht="14.15" customHeight="1">
      <c r="A64" s="317"/>
      <c r="B64" s="865" t="s">
        <v>1171</v>
      </c>
      <c r="C64" s="865" t="s">
        <v>1172</v>
      </c>
      <c r="D64" s="866" t="s">
        <v>1110</v>
      </c>
      <c r="E64" s="866" t="s">
        <v>1105</v>
      </c>
      <c r="F64" s="866">
        <v>1</v>
      </c>
      <c r="G64" s="866" t="s">
        <v>1001</v>
      </c>
      <c r="H64" s="866" t="s">
        <v>592</v>
      </c>
      <c r="I64" s="867"/>
      <c r="J64" s="866"/>
      <c r="K64"/>
      <c r="L64"/>
      <c r="M64"/>
      <c r="N64"/>
      <c r="O64"/>
      <c r="P64"/>
      <c r="Q64"/>
      <c r="R64"/>
      <c r="S64"/>
      <c r="T64"/>
      <c r="U64"/>
      <c r="V64"/>
      <c r="W64"/>
      <c r="X64" s="505"/>
      <c r="Y64" s="505"/>
    </row>
    <row r="65" spans="1:25" s="327" customFormat="1" ht="14.15" customHeight="1">
      <c r="A65" s="317"/>
      <c r="B65" s="865" t="s">
        <v>1173</v>
      </c>
      <c r="C65" s="865" t="s">
        <v>1174</v>
      </c>
      <c r="D65" s="866" t="s">
        <v>1100</v>
      </c>
      <c r="E65" s="866" t="s">
        <v>1101</v>
      </c>
      <c r="F65" s="866">
        <v>1</v>
      </c>
      <c r="G65" s="866" t="s">
        <v>581</v>
      </c>
      <c r="H65" s="866" t="s">
        <v>592</v>
      </c>
      <c r="I65" s="867"/>
      <c r="J65" s="866"/>
      <c r="K65"/>
      <c r="L65"/>
      <c r="M65"/>
      <c r="N65"/>
      <c r="O65"/>
      <c r="P65"/>
      <c r="Q65"/>
      <c r="R65"/>
      <c r="S65"/>
      <c r="T65"/>
      <c r="U65"/>
      <c r="V65"/>
      <c r="W65"/>
      <c r="X65" s="505"/>
      <c r="Y65" s="505"/>
    </row>
    <row r="66" spans="1:25" s="327" customFormat="1" ht="14.15" customHeight="1">
      <c r="A66" s="317"/>
      <c r="B66" s="865"/>
      <c r="C66" s="865"/>
      <c r="D66" s="866"/>
      <c r="E66" s="866"/>
      <c r="F66" s="866"/>
      <c r="G66" s="866"/>
      <c r="H66" s="866"/>
      <c r="I66" s="867"/>
      <c r="J66" s="866"/>
      <c r="K66"/>
      <c r="L66"/>
      <c r="M66"/>
      <c r="N66"/>
      <c r="O66"/>
      <c r="P66"/>
      <c r="Q66"/>
      <c r="R66"/>
      <c r="S66"/>
      <c r="T66"/>
      <c r="U66"/>
      <c r="V66"/>
      <c r="W66"/>
      <c r="X66" s="505"/>
      <c r="Y66" s="505"/>
    </row>
    <row r="67" spans="1:25" s="327" customFormat="1" ht="14.15" customHeight="1">
      <c r="A67" s="317"/>
      <c r="B67" s="865"/>
      <c r="C67" s="865"/>
      <c r="D67" s="866"/>
      <c r="E67" s="866"/>
      <c r="F67" s="866"/>
      <c r="G67" s="866"/>
      <c r="H67" s="866"/>
      <c r="I67" s="867"/>
      <c r="J67" s="866"/>
      <c r="K67"/>
      <c r="L67"/>
      <c r="M67"/>
      <c r="N67"/>
      <c r="O67"/>
      <c r="P67"/>
      <c r="Q67"/>
      <c r="R67"/>
      <c r="S67"/>
      <c r="T67"/>
      <c r="U67"/>
      <c r="V67"/>
      <c r="W67"/>
      <c r="X67" s="505"/>
      <c r="Y67" s="505"/>
    </row>
    <row r="68" spans="1:25" s="327" customFormat="1" ht="14.15" customHeight="1">
      <c r="A68" s="317"/>
      <c r="B68" s="865"/>
      <c r="C68" s="865"/>
      <c r="D68" s="866"/>
      <c r="E68" s="866"/>
      <c r="F68" s="866"/>
      <c r="G68" s="866"/>
      <c r="H68" s="866"/>
      <c r="I68" s="867"/>
      <c r="J68" s="866"/>
      <c r="K68"/>
      <c r="L68"/>
      <c r="M68"/>
      <c r="N68"/>
      <c r="O68"/>
      <c r="P68"/>
      <c r="Q68"/>
      <c r="R68"/>
      <c r="S68"/>
      <c r="T68"/>
      <c r="U68"/>
      <c r="V68"/>
      <c r="W68"/>
      <c r="X68" s="505"/>
      <c r="Y68" s="505"/>
    </row>
    <row r="69" spans="1:25" s="327" customFormat="1" ht="14.15" customHeight="1">
      <c r="A69" s="317"/>
      <c r="B69" s="865"/>
      <c r="C69" s="865"/>
      <c r="D69" s="866"/>
      <c r="E69" s="866"/>
      <c r="F69" s="866"/>
      <c r="G69" s="866"/>
      <c r="H69" s="866"/>
      <c r="I69" s="867"/>
      <c r="J69" s="866"/>
      <c r="K69"/>
      <c r="L69"/>
      <c r="M69"/>
      <c r="N69"/>
      <c r="O69"/>
      <c r="P69"/>
      <c r="Q69"/>
      <c r="R69"/>
      <c r="S69"/>
      <c r="T69"/>
      <c r="U69"/>
      <c r="V69"/>
      <c r="W69"/>
      <c r="X69" s="505"/>
      <c r="Y69" s="505"/>
    </row>
    <row r="70" spans="1:25" s="327" customFormat="1" ht="14.15" customHeight="1">
      <c r="A70" s="317"/>
      <c r="B70" s="865"/>
      <c r="C70" s="865"/>
      <c r="D70" s="866"/>
      <c r="E70" s="866"/>
      <c r="F70" s="866"/>
      <c r="G70" s="866"/>
      <c r="H70" s="866"/>
      <c r="I70" s="867"/>
      <c r="J70" s="866"/>
      <c r="K70"/>
      <c r="L70"/>
      <c r="M70"/>
      <c r="N70"/>
      <c r="O70"/>
      <c r="P70"/>
      <c r="Q70"/>
      <c r="R70"/>
      <c r="S70"/>
      <c r="T70"/>
      <c r="U70"/>
      <c r="V70"/>
      <c r="W70"/>
      <c r="X70" s="505"/>
      <c r="Y70" s="505"/>
    </row>
    <row r="71" spans="1:25" s="327" customFormat="1" ht="14.15" customHeight="1">
      <c r="A71" s="317"/>
      <c r="B71" s="865"/>
      <c r="C71" s="865"/>
      <c r="D71" s="866"/>
      <c r="E71" s="866"/>
      <c r="F71" s="866"/>
      <c r="G71" s="866"/>
      <c r="H71" s="866"/>
      <c r="I71" s="867"/>
      <c r="J71" s="866"/>
      <c r="K71"/>
      <c r="L71"/>
      <c r="M71"/>
      <c r="N71"/>
      <c r="O71"/>
      <c r="P71"/>
      <c r="Q71"/>
      <c r="R71"/>
      <c r="S71"/>
      <c r="T71"/>
      <c r="U71"/>
      <c r="V71"/>
      <c r="W71"/>
      <c r="X71" s="505"/>
      <c r="Y71" s="505"/>
    </row>
    <row r="72" spans="1:25" s="327" customFormat="1" ht="14.15" customHeight="1">
      <c r="A72" s="317"/>
      <c r="B72" s="868"/>
      <c r="C72" s="868"/>
      <c r="D72" s="868"/>
      <c r="E72" s="868"/>
      <c r="F72" s="868"/>
      <c r="G72" s="868"/>
      <c r="H72" s="868"/>
      <c r="I72" s="868"/>
      <c r="J72" s="868"/>
      <c r="K72"/>
      <c r="L72"/>
      <c r="M72"/>
      <c r="N72"/>
      <c r="O72"/>
      <c r="P72"/>
      <c r="Q72"/>
      <c r="R72"/>
      <c r="S72"/>
      <c r="T72"/>
      <c r="U72"/>
      <c r="V72"/>
      <c r="W72"/>
      <c r="X72" s="505" t="str">
        <f>IF(App_Pipeline_Intel_4!B170="","",App_Pipeline_Intel_4!B170)</f>
        <v>W09-1-0910</v>
      </c>
      <c r="Y72" s="505" t="b" cm="1">
        <f t="array" ref="Y72">IF(X72="","",ISNUMBER(MATCH(App_Pipeline_Intel_4!$B170&amp;"|"&amp;LEFT(App_Pipeline_Intel_4!$C170,FIND(",",App_Pipeline_Intel_4!$C170&amp;",")-1),#REF!&amp;"|"&amp;LEFT(#REF!,FIND(",",#REF!&amp;",")-1),0)))</f>
        <v>0</v>
      </c>
    </row>
    <row r="73" spans="1:25" s="327" customFormat="1" ht="14.15" customHeight="1">
      <c r="A73" s="317"/>
      <c r="B73" s="496"/>
      <c r="C73" s="496"/>
      <c r="D73" s="496"/>
      <c r="E73" s="496"/>
      <c r="F73" s="496"/>
      <c r="G73" s="496"/>
      <c r="H73" s="496"/>
      <c r="I73" s="496"/>
      <c r="J73" s="496"/>
      <c r="K73"/>
      <c r="L73"/>
      <c r="M73"/>
      <c r="N73"/>
      <c r="O73"/>
      <c r="P73"/>
      <c r="Q73"/>
      <c r="R73"/>
      <c r="S73"/>
      <c r="T73"/>
      <c r="U73"/>
      <c r="V73"/>
      <c r="W73"/>
      <c r="X73" s="505" t="str">
        <f>IF(App_Pipeline_Intel_4!B172="","",App_Pipeline_Intel_4!B172)</f>
        <v>W09-1-0916</v>
      </c>
      <c r="Y73" s="505" t="b" cm="1">
        <f t="array" ref="Y73">IF(X73="","",ISNUMBER(MATCH(App_Pipeline_Intel_4!$B172&amp;"|"&amp;LEFT(App_Pipeline_Intel_4!$C172,FIND(",",App_Pipeline_Intel_4!$C172&amp;",")-1),#REF!&amp;"|"&amp;LEFT(#REF!,FIND(",",#REF!&amp;",")-1),0)))</f>
        <v>0</v>
      </c>
    </row>
    <row r="74" spans="1:25" s="327" customFormat="1" ht="16" customHeight="1" thickBot="1">
      <c r="A74" s="317"/>
      <c r="B74" s="869" t="s">
        <v>1175</v>
      </c>
      <c r="C74" s="870"/>
      <c r="D74" s="870"/>
      <c r="E74" s="851" t="s">
        <v>1176</v>
      </c>
      <c r="F74" s="852" t="s">
        <v>1177</v>
      </c>
      <c r="G74" s="870"/>
      <c r="H74" s="870"/>
      <c r="I74" s="870"/>
      <c r="J74" s="870"/>
      <c r="K74"/>
      <c r="L74"/>
      <c r="M74"/>
      <c r="N74"/>
      <c r="O74"/>
      <c r="P74"/>
      <c r="Q74"/>
      <c r="R74"/>
      <c r="S74"/>
      <c r="T74"/>
      <c r="U74"/>
      <c r="V74"/>
      <c r="W74"/>
      <c r="X74" s="505" t="str">
        <f>IF(App_Pipeline_Intel_4!B173="","",App_Pipeline_Intel_4!B173)</f>
        <v>W10-1-1001</v>
      </c>
      <c r="Y74" s="505" t="b" cm="1">
        <f t="array" ref="Y74">IF(X74="","",ISNUMBER(MATCH(App_Pipeline_Intel_4!$B173&amp;"|"&amp;LEFT(App_Pipeline_Intel_4!$C173,FIND(",",App_Pipeline_Intel_4!$C173&amp;",")-1),#REF!&amp;"|"&amp;LEFT(#REF!,FIND(",",#REF!&amp;",")-1),0)))</f>
        <v>0</v>
      </c>
    </row>
    <row r="75" spans="1:25" s="327" customFormat="1" ht="14.15" customHeight="1">
      <c r="A75" s="317"/>
      <c r="B75" s="871" t="s">
        <v>496</v>
      </c>
      <c r="C75" s="871" t="s">
        <v>1178</v>
      </c>
      <c r="D75" s="853" t="s">
        <v>1090</v>
      </c>
      <c r="E75" s="853" t="s">
        <v>1179</v>
      </c>
      <c r="F75" s="853" t="s">
        <v>1180</v>
      </c>
      <c r="G75" s="853" t="s">
        <v>1093</v>
      </c>
      <c r="H75" s="853" t="s">
        <v>1181</v>
      </c>
      <c r="I75" s="853"/>
      <c r="J75" s="853"/>
      <c r="K75"/>
      <c r="L75"/>
      <c r="M75"/>
      <c r="N75"/>
      <c r="O75"/>
      <c r="P75"/>
      <c r="Q75"/>
      <c r="R75"/>
      <c r="S75"/>
      <c r="T75"/>
      <c r="U75"/>
      <c r="V75"/>
      <c r="W75"/>
      <c r="X75" s="505" t="str">
        <f>IF(App_Pipeline_Intel_4!B175="","",App_Pipeline_Intel_4!B175)</f>
        <v>W11-1-1103</v>
      </c>
      <c r="Y75" s="505" t="b" cm="1">
        <f t="array" ref="Y75">IF(X75="","",ISNUMBER(MATCH(App_Pipeline_Intel_4!$B175&amp;"|"&amp;LEFT(App_Pipeline_Intel_4!$C175,FIND(",",App_Pipeline_Intel_4!$C175&amp;",")-1),#REF!&amp;"|"&amp;LEFT(#REF!,FIND(",",#REF!&amp;",")-1),0)))</f>
        <v>0</v>
      </c>
    </row>
    <row r="76" spans="1:25" s="327" customFormat="1" ht="24" customHeight="1">
      <c r="A76" s="317"/>
      <c r="B76" s="854" t="s">
        <v>982</v>
      </c>
      <c r="C76" s="854" t="s">
        <v>983</v>
      </c>
      <c r="D76" s="855" t="s">
        <v>954</v>
      </c>
      <c r="E76" s="855" t="s">
        <v>1182</v>
      </c>
      <c r="F76" s="855" t="s">
        <v>1183</v>
      </c>
      <c r="G76" s="855" t="s">
        <v>1184</v>
      </c>
      <c r="H76" s="855" t="s">
        <v>1185</v>
      </c>
      <c r="I76" s="854"/>
      <c r="J76" s="854"/>
      <c r="K76"/>
      <c r="L76"/>
      <c r="M76"/>
      <c r="N76"/>
      <c r="O76"/>
      <c r="P76"/>
      <c r="Q76"/>
      <c r="R76"/>
      <c r="S76"/>
      <c r="T76"/>
      <c r="U76"/>
      <c r="V76"/>
      <c r="W76"/>
      <c r="X76" s="505" t="str">
        <f>IF(App_Pipeline_Intel_4!B177="","",App_Pipeline_Intel_4!B177)</f>
        <v>W12-1-1213</v>
      </c>
      <c r="Y76" s="505" t="b" cm="1">
        <f t="array" ref="Y76">IF(X76="","",ISNUMBER(MATCH(App_Pipeline_Intel_4!$B177&amp;"|"&amp;LEFT(App_Pipeline_Intel_4!$C177,FIND(",",App_Pipeline_Intel_4!$C177&amp;",")-1),#REF!&amp;"|"&amp;LEFT(#REF!,FIND(",",#REF!&amp;",")-1),0)))</f>
        <v>0</v>
      </c>
    </row>
    <row r="77" spans="1:25" s="327" customFormat="1" ht="24" customHeight="1">
      <c r="A77" s="317"/>
      <c r="B77" s="854" t="s">
        <v>993</v>
      </c>
      <c r="C77" s="854" t="s">
        <v>994</v>
      </c>
      <c r="D77" s="855" t="s">
        <v>954</v>
      </c>
      <c r="E77" s="855" t="s">
        <v>1182</v>
      </c>
      <c r="F77" s="855" t="s">
        <v>1186</v>
      </c>
      <c r="G77" s="855" t="s">
        <v>1187</v>
      </c>
      <c r="H77" s="855" t="s">
        <v>1188</v>
      </c>
      <c r="I77" s="854"/>
      <c r="J77" s="854"/>
      <c r="K77"/>
      <c r="L77"/>
      <c r="M77"/>
      <c r="N77"/>
      <c r="O77"/>
      <c r="P77"/>
      <c r="Q77"/>
      <c r="R77"/>
      <c r="S77"/>
      <c r="T77"/>
      <c r="U77"/>
      <c r="V77"/>
      <c r="W77"/>
      <c r="X77"/>
      <c r="Y77"/>
    </row>
    <row r="78" spans="1:25" s="327" customFormat="1" ht="24" customHeight="1">
      <c r="A78" s="317"/>
      <c r="B78" s="854" t="s">
        <v>998</v>
      </c>
      <c r="C78" s="854" t="s">
        <v>999</v>
      </c>
      <c r="D78" s="855" t="s">
        <v>954</v>
      </c>
      <c r="E78" s="855" t="s">
        <v>1182</v>
      </c>
      <c r="F78" s="855" t="s">
        <v>1189</v>
      </c>
      <c r="G78" s="855" t="s">
        <v>1190</v>
      </c>
      <c r="H78" s="855" t="s">
        <v>1191</v>
      </c>
      <c r="I78" s="854"/>
      <c r="J78" s="854"/>
      <c r="K78"/>
      <c r="L78"/>
      <c r="M78"/>
      <c r="N78"/>
      <c r="O78"/>
      <c r="P78"/>
      <c r="Q78"/>
      <c r="R78"/>
      <c r="S78"/>
      <c r="T78"/>
      <c r="U78"/>
      <c r="V78"/>
      <c r="W78"/>
      <c r="X78"/>
      <c r="Y78"/>
    </row>
    <row r="79" spans="1:25" s="327" customFormat="1" ht="24" customHeight="1">
      <c r="A79" s="317"/>
      <c r="B79" s="860" t="s">
        <v>881</v>
      </c>
      <c r="C79" s="860" t="s">
        <v>1019</v>
      </c>
      <c r="D79" s="861" t="s">
        <v>954</v>
      </c>
      <c r="E79" s="450" t="s">
        <v>1182</v>
      </c>
      <c r="F79" s="861" t="s">
        <v>1192</v>
      </c>
      <c r="G79" s="861" t="s">
        <v>1193</v>
      </c>
      <c r="H79" s="861" t="s">
        <v>1185</v>
      </c>
      <c r="I79" s="860"/>
      <c r="J79" s="860"/>
      <c r="K79"/>
      <c r="L79"/>
      <c r="M79"/>
      <c r="N79"/>
      <c r="O79"/>
      <c r="P79"/>
      <c r="Q79"/>
      <c r="R79"/>
      <c r="S79"/>
      <c r="T79"/>
      <c r="U79"/>
      <c r="V79"/>
      <c r="W79"/>
      <c r="X79"/>
      <c r="Y79"/>
    </row>
    <row r="80" spans="1:25" s="327" customFormat="1" ht="24" customHeight="1">
      <c r="A80" s="317"/>
      <c r="B80" s="854" t="s">
        <v>1023</v>
      </c>
      <c r="C80" s="854" t="s">
        <v>1024</v>
      </c>
      <c r="D80" s="855" t="s">
        <v>954</v>
      </c>
      <c r="E80" s="855" t="s">
        <v>1182</v>
      </c>
      <c r="F80" s="855" t="s">
        <v>1194</v>
      </c>
      <c r="G80" s="855" t="s">
        <v>1195</v>
      </c>
      <c r="H80" s="855" t="s">
        <v>1185</v>
      </c>
      <c r="I80" s="854"/>
      <c r="J80" s="854"/>
      <c r="K80"/>
      <c r="L80"/>
      <c r="M80"/>
      <c r="N80"/>
      <c r="O80"/>
      <c r="P80"/>
      <c r="Q80"/>
      <c r="R80"/>
      <c r="S80"/>
      <c r="T80"/>
      <c r="U80"/>
      <c r="V80"/>
      <c r="W80"/>
      <c r="X80"/>
      <c r="Y80"/>
    </row>
    <row r="81" spans="1:25" s="327" customFormat="1" ht="24" customHeight="1">
      <c r="A81" s="317"/>
      <c r="B81" s="854" t="s">
        <v>1034</v>
      </c>
      <c r="C81" s="854" t="s">
        <v>1035</v>
      </c>
      <c r="D81" s="855" t="s">
        <v>958</v>
      </c>
      <c r="E81" s="855" t="s">
        <v>1182</v>
      </c>
      <c r="F81" s="855" t="s">
        <v>1196</v>
      </c>
      <c r="G81" s="855" t="s">
        <v>1197</v>
      </c>
      <c r="H81" s="855" t="s">
        <v>1198</v>
      </c>
      <c r="I81" s="854"/>
      <c r="J81" s="854"/>
      <c r="K81"/>
      <c r="L81"/>
      <c r="M81"/>
      <c r="N81"/>
      <c r="O81"/>
      <c r="P81"/>
      <c r="Q81"/>
      <c r="R81"/>
      <c r="S81"/>
      <c r="T81"/>
      <c r="U81"/>
      <c r="V81"/>
      <c r="W81"/>
      <c r="X81"/>
      <c r="Y81"/>
    </row>
    <row r="82" spans="1:25" s="327" customFormat="1" ht="24" customHeight="1">
      <c r="A82" s="317"/>
      <c r="B82" s="854" t="s">
        <v>1037</v>
      </c>
      <c r="C82" s="854" t="s">
        <v>1038</v>
      </c>
      <c r="D82" s="855" t="s">
        <v>1039</v>
      </c>
      <c r="E82" s="855" t="s">
        <v>1182</v>
      </c>
      <c r="F82" s="855" t="s">
        <v>1199</v>
      </c>
      <c r="G82" s="855" t="s">
        <v>1200</v>
      </c>
      <c r="H82" s="855" t="s">
        <v>1185</v>
      </c>
      <c r="I82" s="854"/>
      <c r="J82" s="854"/>
      <c r="K82"/>
      <c r="L82"/>
      <c r="M82"/>
      <c r="N82"/>
      <c r="O82"/>
      <c r="P82"/>
      <c r="Q82"/>
      <c r="R82"/>
      <c r="S82"/>
      <c r="T82"/>
      <c r="U82"/>
      <c r="V82"/>
      <c r="W82"/>
      <c r="X82"/>
      <c r="Y82"/>
    </row>
    <row r="83" spans="1:25" s="327" customFormat="1" ht="24" customHeight="1">
      <c r="A83" s="317"/>
      <c r="B83" s="854" t="s">
        <v>872</v>
      </c>
      <c r="C83" s="854" t="s">
        <v>1040</v>
      </c>
      <c r="D83" s="855" t="s">
        <v>1041</v>
      </c>
      <c r="E83" s="855" t="s">
        <v>1182</v>
      </c>
      <c r="F83" s="855" t="s">
        <v>1201</v>
      </c>
      <c r="G83" s="855" t="s">
        <v>1202</v>
      </c>
      <c r="H83" s="855" t="s">
        <v>1203</v>
      </c>
      <c r="I83" s="854"/>
      <c r="J83" s="854"/>
      <c r="K83"/>
      <c r="L83"/>
      <c r="M83"/>
      <c r="N83"/>
      <c r="O83"/>
      <c r="P83"/>
      <c r="Q83"/>
      <c r="R83"/>
      <c r="S83"/>
      <c r="T83"/>
      <c r="U83"/>
      <c r="V83"/>
      <c r="W83"/>
      <c r="X83"/>
      <c r="Y83"/>
    </row>
    <row r="84" spans="1:25" s="327" customFormat="1">
      <c r="A84" s="317"/>
      <c r="B84" s="872" t="s">
        <v>1042</v>
      </c>
      <c r="C84" s="872" t="s">
        <v>1043</v>
      </c>
      <c r="D84" s="716" t="s">
        <v>954</v>
      </c>
      <c r="E84" s="716" t="s">
        <v>1182</v>
      </c>
      <c r="F84" s="716" t="s">
        <v>1204</v>
      </c>
      <c r="G84" s="716" t="s">
        <v>1205</v>
      </c>
      <c r="H84" s="716" t="s">
        <v>1185</v>
      </c>
      <c r="I84" s="872"/>
      <c r="J84" s="872"/>
      <c r="K84"/>
      <c r="L84"/>
      <c r="M84"/>
      <c r="N84"/>
      <c r="O84"/>
      <c r="P84"/>
      <c r="Q84"/>
      <c r="R84"/>
      <c r="S84"/>
      <c r="T84"/>
      <c r="U84"/>
      <c r="V84"/>
      <c r="W84"/>
      <c r="X84"/>
      <c r="Y84"/>
    </row>
    <row r="85" spans="1:25" s="327" customFormat="1">
      <c r="A85"/>
      <c r="B85" s="868"/>
      <c r="C85" s="868"/>
      <c r="D85" s="868"/>
      <c r="E85" s="868"/>
      <c r="F85" s="868"/>
      <c r="G85" s="868"/>
      <c r="H85" s="868"/>
      <c r="I85" s="868"/>
      <c r="J85" s="868"/>
      <c r="K85"/>
      <c r="L85"/>
      <c r="M85"/>
      <c r="N85"/>
      <c r="O85"/>
      <c r="P85"/>
      <c r="Q85"/>
      <c r="R85"/>
      <c r="S85"/>
      <c r="T85"/>
      <c r="U85"/>
      <c r="V85"/>
      <c r="W85"/>
      <c r="X85"/>
      <c r="Y85"/>
    </row>
    <row r="86" spans="1:25" s="327" customFormat="1">
      <c r="A86"/>
      <c r="B86" s="868"/>
      <c r="C86" s="868"/>
      <c r="D86" s="868"/>
      <c r="E86" s="868"/>
      <c r="F86" s="868"/>
      <c r="G86" s="868"/>
      <c r="H86" s="868"/>
      <c r="I86" s="868"/>
      <c r="J86" s="868"/>
      <c r="K86"/>
      <c r="L86"/>
      <c r="M86"/>
      <c r="N86"/>
      <c r="O86"/>
      <c r="P86"/>
      <c r="Q86"/>
      <c r="R86"/>
      <c r="S86"/>
      <c r="T86"/>
      <c r="U86"/>
      <c r="V86"/>
      <c r="W86"/>
      <c r="X86"/>
      <c r="Y86"/>
    </row>
    <row r="87" spans="1:25" s="327" customFormat="1" ht="15" thickBot="1">
      <c r="A87"/>
      <c r="B87" s="869" t="s">
        <v>1206</v>
      </c>
      <c r="C87" s="870"/>
      <c r="D87" s="870"/>
      <c r="E87" s="873" t="s">
        <v>1207</v>
      </c>
      <c r="F87" s="501"/>
      <c r="G87" s="705" t="s">
        <v>1208</v>
      </c>
      <c r="H87" s="870"/>
      <c r="I87" s="870"/>
      <c r="J87"/>
      <c r="K87"/>
      <c r="L87"/>
      <c r="M87"/>
      <c r="N87"/>
      <c r="O87"/>
      <c r="P87"/>
      <c r="Q87"/>
      <c r="R87"/>
      <c r="S87"/>
      <c r="T87"/>
      <c r="U87"/>
      <c r="V87"/>
      <c r="W87"/>
      <c r="X87"/>
      <c r="Y87"/>
    </row>
    <row r="88" spans="1:25" s="327" customFormat="1">
      <c r="A88"/>
      <c r="B88" s="871" t="s">
        <v>496</v>
      </c>
      <c r="C88" s="871" t="s">
        <v>554</v>
      </c>
      <c r="D88" s="853" t="s">
        <v>1090</v>
      </c>
      <c r="E88" s="853" t="s">
        <v>1091</v>
      </c>
      <c r="F88" s="853" t="s">
        <v>1092</v>
      </c>
      <c r="G88" s="853" t="s">
        <v>555</v>
      </c>
      <c r="H88" s="853" t="s">
        <v>602</v>
      </c>
      <c r="I88" s="853" t="s">
        <v>1209</v>
      </c>
      <c r="J88"/>
      <c r="K88"/>
      <c r="L88"/>
      <c r="M88"/>
      <c r="N88"/>
      <c r="O88"/>
      <c r="P88"/>
      <c r="Q88"/>
      <c r="R88"/>
      <c r="S88"/>
      <c r="T88"/>
      <c r="U88"/>
      <c r="V88"/>
      <c r="W88"/>
      <c r="X88"/>
      <c r="Y88"/>
    </row>
    <row r="89" spans="1:25" s="327" customFormat="1">
      <c r="A89"/>
      <c r="B89" s="860" t="s">
        <v>1007</v>
      </c>
      <c r="C89" s="860" t="s">
        <v>1008</v>
      </c>
      <c r="D89" s="861" t="s">
        <v>958</v>
      </c>
      <c r="E89" s="861" t="s">
        <v>1110</v>
      </c>
      <c r="F89" s="861" t="s">
        <v>1105</v>
      </c>
      <c r="G89" s="861">
        <v>19</v>
      </c>
      <c r="H89" s="861" t="s">
        <v>579</v>
      </c>
      <c r="I89" s="699" t="s">
        <v>1210</v>
      </c>
      <c r="J89"/>
      <c r="K89"/>
      <c r="L89"/>
      <c r="M89"/>
      <c r="N89"/>
      <c r="O89"/>
      <c r="P89"/>
      <c r="Q89"/>
      <c r="R89"/>
      <c r="S89"/>
      <c r="T89"/>
      <c r="U89"/>
      <c r="V89"/>
      <c r="W89"/>
      <c r="X89"/>
      <c r="Y89"/>
    </row>
    <row r="90" spans="1:25" s="327" customFormat="1">
      <c r="A90"/>
      <c r="B90" s="860" t="s">
        <v>1013</v>
      </c>
      <c r="C90" s="860" t="s">
        <v>1014</v>
      </c>
      <c r="D90" s="861" t="s">
        <v>958</v>
      </c>
      <c r="E90" s="861" t="s">
        <v>1110</v>
      </c>
      <c r="F90" s="861" t="s">
        <v>1105</v>
      </c>
      <c r="G90" s="861">
        <v>12</v>
      </c>
      <c r="H90" s="861" t="s">
        <v>578</v>
      </c>
      <c r="I90" s="699" t="s">
        <v>1210</v>
      </c>
      <c r="J90"/>
      <c r="K90"/>
      <c r="L90"/>
      <c r="M90"/>
      <c r="N90"/>
      <c r="O90"/>
      <c r="P90"/>
      <c r="Q90"/>
      <c r="R90"/>
      <c r="S90"/>
      <c r="T90"/>
      <c r="U90"/>
      <c r="V90"/>
      <c r="W90"/>
      <c r="X90"/>
      <c r="Y90"/>
    </row>
    <row r="91" spans="1:25" s="327" customFormat="1" ht="16" customHeight="1">
      <c r="A91" s="317"/>
      <c r="B91" s="860" t="s">
        <v>1016</v>
      </c>
      <c r="C91" s="860" t="s">
        <v>1017</v>
      </c>
      <c r="D91" s="861" t="s">
        <v>958</v>
      </c>
      <c r="E91" s="861" t="s">
        <v>1110</v>
      </c>
      <c r="F91" s="861" t="s">
        <v>1105</v>
      </c>
      <c r="G91" s="861">
        <v>14</v>
      </c>
      <c r="H91" s="861" t="s">
        <v>582</v>
      </c>
      <c r="I91" s="699" t="s">
        <v>1210</v>
      </c>
      <c r="J91"/>
      <c r="K91"/>
      <c r="L91"/>
      <c r="M91"/>
      <c r="N91"/>
      <c r="O91"/>
      <c r="P91"/>
      <c r="Q91"/>
      <c r="R91"/>
      <c r="S91"/>
      <c r="T91"/>
      <c r="U91"/>
      <c r="V91"/>
      <c r="W91"/>
      <c r="X91"/>
      <c r="Y91"/>
    </row>
    <row r="92" spans="1:25" s="327" customFormat="1" ht="16" customHeight="1">
      <c r="A92" s="317"/>
      <c r="B92" s="860" t="s">
        <v>1020</v>
      </c>
      <c r="C92" s="860" t="s">
        <v>1021</v>
      </c>
      <c r="D92" s="861" t="s">
        <v>1022</v>
      </c>
      <c r="E92" s="861" t="s">
        <v>1110</v>
      </c>
      <c r="F92" s="861" t="s">
        <v>1105</v>
      </c>
      <c r="G92" s="861">
        <v>7</v>
      </c>
      <c r="H92" s="861" t="s">
        <v>583</v>
      </c>
      <c r="I92" s="699" t="s">
        <v>1210</v>
      </c>
      <c r="J92"/>
      <c r="K92"/>
      <c r="L92"/>
      <c r="M92"/>
      <c r="N92"/>
      <c r="O92"/>
      <c r="P92"/>
      <c r="Q92"/>
      <c r="R92"/>
      <c r="S92"/>
      <c r="T92"/>
      <c r="U92"/>
      <c r="V92"/>
      <c r="W92"/>
      <c r="X92"/>
      <c r="Y92"/>
    </row>
    <row r="93" spans="1:25" s="327" customFormat="1" ht="16" customHeight="1">
      <c r="A93" s="317"/>
      <c r="B93" s="860" t="s">
        <v>1025</v>
      </c>
      <c r="C93" s="860" t="s">
        <v>1026</v>
      </c>
      <c r="D93" s="861" t="s">
        <v>954</v>
      </c>
      <c r="E93" s="861" t="s">
        <v>1110</v>
      </c>
      <c r="F93" s="861" t="s">
        <v>1105</v>
      </c>
      <c r="G93" s="861">
        <v>13</v>
      </c>
      <c r="H93" s="861" t="s">
        <v>583</v>
      </c>
      <c r="I93" s="874" t="s">
        <v>1211</v>
      </c>
      <c r="J93"/>
      <c r="K93"/>
      <c r="L93"/>
      <c r="M93"/>
      <c r="N93"/>
      <c r="O93"/>
      <c r="P93"/>
      <c r="Q93"/>
      <c r="R93"/>
      <c r="S93"/>
      <c r="T93"/>
      <c r="U93"/>
      <c r="V93"/>
      <c r="W93"/>
      <c r="X93"/>
      <c r="Y93"/>
    </row>
    <row r="94" spans="1:25" s="327" customFormat="1" ht="16" customHeight="1">
      <c r="A94" s="317"/>
      <c r="B94" s="860" t="s">
        <v>1030</v>
      </c>
      <c r="C94" s="860" t="s">
        <v>1031</v>
      </c>
      <c r="D94" s="861" t="s">
        <v>954</v>
      </c>
      <c r="E94" s="861" t="s">
        <v>1110</v>
      </c>
      <c r="F94" s="861" t="s">
        <v>1105</v>
      </c>
      <c r="G94" s="861">
        <v>9</v>
      </c>
      <c r="H94" s="861" t="s">
        <v>583</v>
      </c>
      <c r="I94" s="699" t="s">
        <v>1210</v>
      </c>
      <c r="J94"/>
      <c r="K94"/>
      <c r="L94"/>
      <c r="M94"/>
      <c r="N94"/>
      <c r="O94"/>
      <c r="P94"/>
      <c r="Q94"/>
      <c r="R94"/>
      <c r="S94"/>
      <c r="T94"/>
      <c r="U94"/>
      <c r="V94"/>
      <c r="W94"/>
      <c r="X94"/>
      <c r="Y94"/>
    </row>
    <row r="95" spans="1:25" s="327" customFormat="1" ht="16" customHeight="1">
      <c r="A95" s="317"/>
      <c r="B95" s="860" t="s">
        <v>897</v>
      </c>
      <c r="C95" s="860" t="s">
        <v>1032</v>
      </c>
      <c r="D95" s="861" t="s">
        <v>958</v>
      </c>
      <c r="E95" s="861" t="s">
        <v>1110</v>
      </c>
      <c r="F95" s="861" t="s">
        <v>1105</v>
      </c>
      <c r="G95" s="861">
        <v>5</v>
      </c>
      <c r="H95" s="861" t="s">
        <v>577</v>
      </c>
      <c r="I95" s="699" t="s">
        <v>1210</v>
      </c>
      <c r="J95"/>
      <c r="K95"/>
      <c r="L95"/>
      <c r="M95"/>
      <c r="N95"/>
      <c r="O95"/>
      <c r="P95"/>
      <c r="Q95"/>
      <c r="R95"/>
      <c r="S95"/>
      <c r="T95"/>
      <c r="U95"/>
      <c r="V95"/>
      <c r="W95"/>
      <c r="X95"/>
      <c r="Y95"/>
    </row>
    <row r="96" spans="1:25" s="327" customFormat="1" ht="16" customHeight="1">
      <c r="A96" s="317"/>
      <c r="B96" s="860" t="s">
        <v>859</v>
      </c>
      <c r="C96" s="860" t="s">
        <v>1036</v>
      </c>
      <c r="D96" s="861" t="s">
        <v>954</v>
      </c>
      <c r="E96" s="861" t="s">
        <v>1110</v>
      </c>
      <c r="F96" s="861" t="s">
        <v>1105</v>
      </c>
      <c r="G96" s="861">
        <v>5</v>
      </c>
      <c r="H96" s="861" t="s">
        <v>583</v>
      </c>
      <c r="I96" s="699" t="s">
        <v>1210</v>
      </c>
      <c r="J96"/>
      <c r="K96"/>
      <c r="L96"/>
      <c r="M96"/>
      <c r="N96"/>
      <c r="O96"/>
      <c r="P96"/>
      <c r="Q96"/>
      <c r="R96"/>
      <c r="S96"/>
      <c r="T96"/>
      <c r="U96"/>
      <c r="V96"/>
      <c r="W96"/>
      <c r="X96"/>
      <c r="Y96"/>
    </row>
    <row r="97" spans="1:25" s="327" customFormat="1" ht="16" customHeight="1">
      <c r="A97" s="317"/>
      <c r="B97" s="860" t="s">
        <v>1010</v>
      </c>
      <c r="C97" s="860" t="s">
        <v>1011</v>
      </c>
      <c r="D97" s="861" t="s">
        <v>954</v>
      </c>
      <c r="E97" s="861" t="s">
        <v>1212</v>
      </c>
      <c r="F97" s="861" t="s">
        <v>1213</v>
      </c>
      <c r="G97" s="861">
        <v>11</v>
      </c>
      <c r="H97" s="861" t="s">
        <v>582</v>
      </c>
      <c r="I97" s="699" t="s">
        <v>1210</v>
      </c>
      <c r="J97"/>
      <c r="K97"/>
      <c r="L97"/>
      <c r="M97"/>
      <c r="N97"/>
      <c r="O97"/>
      <c r="P97"/>
      <c r="Q97"/>
      <c r="R97"/>
      <c r="S97"/>
      <c r="T97"/>
      <c r="U97"/>
      <c r="V97"/>
      <c r="W97"/>
      <c r="X97"/>
      <c r="Y97"/>
    </row>
    <row r="98" spans="1:25" s="327" customFormat="1" ht="16" customHeight="1">
      <c r="A98" s="317"/>
      <c r="B98" s="860" t="s">
        <v>1028</v>
      </c>
      <c r="C98" s="860" t="s">
        <v>1029</v>
      </c>
      <c r="D98" s="861" t="s">
        <v>954</v>
      </c>
      <c r="E98" s="861" t="s">
        <v>1212</v>
      </c>
      <c r="F98" s="861" t="s">
        <v>1213</v>
      </c>
      <c r="G98" s="861">
        <v>7</v>
      </c>
      <c r="H98" s="861" t="s">
        <v>583</v>
      </c>
      <c r="I98" s="699" t="s">
        <v>1210</v>
      </c>
      <c r="J98"/>
      <c r="K98"/>
      <c r="L98"/>
      <c r="M98"/>
      <c r="N98"/>
      <c r="O98"/>
      <c r="P98"/>
      <c r="Q98"/>
      <c r="R98"/>
      <c r="S98"/>
      <c r="T98"/>
      <c r="U98"/>
      <c r="V98"/>
      <c r="W98"/>
      <c r="X98"/>
      <c r="Y98"/>
    </row>
    <row r="99" spans="1:25" s="327" customFormat="1" ht="14.15" customHeight="1">
      <c r="A99" s="317"/>
      <c r="B99" s="860" t="s">
        <v>986</v>
      </c>
      <c r="C99" s="860" t="s">
        <v>1214</v>
      </c>
      <c r="D99" s="861" t="s">
        <v>958</v>
      </c>
      <c r="E99" s="861" t="s">
        <v>1215</v>
      </c>
      <c r="F99" s="861" t="s">
        <v>529</v>
      </c>
      <c r="G99" s="861" t="s">
        <v>345</v>
      </c>
      <c r="H99" s="861" t="s">
        <v>579</v>
      </c>
      <c r="I99" s="699" t="s">
        <v>1210</v>
      </c>
      <c r="J99"/>
      <c r="K99"/>
      <c r="L99"/>
      <c r="M99"/>
      <c r="N99"/>
      <c r="O99"/>
      <c r="P99"/>
      <c r="Q99"/>
      <c r="R99"/>
      <c r="S99"/>
      <c r="T99"/>
      <c r="U99"/>
      <c r="V99"/>
      <c r="W99"/>
      <c r="X99"/>
      <c r="Y99"/>
    </row>
    <row r="100" spans="1:25" s="327" customFormat="1" ht="14.15" customHeight="1">
      <c r="A100" s="317"/>
      <c r="B100" s="860" t="s">
        <v>876</v>
      </c>
      <c r="C100" s="860" t="s">
        <v>990</v>
      </c>
      <c r="D100" s="861" t="s">
        <v>958</v>
      </c>
      <c r="E100" s="861" t="s">
        <v>1215</v>
      </c>
      <c r="F100" s="861" t="s">
        <v>529</v>
      </c>
      <c r="G100" s="861" t="s">
        <v>345</v>
      </c>
      <c r="H100" s="861" t="s">
        <v>583</v>
      </c>
      <c r="I100" s="699" t="s">
        <v>1210</v>
      </c>
      <c r="J100"/>
      <c r="K100"/>
      <c r="L100"/>
      <c r="M100"/>
      <c r="N100"/>
      <c r="O100"/>
      <c r="P100"/>
      <c r="Q100"/>
      <c r="R100"/>
      <c r="S100"/>
      <c r="T100"/>
      <c r="U100"/>
      <c r="V100"/>
      <c r="W100"/>
      <c r="X100"/>
      <c r="Y100"/>
    </row>
    <row r="101" spans="1:25" s="327" customFormat="1" ht="14.15" customHeight="1">
      <c r="A101" s="317"/>
      <c r="B101" s="860" t="s">
        <v>563</v>
      </c>
      <c r="C101" s="860" t="s">
        <v>997</v>
      </c>
      <c r="D101" s="861" t="s">
        <v>958</v>
      </c>
      <c r="E101" s="861" t="s">
        <v>1215</v>
      </c>
      <c r="F101" s="861" t="s">
        <v>529</v>
      </c>
      <c r="G101" s="861" t="s">
        <v>345</v>
      </c>
      <c r="H101" s="861" t="s">
        <v>579</v>
      </c>
      <c r="I101" s="699" t="s">
        <v>1210</v>
      </c>
      <c r="J101"/>
      <c r="K101"/>
      <c r="L101"/>
      <c r="M101"/>
      <c r="N101"/>
      <c r="O101"/>
      <c r="P101"/>
      <c r="Q101"/>
      <c r="R101"/>
      <c r="S101"/>
      <c r="T101"/>
      <c r="U101"/>
      <c r="V101"/>
      <c r="W101"/>
      <c r="X101"/>
      <c r="Y101"/>
    </row>
    <row r="102" spans="1:25" s="327" customFormat="1" ht="14.15" customHeight="1">
      <c r="A102" s="317"/>
      <c r="B102" s="860" t="s">
        <v>1003</v>
      </c>
      <c r="C102" s="860" t="s">
        <v>1004</v>
      </c>
      <c r="D102" s="861" t="s">
        <v>958</v>
      </c>
      <c r="E102" s="861" t="s">
        <v>1215</v>
      </c>
      <c r="F102" s="861" t="s">
        <v>529</v>
      </c>
      <c r="G102" s="861" t="s">
        <v>345</v>
      </c>
      <c r="H102" s="861" t="s">
        <v>583</v>
      </c>
      <c r="I102" s="874" t="s">
        <v>1211</v>
      </c>
      <c r="J102"/>
      <c r="K102"/>
      <c r="L102"/>
      <c r="M102"/>
      <c r="N102"/>
      <c r="O102"/>
      <c r="P102"/>
      <c r="Q102"/>
      <c r="R102"/>
      <c r="S102"/>
      <c r="T102"/>
      <c r="U102"/>
      <c r="V102"/>
      <c r="W102"/>
      <c r="X102"/>
      <c r="Y102"/>
    </row>
    <row r="103" spans="1:25" s="327" customFormat="1" ht="14.15" customHeight="1">
      <c r="A103" s="317"/>
      <c r="B103" s="860"/>
      <c r="C103" s="860"/>
      <c r="D103" s="861"/>
      <c r="E103" s="861"/>
      <c r="F103" s="861"/>
      <c r="G103" s="861"/>
      <c r="H103" s="861"/>
      <c r="I103" s="861" t="s">
        <v>1210</v>
      </c>
      <c r="J103"/>
      <c r="K103"/>
      <c r="L103"/>
      <c r="M103"/>
      <c r="N103"/>
      <c r="O103"/>
      <c r="P103"/>
      <c r="Q103"/>
      <c r="R103"/>
      <c r="S103"/>
      <c r="T103"/>
      <c r="U103"/>
      <c r="V103"/>
      <c r="W103"/>
      <c r="X103"/>
      <c r="Y103"/>
    </row>
    <row r="104" spans="1:25" s="327" customFormat="1" ht="14.15" customHeight="1">
      <c r="A104" s="317"/>
      <c r="B104" s="860"/>
      <c r="C104" s="860"/>
      <c r="D104" s="861"/>
      <c r="E104" s="861"/>
      <c r="F104" s="861"/>
      <c r="G104" s="861"/>
      <c r="H104" s="861"/>
      <c r="I104" s="699" t="s">
        <v>1210</v>
      </c>
      <c r="J104"/>
      <c r="K104"/>
      <c r="L104"/>
      <c r="M104"/>
      <c r="N104"/>
      <c r="O104"/>
      <c r="P104"/>
      <c r="Q104"/>
      <c r="R104"/>
      <c r="S104"/>
      <c r="T104"/>
      <c r="U104"/>
      <c r="V104"/>
      <c r="W104"/>
      <c r="X104"/>
      <c r="Y104"/>
    </row>
    <row r="105" spans="1:25" s="327" customFormat="1" ht="14.15" customHeight="1">
      <c r="A105" s="317"/>
      <c r="B105" s="863"/>
      <c r="C105" s="863"/>
      <c r="D105" s="724"/>
      <c r="E105" s="724"/>
      <c r="F105" s="724"/>
      <c r="G105" s="724"/>
      <c r="H105" s="724"/>
      <c r="I105" s="696" t="s">
        <v>1210</v>
      </c>
      <c r="J105"/>
      <c r="K105"/>
      <c r="L105"/>
      <c r="M105"/>
      <c r="N105"/>
      <c r="O105"/>
      <c r="P105"/>
      <c r="Q105"/>
      <c r="R105"/>
      <c r="S105"/>
      <c r="T105"/>
      <c r="U105"/>
      <c r="V105"/>
      <c r="W105"/>
      <c r="X105"/>
      <c r="Y105"/>
    </row>
    <row r="106" spans="1:25" s="327" customFormat="1" ht="14.15" customHeight="1">
      <c r="A106" s="317"/>
      <c r="B106" s="865"/>
      <c r="C106" s="865"/>
      <c r="D106" s="866"/>
      <c r="E106" s="866"/>
      <c r="F106" s="866"/>
      <c r="G106" s="866"/>
      <c r="H106" s="866"/>
      <c r="I106" s="875"/>
      <c r="J106"/>
      <c r="K106"/>
      <c r="L106"/>
      <c r="M106"/>
      <c r="N106"/>
      <c r="O106"/>
      <c r="P106"/>
      <c r="Q106"/>
      <c r="R106"/>
      <c r="S106"/>
      <c r="T106"/>
      <c r="U106"/>
      <c r="V106"/>
      <c r="W106"/>
      <c r="X106"/>
      <c r="Y106"/>
    </row>
    <row r="107" spans="1:25" s="327" customFormat="1" ht="14.15" customHeight="1">
      <c r="A107" s="317"/>
      <c r="B107" s="145"/>
      <c r="C107" s="145"/>
      <c r="D107" s="145"/>
      <c r="E107" s="145"/>
      <c r="F107" s="145"/>
      <c r="G107" s="145"/>
      <c r="H107" s="145"/>
      <c r="I107" s="145"/>
      <c r="J107" s="145"/>
      <c r="K107"/>
      <c r="L107"/>
      <c r="M107"/>
      <c r="N107"/>
      <c r="O107"/>
      <c r="P107"/>
      <c r="Q107"/>
      <c r="R107"/>
      <c r="S107"/>
      <c r="T107"/>
      <c r="U107"/>
      <c r="V107"/>
      <c r="W107"/>
      <c r="X107"/>
      <c r="Y107"/>
    </row>
    <row r="108" spans="1:25" s="327" customFormat="1" ht="14.15" customHeight="1">
      <c r="A108" s="317"/>
      <c r="B108" s="868"/>
      <c r="C108" s="868"/>
      <c r="D108" s="868"/>
      <c r="E108" s="868"/>
      <c r="F108" s="868"/>
      <c r="G108" s="868"/>
      <c r="H108" s="868"/>
      <c r="I108" s="868"/>
      <c r="J108" s="868"/>
      <c r="K108"/>
      <c r="L108"/>
      <c r="M108"/>
      <c r="N108"/>
      <c r="O108"/>
      <c r="P108"/>
      <c r="Q108"/>
      <c r="R108"/>
      <c r="S108"/>
      <c r="T108"/>
      <c r="U108"/>
      <c r="V108"/>
      <c r="W108"/>
      <c r="X108"/>
      <c r="Y108"/>
    </row>
    <row r="109" spans="1:25" s="327" customFormat="1" ht="14.15" customHeight="1" thickBot="1">
      <c r="A109" s="317"/>
      <c r="B109" s="869" t="s">
        <v>1216</v>
      </c>
      <c r="C109" s="870"/>
      <c r="D109" s="876" t="s">
        <v>1217</v>
      </c>
      <c r="E109" s="877" t="s">
        <v>1218</v>
      </c>
      <c r="F109" s="501" t="s">
        <v>1219</v>
      </c>
      <c r="G109" s="502" t="s">
        <v>1220</v>
      </c>
      <c r="H109" s="870"/>
      <c r="I109" s="31"/>
      <c r="J109"/>
      <c r="K109"/>
      <c r="L109"/>
      <c r="M109"/>
      <c r="N109"/>
      <c r="O109"/>
      <c r="P109"/>
      <c r="Q109"/>
      <c r="R109"/>
      <c r="S109"/>
      <c r="T109"/>
      <c r="U109"/>
      <c r="V109"/>
      <c r="W109"/>
      <c r="X109"/>
      <c r="Y109"/>
    </row>
    <row r="110" spans="1:25" s="327" customFormat="1" ht="14.15" customHeight="1">
      <c r="A110" s="317"/>
      <c r="B110" s="853" t="s">
        <v>1221</v>
      </c>
      <c r="C110" s="853" t="s">
        <v>1222</v>
      </c>
      <c r="D110" s="853" t="s">
        <v>541</v>
      </c>
      <c r="E110" s="853" t="s">
        <v>911</v>
      </c>
      <c r="F110" s="853" t="s">
        <v>1181</v>
      </c>
      <c r="G110" s="853"/>
      <c r="H110" s="853"/>
      <c r="I110" s="853"/>
      <c r="J110"/>
      <c r="K110"/>
      <c r="L110"/>
      <c r="M110"/>
      <c r="N110"/>
      <c r="O110"/>
      <c r="P110"/>
      <c r="Q110"/>
      <c r="R110"/>
      <c r="S110"/>
      <c r="T110"/>
      <c r="U110"/>
      <c r="V110"/>
      <c r="W110"/>
      <c r="X110"/>
      <c r="Y110"/>
    </row>
    <row r="111" spans="1:25" s="327" customFormat="1" ht="16" customHeight="1">
      <c r="A111" s="317"/>
      <c r="B111" s="861">
        <v>1</v>
      </c>
      <c r="C111" s="860" t="s">
        <v>1223</v>
      </c>
      <c r="D111" s="878" t="s">
        <v>544</v>
      </c>
      <c r="E111" s="879" t="s">
        <v>1224</v>
      </c>
      <c r="F111" s="879" t="s">
        <v>1225</v>
      </c>
      <c r="G111" s="861"/>
      <c r="H111" s="861"/>
      <c r="I111" s="861"/>
      <c r="J111"/>
      <c r="K111"/>
      <c r="L111"/>
      <c r="M111"/>
      <c r="N111"/>
      <c r="O111"/>
      <c r="P111"/>
      <c r="Q111"/>
      <c r="R111"/>
      <c r="S111"/>
      <c r="T111"/>
      <c r="U111"/>
      <c r="V111"/>
      <c r="W111"/>
      <c r="X111"/>
      <c r="Y111"/>
    </row>
    <row r="112" spans="1:25" s="327" customFormat="1" ht="14.15" customHeight="1">
      <c r="A112" s="317"/>
      <c r="B112" s="861">
        <v>2</v>
      </c>
      <c r="C112" s="860" t="s">
        <v>1226</v>
      </c>
      <c r="D112" s="878" t="s">
        <v>544</v>
      </c>
      <c r="E112" s="879" t="s">
        <v>1227</v>
      </c>
      <c r="F112" s="879" t="s">
        <v>1228</v>
      </c>
      <c r="G112" s="861"/>
      <c r="H112" s="861"/>
      <c r="I112" s="861"/>
      <c r="J112"/>
      <c r="K112"/>
      <c r="L112"/>
      <c r="M112"/>
      <c r="N112"/>
      <c r="O112"/>
      <c r="P112"/>
      <c r="Q112"/>
      <c r="R112"/>
      <c r="S112"/>
      <c r="T112"/>
      <c r="U112"/>
      <c r="V112"/>
      <c r="W112"/>
      <c r="X112"/>
      <c r="Y112"/>
    </row>
    <row r="113" spans="1:25" s="327" customFormat="1" ht="28" customHeight="1">
      <c r="A113" s="317"/>
      <c r="B113" s="861">
        <v>3</v>
      </c>
      <c r="C113" s="860" t="s">
        <v>1229</v>
      </c>
      <c r="D113" s="878" t="s">
        <v>544</v>
      </c>
      <c r="E113" s="880" t="s">
        <v>1230</v>
      </c>
      <c r="F113" s="880" t="s">
        <v>1231</v>
      </c>
      <c r="G113" s="861"/>
      <c r="H113" s="861"/>
      <c r="I113" s="861"/>
      <c r="J113"/>
      <c r="K113"/>
      <c r="L113"/>
      <c r="M113"/>
      <c r="N113"/>
      <c r="O113"/>
      <c r="P113"/>
      <c r="Q113"/>
      <c r="R113"/>
      <c r="S113"/>
      <c r="T113"/>
      <c r="U113"/>
      <c r="V113"/>
      <c r="W113"/>
      <c r="X113"/>
      <c r="Y113"/>
    </row>
    <row r="114" spans="1:25" s="327" customFormat="1" ht="28" customHeight="1">
      <c r="A114" s="317"/>
      <c r="B114" s="861">
        <v>4</v>
      </c>
      <c r="C114" s="860" t="s">
        <v>1232</v>
      </c>
      <c r="D114" s="878" t="s">
        <v>544</v>
      </c>
      <c r="E114" s="880" t="s">
        <v>1233</v>
      </c>
      <c r="F114" s="880" t="s">
        <v>1234</v>
      </c>
      <c r="G114" s="861"/>
      <c r="H114" s="861"/>
      <c r="I114" s="861"/>
      <c r="J114"/>
      <c r="K114"/>
      <c r="L114"/>
      <c r="M114"/>
      <c r="N114"/>
      <c r="O114"/>
      <c r="P114"/>
      <c r="Q114"/>
      <c r="R114"/>
      <c r="S114"/>
      <c r="T114"/>
      <c r="U114"/>
      <c r="V114"/>
      <c r="W114"/>
      <c r="X114"/>
      <c r="Y114"/>
    </row>
    <row r="115" spans="1:25" s="327" customFormat="1" ht="28" customHeight="1">
      <c r="A115" s="317"/>
      <c r="B115" s="861">
        <v>5</v>
      </c>
      <c r="C115" s="860" t="s">
        <v>1235</v>
      </c>
      <c r="D115" s="503" t="s">
        <v>548</v>
      </c>
      <c r="E115" s="880" t="s">
        <v>1236</v>
      </c>
      <c r="F115" s="880" t="s">
        <v>1237</v>
      </c>
      <c r="G115" s="861"/>
      <c r="H115" s="861"/>
      <c r="I115" s="861"/>
      <c r="J115"/>
      <c r="K115"/>
      <c r="L115"/>
      <c r="M115"/>
      <c r="N115"/>
      <c r="O115"/>
      <c r="P115"/>
      <c r="Q115"/>
      <c r="R115"/>
      <c r="S115"/>
      <c r="T115"/>
      <c r="U115"/>
      <c r="V115"/>
      <c r="W115"/>
      <c r="X115"/>
      <c r="Y115"/>
    </row>
    <row r="116" spans="1:25" s="327" customFormat="1" ht="28" customHeight="1">
      <c r="A116" s="317"/>
      <c r="B116" s="861">
        <v>6</v>
      </c>
      <c r="C116" s="860" t="s">
        <v>1238</v>
      </c>
      <c r="D116" s="503" t="s">
        <v>548</v>
      </c>
      <c r="E116" s="880" t="s">
        <v>1239</v>
      </c>
      <c r="F116" s="880" t="s">
        <v>1240</v>
      </c>
      <c r="G116" s="861"/>
      <c r="H116" s="861"/>
      <c r="I116" s="861"/>
      <c r="J116"/>
      <c r="K116"/>
      <c r="L116"/>
      <c r="M116"/>
      <c r="N116"/>
      <c r="O116"/>
      <c r="P116"/>
      <c r="Q116"/>
      <c r="R116"/>
      <c r="S116"/>
      <c r="T116"/>
      <c r="U116"/>
      <c r="V116"/>
      <c r="W116"/>
      <c r="X116"/>
      <c r="Y116"/>
    </row>
    <row r="117" spans="1:25" s="327" customFormat="1" ht="28" customHeight="1">
      <c r="A117" s="317"/>
      <c r="B117" s="861">
        <v>7</v>
      </c>
      <c r="C117" s="860" t="s">
        <v>1241</v>
      </c>
      <c r="D117" s="878" t="s">
        <v>544</v>
      </c>
      <c r="E117" s="880" t="s">
        <v>1242</v>
      </c>
      <c r="F117" s="880" t="s">
        <v>1243</v>
      </c>
      <c r="G117" s="861"/>
      <c r="H117" s="861"/>
      <c r="I117" s="861"/>
      <c r="J117"/>
      <c r="K117"/>
      <c r="L117"/>
      <c r="M117"/>
      <c r="N117"/>
      <c r="O117"/>
      <c r="P117"/>
      <c r="Q117"/>
      <c r="R117"/>
      <c r="S117"/>
      <c r="T117"/>
      <c r="U117"/>
      <c r="V117"/>
      <c r="W117"/>
      <c r="X117"/>
      <c r="Y117"/>
    </row>
    <row r="118" spans="1:25" s="327" customFormat="1" ht="28" customHeight="1">
      <c r="A118" s="317"/>
      <c r="B118" s="724">
        <v>8</v>
      </c>
      <c r="C118" s="863" t="s">
        <v>1244</v>
      </c>
      <c r="D118" s="881" t="s">
        <v>1245</v>
      </c>
      <c r="E118" s="882" t="s">
        <v>1246</v>
      </c>
      <c r="F118" s="882" t="s">
        <v>1247</v>
      </c>
      <c r="G118" s="724"/>
      <c r="H118" s="724"/>
      <c r="I118" s="724"/>
      <c r="J118"/>
      <c r="K118"/>
      <c r="L118"/>
      <c r="M118"/>
      <c r="N118"/>
      <c r="O118"/>
      <c r="P118"/>
      <c r="Q118"/>
      <c r="R118"/>
      <c r="S118"/>
      <c r="T118"/>
      <c r="U118"/>
      <c r="V118"/>
      <c r="W118"/>
      <c r="X118"/>
      <c r="Y118"/>
    </row>
    <row r="119" spans="1:25" s="327" customFormat="1" ht="28" customHeight="1">
      <c r="A119" s="317"/>
      <c r="B119"/>
      <c r="C119"/>
      <c r="D119"/>
      <c r="E119"/>
      <c r="F119"/>
      <c r="G119"/>
      <c r="H119"/>
      <c r="I119"/>
      <c r="J119"/>
      <c r="K119"/>
      <c r="L119"/>
      <c r="M119"/>
      <c r="N119"/>
      <c r="O119"/>
      <c r="P119"/>
      <c r="Q119"/>
      <c r="R119"/>
      <c r="S119"/>
      <c r="T119"/>
      <c r="U119"/>
      <c r="V119"/>
      <c r="W119"/>
      <c r="X119"/>
      <c r="Y119"/>
    </row>
    <row r="120" spans="1:25" s="327" customFormat="1" ht="28" customHeight="1">
      <c r="A120" s="317"/>
      <c r="B120"/>
      <c r="C120"/>
      <c r="D120"/>
      <c r="E120"/>
      <c r="F120"/>
      <c r="G120"/>
      <c r="H120"/>
      <c r="I120"/>
      <c r="J120"/>
      <c r="K120"/>
      <c r="L120"/>
      <c r="M120"/>
      <c r="N120"/>
      <c r="O120"/>
      <c r="P120"/>
      <c r="Q120"/>
      <c r="R120"/>
      <c r="S120"/>
      <c r="T120"/>
      <c r="U120"/>
      <c r="V120"/>
      <c r="W120"/>
      <c r="X120"/>
      <c r="Y120"/>
    </row>
    <row r="121" spans="1:25">
      <c r="A121" s="317"/>
      <c r="B121" s="317"/>
      <c r="C121" s="317"/>
      <c r="D121" s="317"/>
      <c r="E121" s="317"/>
      <c r="F121" s="317"/>
      <c r="G121" s="317"/>
      <c r="H121" s="317"/>
      <c r="I121" s="317"/>
      <c r="J121" s="317"/>
    </row>
    <row r="122" spans="1:25">
      <c r="A122" s="317"/>
      <c r="B122" s="317"/>
      <c r="C122" s="317"/>
      <c r="D122" s="317"/>
      <c r="E122" s="317"/>
      <c r="F122" s="317"/>
      <c r="G122" s="317"/>
      <c r="H122" s="317"/>
      <c r="I122" s="317"/>
      <c r="J122" s="317"/>
    </row>
    <row r="123" spans="1:25">
      <c r="A123" s="317"/>
      <c r="B123" s="317"/>
      <c r="C123" s="317"/>
      <c r="D123" s="317"/>
      <c r="E123" s="317"/>
      <c r="F123" s="317"/>
      <c r="G123" s="317"/>
      <c r="H123" s="317"/>
      <c r="I123" s="317"/>
      <c r="J123" s="317"/>
    </row>
    <row r="124" spans="1:25">
      <c r="A124" s="317"/>
      <c r="B124" s="317"/>
      <c r="C124" s="317"/>
      <c r="D124" s="317"/>
      <c r="E124" s="317"/>
      <c r="F124" s="317"/>
      <c r="G124" s="317"/>
      <c r="H124" s="317"/>
      <c r="I124" s="317"/>
      <c r="J124" s="317"/>
    </row>
    <row r="125" spans="1:25">
      <c r="A125" s="317"/>
      <c r="B125" s="317"/>
      <c r="C125" s="317"/>
      <c r="D125" s="317"/>
      <c r="E125" s="317"/>
      <c r="F125" s="317"/>
      <c r="G125" s="317"/>
      <c r="H125" s="317"/>
      <c r="I125" s="317"/>
      <c r="J125" s="317"/>
    </row>
    <row r="126" spans="1:25">
      <c r="A126" s="317"/>
      <c r="B126" s="317"/>
      <c r="C126" s="317"/>
      <c r="D126" s="317"/>
      <c r="E126" s="317"/>
      <c r="F126" s="317"/>
      <c r="G126" s="317"/>
      <c r="H126" s="317"/>
      <c r="I126" s="317"/>
      <c r="J126" s="317"/>
    </row>
    <row r="127" spans="1:25">
      <c r="A127" s="317"/>
      <c r="B127" s="317"/>
      <c r="C127" s="317"/>
      <c r="D127" s="317"/>
      <c r="E127" s="317"/>
      <c r="F127" s="317"/>
      <c r="G127" s="317"/>
      <c r="H127" s="317"/>
      <c r="I127" s="317"/>
      <c r="J127" s="317"/>
    </row>
    <row r="128" spans="1:25">
      <c r="A128" s="317"/>
      <c r="B128" s="317"/>
      <c r="C128" s="317"/>
      <c r="D128" s="317"/>
      <c r="E128" s="317"/>
      <c r="F128" s="317"/>
      <c r="G128" s="317"/>
      <c r="H128" s="317"/>
      <c r="I128" s="317"/>
      <c r="J128" s="317"/>
    </row>
    <row r="129" spans="1:10">
      <c r="A129" s="317"/>
      <c r="B129" s="317"/>
      <c r="C129" s="317"/>
      <c r="D129" s="317"/>
      <c r="E129" s="317"/>
      <c r="F129" s="317"/>
      <c r="G129" s="317"/>
      <c r="H129" s="317"/>
      <c r="I129" s="317"/>
      <c r="J129" s="317"/>
    </row>
    <row r="130" spans="1:10">
      <c r="A130" s="317"/>
      <c r="B130" s="317"/>
      <c r="C130" s="317"/>
      <c r="D130" s="317"/>
      <c r="E130" s="317"/>
      <c r="F130" s="317"/>
      <c r="G130" s="317"/>
      <c r="H130" s="317"/>
      <c r="I130" s="317"/>
      <c r="J130" s="317"/>
    </row>
    <row r="131" spans="1:10">
      <c r="A131" s="317"/>
      <c r="B131" s="317"/>
      <c r="C131" s="317"/>
      <c r="D131" s="317"/>
      <c r="E131" s="317"/>
      <c r="F131" s="317"/>
      <c r="G131" s="317"/>
      <c r="H131" s="317"/>
      <c r="I131" s="317"/>
      <c r="J131" s="317"/>
    </row>
  </sheetData>
  <conditionalFormatting sqref="B23:J24">
    <cfRule type="expression" dxfId="7" priority="4">
      <formula>OR($D23="Failed",$D23="Denied")</formula>
    </cfRule>
    <cfRule type="expression" dxfId="6" priority="5">
      <formula>$D23="APPROVED"</formula>
    </cfRule>
    <cfRule type="expression" dxfId="5" priority="6">
      <formula>ISNUMBER(SEARCH("Cancelled",$I23))</formula>
    </cfRule>
  </conditionalFormatting>
  <pageMargins left="0.7" right="0.7" top="0.75" bottom="0.75" header="0.3" footer="0.3"/>
  <pageSetup scale="50" fitToWidth="0"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tint="0.39997558519241921"/>
  </sheetPr>
  <dimension ref="A1:L51"/>
  <sheetViews>
    <sheetView showGridLines="0" workbookViewId="0">
      <pane ySplit="8" topLeftCell="A24" activePane="bottomLeft" state="frozen"/>
      <selection pane="bottomLeft" activeCell="Q33" sqref="Q33"/>
    </sheetView>
  </sheetViews>
  <sheetFormatPr defaultRowHeight="14.5"/>
  <cols>
    <col min="1" max="1" width="32.54296875" bestFit="1" customWidth="1"/>
    <col min="2" max="2" width="14" customWidth="1"/>
    <col min="3" max="4" width="16" customWidth="1"/>
    <col min="5" max="5" width="8" customWidth="1"/>
    <col min="6" max="6" width="12" customWidth="1"/>
    <col min="7" max="7" width="16" customWidth="1"/>
    <col min="8" max="8" width="14" customWidth="1"/>
    <col min="9" max="12" width="11" customWidth="1"/>
  </cols>
  <sheetData>
    <row r="1" spans="1:8" ht="23.5" customHeight="1">
      <c r="A1" s="1201" t="s">
        <v>218</v>
      </c>
      <c r="B1" s="1202"/>
      <c r="C1" s="1202"/>
      <c r="D1" s="1202"/>
      <c r="E1" s="1202"/>
      <c r="F1" s="1202"/>
      <c r="G1" s="1202"/>
      <c r="H1" s="1202"/>
    </row>
    <row r="2" spans="1:8" ht="18.649999999999999" customHeight="1">
      <c r="A2" s="1233" t="s">
        <v>1248</v>
      </c>
      <c r="B2" s="1202"/>
      <c r="C2" s="1202"/>
      <c r="D2" s="1202"/>
      <c r="E2" s="1202"/>
      <c r="F2" s="1202"/>
      <c r="G2" s="1202"/>
      <c r="H2" s="1202"/>
    </row>
    <row r="3" spans="1:8">
      <c r="A3" s="23" t="s">
        <v>1249</v>
      </c>
    </row>
    <row r="5" spans="1:8" ht="15.65" customHeight="1">
      <c r="A5" s="24" t="s">
        <v>1250</v>
      </c>
      <c r="B5" s="25" t="s">
        <v>1251</v>
      </c>
    </row>
    <row r="6" spans="1:8" ht="15.65" customHeight="1">
      <c r="A6" s="24" t="s">
        <v>1252</v>
      </c>
      <c r="B6" s="21" t="s">
        <v>1253</v>
      </c>
    </row>
    <row r="8" spans="1:8">
      <c r="A8" s="76" t="s">
        <v>1254</v>
      </c>
      <c r="B8" s="76" t="s">
        <v>1255</v>
      </c>
      <c r="C8" s="76" t="s">
        <v>1256</v>
      </c>
      <c r="D8" s="76" t="s">
        <v>1257</v>
      </c>
      <c r="E8" s="76" t="s">
        <v>1258</v>
      </c>
      <c r="F8" s="76" t="s">
        <v>465</v>
      </c>
      <c r="G8" s="76" t="s">
        <v>1259</v>
      </c>
      <c r="H8" s="76" t="s">
        <v>340</v>
      </c>
    </row>
    <row r="9" spans="1:8">
      <c r="A9" s="77" t="s">
        <v>1260</v>
      </c>
      <c r="B9" s="78">
        <v>45688</v>
      </c>
      <c r="C9" s="79">
        <v>116653.27</v>
      </c>
      <c r="D9" s="79">
        <v>1014974.24</v>
      </c>
      <c r="E9" s="80">
        <v>31</v>
      </c>
      <c r="F9" s="29">
        <f t="shared" ref="F9:F20" si="0">(C9/D9)*E9</f>
        <v>3.5628996554631773</v>
      </c>
      <c r="G9" s="80" t="s">
        <v>847</v>
      </c>
      <c r="H9" s="80" t="str">
        <f t="shared" ref="H9:H20" si="1">IF(F9&lt;=5,"✓ Good",IF(F9&lt;=7,"◐ Monitor",IF(F9&lt;=10,"⚠ Caution","✗ At Risk")))</f>
        <v>✓ Good</v>
      </c>
    </row>
    <row r="10" spans="1:8">
      <c r="A10" s="81" t="s">
        <v>1261</v>
      </c>
      <c r="B10" s="82">
        <v>45716</v>
      </c>
      <c r="C10" s="83">
        <v>173766.34</v>
      </c>
      <c r="D10" s="83">
        <v>1014471</v>
      </c>
      <c r="E10" s="84">
        <v>28</v>
      </c>
      <c r="F10" s="85">
        <f t="shared" si="0"/>
        <v>4.7960538250970206</v>
      </c>
      <c r="G10" s="85">
        <f t="shared" ref="G10:G20" si="2">AVERAGE(F9:F10)</f>
        <v>4.1794767402800987</v>
      </c>
      <c r="H10" s="84" t="str">
        <f t="shared" si="1"/>
        <v>✓ Good</v>
      </c>
    </row>
    <row r="11" spans="1:8">
      <c r="A11" s="77" t="s">
        <v>1262</v>
      </c>
      <c r="B11" s="78">
        <v>45747</v>
      </c>
      <c r="C11" s="79">
        <v>200138.5</v>
      </c>
      <c r="D11" s="79">
        <v>1014063.57</v>
      </c>
      <c r="E11" s="80">
        <v>31</v>
      </c>
      <c r="F11" s="29">
        <f t="shared" si="0"/>
        <v>6.1182490758444272</v>
      </c>
      <c r="G11" s="29">
        <f t="shared" si="2"/>
        <v>5.4571514504707235</v>
      </c>
      <c r="H11" s="80" t="str">
        <f t="shared" si="1"/>
        <v>◐ Monitor</v>
      </c>
    </row>
    <row r="12" spans="1:8">
      <c r="A12" s="81" t="s">
        <v>1263</v>
      </c>
      <c r="B12" s="82">
        <v>45777</v>
      </c>
      <c r="C12" s="83">
        <v>194113.12</v>
      </c>
      <c r="D12" s="83">
        <v>1017243</v>
      </c>
      <c r="E12" s="84">
        <v>30</v>
      </c>
      <c r="F12" s="85">
        <f t="shared" si="0"/>
        <v>5.7246828928781026</v>
      </c>
      <c r="G12" s="85">
        <f t="shared" si="2"/>
        <v>5.9214659843612649</v>
      </c>
      <c r="H12" s="84" t="str">
        <f t="shared" si="1"/>
        <v>◐ Monitor</v>
      </c>
    </row>
    <row r="13" spans="1:8">
      <c r="A13" s="77" t="s">
        <v>1264</v>
      </c>
      <c r="B13" s="78">
        <v>45808</v>
      </c>
      <c r="C13" s="79">
        <v>228022.64</v>
      </c>
      <c r="D13" s="79">
        <v>1014690</v>
      </c>
      <c r="E13" s="80">
        <v>31</v>
      </c>
      <c r="F13" s="29">
        <f t="shared" si="0"/>
        <v>6.9663659245680947</v>
      </c>
      <c r="G13" s="29">
        <f t="shared" si="2"/>
        <v>6.3455244087230991</v>
      </c>
      <c r="H13" s="80" t="str">
        <f t="shared" si="1"/>
        <v>◐ Monitor</v>
      </c>
    </row>
    <row r="14" spans="1:8">
      <c r="A14" s="81" t="s">
        <v>1265</v>
      </c>
      <c r="B14" s="82">
        <v>45838</v>
      </c>
      <c r="C14" s="83">
        <v>231539.25</v>
      </c>
      <c r="D14" s="83">
        <v>1012531.45</v>
      </c>
      <c r="E14" s="84">
        <v>30</v>
      </c>
      <c r="F14" s="85">
        <f t="shared" si="0"/>
        <v>6.8602091322694223</v>
      </c>
      <c r="G14" s="85">
        <f t="shared" si="2"/>
        <v>6.913287528418758</v>
      </c>
      <c r="H14" s="84" t="str">
        <f t="shared" si="1"/>
        <v>◐ Monitor</v>
      </c>
    </row>
    <row r="15" spans="1:8">
      <c r="A15" s="77" t="s">
        <v>1266</v>
      </c>
      <c r="B15" s="78">
        <v>45869</v>
      </c>
      <c r="C15" s="79">
        <v>271508.17</v>
      </c>
      <c r="D15" s="79">
        <v>1015121</v>
      </c>
      <c r="E15" s="80">
        <v>31</v>
      </c>
      <c r="F15" s="29">
        <f t="shared" si="0"/>
        <v>8.2913793232530892</v>
      </c>
      <c r="G15" s="29">
        <f t="shared" si="2"/>
        <v>7.5757942277612553</v>
      </c>
      <c r="H15" s="80" t="str">
        <f t="shared" si="1"/>
        <v>⚠ Caution</v>
      </c>
    </row>
    <row r="16" spans="1:8">
      <c r="A16" s="81" t="s">
        <v>1267</v>
      </c>
      <c r="B16" s="82">
        <v>45900</v>
      </c>
      <c r="C16" s="83">
        <v>237024.59</v>
      </c>
      <c r="D16" s="83">
        <v>1020091</v>
      </c>
      <c r="E16" s="84">
        <v>31</v>
      </c>
      <c r="F16" s="85">
        <f t="shared" si="0"/>
        <v>7.2030458949250606</v>
      </c>
      <c r="G16" s="85">
        <f t="shared" si="2"/>
        <v>7.7472126090890754</v>
      </c>
      <c r="H16" s="84" t="str">
        <f t="shared" si="1"/>
        <v>⚠ Caution</v>
      </c>
    </row>
    <row r="17" spans="1:12">
      <c r="A17" s="77" t="s">
        <v>1268</v>
      </c>
      <c r="B17" s="78">
        <v>45930</v>
      </c>
      <c r="C17" s="79">
        <v>257238.96</v>
      </c>
      <c r="D17" s="79">
        <v>1023072</v>
      </c>
      <c r="E17" s="80">
        <v>30</v>
      </c>
      <c r="F17" s="29">
        <f t="shared" si="0"/>
        <v>7.5431336210941167</v>
      </c>
      <c r="G17" s="29">
        <f t="shared" si="2"/>
        <v>7.3730897580095887</v>
      </c>
      <c r="H17" s="80" t="str">
        <f t="shared" si="1"/>
        <v>⚠ Caution</v>
      </c>
    </row>
    <row r="18" spans="1:12">
      <c r="A18" s="81" t="s">
        <v>1269</v>
      </c>
      <c r="B18" s="82">
        <v>45961</v>
      </c>
      <c r="C18" s="83">
        <v>313350.43</v>
      </c>
      <c r="D18" s="83">
        <v>1004134</v>
      </c>
      <c r="E18" s="84">
        <v>31</v>
      </c>
      <c r="F18" s="85">
        <f t="shared" si="0"/>
        <v>9.673871545032835</v>
      </c>
      <c r="G18" s="85">
        <f t="shared" si="2"/>
        <v>8.6085025830634763</v>
      </c>
      <c r="H18" s="84" t="str">
        <f t="shared" si="1"/>
        <v>⚠ Caution</v>
      </c>
    </row>
    <row r="19" spans="1:12">
      <c r="A19" s="77" t="s">
        <v>1270</v>
      </c>
      <c r="B19" s="78">
        <v>45991</v>
      </c>
      <c r="C19" s="79">
        <v>336274.65</v>
      </c>
      <c r="D19" s="79">
        <v>1001586.5</v>
      </c>
      <c r="E19" s="80">
        <v>30</v>
      </c>
      <c r="F19" s="29">
        <f t="shared" si="0"/>
        <v>10.072259859732535</v>
      </c>
      <c r="G19" s="29">
        <f t="shared" si="2"/>
        <v>9.8730657023826858</v>
      </c>
      <c r="H19" s="80" t="str">
        <f t="shared" si="1"/>
        <v>✗ At Risk</v>
      </c>
    </row>
    <row r="20" spans="1:12">
      <c r="A20" s="81" t="s">
        <v>1271</v>
      </c>
      <c r="B20" s="82">
        <v>46022</v>
      </c>
      <c r="C20" s="83">
        <v>416677.67</v>
      </c>
      <c r="D20" s="83">
        <v>1000805.75</v>
      </c>
      <c r="E20" s="84">
        <v>31</v>
      </c>
      <c r="F20" s="85">
        <f t="shared" si="0"/>
        <v>12.906608270386135</v>
      </c>
      <c r="G20" s="85">
        <f t="shared" si="2"/>
        <v>11.489434065059335</v>
      </c>
      <c r="H20" s="84" t="str">
        <f t="shared" si="1"/>
        <v>✗ At Risk</v>
      </c>
    </row>
    <row r="23" spans="1:12" ht="15.65" customHeight="1">
      <c r="A23" s="1230" t="s">
        <v>1272</v>
      </c>
      <c r="B23" s="1202"/>
      <c r="C23" s="1202"/>
      <c r="D23" s="1202"/>
      <c r="E23" s="1202"/>
      <c r="F23" s="1202"/>
      <c r="G23" s="1202"/>
      <c r="H23" s="1202"/>
    </row>
    <row r="24" spans="1:12">
      <c r="A24" s="22" t="s">
        <v>1273</v>
      </c>
      <c r="B24" s="28" t="str">
        <f>TEXT(AVERAGE(F9:F20),"0.0")&amp;" days"</f>
        <v>7.5 days</v>
      </c>
      <c r="C24" s="86"/>
    </row>
    <row r="25" spans="1:12">
      <c r="A25" s="22" t="s">
        <v>1274</v>
      </c>
      <c r="B25" s="28" t="str">
        <f>TEXT(G20,"0.0")&amp;" days"</f>
        <v>11.5 days</v>
      </c>
      <c r="C25" s="86"/>
    </row>
    <row r="26" spans="1:12">
      <c r="A26" s="22" t="s">
        <v>1275</v>
      </c>
      <c r="B26" s="86" t="str">
        <f>INDEX(A9:A20,MATCH(MIN(F9:F20),F9:F20,0))</f>
        <v>Jan 2025</v>
      </c>
      <c r="C26" s="28" t="str">
        <f>TEXT(MIN(F9:F20),"0.0")&amp;" days"</f>
        <v>3.6 days</v>
      </c>
      <c r="D26" s="21"/>
    </row>
    <row r="27" spans="1:12">
      <c r="A27" s="22" t="s">
        <v>1276</v>
      </c>
      <c r="B27" s="86" t="str">
        <f>INDEX(A9:A20,MATCH(MAX(F9:F20),F9:F20,0))</f>
        <v>Dec 2025</v>
      </c>
      <c r="C27" s="28" t="str">
        <f>TEXT(MAX(F9:F20),"0.0")&amp;" days"</f>
        <v>12.9 days</v>
      </c>
      <c r="D27" s="21"/>
    </row>
    <row r="29" spans="1:12" ht="15.65" customHeight="1">
      <c r="A29" s="1230" t="s">
        <v>1277</v>
      </c>
      <c r="B29" s="1202"/>
      <c r="C29" s="1202"/>
      <c r="D29" s="1202"/>
      <c r="E29" s="1202"/>
      <c r="F29" s="1202"/>
      <c r="G29" s="1202"/>
      <c r="H29" s="1202"/>
    </row>
    <row r="30" spans="1:12">
      <c r="A30" s="76" t="s">
        <v>1254</v>
      </c>
      <c r="B30" s="76" t="s">
        <v>1255</v>
      </c>
      <c r="C30" s="76" t="s">
        <v>1256</v>
      </c>
      <c r="D30" s="76" t="s">
        <v>1257</v>
      </c>
      <c r="E30" s="76" t="s">
        <v>1258</v>
      </c>
      <c r="F30" s="76" t="s">
        <v>465</v>
      </c>
      <c r="G30" s="76" t="s">
        <v>1259</v>
      </c>
      <c r="H30" s="76" t="s">
        <v>340</v>
      </c>
      <c r="I30" s="76" t="s">
        <v>794</v>
      </c>
      <c r="J30" s="76" t="s">
        <v>1278</v>
      </c>
      <c r="K30" s="76" t="s">
        <v>1279</v>
      </c>
      <c r="L30" s="76" t="s">
        <v>1280</v>
      </c>
    </row>
    <row r="31" spans="1:12">
      <c r="A31" s="77" t="s">
        <v>1281</v>
      </c>
      <c r="B31" s="78">
        <v>46053</v>
      </c>
      <c r="C31" s="87">
        <v>499784</v>
      </c>
      <c r="D31" s="87">
        <f>'T12'!E24</f>
        <v>897057</v>
      </c>
      <c r="E31" s="80">
        <v>31</v>
      </c>
      <c r="F31" s="29">
        <f>IF(OR(C31="",D31=""),"-",(C31/D31)*E31)</f>
        <v>17.271259239936814</v>
      </c>
      <c r="G31" s="29">
        <f>IF(F31="-","-",AVERAGE(F20,F31))</f>
        <v>15.088933755161474</v>
      </c>
      <c r="H31" s="80" t="str">
        <f t="shared" ref="H31:H36" si="3">IF(F31="-","",IF(F31&lt;=I31,"✓ On Track","✗ Off Track"))</f>
        <v>✗ Off Track</v>
      </c>
      <c r="I31" s="30">
        <v>11.7</v>
      </c>
      <c r="J31" s="29">
        <f t="shared" ref="J31:J36" si="4">IF(F31="-","—",F31-I31)</f>
        <v>5.5712592399368148</v>
      </c>
      <c r="K31" s="30">
        <v>10.6</v>
      </c>
      <c r="L31" s="29">
        <f t="shared" ref="L31:L36" si="5">IF(G31="-","—",G31-K31)</f>
        <v>4.4889337551614741</v>
      </c>
    </row>
    <row r="32" spans="1:12">
      <c r="A32" s="77" t="s">
        <v>1282</v>
      </c>
      <c r="B32" s="78">
        <v>46081</v>
      </c>
      <c r="C32" s="87">
        <v>547673.78</v>
      </c>
      <c r="D32" s="87">
        <f>'T12'!F24</f>
        <v>896169</v>
      </c>
      <c r="E32" s="80">
        <v>28</v>
      </c>
      <c r="F32" s="29">
        <f>IF(OR(C32="",D32=""),"-",(C32/D32)*E32)</f>
        <v>17.111578106361637</v>
      </c>
      <c r="G32" s="29">
        <f>IF(F32="-","-",AVERAGE(F31,F32))</f>
        <v>17.191418673149226</v>
      </c>
      <c r="H32" s="80" t="str">
        <f t="shared" si="3"/>
        <v>✗ Off Track</v>
      </c>
      <c r="I32" s="30">
        <v>10.5</v>
      </c>
      <c r="J32" s="29">
        <f t="shared" si="4"/>
        <v>6.6115781063616375</v>
      </c>
      <c r="K32" s="30">
        <v>9.6999999999999993</v>
      </c>
      <c r="L32" s="29">
        <f t="shared" si="5"/>
        <v>7.4914186731492265</v>
      </c>
    </row>
    <row r="33" spans="1:12">
      <c r="A33" s="77" t="s">
        <v>1283</v>
      </c>
      <c r="B33" s="78">
        <v>46112</v>
      </c>
      <c r="C33" s="87"/>
      <c r="D33" s="87"/>
      <c r="E33" s="80">
        <v>31</v>
      </c>
      <c r="F33" s="29" t="str">
        <f t="shared" ref="F33:F36" si="6">IF(OR(C33="",D33=""),"-",(C33/D33)*E33)</f>
        <v>-</v>
      </c>
      <c r="G33" s="29" t="str">
        <f>IF(F33="-","-",AVERAGE(F32,F33))</f>
        <v>-</v>
      </c>
      <c r="H33" s="80" t="str">
        <f t="shared" si="3"/>
        <v/>
      </c>
      <c r="I33" s="30">
        <v>9.3000000000000007</v>
      </c>
      <c r="J33" s="29" t="str">
        <f t="shared" si="4"/>
        <v>—</v>
      </c>
      <c r="K33" s="30">
        <v>8.8000000000000007</v>
      </c>
      <c r="L33" s="29" t="str">
        <f t="shared" si="5"/>
        <v>—</v>
      </c>
    </row>
    <row r="34" spans="1:12">
      <c r="A34" s="77" t="s">
        <v>1284</v>
      </c>
      <c r="B34" s="78">
        <v>46142</v>
      </c>
      <c r="C34" s="87"/>
      <c r="D34" s="87"/>
      <c r="E34" s="80">
        <v>30</v>
      </c>
      <c r="F34" s="29" t="str">
        <f t="shared" si="6"/>
        <v>-</v>
      </c>
      <c r="G34" s="29" t="str">
        <f>IF(F34="-","-",AVERAGE(F33,F34))</f>
        <v>-</v>
      </c>
      <c r="H34" s="80" t="str">
        <f t="shared" si="3"/>
        <v/>
      </c>
      <c r="I34" s="30">
        <v>8.1</v>
      </c>
      <c r="J34" s="29" t="str">
        <f t="shared" si="4"/>
        <v>—</v>
      </c>
      <c r="K34" s="30">
        <v>7.9</v>
      </c>
      <c r="L34" s="29" t="str">
        <f t="shared" si="5"/>
        <v>—</v>
      </c>
    </row>
    <row r="35" spans="1:12">
      <c r="A35" s="77" t="s">
        <v>1285</v>
      </c>
      <c r="B35" s="78">
        <v>46173</v>
      </c>
      <c r="C35" s="87"/>
      <c r="D35" s="87"/>
      <c r="E35" s="80">
        <v>31</v>
      </c>
      <c r="F35" s="29" t="str">
        <f t="shared" si="6"/>
        <v>-</v>
      </c>
      <c r="G35" s="29" t="str">
        <f>IF(F35="-","-",AVERAGE(F34,F35))</f>
        <v>-</v>
      </c>
      <c r="H35" s="80" t="str">
        <f t="shared" si="3"/>
        <v/>
      </c>
      <c r="I35" s="30">
        <v>7</v>
      </c>
      <c r="J35" s="29" t="str">
        <f t="shared" si="4"/>
        <v>—</v>
      </c>
      <c r="K35" s="30">
        <v>7</v>
      </c>
      <c r="L35" s="29" t="str">
        <f t="shared" si="5"/>
        <v>—</v>
      </c>
    </row>
    <row r="36" spans="1:12">
      <c r="A36" s="77" t="s">
        <v>1286</v>
      </c>
      <c r="B36" s="78">
        <v>46203</v>
      </c>
      <c r="C36" s="87"/>
      <c r="D36" s="87"/>
      <c r="E36" s="80">
        <v>30</v>
      </c>
      <c r="F36" s="29" t="str">
        <f t="shared" si="6"/>
        <v>-</v>
      </c>
      <c r="G36" s="29" t="str">
        <f>IF(F36="-","-",AVERAGE(F35,F36))</f>
        <v>-</v>
      </c>
      <c r="H36" s="80" t="str">
        <f t="shared" si="3"/>
        <v/>
      </c>
      <c r="I36" s="30">
        <v>7</v>
      </c>
      <c r="J36" s="29" t="str">
        <f t="shared" si="4"/>
        <v>—</v>
      </c>
      <c r="K36" s="30">
        <v>7</v>
      </c>
      <c r="L36" s="29" t="str">
        <f t="shared" si="5"/>
        <v>—</v>
      </c>
    </row>
    <row r="38" spans="1:12" ht="15.65" customHeight="1">
      <c r="A38" s="1232" t="s">
        <v>1287</v>
      </c>
      <c r="B38" s="1202"/>
      <c r="C38" s="1202"/>
      <c r="D38" s="1202"/>
      <c r="E38" s="1202"/>
      <c r="F38" s="1202"/>
      <c r="G38" s="1202"/>
      <c r="H38" s="1202"/>
    </row>
    <row r="39" spans="1:12" ht="15.65" customHeight="1">
      <c r="A39" s="22" t="s">
        <v>1288</v>
      </c>
      <c r="B39" s="27">
        <v>7</v>
      </c>
      <c r="C39" s="21" t="s">
        <v>1289</v>
      </c>
    </row>
    <row r="40" spans="1:12">
      <c r="A40" s="22" t="s">
        <v>1290</v>
      </c>
      <c r="B40" s="1231" t="s">
        <v>1291</v>
      </c>
      <c r="C40" s="1202"/>
      <c r="D40" s="1202"/>
      <c r="E40" s="1202"/>
      <c r="F40" s="1202"/>
      <c r="G40" s="1202"/>
      <c r="H40" s="1202"/>
    </row>
    <row r="42" spans="1:12" ht="15.65" customHeight="1">
      <c r="A42" s="24" t="s">
        <v>1292</v>
      </c>
    </row>
    <row r="43" spans="1:12">
      <c r="A43" s="22" t="s">
        <v>1293</v>
      </c>
      <c r="B43" s="1231" t="s">
        <v>1294</v>
      </c>
      <c r="C43" s="1202"/>
      <c r="D43" s="1202"/>
      <c r="E43" s="1202"/>
      <c r="F43" s="1202"/>
      <c r="G43" s="1202"/>
      <c r="H43" s="1202"/>
    </row>
    <row r="44" spans="1:12">
      <c r="A44" s="22" t="s">
        <v>1295</v>
      </c>
      <c r="B44" s="1231" t="s">
        <v>1296</v>
      </c>
      <c r="C44" s="1202"/>
      <c r="D44" s="1202"/>
      <c r="E44" s="1202"/>
      <c r="F44" s="1202"/>
      <c r="G44" s="1202"/>
      <c r="H44" s="1202"/>
    </row>
    <row r="50" spans="1:8">
      <c r="A50" s="22" t="s">
        <v>1297</v>
      </c>
      <c r="B50" s="1231" t="s">
        <v>1298</v>
      </c>
      <c r="C50" s="1202"/>
      <c r="D50" s="1202"/>
      <c r="E50" s="1202"/>
      <c r="F50" s="1202"/>
      <c r="G50" s="1202"/>
      <c r="H50" s="1202"/>
    </row>
    <row r="51" spans="1:8">
      <c r="B51" s="1231" t="s">
        <v>1299</v>
      </c>
      <c r="C51" s="1202"/>
      <c r="D51" s="1202"/>
      <c r="E51" s="1202"/>
      <c r="F51" s="1202"/>
      <c r="G51" s="1202"/>
      <c r="H51" s="1202"/>
    </row>
  </sheetData>
  <mergeCells count="10">
    <mergeCell ref="A1:H1"/>
    <mergeCell ref="A23:H23"/>
    <mergeCell ref="B51:H51"/>
    <mergeCell ref="B50:H50"/>
    <mergeCell ref="B40:H40"/>
    <mergeCell ref="A29:H29"/>
    <mergeCell ref="A38:H38"/>
    <mergeCell ref="A2:H2"/>
    <mergeCell ref="B43:H43"/>
    <mergeCell ref="B44:H44"/>
  </mergeCells>
  <pageMargins left="0.75" right="0.75" top="1" bottom="1" header="0.5" footer="0.5"/>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2320E-C2B7-45D0-8CE8-F658DEDBFF94}">
  <sheetPr>
    <tabColor rgb="FFDA9694"/>
  </sheetPr>
  <dimension ref="A1:M93"/>
  <sheetViews>
    <sheetView showGridLines="0" zoomScale="80" zoomScaleNormal="80" workbookViewId="0">
      <pane ySplit="13" topLeftCell="A14" activePane="bottomLeft" state="frozen"/>
      <selection pane="bottomLeft" activeCell="B4" sqref="B4"/>
    </sheetView>
  </sheetViews>
  <sheetFormatPr defaultRowHeight="14.5"/>
  <cols>
    <col min="1" max="1" width="17.26953125" customWidth="1"/>
    <col min="2" max="2" width="23.54296875" customWidth="1"/>
    <col min="3" max="4" width="14.54296875" customWidth="1"/>
    <col min="5" max="6" width="13.54296875" customWidth="1"/>
    <col min="7" max="11" width="14.81640625" customWidth="1"/>
    <col min="12" max="12" width="40" customWidth="1"/>
    <col min="13" max="13" width="13.54296875" customWidth="1"/>
  </cols>
  <sheetData>
    <row r="1" spans="1:13" ht="23.5">
      <c r="A1" s="336" t="s">
        <v>218</v>
      </c>
      <c r="B1" s="137"/>
      <c r="C1" s="137"/>
      <c r="D1" s="137"/>
      <c r="E1" s="137"/>
      <c r="F1" s="137"/>
      <c r="G1" s="137"/>
      <c r="H1" s="137"/>
      <c r="I1" s="137"/>
      <c r="J1" s="137"/>
      <c r="K1" s="137"/>
    </row>
    <row r="2" spans="1:13">
      <c r="A2" s="337" t="s">
        <v>1300</v>
      </c>
      <c r="B2" s="137"/>
      <c r="C2" s="137"/>
      <c r="D2" s="137"/>
      <c r="E2" s="137"/>
      <c r="F2" s="137"/>
      <c r="G2" s="137"/>
      <c r="H2" s="137"/>
      <c r="I2" s="137"/>
      <c r="J2" s="137"/>
      <c r="K2" s="137"/>
    </row>
    <row r="3" spans="1:13">
      <c r="A3" s="338" t="s">
        <v>1301</v>
      </c>
      <c r="B3" s="883">
        <v>46082</v>
      </c>
      <c r="C3" s="137"/>
      <c r="D3" s="338" t="s">
        <v>474</v>
      </c>
      <c r="E3" s="884">
        <f>Dashboard_1!F3</f>
        <v>46139</v>
      </c>
      <c r="F3" s="137"/>
      <c r="G3" s="137"/>
      <c r="H3" s="885" t="s">
        <v>1302</v>
      </c>
      <c r="I3" s="137"/>
      <c r="J3" s="137"/>
      <c r="K3" s="137"/>
    </row>
    <row r="5" spans="1:13">
      <c r="A5" s="886" t="s">
        <v>1303</v>
      </c>
      <c r="B5" s="120"/>
      <c r="C5" s="120"/>
      <c r="D5" s="120"/>
      <c r="E5" s="120"/>
      <c r="F5" s="137"/>
      <c r="G5" s="137"/>
      <c r="H5" s="887" t="s">
        <v>1304</v>
      </c>
      <c r="I5" s="120"/>
      <c r="J5" s="888" t="s">
        <v>1221</v>
      </c>
      <c r="K5" s="889" t="s">
        <v>810</v>
      </c>
      <c r="L5" s="137"/>
      <c r="M5" s="137"/>
    </row>
    <row r="6" spans="1:13">
      <c r="A6" s="338" t="s">
        <v>1305</v>
      </c>
      <c r="B6" s="423">
        <f ca="1">COUNTIF(F14:F200,"&gt;="&amp;60)</f>
        <v>45</v>
      </c>
      <c r="C6" s="890" t="s">
        <v>1306</v>
      </c>
      <c r="D6" s="891">
        <f>COUNTA(A14:A61)</f>
        <v>48</v>
      </c>
      <c r="H6" s="430" t="s">
        <v>507</v>
      </c>
      <c r="I6" s="422"/>
      <c r="J6" s="892">
        <f ca="1">COUNTIFS(D14:D200,"Eviction",F14:F200,"&gt;="&amp;60)</f>
        <v>10</v>
      </c>
      <c r="K6" s="893">
        <f ca="1">SUMIFS(K14:K200,D14:D200,"Eviction",F14:F200,"&gt;="&amp;60)</f>
        <v>78656.070000000007</v>
      </c>
      <c r="L6" s="137"/>
      <c r="M6" s="137"/>
    </row>
    <row r="7" spans="1:13">
      <c r="A7" s="338" t="s">
        <v>1307</v>
      </c>
      <c r="B7" s="424">
        <f ca="1">SUMIFS(K14:K200,F14:F200,"&gt;="&amp;60)</f>
        <v>168901.03000000006</v>
      </c>
      <c r="C7" s="137"/>
      <c r="D7" s="137"/>
      <c r="H7" s="431" t="s">
        <v>509</v>
      </c>
      <c r="I7" s="438"/>
      <c r="J7" s="432">
        <f ca="1">COUNTIFS(D14:D200,"Skip",F14:F200,"&gt;="&amp;60)</f>
        <v>9</v>
      </c>
      <c r="K7" s="433">
        <f ca="1">SUMIFS(K14:K200,D14:D200,"Skip",F14:F200,"&gt;="&amp;60)</f>
        <v>62229</v>
      </c>
      <c r="L7" s="137"/>
      <c r="M7" s="137"/>
    </row>
    <row r="8" spans="1:13">
      <c r="A8" s="137"/>
      <c r="B8" s="137"/>
      <c r="C8" s="137"/>
      <c r="D8" s="137"/>
      <c r="H8" s="434" t="s">
        <v>511</v>
      </c>
      <c r="I8" s="439"/>
      <c r="J8" s="435">
        <f ca="1">COUNTIFS(D14:D200,"Former",F14:F200,"&gt;="&amp;60)</f>
        <v>26</v>
      </c>
      <c r="K8" s="436">
        <f ca="1">SUMIFS(K14:K200,D14:D200,"Former",F14:F200,"&gt;="&amp;60)</f>
        <v>28015.96</v>
      </c>
      <c r="L8" s="137"/>
      <c r="M8" s="137"/>
    </row>
    <row r="9" spans="1:13">
      <c r="A9" s="425" t="s">
        <v>1308</v>
      </c>
      <c r="B9" s="894">
        <f ca="1">SUMIFS(I14:I200,F14:F200,"&gt;="&amp;60)</f>
        <v>27575.21</v>
      </c>
      <c r="C9" s="137"/>
      <c r="D9" s="425" t="s">
        <v>1309</v>
      </c>
      <c r="E9" s="894">
        <f ca="1">SUMIFS(J14:J200,F14:F200,"&gt;="&amp;60)</f>
        <v>141325.81999999998</v>
      </c>
      <c r="H9" s="895" t="s">
        <v>1310</v>
      </c>
      <c r="I9" s="437"/>
      <c r="J9" s="896">
        <f ca="1">J6+J7+J8</f>
        <v>45</v>
      </c>
      <c r="K9" s="895">
        <f ca="1">K6+K7+K8</f>
        <v>168901.03</v>
      </c>
      <c r="L9" s="137"/>
      <c r="M9" s="137"/>
    </row>
    <row r="10" spans="1:13">
      <c r="A10" s="428" t="s">
        <v>1311</v>
      </c>
      <c r="B10" s="429">
        <f ca="1">COUNTIF(F14:F200,"&lt;"&amp;60)</f>
        <v>15</v>
      </c>
      <c r="C10" s="428" t="s">
        <v>1312</v>
      </c>
      <c r="D10" s="429">
        <f ca="1">SUMIFS(K14:K200,F14:F200,"&lt;"&amp;60)</f>
        <v>70219.810000000027</v>
      </c>
      <c r="E10" s="429" t="s">
        <v>1313</v>
      </c>
      <c r="F10" s="137"/>
      <c r="G10" s="137"/>
      <c r="H10" s="137"/>
      <c r="I10" s="137"/>
      <c r="J10" s="137"/>
      <c r="K10" s="137"/>
      <c r="L10" s="137"/>
      <c r="M10" s="137"/>
    </row>
    <row r="11" spans="1:13">
      <c r="A11" s="137"/>
      <c r="B11" s="137"/>
      <c r="C11" s="137"/>
      <c r="D11" s="137"/>
      <c r="E11" s="137"/>
      <c r="F11" s="137"/>
      <c r="G11" s="137"/>
      <c r="H11" s="137"/>
      <c r="I11" s="137"/>
      <c r="J11" s="137"/>
      <c r="K11" s="137"/>
    </row>
    <row r="12" spans="1:13">
      <c r="A12" s="886" t="s">
        <v>1314</v>
      </c>
      <c r="B12" s="120"/>
      <c r="C12" s="120"/>
      <c r="D12" s="120"/>
      <c r="E12" s="120"/>
      <c r="F12" s="120"/>
      <c r="G12" s="120"/>
      <c r="H12" s="120"/>
      <c r="I12" s="120"/>
      <c r="J12" s="120"/>
      <c r="K12" s="120"/>
      <c r="L12" s="120"/>
      <c r="M12" s="120"/>
    </row>
    <row r="13" spans="1:13" ht="22.5" thickBot="1">
      <c r="A13" s="897" t="s">
        <v>496</v>
      </c>
      <c r="B13" s="897" t="s">
        <v>497</v>
      </c>
      <c r="C13" s="898" t="s">
        <v>1315</v>
      </c>
      <c r="D13" s="898" t="s">
        <v>340</v>
      </c>
      <c r="E13" s="898" t="s">
        <v>1316</v>
      </c>
      <c r="F13" s="899" t="s">
        <v>1317</v>
      </c>
      <c r="G13" s="898" t="s">
        <v>799</v>
      </c>
      <c r="H13" s="898" t="s">
        <v>481</v>
      </c>
      <c r="I13" s="898" t="s">
        <v>1318</v>
      </c>
      <c r="J13" s="898" t="s">
        <v>1319</v>
      </c>
      <c r="K13" s="900" t="s">
        <v>1320</v>
      </c>
      <c r="L13" s="897" t="s">
        <v>505</v>
      </c>
      <c r="M13" s="899" t="s">
        <v>1321</v>
      </c>
    </row>
    <row r="14" spans="1:13">
      <c r="A14" s="901" t="s">
        <v>852</v>
      </c>
      <c r="B14" s="901" t="s">
        <v>1322</v>
      </c>
      <c r="C14" s="902" t="s">
        <v>1323</v>
      </c>
      <c r="D14" s="903" t="s">
        <v>509</v>
      </c>
      <c r="E14" s="904">
        <v>46064</v>
      </c>
      <c r="F14" s="905">
        <f t="shared" ref="F14:F61" ca="1" si="0">IF(E14="","N/A",TODAY()-E14)</f>
        <v>77</v>
      </c>
      <c r="G14" s="906">
        <v>26628.83</v>
      </c>
      <c r="H14" s="906">
        <v>1565.06</v>
      </c>
      <c r="I14" s="906">
        <v>1697.81</v>
      </c>
      <c r="J14" s="906">
        <v>22565.15</v>
      </c>
      <c r="K14" s="907">
        <v>24262.960000000003</v>
      </c>
      <c r="L14" s="908"/>
      <c r="M14" s="909"/>
    </row>
    <row r="15" spans="1:13">
      <c r="A15" s="910" t="s">
        <v>1165</v>
      </c>
      <c r="B15" s="910" t="s">
        <v>1324</v>
      </c>
      <c r="C15" s="911" t="s">
        <v>1325</v>
      </c>
      <c r="D15" s="912" t="s">
        <v>507</v>
      </c>
      <c r="E15" s="913">
        <v>46060</v>
      </c>
      <c r="F15" s="914">
        <f t="shared" ca="1" si="0"/>
        <v>81</v>
      </c>
      <c r="G15" s="915">
        <v>16185.1</v>
      </c>
      <c r="H15" s="915">
        <v>76.19</v>
      </c>
      <c r="I15" s="915">
        <v>1305.19</v>
      </c>
      <c r="J15" s="915">
        <v>14727.53</v>
      </c>
      <c r="K15" s="916">
        <v>16032.720000000001</v>
      </c>
      <c r="L15" s="917" t="s">
        <v>1326</v>
      </c>
      <c r="M15" s="918"/>
    </row>
    <row r="16" spans="1:13">
      <c r="A16" s="910" t="s">
        <v>1327</v>
      </c>
      <c r="B16" s="910" t="s">
        <v>1328</v>
      </c>
      <c r="C16" s="911" t="s">
        <v>1323</v>
      </c>
      <c r="D16" s="919" t="s">
        <v>509</v>
      </c>
      <c r="E16" s="913">
        <v>46045</v>
      </c>
      <c r="F16" s="914">
        <f t="shared" ca="1" si="0"/>
        <v>96</v>
      </c>
      <c r="G16" s="915">
        <v>15722.78</v>
      </c>
      <c r="H16" s="915">
        <v>56.54</v>
      </c>
      <c r="I16" s="915">
        <v>1157.03</v>
      </c>
      <c r="J16" s="915">
        <v>14452.67</v>
      </c>
      <c r="K16" s="916">
        <v>15609.7</v>
      </c>
      <c r="L16" s="917" t="s">
        <v>1326</v>
      </c>
      <c r="M16" s="918"/>
    </row>
    <row r="17" spans="1:13">
      <c r="A17" s="910" t="s">
        <v>1329</v>
      </c>
      <c r="B17" s="910" t="s">
        <v>1330</v>
      </c>
      <c r="C17" s="911" t="s">
        <v>1325</v>
      </c>
      <c r="D17" s="912" t="s">
        <v>507</v>
      </c>
      <c r="E17" s="913">
        <v>46069</v>
      </c>
      <c r="F17" s="914">
        <f t="shared" ca="1" si="0"/>
        <v>72</v>
      </c>
      <c r="G17" s="915">
        <v>12713.45</v>
      </c>
      <c r="H17" s="915">
        <v>73.81</v>
      </c>
      <c r="I17" s="915">
        <v>929.81</v>
      </c>
      <c r="J17" s="915">
        <v>11636.02</v>
      </c>
      <c r="K17" s="916">
        <v>12565.83</v>
      </c>
      <c r="L17" s="917" t="s">
        <v>1326</v>
      </c>
      <c r="M17" s="918"/>
    </row>
    <row r="18" spans="1:13">
      <c r="A18" s="910" t="s">
        <v>854</v>
      </c>
      <c r="B18" s="910" t="s">
        <v>1331</v>
      </c>
      <c r="C18" s="911" t="s">
        <v>1325</v>
      </c>
      <c r="D18" s="912" t="s">
        <v>507</v>
      </c>
      <c r="E18" s="913">
        <v>46070</v>
      </c>
      <c r="F18" s="914">
        <f t="shared" ca="1" si="0"/>
        <v>71</v>
      </c>
      <c r="G18" s="915">
        <v>13513.04</v>
      </c>
      <c r="H18" s="915">
        <v>1201.18</v>
      </c>
      <c r="I18" s="915">
        <v>1741.18</v>
      </c>
      <c r="J18" s="915">
        <v>9611.5</v>
      </c>
      <c r="K18" s="916">
        <v>11352.68</v>
      </c>
      <c r="L18" s="917"/>
      <c r="M18" s="918"/>
    </row>
    <row r="19" spans="1:13">
      <c r="A19" s="910" t="s">
        <v>1332</v>
      </c>
      <c r="B19" s="910" t="s">
        <v>1333</v>
      </c>
      <c r="C19" s="911" t="s">
        <v>1323</v>
      </c>
      <c r="D19" s="919" t="s">
        <v>509</v>
      </c>
      <c r="E19" s="913">
        <v>46184</v>
      </c>
      <c r="F19" s="914">
        <f t="shared" ca="1" si="0"/>
        <v>-43</v>
      </c>
      <c r="G19" s="915">
        <v>12791.62</v>
      </c>
      <c r="H19" s="915">
        <v>574.66</v>
      </c>
      <c r="I19" s="915">
        <v>1934.66</v>
      </c>
      <c r="J19" s="915">
        <v>9374.64</v>
      </c>
      <c r="K19" s="916">
        <v>11309.3</v>
      </c>
      <c r="L19" s="917"/>
      <c r="M19" s="918"/>
    </row>
    <row r="20" spans="1:13">
      <c r="A20" s="910" t="s">
        <v>1334</v>
      </c>
      <c r="B20" s="910" t="s">
        <v>1335</v>
      </c>
      <c r="C20" s="911" t="s">
        <v>1325</v>
      </c>
      <c r="D20" s="912" t="s">
        <v>507</v>
      </c>
      <c r="E20" s="913">
        <v>46045</v>
      </c>
      <c r="F20" s="914">
        <f t="shared" ca="1" si="0"/>
        <v>96</v>
      </c>
      <c r="G20" s="915">
        <v>9591.7900000000009</v>
      </c>
      <c r="H20" s="915">
        <v>60.87</v>
      </c>
      <c r="I20" s="915">
        <v>1099.8699999999999</v>
      </c>
      <c r="J20" s="915">
        <v>8370.18</v>
      </c>
      <c r="K20" s="916">
        <v>9470.0499999999993</v>
      </c>
      <c r="L20" s="917" t="s">
        <v>1326</v>
      </c>
      <c r="M20" s="918"/>
    </row>
    <row r="21" spans="1:13">
      <c r="A21" s="910" t="s">
        <v>1336</v>
      </c>
      <c r="B21" s="910" t="s">
        <v>1337</v>
      </c>
      <c r="C21" s="911" t="s">
        <v>1338</v>
      </c>
      <c r="D21" s="426" t="s">
        <v>511</v>
      </c>
      <c r="E21" s="913">
        <v>46037</v>
      </c>
      <c r="F21" s="914">
        <f t="shared" ca="1" si="0"/>
        <v>104</v>
      </c>
      <c r="G21" s="915">
        <v>8896.5499999999993</v>
      </c>
      <c r="H21" s="915">
        <v>74.75</v>
      </c>
      <c r="I21" s="915">
        <v>849.75</v>
      </c>
      <c r="J21" s="915">
        <v>7897.3</v>
      </c>
      <c r="K21" s="916">
        <v>8747.0499999999993</v>
      </c>
      <c r="L21" s="917" t="s">
        <v>1326</v>
      </c>
      <c r="M21" s="918"/>
    </row>
    <row r="22" spans="1:13">
      <c r="A22" s="910" t="s">
        <v>1339</v>
      </c>
      <c r="B22" s="910" t="s">
        <v>1340</v>
      </c>
      <c r="C22" s="911" t="s">
        <v>1325</v>
      </c>
      <c r="D22" s="912" t="s">
        <v>507</v>
      </c>
      <c r="E22" s="913">
        <v>46045</v>
      </c>
      <c r="F22" s="914">
        <f t="shared" ca="1" si="0"/>
        <v>96</v>
      </c>
      <c r="G22" s="915">
        <v>8598.17</v>
      </c>
      <c r="H22" s="915">
        <v>71.59</v>
      </c>
      <c r="I22" s="915">
        <v>1015.59</v>
      </c>
      <c r="J22" s="915">
        <v>7439.4</v>
      </c>
      <c r="K22" s="916">
        <v>8454.99</v>
      </c>
      <c r="L22" s="917" t="s">
        <v>1326</v>
      </c>
      <c r="M22" s="918"/>
    </row>
    <row r="23" spans="1:13">
      <c r="A23" s="910" t="s">
        <v>1341</v>
      </c>
      <c r="B23" s="910" t="s">
        <v>1342</v>
      </c>
      <c r="C23" s="911" t="s">
        <v>1343</v>
      </c>
      <c r="D23" s="912" t="s">
        <v>507</v>
      </c>
      <c r="E23" s="913">
        <v>46171</v>
      </c>
      <c r="F23" s="914">
        <f t="shared" ca="1" si="0"/>
        <v>-30</v>
      </c>
      <c r="G23" s="915">
        <v>11210.67</v>
      </c>
      <c r="H23" s="915">
        <v>1188.1099999999999</v>
      </c>
      <c r="I23" s="915">
        <v>168.11</v>
      </c>
      <c r="J23" s="915">
        <v>7744.34</v>
      </c>
      <c r="K23" s="916">
        <v>7912.45</v>
      </c>
      <c r="L23" s="917" t="s">
        <v>1344</v>
      </c>
      <c r="M23" s="918"/>
    </row>
    <row r="24" spans="1:13">
      <c r="A24" s="910" t="s">
        <v>1037</v>
      </c>
      <c r="B24" s="910" t="s">
        <v>1345</v>
      </c>
      <c r="C24" s="911" t="s">
        <v>1325</v>
      </c>
      <c r="D24" s="912" t="s">
        <v>507</v>
      </c>
      <c r="E24" s="913">
        <v>46045</v>
      </c>
      <c r="F24" s="914">
        <f t="shared" ca="1" si="0"/>
        <v>96</v>
      </c>
      <c r="G24" s="915">
        <v>7353.47</v>
      </c>
      <c r="H24" s="915">
        <v>60.87</v>
      </c>
      <c r="I24" s="915">
        <v>994.87</v>
      </c>
      <c r="J24" s="915">
        <v>6236.86</v>
      </c>
      <c r="K24" s="916">
        <v>7231.73</v>
      </c>
      <c r="L24" s="917" t="s">
        <v>1326</v>
      </c>
      <c r="M24" s="918"/>
    </row>
    <row r="25" spans="1:13">
      <c r="A25" s="920" t="s">
        <v>1167</v>
      </c>
      <c r="B25" s="920" t="s">
        <v>1346</v>
      </c>
      <c r="C25" s="921" t="s">
        <v>1325</v>
      </c>
      <c r="D25" s="912" t="s">
        <v>507</v>
      </c>
      <c r="E25" s="922">
        <v>45869</v>
      </c>
      <c r="F25" s="923">
        <f t="shared" ca="1" si="0"/>
        <v>272</v>
      </c>
      <c r="G25" s="924">
        <v>7291.69</v>
      </c>
      <c r="H25" s="924">
        <v>70.11</v>
      </c>
      <c r="I25" s="924">
        <v>663.11</v>
      </c>
      <c r="J25" s="924">
        <v>6488.36</v>
      </c>
      <c r="K25" s="440">
        <v>7151.4699999999993</v>
      </c>
      <c r="L25" s="917" t="s">
        <v>1326</v>
      </c>
      <c r="M25" s="441" t="s">
        <v>853</v>
      </c>
    </row>
    <row r="26" spans="1:13">
      <c r="A26" s="910" t="s">
        <v>1347</v>
      </c>
      <c r="B26" s="910" t="s">
        <v>1348</v>
      </c>
      <c r="C26" s="911" t="s">
        <v>1338</v>
      </c>
      <c r="D26" s="426" t="s">
        <v>511</v>
      </c>
      <c r="E26" s="913">
        <v>46045</v>
      </c>
      <c r="F26" s="914">
        <f t="shared" ca="1" si="0"/>
        <v>96</v>
      </c>
      <c r="G26" s="915">
        <v>7117.71</v>
      </c>
      <c r="H26" s="915">
        <v>71.59</v>
      </c>
      <c r="I26" s="915">
        <v>999.59</v>
      </c>
      <c r="J26" s="915">
        <v>5974.94</v>
      </c>
      <c r="K26" s="916">
        <v>6974.53</v>
      </c>
      <c r="L26" s="917" t="s">
        <v>1326</v>
      </c>
      <c r="M26" s="918"/>
    </row>
    <row r="27" spans="1:13">
      <c r="A27" s="910" t="s">
        <v>1349</v>
      </c>
      <c r="B27" s="910" t="s">
        <v>1350</v>
      </c>
      <c r="C27" s="911" t="s">
        <v>1325</v>
      </c>
      <c r="D27" s="912" t="s">
        <v>507</v>
      </c>
      <c r="E27" s="913">
        <v>46147</v>
      </c>
      <c r="F27" s="914">
        <f t="shared" ca="1" si="0"/>
        <v>-6</v>
      </c>
      <c r="G27" s="915">
        <v>6728.09</v>
      </c>
      <c r="H27" s="915">
        <v>60.87</v>
      </c>
      <c r="I27" s="915">
        <v>899.87</v>
      </c>
      <c r="J27" s="915">
        <v>5706.48</v>
      </c>
      <c r="K27" s="916">
        <v>6606.3499999999995</v>
      </c>
      <c r="L27" s="917" t="s">
        <v>1326</v>
      </c>
      <c r="M27" s="918"/>
    </row>
    <row r="28" spans="1:13">
      <c r="A28" s="920" t="s">
        <v>1351</v>
      </c>
      <c r="B28" s="920" t="s">
        <v>1352</v>
      </c>
      <c r="C28" s="921" t="s">
        <v>1325</v>
      </c>
      <c r="D28" s="912" t="s">
        <v>507</v>
      </c>
      <c r="E28" s="922">
        <v>45973</v>
      </c>
      <c r="F28" s="923">
        <f t="shared" ca="1" si="0"/>
        <v>168</v>
      </c>
      <c r="G28" s="924">
        <v>6589.16</v>
      </c>
      <c r="H28" s="924">
        <v>96.28</v>
      </c>
      <c r="I28" s="924">
        <v>1457.28</v>
      </c>
      <c r="J28" s="924">
        <v>4939.32</v>
      </c>
      <c r="K28" s="440">
        <v>6396.5999999999995</v>
      </c>
      <c r="L28" s="917" t="s">
        <v>1326</v>
      </c>
      <c r="M28" s="441" t="s">
        <v>853</v>
      </c>
    </row>
    <row r="29" spans="1:13">
      <c r="A29" s="910" t="s">
        <v>1353</v>
      </c>
      <c r="B29" s="910" t="s">
        <v>1354</v>
      </c>
      <c r="C29" s="911" t="s">
        <v>1325</v>
      </c>
      <c r="D29" s="912" t="s">
        <v>507</v>
      </c>
      <c r="E29" s="913">
        <v>46186</v>
      </c>
      <c r="F29" s="914">
        <f t="shared" ca="1" si="0"/>
        <v>-45</v>
      </c>
      <c r="G29" s="915">
        <v>6503.39</v>
      </c>
      <c r="H29" s="915">
        <v>56.54</v>
      </c>
      <c r="I29" s="915">
        <v>996.54</v>
      </c>
      <c r="J29" s="915">
        <v>5393.77</v>
      </c>
      <c r="K29" s="916">
        <v>6390.31</v>
      </c>
      <c r="L29" s="917" t="s">
        <v>1326</v>
      </c>
      <c r="M29" s="918"/>
    </row>
    <row r="30" spans="1:13">
      <c r="A30" s="910" t="s">
        <v>1169</v>
      </c>
      <c r="B30" s="910" t="s">
        <v>1355</v>
      </c>
      <c r="C30" s="911" t="s">
        <v>1323</v>
      </c>
      <c r="D30" s="919" t="s">
        <v>509</v>
      </c>
      <c r="E30" s="913">
        <v>46191</v>
      </c>
      <c r="F30" s="914">
        <f t="shared" ca="1" si="0"/>
        <v>-50</v>
      </c>
      <c r="G30" s="915">
        <v>8180.27</v>
      </c>
      <c r="H30" s="915">
        <v>1271.19</v>
      </c>
      <c r="I30" s="915">
        <v>1738.19</v>
      </c>
      <c r="J30" s="915">
        <v>4350.7</v>
      </c>
      <c r="K30" s="916">
        <v>6088.8899999999994</v>
      </c>
      <c r="L30" s="917"/>
      <c r="M30" s="918"/>
    </row>
    <row r="31" spans="1:13">
      <c r="A31" s="910" t="s">
        <v>859</v>
      </c>
      <c r="B31" s="910" t="s">
        <v>482</v>
      </c>
      <c r="C31" s="911" t="s">
        <v>1323</v>
      </c>
      <c r="D31" s="919" t="s">
        <v>509</v>
      </c>
      <c r="E31" s="913">
        <v>46065</v>
      </c>
      <c r="F31" s="914">
        <f t="shared" ca="1" si="0"/>
        <v>76</v>
      </c>
      <c r="G31" s="915">
        <v>7907.46</v>
      </c>
      <c r="H31" s="915">
        <v>971.29</v>
      </c>
      <c r="I31" s="915">
        <v>1917.04</v>
      </c>
      <c r="J31" s="915">
        <v>4066.09</v>
      </c>
      <c r="K31" s="916">
        <v>5983.13</v>
      </c>
      <c r="L31" s="917"/>
      <c r="M31" s="918"/>
    </row>
    <row r="32" spans="1:13">
      <c r="A32" s="920" t="s">
        <v>1356</v>
      </c>
      <c r="B32" s="920" t="s">
        <v>1357</v>
      </c>
      <c r="C32" s="921" t="s">
        <v>1323</v>
      </c>
      <c r="D32" s="919" t="s">
        <v>509</v>
      </c>
      <c r="E32" s="922">
        <v>45747</v>
      </c>
      <c r="F32" s="923">
        <f t="shared" ca="1" si="0"/>
        <v>394</v>
      </c>
      <c r="G32" s="924">
        <v>6091.76</v>
      </c>
      <c r="H32" s="924">
        <v>73.13</v>
      </c>
      <c r="I32" s="924">
        <v>1109.1300000000001</v>
      </c>
      <c r="J32" s="924">
        <v>4836.37</v>
      </c>
      <c r="K32" s="440">
        <v>5945.5</v>
      </c>
      <c r="L32" s="917" t="s">
        <v>1326</v>
      </c>
      <c r="M32" s="441" t="s">
        <v>853</v>
      </c>
    </row>
    <row r="33" spans="1:13">
      <c r="A33" s="910" t="s">
        <v>1358</v>
      </c>
      <c r="B33" s="910" t="s">
        <v>1359</v>
      </c>
      <c r="C33" s="911" t="s">
        <v>1343</v>
      </c>
      <c r="D33" s="912" t="s">
        <v>507</v>
      </c>
      <c r="E33" s="913">
        <v>46311</v>
      </c>
      <c r="F33" s="914">
        <f t="shared" ca="1" si="0"/>
        <v>-170</v>
      </c>
      <c r="G33" s="915">
        <v>7941.21</v>
      </c>
      <c r="H33" s="915">
        <v>1259.1099999999999</v>
      </c>
      <c r="I33" s="915">
        <v>1259.1099999999999</v>
      </c>
      <c r="J33" s="915">
        <v>4163.88</v>
      </c>
      <c r="K33" s="916">
        <v>5422.99</v>
      </c>
      <c r="L33" s="917"/>
      <c r="M33" s="918"/>
    </row>
    <row r="34" spans="1:13">
      <c r="A34" s="910" t="s">
        <v>1360</v>
      </c>
      <c r="B34" s="910" t="s">
        <v>1361</v>
      </c>
      <c r="C34" s="911" t="s">
        <v>1323</v>
      </c>
      <c r="D34" s="919" t="s">
        <v>509</v>
      </c>
      <c r="E34" s="913">
        <v>46109</v>
      </c>
      <c r="F34" s="914">
        <f t="shared" ca="1" si="0"/>
        <v>32</v>
      </c>
      <c r="G34" s="915">
        <v>5336.82</v>
      </c>
      <c r="H34" s="915">
        <v>97.22</v>
      </c>
      <c r="I34" s="915">
        <v>1285.22</v>
      </c>
      <c r="J34" s="915">
        <v>3857.16</v>
      </c>
      <c r="K34" s="916">
        <v>5142.38</v>
      </c>
      <c r="L34" s="917" t="s">
        <v>1326</v>
      </c>
      <c r="M34" s="918"/>
    </row>
    <row r="35" spans="1:13">
      <c r="A35" s="910" t="s">
        <v>1362</v>
      </c>
      <c r="B35" s="910" t="s">
        <v>1363</v>
      </c>
      <c r="C35" s="911" t="s">
        <v>1323</v>
      </c>
      <c r="D35" s="919" t="s">
        <v>509</v>
      </c>
      <c r="E35" s="913">
        <v>46045</v>
      </c>
      <c r="F35" s="914">
        <f t="shared" ca="1" si="0"/>
        <v>96</v>
      </c>
      <c r="G35" s="915">
        <v>4871.8900000000003</v>
      </c>
      <c r="H35" s="915">
        <v>71.19</v>
      </c>
      <c r="I35" s="915">
        <v>640.19000000000005</v>
      </c>
      <c r="J35" s="915">
        <v>4089.32</v>
      </c>
      <c r="K35" s="916">
        <v>4729.51</v>
      </c>
      <c r="L35" s="917" t="s">
        <v>1364</v>
      </c>
      <c r="M35" s="918"/>
    </row>
    <row r="36" spans="1:13">
      <c r="A36" s="910" t="s">
        <v>1113</v>
      </c>
      <c r="B36" s="910" t="s">
        <v>1365</v>
      </c>
      <c r="C36" s="911" t="s">
        <v>1323</v>
      </c>
      <c r="D36" s="919" t="s">
        <v>509</v>
      </c>
      <c r="E36" s="913">
        <v>46045</v>
      </c>
      <c r="F36" s="914">
        <f t="shared" ca="1" si="0"/>
        <v>96</v>
      </c>
      <c r="G36" s="915">
        <v>4663.47</v>
      </c>
      <c r="H36" s="915">
        <v>71.19</v>
      </c>
      <c r="I36" s="915">
        <v>798.19</v>
      </c>
      <c r="J36" s="915">
        <v>3722.9</v>
      </c>
      <c r="K36" s="916">
        <v>4521.09</v>
      </c>
      <c r="L36" s="917" t="s">
        <v>1326</v>
      </c>
      <c r="M36" s="918"/>
    </row>
    <row r="37" spans="1:13">
      <c r="A37" s="910" t="s">
        <v>1366</v>
      </c>
      <c r="B37" s="910" t="s">
        <v>1367</v>
      </c>
      <c r="C37" s="911" t="s">
        <v>1338</v>
      </c>
      <c r="D37" s="426" t="s">
        <v>511</v>
      </c>
      <c r="E37" s="913">
        <v>46232</v>
      </c>
      <c r="F37" s="914">
        <f t="shared" ca="1" si="0"/>
        <v>-91</v>
      </c>
      <c r="G37" s="915">
        <v>4596.54</v>
      </c>
      <c r="H37" s="915">
        <v>93.66</v>
      </c>
      <c r="I37" s="915">
        <v>500.66</v>
      </c>
      <c r="J37" s="915">
        <v>3908.56</v>
      </c>
      <c r="K37" s="916">
        <v>4409.22</v>
      </c>
      <c r="L37" s="917" t="s">
        <v>1364</v>
      </c>
      <c r="M37" s="918"/>
    </row>
    <row r="38" spans="1:13">
      <c r="A38" s="910" t="s">
        <v>856</v>
      </c>
      <c r="B38" s="910" t="s">
        <v>1368</v>
      </c>
      <c r="C38" s="911" t="s">
        <v>1323</v>
      </c>
      <c r="D38" s="919" t="s">
        <v>509</v>
      </c>
      <c r="E38" s="913">
        <v>46353</v>
      </c>
      <c r="F38" s="914">
        <f t="shared" ca="1" si="0"/>
        <v>-212</v>
      </c>
      <c r="G38" s="915">
        <v>5677.65</v>
      </c>
      <c r="H38" s="915">
        <v>348.87</v>
      </c>
      <c r="I38" s="915">
        <v>1284.8699999999999</v>
      </c>
      <c r="J38" s="915">
        <v>2759.04</v>
      </c>
      <c r="K38" s="916">
        <v>4043.91</v>
      </c>
      <c r="L38" s="917"/>
      <c r="M38" s="918"/>
    </row>
    <row r="39" spans="1:13">
      <c r="A39" s="910" t="s">
        <v>862</v>
      </c>
      <c r="B39" s="910" t="s">
        <v>1369</v>
      </c>
      <c r="C39" s="911" t="s">
        <v>1323</v>
      </c>
      <c r="D39" s="919" t="s">
        <v>509</v>
      </c>
      <c r="E39" s="913">
        <v>46111</v>
      </c>
      <c r="F39" s="914">
        <f t="shared" ca="1" si="0"/>
        <v>30</v>
      </c>
      <c r="G39" s="915">
        <v>5158.29</v>
      </c>
      <c r="H39" s="915">
        <v>119.68</v>
      </c>
      <c r="I39" s="915">
        <v>1694.68</v>
      </c>
      <c r="J39" s="915">
        <v>1801.25</v>
      </c>
      <c r="K39" s="916">
        <v>3495.9300000000003</v>
      </c>
      <c r="L39" s="917" t="s">
        <v>1370</v>
      </c>
      <c r="M39" s="918"/>
    </row>
    <row r="40" spans="1:13">
      <c r="A40" s="910" t="s">
        <v>866</v>
      </c>
      <c r="B40" s="910" t="s">
        <v>1371</v>
      </c>
      <c r="C40" s="911" t="s">
        <v>1323</v>
      </c>
      <c r="D40" s="919" t="s">
        <v>509</v>
      </c>
      <c r="E40" s="913">
        <v>46112</v>
      </c>
      <c r="F40" s="914">
        <f t="shared" ca="1" si="0"/>
        <v>29</v>
      </c>
      <c r="G40" s="915">
        <v>4005.26</v>
      </c>
      <c r="H40" s="915">
        <v>73.13</v>
      </c>
      <c r="I40" s="915">
        <v>1317.13</v>
      </c>
      <c r="J40" s="915">
        <v>1418.87</v>
      </c>
      <c r="K40" s="916">
        <v>2736</v>
      </c>
      <c r="L40" s="917" t="s">
        <v>1372</v>
      </c>
      <c r="M40" s="918"/>
    </row>
    <row r="41" spans="1:13">
      <c r="A41" s="910" t="s">
        <v>864</v>
      </c>
      <c r="B41" s="910" t="s">
        <v>1373</v>
      </c>
      <c r="C41" s="911" t="s">
        <v>1323</v>
      </c>
      <c r="D41" s="919" t="s">
        <v>509</v>
      </c>
      <c r="E41" s="913">
        <v>46146</v>
      </c>
      <c r="F41" s="914">
        <f t="shared" ca="1" si="0"/>
        <v>-5</v>
      </c>
      <c r="G41" s="915">
        <v>3871.83</v>
      </c>
      <c r="H41" s="915">
        <v>56.54</v>
      </c>
      <c r="I41" s="915">
        <v>1311.54</v>
      </c>
      <c r="J41" s="915">
        <v>1314.21</v>
      </c>
      <c r="K41" s="916">
        <v>2625.75</v>
      </c>
      <c r="L41" s="917" t="s">
        <v>1374</v>
      </c>
      <c r="M41" s="918"/>
    </row>
    <row r="42" spans="1:13">
      <c r="A42" s="920" t="s">
        <v>1375</v>
      </c>
      <c r="B42" s="920" t="s">
        <v>1376</v>
      </c>
      <c r="C42" s="921" t="s">
        <v>1338</v>
      </c>
      <c r="D42" s="925" t="s">
        <v>511</v>
      </c>
      <c r="E42" s="922">
        <v>46009</v>
      </c>
      <c r="F42" s="923">
        <f t="shared" ca="1" si="0"/>
        <v>132</v>
      </c>
      <c r="G42" s="924">
        <v>2611.69</v>
      </c>
      <c r="H42" s="924">
        <v>59.26</v>
      </c>
      <c r="I42" s="924">
        <v>886.26</v>
      </c>
      <c r="J42" s="924">
        <v>1606.91</v>
      </c>
      <c r="K42" s="440">
        <v>2493.17</v>
      </c>
      <c r="L42" s="917" t="s">
        <v>1364</v>
      </c>
      <c r="M42" s="441" t="s">
        <v>853</v>
      </c>
    </row>
    <row r="43" spans="1:13">
      <c r="A43" s="910" t="s">
        <v>863</v>
      </c>
      <c r="B43" s="910" t="s">
        <v>1377</v>
      </c>
      <c r="C43" s="911" t="s">
        <v>1323</v>
      </c>
      <c r="D43" s="919" t="s">
        <v>509</v>
      </c>
      <c r="E43" s="913">
        <v>46142</v>
      </c>
      <c r="F43" s="914">
        <f t="shared" ca="1" si="0"/>
        <v>-1</v>
      </c>
      <c r="G43" s="915">
        <v>3504.06</v>
      </c>
      <c r="H43" s="915">
        <v>60.87</v>
      </c>
      <c r="I43" s="915">
        <v>1182.8699999999999</v>
      </c>
      <c r="J43" s="915">
        <v>1186.45</v>
      </c>
      <c r="K43" s="916">
        <v>2369.3199999999997</v>
      </c>
      <c r="L43" s="917" t="s">
        <v>1374</v>
      </c>
      <c r="M43" s="918"/>
    </row>
    <row r="44" spans="1:13">
      <c r="A44" s="920" t="s">
        <v>1378</v>
      </c>
      <c r="B44" s="920" t="s">
        <v>1379</v>
      </c>
      <c r="C44" s="921" t="s">
        <v>1338</v>
      </c>
      <c r="D44" s="925" t="s">
        <v>511</v>
      </c>
      <c r="E44" s="922">
        <v>45901</v>
      </c>
      <c r="F44" s="923">
        <f t="shared" ca="1" si="0"/>
        <v>240</v>
      </c>
      <c r="G44" s="924">
        <v>1983.7</v>
      </c>
      <c r="H44" s="924">
        <v>95.9</v>
      </c>
      <c r="I44" s="924">
        <v>1791.9</v>
      </c>
      <c r="J44" s="924">
        <v>0</v>
      </c>
      <c r="K44" s="440">
        <v>1791.9</v>
      </c>
      <c r="L44" s="917" t="s">
        <v>1326</v>
      </c>
      <c r="M44" s="441" t="s">
        <v>853</v>
      </c>
    </row>
    <row r="45" spans="1:13">
      <c r="A45" s="920" t="s">
        <v>877</v>
      </c>
      <c r="B45" s="920" t="s">
        <v>1380</v>
      </c>
      <c r="C45" s="921" t="s">
        <v>1338</v>
      </c>
      <c r="D45" s="925" t="s">
        <v>511</v>
      </c>
      <c r="E45" s="922">
        <v>46025</v>
      </c>
      <c r="F45" s="923">
        <f t="shared" ca="1" si="0"/>
        <v>116</v>
      </c>
      <c r="G45" s="924">
        <v>1875.63</v>
      </c>
      <c r="H45" s="924">
        <v>68.66</v>
      </c>
      <c r="I45" s="924">
        <v>199.66</v>
      </c>
      <c r="J45" s="924">
        <v>1538.65</v>
      </c>
      <c r="K45" s="440">
        <v>1738.3100000000002</v>
      </c>
      <c r="L45" s="917" t="s">
        <v>1326</v>
      </c>
      <c r="M45" s="441" t="s">
        <v>853</v>
      </c>
    </row>
    <row r="46" spans="1:13">
      <c r="A46" s="910" t="s">
        <v>1381</v>
      </c>
      <c r="B46" s="910" t="s">
        <v>1382</v>
      </c>
      <c r="C46" s="911" t="s">
        <v>1323</v>
      </c>
      <c r="D46" s="919" t="s">
        <v>509</v>
      </c>
      <c r="E46" s="913">
        <v>46227</v>
      </c>
      <c r="F46" s="914">
        <f t="shared" ca="1" si="0"/>
        <v>-86</v>
      </c>
      <c r="G46" s="915">
        <v>1633.02</v>
      </c>
      <c r="H46" s="915">
        <v>62.6</v>
      </c>
      <c r="I46" s="915">
        <v>1507.82</v>
      </c>
      <c r="J46" s="915">
        <v>0</v>
      </c>
      <c r="K46" s="916">
        <v>1507.82</v>
      </c>
      <c r="L46" s="917" t="s">
        <v>1383</v>
      </c>
      <c r="M46" s="918"/>
    </row>
    <row r="47" spans="1:13">
      <c r="A47" s="920" t="s">
        <v>1384</v>
      </c>
      <c r="B47" s="920" t="s">
        <v>1385</v>
      </c>
      <c r="C47" s="921" t="s">
        <v>1338</v>
      </c>
      <c r="D47" s="925" t="s">
        <v>511</v>
      </c>
      <c r="E47" s="922">
        <v>45796</v>
      </c>
      <c r="F47" s="923">
        <f t="shared" ca="1" si="0"/>
        <v>345</v>
      </c>
      <c r="G47" s="924">
        <v>1446.76</v>
      </c>
      <c r="H47" s="924">
        <v>55.92</v>
      </c>
      <c r="I47" s="924">
        <v>1334.92</v>
      </c>
      <c r="J47" s="924">
        <v>0</v>
      </c>
      <c r="K47" s="440">
        <v>1334.92</v>
      </c>
      <c r="L47" s="917" t="s">
        <v>1326</v>
      </c>
      <c r="M47" s="441" t="s">
        <v>853</v>
      </c>
    </row>
    <row r="48" spans="1:13">
      <c r="A48" s="920" t="s">
        <v>1386</v>
      </c>
      <c r="B48" s="920" t="s">
        <v>1387</v>
      </c>
      <c r="C48" s="921" t="s">
        <v>1338</v>
      </c>
      <c r="D48" s="925" t="s">
        <v>511</v>
      </c>
      <c r="E48" s="922">
        <v>46009</v>
      </c>
      <c r="F48" s="923">
        <f t="shared" ca="1" si="0"/>
        <v>132</v>
      </c>
      <c r="G48" s="924">
        <v>1290.76</v>
      </c>
      <c r="H48" s="924">
        <v>55.92</v>
      </c>
      <c r="I48" s="924">
        <v>661.92</v>
      </c>
      <c r="J48" s="924">
        <v>517</v>
      </c>
      <c r="K48" s="440">
        <v>1178.92</v>
      </c>
      <c r="L48" s="917" t="s">
        <v>1364</v>
      </c>
      <c r="M48" s="441" t="s">
        <v>853</v>
      </c>
    </row>
    <row r="49" spans="1:13">
      <c r="A49" s="920" t="s">
        <v>1388</v>
      </c>
      <c r="B49" s="920" t="s">
        <v>1389</v>
      </c>
      <c r="C49" s="921" t="s">
        <v>1338</v>
      </c>
      <c r="D49" s="925" t="s">
        <v>511</v>
      </c>
      <c r="E49" s="922">
        <v>46009</v>
      </c>
      <c r="F49" s="923">
        <f t="shared" ca="1" si="0"/>
        <v>132</v>
      </c>
      <c r="G49" s="924">
        <v>1250.8499999999999</v>
      </c>
      <c r="H49" s="924">
        <v>54.5</v>
      </c>
      <c r="I49" s="924">
        <v>607.5</v>
      </c>
      <c r="J49" s="924">
        <v>534.35</v>
      </c>
      <c r="K49" s="440">
        <v>1141.8499999999999</v>
      </c>
      <c r="L49" s="917" t="s">
        <v>1390</v>
      </c>
      <c r="M49" s="441" t="s">
        <v>853</v>
      </c>
    </row>
    <row r="50" spans="1:13">
      <c r="A50" s="910" t="s">
        <v>875</v>
      </c>
      <c r="B50" s="910" t="s">
        <v>1391</v>
      </c>
      <c r="C50" s="911" t="s">
        <v>1323</v>
      </c>
      <c r="D50" s="919" t="s">
        <v>509</v>
      </c>
      <c r="E50" s="913">
        <v>46081</v>
      </c>
      <c r="F50" s="914">
        <f t="shared" ca="1" si="0"/>
        <v>60</v>
      </c>
      <c r="G50" s="915">
        <v>2118.6799999999998</v>
      </c>
      <c r="H50" s="915">
        <v>67.56</v>
      </c>
      <c r="I50" s="915">
        <v>967.56</v>
      </c>
      <c r="J50" s="915">
        <v>30</v>
      </c>
      <c r="K50" s="916">
        <v>997.56</v>
      </c>
      <c r="L50" s="917"/>
      <c r="M50" s="918"/>
    </row>
    <row r="51" spans="1:13">
      <c r="A51" s="910" t="s">
        <v>874</v>
      </c>
      <c r="B51" s="910" t="s">
        <v>1392</v>
      </c>
      <c r="C51" s="911" t="s">
        <v>1338</v>
      </c>
      <c r="D51" s="426" t="s">
        <v>511</v>
      </c>
      <c r="E51" s="913">
        <v>46064</v>
      </c>
      <c r="F51" s="914">
        <f t="shared" ca="1" si="0"/>
        <v>77</v>
      </c>
      <c r="G51" s="915">
        <v>2147.4299999999998</v>
      </c>
      <c r="H51" s="915">
        <v>724.81</v>
      </c>
      <c r="I51" s="915">
        <v>920.81</v>
      </c>
      <c r="J51" s="915">
        <v>0</v>
      </c>
      <c r="K51" s="916">
        <v>920.81</v>
      </c>
      <c r="L51" s="917"/>
      <c r="M51" s="918"/>
    </row>
    <row r="52" spans="1:13">
      <c r="A52" s="910" t="s">
        <v>1393</v>
      </c>
      <c r="B52" s="910" t="s">
        <v>1394</v>
      </c>
      <c r="C52" s="911" t="s">
        <v>1338</v>
      </c>
      <c r="D52" s="426" t="s">
        <v>511</v>
      </c>
      <c r="E52" s="913">
        <v>46038</v>
      </c>
      <c r="F52" s="914">
        <f t="shared" ca="1" si="0"/>
        <v>103</v>
      </c>
      <c r="G52" s="915">
        <v>746.4</v>
      </c>
      <c r="H52" s="915">
        <v>71.19</v>
      </c>
      <c r="I52" s="915">
        <v>604.02</v>
      </c>
      <c r="J52" s="915">
        <v>0</v>
      </c>
      <c r="K52" s="916">
        <v>604.02</v>
      </c>
      <c r="L52" s="917" t="s">
        <v>1326</v>
      </c>
      <c r="M52" s="918"/>
    </row>
    <row r="53" spans="1:13">
      <c r="A53" s="920" t="s">
        <v>1395</v>
      </c>
      <c r="B53" s="920" t="s">
        <v>1396</v>
      </c>
      <c r="C53" s="921" t="s">
        <v>1338</v>
      </c>
      <c r="D53" s="925" t="s">
        <v>511</v>
      </c>
      <c r="E53" s="922">
        <v>46024</v>
      </c>
      <c r="F53" s="923">
        <f t="shared" ca="1" si="0"/>
        <v>117</v>
      </c>
      <c r="G53" s="924">
        <v>495.84</v>
      </c>
      <c r="H53" s="924">
        <v>77.28</v>
      </c>
      <c r="I53" s="924">
        <v>296.27999999999997</v>
      </c>
      <c r="J53" s="924">
        <v>45</v>
      </c>
      <c r="K53" s="440">
        <v>341.28</v>
      </c>
      <c r="L53" s="917" t="s">
        <v>1364</v>
      </c>
      <c r="M53" s="441" t="s">
        <v>853</v>
      </c>
    </row>
    <row r="54" spans="1:13">
      <c r="A54" s="920" t="s">
        <v>1397</v>
      </c>
      <c r="B54" s="920" t="s">
        <v>1398</v>
      </c>
      <c r="C54" s="921" t="s">
        <v>1338</v>
      </c>
      <c r="D54" s="925" t="s">
        <v>511</v>
      </c>
      <c r="E54" s="922">
        <v>46025</v>
      </c>
      <c r="F54" s="923">
        <f t="shared" ca="1" si="0"/>
        <v>116</v>
      </c>
      <c r="G54" s="924">
        <v>407.54</v>
      </c>
      <c r="H54" s="924">
        <v>69.180000000000007</v>
      </c>
      <c r="I54" s="924">
        <v>269.18</v>
      </c>
      <c r="J54" s="924">
        <v>0</v>
      </c>
      <c r="K54" s="440">
        <v>269.18</v>
      </c>
      <c r="L54" s="917" t="s">
        <v>1364</v>
      </c>
      <c r="M54" s="441" t="s">
        <v>853</v>
      </c>
    </row>
    <row r="55" spans="1:13">
      <c r="A55" s="920" t="s">
        <v>1016</v>
      </c>
      <c r="B55" s="920" t="s">
        <v>1399</v>
      </c>
      <c r="C55" s="921" t="s">
        <v>1338</v>
      </c>
      <c r="D55" s="925" t="s">
        <v>511</v>
      </c>
      <c r="E55" s="922">
        <v>45689</v>
      </c>
      <c r="F55" s="923">
        <f t="shared" ca="1" si="0"/>
        <v>452</v>
      </c>
      <c r="G55" s="924">
        <v>378.57</v>
      </c>
      <c r="H55" s="924">
        <v>71.19</v>
      </c>
      <c r="I55" s="924">
        <v>236.19</v>
      </c>
      <c r="J55" s="924">
        <v>0</v>
      </c>
      <c r="K55" s="440">
        <v>236.19</v>
      </c>
      <c r="L55" s="917" t="s">
        <v>1364</v>
      </c>
      <c r="M55" s="441" t="s">
        <v>853</v>
      </c>
    </row>
    <row r="56" spans="1:13">
      <c r="A56" s="910" t="s">
        <v>889</v>
      </c>
      <c r="B56" s="910" t="s">
        <v>1400</v>
      </c>
      <c r="C56" s="911" t="s">
        <v>1323</v>
      </c>
      <c r="D56" s="919" t="s">
        <v>509</v>
      </c>
      <c r="E56" s="913">
        <v>46053</v>
      </c>
      <c r="F56" s="914">
        <f t="shared" ca="1" si="0"/>
        <v>88</v>
      </c>
      <c r="G56" s="915">
        <v>330.65</v>
      </c>
      <c r="H56" s="915">
        <v>75.55</v>
      </c>
      <c r="I56" s="915">
        <v>179.55</v>
      </c>
      <c r="J56" s="915">
        <v>0</v>
      </c>
      <c r="K56" s="916">
        <v>179.55</v>
      </c>
      <c r="L56" s="917"/>
      <c r="M56" s="918"/>
    </row>
    <row r="57" spans="1:13">
      <c r="A57" s="910" t="s">
        <v>878</v>
      </c>
      <c r="B57" s="910" t="s">
        <v>1401</v>
      </c>
      <c r="C57" s="911" t="s">
        <v>1338</v>
      </c>
      <c r="D57" s="426" t="s">
        <v>511</v>
      </c>
      <c r="E57" s="913">
        <v>46234</v>
      </c>
      <c r="F57" s="914">
        <f t="shared" ca="1" si="0"/>
        <v>-93</v>
      </c>
      <c r="G57" s="915">
        <v>1336.57</v>
      </c>
      <c r="H57" s="915">
        <v>952.19</v>
      </c>
      <c r="I57" s="915">
        <v>159.19</v>
      </c>
      <c r="J57" s="915">
        <v>0</v>
      </c>
      <c r="K57" s="916">
        <v>159.19</v>
      </c>
      <c r="L57" s="917"/>
      <c r="M57" s="918"/>
    </row>
    <row r="58" spans="1:13">
      <c r="A58" s="910" t="s">
        <v>1402</v>
      </c>
      <c r="B58" s="910" t="s">
        <v>1403</v>
      </c>
      <c r="C58" s="911" t="s">
        <v>1338</v>
      </c>
      <c r="D58" s="426" t="s">
        <v>511</v>
      </c>
      <c r="E58" s="913">
        <v>46053</v>
      </c>
      <c r="F58" s="914">
        <f t="shared" ca="1" si="0"/>
        <v>88</v>
      </c>
      <c r="G58" s="915">
        <v>214.77</v>
      </c>
      <c r="H58" s="915">
        <v>71.59</v>
      </c>
      <c r="I58" s="915">
        <v>71.59</v>
      </c>
      <c r="J58" s="915">
        <v>0</v>
      </c>
      <c r="K58" s="916">
        <v>71.59</v>
      </c>
      <c r="L58" s="917"/>
      <c r="M58" s="918"/>
    </row>
    <row r="59" spans="1:13">
      <c r="A59" s="910" t="s">
        <v>873</v>
      </c>
      <c r="B59" s="910" t="s">
        <v>491</v>
      </c>
      <c r="C59" s="911" t="s">
        <v>1338</v>
      </c>
      <c r="D59" s="426" t="s">
        <v>511</v>
      </c>
      <c r="E59" s="913">
        <v>46076</v>
      </c>
      <c r="F59" s="914">
        <f t="shared" ca="1" si="0"/>
        <v>65</v>
      </c>
      <c r="G59" s="915">
        <v>2307.35</v>
      </c>
      <c r="H59" s="915">
        <v>1139.45</v>
      </c>
      <c r="I59" s="915">
        <v>69.45</v>
      </c>
      <c r="J59" s="915">
        <v>0</v>
      </c>
      <c r="K59" s="916">
        <v>69.45</v>
      </c>
      <c r="L59" s="917"/>
      <c r="M59" s="918"/>
    </row>
    <row r="60" spans="1:13">
      <c r="A60" s="910" t="s">
        <v>560</v>
      </c>
      <c r="B60" s="910" t="s">
        <v>1404</v>
      </c>
      <c r="C60" s="911" t="s">
        <v>1338</v>
      </c>
      <c r="D60" s="426" t="s">
        <v>511</v>
      </c>
      <c r="E60" s="913">
        <v>46081</v>
      </c>
      <c r="F60" s="914">
        <f t="shared" ca="1" si="0"/>
        <v>60</v>
      </c>
      <c r="G60" s="915">
        <v>282.8</v>
      </c>
      <c r="H60" s="915">
        <v>62.6</v>
      </c>
      <c r="I60" s="915">
        <v>62.6</v>
      </c>
      <c r="J60" s="915">
        <v>0</v>
      </c>
      <c r="K60" s="916">
        <v>62.6</v>
      </c>
      <c r="L60" s="917"/>
      <c r="M60" s="918"/>
    </row>
    <row r="61" spans="1:13">
      <c r="A61" s="926" t="s">
        <v>887</v>
      </c>
      <c r="B61" s="926" t="s">
        <v>1405</v>
      </c>
      <c r="C61" s="927" t="s">
        <v>1338</v>
      </c>
      <c r="D61" s="427" t="s">
        <v>511</v>
      </c>
      <c r="E61" s="928">
        <v>46034</v>
      </c>
      <c r="F61" s="929">
        <f t="shared" ca="1" si="0"/>
        <v>107</v>
      </c>
      <c r="G61" s="930">
        <v>267.57</v>
      </c>
      <c r="H61" s="930">
        <v>71.19</v>
      </c>
      <c r="I61" s="930">
        <v>40.19</v>
      </c>
      <c r="J61" s="930">
        <v>0</v>
      </c>
      <c r="K61" s="931">
        <v>40.19</v>
      </c>
      <c r="L61" s="932"/>
      <c r="M61" s="933"/>
    </row>
    <row r="64" spans="1:13">
      <c r="A64" s="934" t="s">
        <v>1406</v>
      </c>
      <c r="B64" s="442"/>
      <c r="C64" s="442"/>
      <c r="D64" s="442"/>
      <c r="E64" s="442"/>
      <c r="F64" s="442"/>
      <c r="G64" s="442"/>
      <c r="H64" s="442"/>
      <c r="I64" s="442"/>
      <c r="J64" s="442"/>
      <c r="K64" s="442"/>
      <c r="L64" s="442"/>
      <c r="M64" s="442"/>
    </row>
    <row r="65" spans="1:8">
      <c r="A65" s="885" t="s">
        <v>1407</v>
      </c>
    </row>
    <row r="66" spans="1:8">
      <c r="A66" s="885" t="s">
        <v>1408</v>
      </c>
    </row>
    <row r="68" spans="1:8" ht="15" thickBot="1">
      <c r="A68" s="935" t="s">
        <v>1221</v>
      </c>
      <c r="B68" s="936" t="s">
        <v>496</v>
      </c>
      <c r="C68" s="936" t="s">
        <v>497</v>
      </c>
      <c r="D68" s="935" t="s">
        <v>340</v>
      </c>
      <c r="E68" s="935" t="s">
        <v>1316</v>
      </c>
      <c r="F68" s="935" t="s">
        <v>1409</v>
      </c>
      <c r="G68" s="935" t="s">
        <v>799</v>
      </c>
      <c r="H68" s="935" t="s">
        <v>1410</v>
      </c>
    </row>
    <row r="69" spans="1:8">
      <c r="A69" s="937">
        <v>1</v>
      </c>
      <c r="B69" s="938" t="str">
        <f>A25</f>
        <v>W03-1-0310</v>
      </c>
      <c r="C69" s="938" t="str">
        <f>B25</f>
        <v>Davis, Stephanie</v>
      </c>
      <c r="D69" s="937" t="str">
        <f>D25</f>
        <v>Eviction</v>
      </c>
      <c r="E69" s="939">
        <f>E25</f>
        <v>45869</v>
      </c>
      <c r="F69" s="940">
        <f ca="1">F25</f>
        <v>272</v>
      </c>
      <c r="G69" s="941">
        <f>G25</f>
        <v>7291.69</v>
      </c>
      <c r="H69" s="942">
        <f>K25</f>
        <v>7151.4699999999993</v>
      </c>
    </row>
    <row r="70" spans="1:8">
      <c r="A70" s="911">
        <v>2</v>
      </c>
      <c r="B70" s="910" t="str">
        <f>A28</f>
        <v>W08-1-0802</v>
      </c>
      <c r="C70" s="910" t="str">
        <f>B28</f>
        <v>Butler, Leila</v>
      </c>
      <c r="D70" s="911" t="str">
        <f>D28</f>
        <v>Eviction</v>
      </c>
      <c r="E70" s="913">
        <f>E28</f>
        <v>45973</v>
      </c>
      <c r="F70" s="943">
        <f ca="1">F28</f>
        <v>168</v>
      </c>
      <c r="G70" s="915">
        <f>G28</f>
        <v>6589.16</v>
      </c>
      <c r="H70" s="944">
        <f>K28</f>
        <v>6396.5999999999995</v>
      </c>
    </row>
    <row r="71" spans="1:8">
      <c r="A71" s="911">
        <v>3</v>
      </c>
      <c r="B71" s="910" t="str">
        <f>A32</f>
        <v>W24-2-1032</v>
      </c>
      <c r="C71" s="910" t="str">
        <f>B32</f>
        <v>Manning, Vita</v>
      </c>
      <c r="D71" s="911" t="str">
        <f>D32</f>
        <v>Skip</v>
      </c>
      <c r="E71" s="913">
        <f>E32</f>
        <v>45747</v>
      </c>
      <c r="F71" s="943">
        <f ca="1">F32</f>
        <v>394</v>
      </c>
      <c r="G71" s="915">
        <f>G32</f>
        <v>6091.76</v>
      </c>
      <c r="H71" s="944">
        <f>K32</f>
        <v>5945.5</v>
      </c>
    </row>
    <row r="72" spans="1:8">
      <c r="A72" s="911">
        <v>4</v>
      </c>
      <c r="B72" s="910" t="str">
        <f>A42</f>
        <v>S37-150</v>
      </c>
      <c r="C72" s="910" t="str">
        <f>B42</f>
        <v>Isidro, Oscar</v>
      </c>
      <c r="D72" s="911" t="str">
        <f>D42</f>
        <v>Former</v>
      </c>
      <c r="E72" s="913">
        <f>E42</f>
        <v>46009</v>
      </c>
      <c r="F72" s="943">
        <f ca="1">F42</f>
        <v>132</v>
      </c>
      <c r="G72" s="915">
        <f>G42</f>
        <v>2611.69</v>
      </c>
      <c r="H72" s="944">
        <f>K42</f>
        <v>2493.17</v>
      </c>
    </row>
    <row r="73" spans="1:8">
      <c r="A73" s="911">
        <v>5</v>
      </c>
      <c r="B73" s="910" t="str">
        <f>A44</f>
        <v>W18-2-1070</v>
      </c>
      <c r="C73" s="910" t="str">
        <f>B44</f>
        <v>Vasquez, Bethis</v>
      </c>
      <c r="D73" s="911" t="str">
        <f t="shared" ref="D73:G74" si="1">D44</f>
        <v>Former</v>
      </c>
      <c r="E73" s="913">
        <f t="shared" si="1"/>
        <v>45901</v>
      </c>
      <c r="F73" s="943">
        <f t="shared" ca="1" si="1"/>
        <v>240</v>
      </c>
      <c r="G73" s="915">
        <f t="shared" si="1"/>
        <v>1983.7</v>
      </c>
      <c r="H73" s="944">
        <f>K44</f>
        <v>1791.9</v>
      </c>
    </row>
    <row r="74" spans="1:8">
      <c r="A74" s="911">
        <v>6</v>
      </c>
      <c r="B74" s="910" t="str">
        <f>A45</f>
        <v>S27-421</v>
      </c>
      <c r="C74" s="910" t="str">
        <f>B45</f>
        <v>Sunday, Prince</v>
      </c>
      <c r="D74" s="911" t="str">
        <f t="shared" si="1"/>
        <v>Former</v>
      </c>
      <c r="E74" s="913">
        <f t="shared" si="1"/>
        <v>46025</v>
      </c>
      <c r="F74" s="943">
        <f t="shared" ca="1" si="1"/>
        <v>116</v>
      </c>
      <c r="G74" s="915">
        <f t="shared" si="1"/>
        <v>1875.63</v>
      </c>
      <c r="H74" s="944">
        <f>K45</f>
        <v>1738.3100000000002</v>
      </c>
    </row>
    <row r="75" spans="1:8">
      <c r="A75" s="911">
        <v>7</v>
      </c>
      <c r="B75" s="910" t="str">
        <f t="shared" ref="B75:C77" si="2">A47</f>
        <v>S27-422</v>
      </c>
      <c r="C75" s="910" t="str">
        <f t="shared" si="2"/>
        <v>Ilugbekhai, Roseline</v>
      </c>
      <c r="D75" s="911" t="str">
        <f t="shared" ref="D75:G77" si="3">D47</f>
        <v>Former</v>
      </c>
      <c r="E75" s="913">
        <f t="shared" si="3"/>
        <v>45796</v>
      </c>
      <c r="F75" s="943">
        <f t="shared" ca="1" si="3"/>
        <v>345</v>
      </c>
      <c r="G75" s="915">
        <f t="shared" si="3"/>
        <v>1446.76</v>
      </c>
      <c r="H75" s="944">
        <f>K47</f>
        <v>1334.92</v>
      </c>
    </row>
    <row r="76" spans="1:8">
      <c r="A76" s="911">
        <v>8</v>
      </c>
      <c r="B76" s="910" t="str">
        <f t="shared" si="2"/>
        <v>S26-416</v>
      </c>
      <c r="C76" s="910" t="str">
        <f t="shared" si="2"/>
        <v>Thomas, Archesicia</v>
      </c>
      <c r="D76" s="911" t="str">
        <f t="shared" si="3"/>
        <v>Former</v>
      </c>
      <c r="E76" s="913">
        <f t="shared" si="3"/>
        <v>46009</v>
      </c>
      <c r="F76" s="943">
        <f t="shared" ca="1" si="3"/>
        <v>132</v>
      </c>
      <c r="G76" s="915">
        <f t="shared" si="3"/>
        <v>1290.76</v>
      </c>
      <c r="H76" s="944">
        <f>K48</f>
        <v>1178.92</v>
      </c>
    </row>
    <row r="77" spans="1:8">
      <c r="A77" s="911">
        <v>9</v>
      </c>
      <c r="B77" s="910" t="str">
        <f t="shared" si="2"/>
        <v>N09-1035</v>
      </c>
      <c r="C77" s="910" t="str">
        <f t="shared" si="2"/>
        <v>Lewis, Christopher</v>
      </c>
      <c r="D77" s="911" t="str">
        <f t="shared" si="3"/>
        <v>Former</v>
      </c>
      <c r="E77" s="913">
        <f t="shared" si="3"/>
        <v>46009</v>
      </c>
      <c r="F77" s="943">
        <f t="shared" ca="1" si="3"/>
        <v>132</v>
      </c>
      <c r="G77" s="915">
        <f t="shared" si="3"/>
        <v>1250.8499999999999</v>
      </c>
      <c r="H77" s="944">
        <f>K49</f>
        <v>1141.8499999999999</v>
      </c>
    </row>
    <row r="78" spans="1:8">
      <c r="A78" s="911">
        <v>10</v>
      </c>
      <c r="B78" s="910" t="str">
        <f t="shared" ref="B78:C80" si="4">A53</f>
        <v>N13-1056</v>
      </c>
      <c r="C78" s="910" t="str">
        <f t="shared" si="4"/>
        <v>Susana, Nely</v>
      </c>
      <c r="D78" s="911" t="str">
        <f t="shared" ref="D78:G80" si="5">D53</f>
        <v>Former</v>
      </c>
      <c r="E78" s="913">
        <f t="shared" si="5"/>
        <v>46024</v>
      </c>
      <c r="F78" s="943">
        <f t="shared" ca="1" si="5"/>
        <v>117</v>
      </c>
      <c r="G78" s="915">
        <f t="shared" si="5"/>
        <v>495.84</v>
      </c>
      <c r="H78" s="944">
        <f>K53</f>
        <v>341.28</v>
      </c>
    </row>
    <row r="79" spans="1:8">
      <c r="A79" s="911">
        <v>11</v>
      </c>
      <c r="B79" s="910" t="str">
        <f t="shared" si="4"/>
        <v>N01-3003</v>
      </c>
      <c r="C79" s="910" t="str">
        <f t="shared" si="4"/>
        <v>Emeribe, Ikechukwu</v>
      </c>
      <c r="D79" s="911" t="str">
        <f t="shared" si="5"/>
        <v>Former</v>
      </c>
      <c r="E79" s="913">
        <f t="shared" si="5"/>
        <v>46025</v>
      </c>
      <c r="F79" s="943">
        <f t="shared" ca="1" si="5"/>
        <v>116</v>
      </c>
      <c r="G79" s="915">
        <f t="shared" si="5"/>
        <v>407.54</v>
      </c>
      <c r="H79" s="944">
        <f>K54</f>
        <v>269.18</v>
      </c>
    </row>
    <row r="80" spans="1:8">
      <c r="A80" s="927">
        <v>12</v>
      </c>
      <c r="B80" s="926" t="str">
        <f t="shared" si="4"/>
        <v>W09-1-0913</v>
      </c>
      <c r="C80" s="926" t="str">
        <f t="shared" si="4"/>
        <v>Ramos, Jose</v>
      </c>
      <c r="D80" s="927" t="str">
        <f t="shared" si="5"/>
        <v>Former</v>
      </c>
      <c r="E80" s="928">
        <f t="shared" si="5"/>
        <v>45689</v>
      </c>
      <c r="F80" s="945">
        <f t="shared" ca="1" si="5"/>
        <v>452</v>
      </c>
      <c r="G80" s="930">
        <f t="shared" si="5"/>
        <v>378.57</v>
      </c>
      <c r="H80" s="946">
        <f>K55</f>
        <v>236.19</v>
      </c>
    </row>
    <row r="81" spans="1:8">
      <c r="A81" s="137"/>
      <c r="B81" s="137"/>
      <c r="C81" s="137"/>
      <c r="D81" s="137"/>
      <c r="E81" s="137"/>
      <c r="F81" s="947" t="s">
        <v>291</v>
      </c>
      <c r="G81" s="948">
        <f>SUM(G69:G80)</f>
        <v>31713.949999999997</v>
      </c>
      <c r="H81" s="948">
        <f>SUM(H69:H80)</f>
        <v>30019.289999999997</v>
      </c>
    </row>
    <row r="83" spans="1:8">
      <c r="A83" s="886" t="s">
        <v>1411</v>
      </c>
      <c r="B83" s="120"/>
      <c r="C83" s="120"/>
      <c r="D83" s="120"/>
      <c r="E83" s="120"/>
      <c r="F83" s="120"/>
      <c r="G83" s="120"/>
      <c r="H83" s="120"/>
    </row>
    <row r="84" spans="1:8">
      <c r="A84" s="338" t="s">
        <v>1412</v>
      </c>
      <c r="B84" s="949">
        <v>46081</v>
      </c>
      <c r="D84" s="338" t="s">
        <v>1413</v>
      </c>
      <c r="E84" s="950" t="s">
        <v>1414</v>
      </c>
      <c r="G84" s="338" t="s">
        <v>1415</v>
      </c>
      <c r="H84" s="443">
        <f>COUNTA(B69:B80)</f>
        <v>12</v>
      </c>
    </row>
    <row r="86" spans="1:8" ht="15" thickBot="1">
      <c r="A86" s="951" t="s">
        <v>1416</v>
      </c>
      <c r="B86" s="951" t="s">
        <v>1417</v>
      </c>
      <c r="C86" s="444"/>
      <c r="D86" s="444"/>
      <c r="E86" s="444"/>
      <c r="F86" s="444"/>
      <c r="G86" s="952" t="s">
        <v>1418</v>
      </c>
      <c r="H86" s="952" t="s">
        <v>1419</v>
      </c>
    </row>
    <row r="87" spans="1:8">
      <c r="A87" s="445" t="s">
        <v>1420</v>
      </c>
      <c r="B87" s="953" t="s">
        <v>1421</v>
      </c>
      <c r="G87" s="446">
        <f>H81</f>
        <v>30019.289999999997</v>
      </c>
      <c r="H87" s="447" t="s">
        <v>1422</v>
      </c>
    </row>
    <row r="88" spans="1:8" ht="15" thickBot="1">
      <c r="A88" s="445" t="s">
        <v>1423</v>
      </c>
      <c r="B88" s="953" t="s">
        <v>1421</v>
      </c>
      <c r="G88" s="447" t="s">
        <v>1422</v>
      </c>
      <c r="H88" s="446">
        <f>H81</f>
        <v>30019.289999999997</v>
      </c>
    </row>
    <row r="89" spans="1:8">
      <c r="F89" s="954" t="s">
        <v>1310</v>
      </c>
      <c r="G89" s="955">
        <f>G87</f>
        <v>30019.289999999997</v>
      </c>
      <c r="H89" s="955">
        <f>H88</f>
        <v>30019.289999999997</v>
      </c>
    </row>
    <row r="92" spans="1:8">
      <c r="A92" s="448" t="s">
        <v>1424</v>
      </c>
      <c r="B92" s="138"/>
      <c r="C92" s="138"/>
      <c r="E92" s="448" t="s">
        <v>1425</v>
      </c>
      <c r="F92" s="138"/>
      <c r="G92" s="138"/>
    </row>
    <row r="93" spans="1:8">
      <c r="A93" s="448" t="s">
        <v>1412</v>
      </c>
      <c r="B93" s="449"/>
      <c r="C93" s="449"/>
      <c r="E93" s="448" t="s">
        <v>1412</v>
      </c>
      <c r="F93" s="449"/>
      <c r="G93" s="449"/>
    </row>
  </sheetData>
  <conditionalFormatting sqref="F14:F61">
    <cfRule type="cellIs" dxfId="4" priority="1" operator="greaterThanOrEqual">
      <formula>60</formula>
    </cfRule>
    <cfRule type="cellIs" dxfId="3" priority="2" operator="lessThan">
      <formula>60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W44"/>
  <sheetViews>
    <sheetView showGridLines="0" zoomScaleNormal="100" workbookViewId="0">
      <pane xSplit="2" ySplit="4" topLeftCell="C11" activePane="bottomRight" state="frozen"/>
      <selection pane="topRight" activeCell="C1" sqref="C1"/>
      <selection pane="bottomLeft" activeCell="A5" sqref="A5"/>
      <selection pane="bottomRight" activeCell="J20" sqref="J20"/>
    </sheetView>
  </sheetViews>
  <sheetFormatPr defaultColWidth="8.54296875" defaultRowHeight="14.5"/>
  <cols>
    <col min="1" max="3" width="12" customWidth="1"/>
    <col min="4" max="4" width="14" customWidth="1"/>
    <col min="5" max="5" width="12" customWidth="1"/>
    <col min="6" max="6" width="7" customWidth="1"/>
    <col min="7" max="8" width="8" customWidth="1"/>
    <col min="9" max="11" width="9" customWidth="1"/>
    <col min="12" max="13" width="11" customWidth="1"/>
    <col min="14" max="14" width="8" customWidth="1"/>
    <col min="15" max="15" width="11" customWidth="1"/>
    <col min="16" max="17" width="12" customWidth="1"/>
  </cols>
  <sheetData>
    <row r="1" spans="1:23" ht="24" customHeight="1">
      <c r="A1" s="10" t="s">
        <v>218</v>
      </c>
    </row>
    <row r="2" spans="1:23" ht="15" customHeight="1">
      <c r="A2" s="11" t="s">
        <v>1426</v>
      </c>
    </row>
    <row r="4" spans="1:23" ht="15" customHeight="1">
      <c r="A4" s="100" t="s">
        <v>1427</v>
      </c>
      <c r="B4" s="100" t="s">
        <v>1</v>
      </c>
      <c r="C4" s="100" t="s">
        <v>342</v>
      </c>
      <c r="D4" s="100" t="s">
        <v>1428</v>
      </c>
      <c r="E4" s="100" t="s">
        <v>1429</v>
      </c>
      <c r="F4" s="100" t="s">
        <v>348</v>
      </c>
      <c r="G4" s="100" t="s">
        <v>1430</v>
      </c>
      <c r="H4" s="100" t="s">
        <v>350</v>
      </c>
      <c r="I4" s="100" t="s">
        <v>351</v>
      </c>
      <c r="J4" s="100" t="s">
        <v>366</v>
      </c>
      <c r="K4" s="100" t="s">
        <v>444</v>
      </c>
      <c r="L4" s="100" t="s">
        <v>1431</v>
      </c>
      <c r="M4" s="100" t="s">
        <v>1432</v>
      </c>
      <c r="N4" s="100" t="s">
        <v>1433</v>
      </c>
      <c r="O4" s="418" t="s">
        <v>1434</v>
      </c>
      <c r="P4" s="406" t="s">
        <v>1435</v>
      </c>
      <c r="Q4" s="405" t="s">
        <v>575</v>
      </c>
      <c r="R4" s="405" t="s">
        <v>529</v>
      </c>
      <c r="S4" s="405" t="s">
        <v>528</v>
      </c>
      <c r="T4" s="405" t="s">
        <v>1436</v>
      </c>
      <c r="U4" s="405" t="s">
        <v>358</v>
      </c>
      <c r="V4" s="405" t="s">
        <v>1437</v>
      </c>
      <c r="W4" s="405" t="s">
        <v>1438</v>
      </c>
    </row>
    <row r="5" spans="1:23" ht="15" customHeight="1">
      <c r="A5" s="102">
        <v>1</v>
      </c>
      <c r="B5" s="103">
        <v>46028</v>
      </c>
      <c r="C5" s="104">
        <v>0.79400000000000004</v>
      </c>
      <c r="D5" s="105">
        <v>699</v>
      </c>
      <c r="E5" s="105">
        <v>105</v>
      </c>
      <c r="F5" s="105">
        <v>20</v>
      </c>
      <c r="G5" s="105">
        <v>14</v>
      </c>
      <c r="H5" s="105">
        <v>10</v>
      </c>
      <c r="I5" s="105">
        <v>9</v>
      </c>
      <c r="J5" s="104">
        <v>0.7</v>
      </c>
      <c r="K5" s="105">
        <v>5</v>
      </c>
      <c r="L5" s="106">
        <v>919000</v>
      </c>
      <c r="M5" s="106">
        <v>735000</v>
      </c>
      <c r="N5" s="104">
        <v>0.8</v>
      </c>
      <c r="O5" s="419">
        <v>300000</v>
      </c>
      <c r="P5" s="401"/>
      <c r="Q5" s="401"/>
      <c r="R5" s="401"/>
      <c r="S5" s="401"/>
      <c r="T5" s="401"/>
      <c r="U5" s="401"/>
      <c r="V5" s="401"/>
      <c r="W5" s="401"/>
    </row>
    <row r="6" spans="1:23" ht="15" customHeight="1">
      <c r="A6" s="102">
        <v>2</v>
      </c>
      <c r="B6" s="103">
        <v>46035</v>
      </c>
      <c r="C6" s="104">
        <v>0.8</v>
      </c>
      <c r="D6" s="105">
        <v>704</v>
      </c>
      <c r="E6" s="105">
        <v>110</v>
      </c>
      <c r="F6" s="105">
        <v>21</v>
      </c>
      <c r="G6" s="105">
        <v>15</v>
      </c>
      <c r="H6" s="105">
        <v>11</v>
      </c>
      <c r="I6" s="105">
        <v>9</v>
      </c>
      <c r="J6" s="104">
        <v>0.7</v>
      </c>
      <c r="K6" s="105">
        <v>5</v>
      </c>
      <c r="L6" s="106">
        <v>919000</v>
      </c>
      <c r="M6" s="106">
        <v>781000</v>
      </c>
      <c r="N6" s="104">
        <v>0.85</v>
      </c>
      <c r="O6" s="419">
        <v>300000</v>
      </c>
      <c r="P6" s="401"/>
      <c r="Q6" s="401"/>
      <c r="R6" s="401"/>
      <c r="S6" s="401"/>
      <c r="T6" s="401"/>
      <c r="U6" s="401"/>
      <c r="V6" s="401"/>
      <c r="W6" s="401"/>
    </row>
    <row r="7" spans="1:23" ht="15" customHeight="1">
      <c r="A7" s="102">
        <v>3</v>
      </c>
      <c r="B7" s="103">
        <v>46042</v>
      </c>
      <c r="C7" s="104">
        <v>0.80600000000000005</v>
      </c>
      <c r="D7" s="105">
        <v>709</v>
      </c>
      <c r="E7" s="105">
        <v>115</v>
      </c>
      <c r="F7" s="105">
        <v>22</v>
      </c>
      <c r="G7" s="105">
        <v>15</v>
      </c>
      <c r="H7" s="105">
        <v>12</v>
      </c>
      <c r="I7" s="105">
        <v>10</v>
      </c>
      <c r="J7" s="104">
        <v>0.7</v>
      </c>
      <c r="K7" s="105">
        <v>5</v>
      </c>
      <c r="L7" s="106">
        <v>919000</v>
      </c>
      <c r="M7" s="106">
        <v>827000</v>
      </c>
      <c r="N7" s="104">
        <v>0.9</v>
      </c>
      <c r="O7" s="419">
        <v>300000</v>
      </c>
      <c r="P7" s="401"/>
      <c r="Q7" s="401"/>
      <c r="R7" s="401"/>
      <c r="S7" s="401"/>
      <c r="T7" s="401"/>
      <c r="U7" s="401"/>
      <c r="V7" s="401"/>
      <c r="W7" s="401"/>
    </row>
    <row r="8" spans="1:23" ht="15" customHeight="1">
      <c r="A8" s="107">
        <v>4</v>
      </c>
      <c r="B8" s="108">
        <v>46049</v>
      </c>
      <c r="C8" s="109">
        <v>0.81</v>
      </c>
      <c r="D8" s="110">
        <v>713</v>
      </c>
      <c r="E8" s="110">
        <v>120</v>
      </c>
      <c r="F8" s="110">
        <v>22</v>
      </c>
      <c r="G8" s="110">
        <v>16</v>
      </c>
      <c r="H8" s="110">
        <v>12</v>
      </c>
      <c r="I8" s="110">
        <v>10</v>
      </c>
      <c r="J8" s="109">
        <v>0.7</v>
      </c>
      <c r="K8" s="110">
        <v>5</v>
      </c>
      <c r="L8" s="111">
        <v>919000</v>
      </c>
      <c r="M8" s="111">
        <v>855000</v>
      </c>
      <c r="N8" s="109">
        <v>0.93</v>
      </c>
      <c r="O8" s="420">
        <v>300000</v>
      </c>
      <c r="P8" s="401"/>
      <c r="Q8" s="401"/>
      <c r="R8" s="401"/>
      <c r="S8" s="401"/>
      <c r="T8" s="401"/>
      <c r="U8" s="401"/>
      <c r="V8" s="401"/>
      <c r="W8" s="401"/>
    </row>
    <row r="9" spans="1:23" ht="15" customHeight="1">
      <c r="A9" s="102">
        <v>5</v>
      </c>
      <c r="B9" s="103">
        <v>46056</v>
      </c>
      <c r="C9" s="104">
        <v>0.81499999999999995</v>
      </c>
      <c r="D9" s="105">
        <v>717</v>
      </c>
      <c r="E9" s="105">
        <v>115</v>
      </c>
      <c r="F9" s="105">
        <v>22</v>
      </c>
      <c r="G9" s="105">
        <v>16</v>
      </c>
      <c r="H9" s="105">
        <v>12</v>
      </c>
      <c r="I9" s="105">
        <v>10</v>
      </c>
      <c r="J9" s="104">
        <v>0.7</v>
      </c>
      <c r="K9" s="105">
        <v>6</v>
      </c>
      <c r="L9" s="106">
        <v>966000</v>
      </c>
      <c r="M9" s="106">
        <v>386000</v>
      </c>
      <c r="N9" s="104">
        <v>0.4</v>
      </c>
      <c r="O9" s="419">
        <v>227000</v>
      </c>
      <c r="P9" s="401"/>
      <c r="Q9" s="401"/>
      <c r="R9" s="401"/>
      <c r="S9" s="401"/>
      <c r="T9" s="401"/>
      <c r="U9" s="401"/>
      <c r="V9" s="401"/>
      <c r="W9" s="401"/>
    </row>
    <row r="10" spans="1:23" ht="15" customHeight="1">
      <c r="A10" s="102">
        <v>6</v>
      </c>
      <c r="B10" s="103">
        <v>46063</v>
      </c>
      <c r="C10" s="104">
        <v>0.81899999999999995</v>
      </c>
      <c r="D10" s="105">
        <v>721</v>
      </c>
      <c r="E10" s="105">
        <v>120</v>
      </c>
      <c r="F10" s="105">
        <v>23</v>
      </c>
      <c r="G10" s="105">
        <v>16</v>
      </c>
      <c r="H10" s="105">
        <v>12</v>
      </c>
      <c r="I10" s="105">
        <v>11</v>
      </c>
      <c r="J10" s="104">
        <v>0.7</v>
      </c>
      <c r="K10" s="105">
        <v>7</v>
      </c>
      <c r="L10" s="106">
        <v>966000</v>
      </c>
      <c r="M10" s="106">
        <v>725000</v>
      </c>
      <c r="N10" s="104">
        <v>0.75</v>
      </c>
      <c r="O10" s="419">
        <v>227000</v>
      </c>
      <c r="P10" s="401"/>
      <c r="Q10" s="401"/>
      <c r="R10" s="401"/>
      <c r="S10" s="401"/>
      <c r="T10" s="401"/>
      <c r="U10" s="401"/>
      <c r="V10" s="401"/>
      <c r="W10" s="401"/>
    </row>
    <row r="11" spans="1:23" ht="15" customHeight="1">
      <c r="A11" s="102">
        <v>7</v>
      </c>
      <c r="B11" s="103">
        <v>46070</v>
      </c>
      <c r="C11" s="104">
        <v>0.82399999999999995</v>
      </c>
      <c r="D11" s="105">
        <v>725</v>
      </c>
      <c r="E11" s="105">
        <v>120</v>
      </c>
      <c r="F11" s="105">
        <v>23</v>
      </c>
      <c r="G11" s="105">
        <v>16</v>
      </c>
      <c r="H11" s="105">
        <v>12</v>
      </c>
      <c r="I11" s="105">
        <v>10</v>
      </c>
      <c r="J11" s="104">
        <v>0.7</v>
      </c>
      <c r="K11" s="105">
        <v>6</v>
      </c>
      <c r="L11" s="106">
        <v>966000</v>
      </c>
      <c r="M11" s="106">
        <v>773000</v>
      </c>
      <c r="N11" s="104">
        <v>0.8</v>
      </c>
      <c r="O11" s="419">
        <v>227000</v>
      </c>
      <c r="P11" s="401"/>
      <c r="Q11" s="401"/>
      <c r="R11" s="401"/>
      <c r="S11" s="401"/>
      <c r="T11" s="401"/>
      <c r="U11" s="401"/>
      <c r="V11" s="401"/>
      <c r="W11" s="401"/>
    </row>
    <row r="12" spans="1:23" ht="15" customHeight="1">
      <c r="A12" s="107">
        <v>8</v>
      </c>
      <c r="B12" s="108">
        <v>46077</v>
      </c>
      <c r="C12" s="109">
        <v>0.82899999999999996</v>
      </c>
      <c r="D12" s="110">
        <v>730</v>
      </c>
      <c r="E12" s="110">
        <v>120</v>
      </c>
      <c r="F12" s="110">
        <v>23</v>
      </c>
      <c r="G12" s="110">
        <v>17</v>
      </c>
      <c r="H12" s="110">
        <v>13</v>
      </c>
      <c r="I12" s="110">
        <v>11</v>
      </c>
      <c r="J12" s="109">
        <v>0.7</v>
      </c>
      <c r="K12" s="110">
        <v>6</v>
      </c>
      <c r="L12" s="111">
        <v>966000</v>
      </c>
      <c r="M12" s="111">
        <v>908000</v>
      </c>
      <c r="N12" s="109">
        <v>0.94</v>
      </c>
      <c r="O12" s="420">
        <v>227000</v>
      </c>
      <c r="P12" s="401"/>
      <c r="Q12" s="401"/>
      <c r="R12" s="401"/>
      <c r="S12" s="401"/>
      <c r="T12" s="401"/>
      <c r="U12" s="401"/>
      <c r="V12" s="401"/>
      <c r="W12" s="401"/>
    </row>
    <row r="13" spans="1:23" ht="15" customHeight="1">
      <c r="A13" s="102">
        <v>9</v>
      </c>
      <c r="B13" s="103">
        <v>46084</v>
      </c>
      <c r="C13" s="104">
        <v>0.83499999999999996</v>
      </c>
      <c r="D13" s="105">
        <v>735</v>
      </c>
      <c r="E13" s="105">
        <v>125</v>
      </c>
      <c r="F13" s="105">
        <v>24</v>
      </c>
      <c r="G13" s="105">
        <v>17</v>
      </c>
      <c r="H13" s="105">
        <v>13</v>
      </c>
      <c r="I13" s="105">
        <v>11</v>
      </c>
      <c r="J13" s="104">
        <v>0.7</v>
      </c>
      <c r="K13" s="105">
        <v>7</v>
      </c>
      <c r="L13" s="106">
        <v>966000</v>
      </c>
      <c r="M13" s="106">
        <f>M9</f>
        <v>386000</v>
      </c>
      <c r="N13" s="104">
        <v>0.4</v>
      </c>
      <c r="O13" s="419">
        <v>227000</v>
      </c>
      <c r="P13" s="401"/>
      <c r="Q13" s="401"/>
      <c r="R13" s="401"/>
      <c r="S13" s="401"/>
      <c r="T13" s="401"/>
      <c r="U13" s="401"/>
      <c r="V13" s="401"/>
      <c r="W13" s="401"/>
    </row>
    <row r="14" spans="1:23" ht="15" customHeight="1">
      <c r="A14" s="102">
        <v>10</v>
      </c>
      <c r="B14" s="103">
        <v>46091</v>
      </c>
      <c r="C14" s="104">
        <v>0.84099999999999997</v>
      </c>
      <c r="D14" s="105">
        <v>740</v>
      </c>
      <c r="E14" s="105">
        <v>125</v>
      </c>
      <c r="F14" s="105">
        <v>24</v>
      </c>
      <c r="G14" s="105">
        <v>17</v>
      </c>
      <c r="H14" s="105">
        <v>13</v>
      </c>
      <c r="I14" s="105">
        <v>11</v>
      </c>
      <c r="J14" s="104">
        <v>0.7</v>
      </c>
      <c r="K14" s="105">
        <v>7</v>
      </c>
      <c r="L14" s="106">
        <v>968000</v>
      </c>
      <c r="M14" s="106">
        <v>774000</v>
      </c>
      <c r="N14" s="104">
        <v>0.8</v>
      </c>
      <c r="O14" s="419">
        <v>195000</v>
      </c>
      <c r="P14" s="402">
        <v>95</v>
      </c>
      <c r="Q14" s="402">
        <v>45</v>
      </c>
      <c r="R14" s="402">
        <v>8</v>
      </c>
      <c r="S14" s="402">
        <v>30</v>
      </c>
      <c r="T14" s="417">
        <v>0.08</v>
      </c>
      <c r="U14" s="417">
        <v>0.32</v>
      </c>
      <c r="V14" s="402">
        <v>18</v>
      </c>
      <c r="W14" s="29">
        <v>10</v>
      </c>
    </row>
    <row r="15" spans="1:23" ht="15" customHeight="1">
      <c r="A15" s="102">
        <v>11</v>
      </c>
      <c r="B15" s="103">
        <v>46098</v>
      </c>
      <c r="C15" s="104">
        <v>0.84499999999999997</v>
      </c>
      <c r="D15" s="105">
        <v>744</v>
      </c>
      <c r="E15" s="105">
        <v>125</v>
      </c>
      <c r="F15" s="105">
        <v>24</v>
      </c>
      <c r="G15" s="105">
        <v>18</v>
      </c>
      <c r="H15" s="105">
        <v>13</v>
      </c>
      <c r="I15" s="105">
        <v>11</v>
      </c>
      <c r="J15" s="104">
        <v>0.7</v>
      </c>
      <c r="K15" s="105">
        <v>7</v>
      </c>
      <c r="L15" s="106">
        <v>968000</v>
      </c>
      <c r="M15" s="106">
        <v>823000</v>
      </c>
      <c r="N15" s="104">
        <v>0.85</v>
      </c>
      <c r="O15" s="419">
        <v>195000</v>
      </c>
      <c r="P15" s="402">
        <v>95</v>
      </c>
      <c r="Q15" s="402">
        <v>45</v>
      </c>
      <c r="R15" s="402">
        <v>8</v>
      </c>
      <c r="S15" s="402">
        <v>30</v>
      </c>
      <c r="T15" s="417">
        <v>0.08</v>
      </c>
      <c r="U15" s="417">
        <v>0.32</v>
      </c>
      <c r="V15" s="402">
        <v>18</v>
      </c>
      <c r="W15" s="29">
        <v>10</v>
      </c>
    </row>
    <row r="16" spans="1:23" ht="15" customHeight="1">
      <c r="A16" s="102">
        <v>12</v>
      </c>
      <c r="B16" s="103">
        <v>46105</v>
      </c>
      <c r="C16" s="104">
        <v>0.85</v>
      </c>
      <c r="D16" s="105">
        <v>748</v>
      </c>
      <c r="E16" s="105">
        <v>125</v>
      </c>
      <c r="F16" s="105">
        <v>24</v>
      </c>
      <c r="G16" s="105">
        <v>18</v>
      </c>
      <c r="H16" s="105">
        <v>13</v>
      </c>
      <c r="I16" s="105">
        <v>11</v>
      </c>
      <c r="J16" s="104">
        <v>0.7</v>
      </c>
      <c r="K16" s="105">
        <v>6</v>
      </c>
      <c r="L16" s="106">
        <v>968000</v>
      </c>
      <c r="M16" s="106">
        <v>871000</v>
      </c>
      <c r="N16" s="104">
        <v>0.9</v>
      </c>
      <c r="O16" s="419">
        <v>195000</v>
      </c>
      <c r="P16" s="402">
        <v>90</v>
      </c>
      <c r="Q16" s="402">
        <v>42</v>
      </c>
      <c r="R16" s="402">
        <v>9</v>
      </c>
      <c r="S16" s="402">
        <v>28</v>
      </c>
      <c r="T16" s="417">
        <v>0.1</v>
      </c>
      <c r="U16" s="417">
        <v>0.3</v>
      </c>
      <c r="V16" s="402">
        <v>15</v>
      </c>
      <c r="W16" s="29">
        <v>10</v>
      </c>
    </row>
    <row r="17" spans="1:23" ht="15" customHeight="1">
      <c r="A17" s="107">
        <v>13</v>
      </c>
      <c r="B17" s="108">
        <v>46111</v>
      </c>
      <c r="C17" s="109">
        <v>0.85499999999999998</v>
      </c>
      <c r="D17" s="110">
        <v>752</v>
      </c>
      <c r="E17" s="110">
        <v>125</v>
      </c>
      <c r="F17" s="110">
        <v>24</v>
      </c>
      <c r="G17" s="110">
        <v>18</v>
      </c>
      <c r="H17" s="110">
        <v>13</v>
      </c>
      <c r="I17" s="110">
        <v>11</v>
      </c>
      <c r="J17" s="109">
        <v>0.7</v>
      </c>
      <c r="K17" s="110">
        <v>7</v>
      </c>
      <c r="L17" s="111">
        <v>970000</v>
      </c>
      <c r="M17" s="111">
        <v>910000</v>
      </c>
      <c r="N17" s="109">
        <v>0.94</v>
      </c>
      <c r="O17" s="420">
        <v>195000</v>
      </c>
      <c r="P17" s="403">
        <v>80</v>
      </c>
      <c r="Q17" s="403">
        <v>40</v>
      </c>
      <c r="R17" s="403">
        <v>10</v>
      </c>
      <c r="S17" s="403">
        <v>25</v>
      </c>
      <c r="T17" s="404">
        <v>0.12</v>
      </c>
      <c r="U17" s="404">
        <v>0.28000000000000003</v>
      </c>
      <c r="V17" s="403">
        <v>12</v>
      </c>
      <c r="W17" s="407">
        <v>9</v>
      </c>
    </row>
    <row r="18" spans="1:23" ht="15" customHeight="1">
      <c r="A18" s="102">
        <v>14</v>
      </c>
      <c r="B18" s="103">
        <v>46118</v>
      </c>
      <c r="C18" s="104">
        <v>0.85899999999999999</v>
      </c>
      <c r="D18" s="105">
        <v>756</v>
      </c>
      <c r="E18" s="105">
        <v>125</v>
      </c>
      <c r="F18" s="105">
        <v>24</v>
      </c>
      <c r="G18" s="105">
        <v>18</v>
      </c>
      <c r="H18" s="105">
        <v>13</v>
      </c>
      <c r="I18" s="105">
        <v>11</v>
      </c>
      <c r="J18" s="104">
        <v>0.8</v>
      </c>
      <c r="K18" s="105">
        <v>7</v>
      </c>
      <c r="L18" s="106">
        <v>970000</v>
      </c>
      <c r="M18" s="106">
        <v>582000</v>
      </c>
      <c r="N18" s="104">
        <v>0.6</v>
      </c>
      <c r="O18" s="419">
        <v>125000</v>
      </c>
      <c r="P18" s="402">
        <v>80</v>
      </c>
      <c r="Q18" s="402">
        <v>40</v>
      </c>
      <c r="R18" s="402">
        <v>10</v>
      </c>
      <c r="S18" s="402">
        <v>25</v>
      </c>
      <c r="T18" s="417">
        <v>0.12</v>
      </c>
      <c r="U18" s="417">
        <v>0.28000000000000003</v>
      </c>
      <c r="V18" s="402">
        <v>12</v>
      </c>
      <c r="W18" s="29">
        <v>9</v>
      </c>
    </row>
    <row r="19" spans="1:23" ht="15" customHeight="1">
      <c r="A19" s="102">
        <v>15</v>
      </c>
      <c r="B19" s="103">
        <v>46125</v>
      </c>
      <c r="C19" s="104">
        <v>0.86399999999999999</v>
      </c>
      <c r="D19" s="105">
        <v>760</v>
      </c>
      <c r="E19" s="105">
        <v>125</v>
      </c>
      <c r="F19" s="105">
        <v>24</v>
      </c>
      <c r="G19" s="105">
        <v>17</v>
      </c>
      <c r="H19" s="105">
        <v>13</v>
      </c>
      <c r="I19" s="105">
        <v>10</v>
      </c>
      <c r="J19" s="104">
        <v>0.8</v>
      </c>
      <c r="K19" s="105">
        <v>7</v>
      </c>
      <c r="L19" s="106">
        <v>970000</v>
      </c>
      <c r="M19" s="106">
        <v>825000</v>
      </c>
      <c r="N19" s="104">
        <v>0.85</v>
      </c>
      <c r="O19" s="419">
        <v>125000</v>
      </c>
      <c r="P19" s="402">
        <v>75</v>
      </c>
      <c r="Q19" s="402">
        <v>38</v>
      </c>
      <c r="R19" s="402">
        <v>10</v>
      </c>
      <c r="S19" s="402">
        <v>22</v>
      </c>
      <c r="T19" s="417">
        <v>0.13</v>
      </c>
      <c r="U19" s="417">
        <v>0.27</v>
      </c>
      <c r="V19" s="402">
        <v>10</v>
      </c>
      <c r="W19" s="29">
        <v>8</v>
      </c>
    </row>
    <row r="20" spans="1:23" ht="15" customHeight="1">
      <c r="A20" s="102">
        <v>16</v>
      </c>
      <c r="B20" s="103">
        <v>46132</v>
      </c>
      <c r="C20" s="104">
        <v>0.86799999999999999</v>
      </c>
      <c r="D20" s="105">
        <v>764</v>
      </c>
      <c r="E20" s="105">
        <v>125</v>
      </c>
      <c r="F20" s="105">
        <v>24</v>
      </c>
      <c r="G20" s="105">
        <v>17</v>
      </c>
      <c r="H20" s="105">
        <v>13</v>
      </c>
      <c r="I20" s="105">
        <v>10</v>
      </c>
      <c r="J20" s="104">
        <v>0.8</v>
      </c>
      <c r="K20" s="105">
        <v>6</v>
      </c>
      <c r="L20" s="106">
        <v>970000</v>
      </c>
      <c r="M20" s="106">
        <v>873000</v>
      </c>
      <c r="N20" s="104">
        <v>0.9</v>
      </c>
      <c r="O20" s="419">
        <v>125000</v>
      </c>
      <c r="P20" s="402">
        <v>75</v>
      </c>
      <c r="Q20" s="402">
        <v>38</v>
      </c>
      <c r="R20" s="402">
        <v>11</v>
      </c>
      <c r="S20" s="402">
        <v>22</v>
      </c>
      <c r="T20" s="417">
        <v>0.14000000000000001</v>
      </c>
      <c r="U20" s="417">
        <v>0.27</v>
      </c>
      <c r="V20" s="402">
        <v>10</v>
      </c>
      <c r="W20" s="29">
        <v>8</v>
      </c>
    </row>
    <row r="21" spans="1:23" ht="15" customHeight="1">
      <c r="A21" s="107">
        <v>17</v>
      </c>
      <c r="B21" s="108">
        <v>46139</v>
      </c>
      <c r="C21" s="109">
        <v>0.87</v>
      </c>
      <c r="D21" s="110">
        <v>766</v>
      </c>
      <c r="E21" s="110">
        <v>120</v>
      </c>
      <c r="F21" s="110">
        <v>23</v>
      </c>
      <c r="G21" s="110">
        <v>16</v>
      </c>
      <c r="H21" s="110">
        <v>12</v>
      </c>
      <c r="I21" s="110">
        <v>10</v>
      </c>
      <c r="J21" s="109">
        <v>0.8</v>
      </c>
      <c r="K21" s="110">
        <v>7</v>
      </c>
      <c r="L21" s="111">
        <v>970000</v>
      </c>
      <c r="M21" s="111">
        <v>912000</v>
      </c>
      <c r="N21" s="109">
        <v>0.94</v>
      </c>
      <c r="O21" s="420">
        <v>125000</v>
      </c>
      <c r="P21" s="403">
        <v>70</v>
      </c>
      <c r="Q21" s="403">
        <v>35</v>
      </c>
      <c r="R21" s="403">
        <v>11</v>
      </c>
      <c r="S21" s="403">
        <v>20</v>
      </c>
      <c r="T21" s="404">
        <v>0.15</v>
      </c>
      <c r="U21" s="404">
        <v>0.25</v>
      </c>
      <c r="V21" s="403">
        <v>8</v>
      </c>
      <c r="W21" s="407">
        <v>7</v>
      </c>
    </row>
    <row r="22" spans="1:23" ht="15" customHeight="1">
      <c r="A22" s="102">
        <v>18</v>
      </c>
      <c r="B22" s="103">
        <v>46146</v>
      </c>
      <c r="C22" s="104">
        <v>0.875</v>
      </c>
      <c r="D22" s="105">
        <v>770</v>
      </c>
      <c r="E22" s="105">
        <v>120</v>
      </c>
      <c r="F22" s="105">
        <v>23</v>
      </c>
      <c r="G22" s="105">
        <v>16</v>
      </c>
      <c r="H22" s="105">
        <v>12</v>
      </c>
      <c r="I22" s="105">
        <v>10</v>
      </c>
      <c r="J22" s="104">
        <v>0.8</v>
      </c>
      <c r="K22" s="105">
        <v>7</v>
      </c>
      <c r="L22" s="106">
        <v>971000</v>
      </c>
      <c r="M22" s="106">
        <v>486000</v>
      </c>
      <c r="N22" s="104">
        <v>0.5</v>
      </c>
      <c r="O22" s="419">
        <v>100000</v>
      </c>
      <c r="P22" s="402">
        <v>70</v>
      </c>
      <c r="Q22" s="402">
        <v>35</v>
      </c>
      <c r="R22" s="402">
        <v>11</v>
      </c>
      <c r="S22" s="402">
        <v>20</v>
      </c>
      <c r="T22" s="417">
        <v>0.15</v>
      </c>
      <c r="U22" s="417">
        <v>0.25</v>
      </c>
      <c r="V22" s="402">
        <v>8</v>
      </c>
      <c r="W22" s="29">
        <v>7</v>
      </c>
    </row>
    <row r="23" spans="1:23" ht="15" customHeight="1">
      <c r="A23" s="102">
        <v>19</v>
      </c>
      <c r="B23" s="103">
        <v>46153</v>
      </c>
      <c r="C23" s="104">
        <v>0.878</v>
      </c>
      <c r="D23" s="105">
        <v>773</v>
      </c>
      <c r="E23" s="105">
        <v>115</v>
      </c>
      <c r="F23" s="105">
        <v>22</v>
      </c>
      <c r="G23" s="105">
        <v>16</v>
      </c>
      <c r="H23" s="105">
        <v>12</v>
      </c>
      <c r="I23" s="105">
        <v>10</v>
      </c>
      <c r="J23" s="104">
        <v>0.8</v>
      </c>
      <c r="K23" s="105">
        <v>7</v>
      </c>
      <c r="L23" s="106">
        <v>971000</v>
      </c>
      <c r="M23" s="106">
        <v>777000</v>
      </c>
      <c r="N23" s="104">
        <v>0.8</v>
      </c>
      <c r="O23" s="419">
        <v>100000</v>
      </c>
      <c r="P23" s="402">
        <v>68</v>
      </c>
      <c r="Q23" s="402">
        <v>33</v>
      </c>
      <c r="R23" s="402">
        <v>11</v>
      </c>
      <c r="S23" s="402">
        <v>19</v>
      </c>
      <c r="T23" s="417">
        <v>0.16</v>
      </c>
      <c r="U23" s="417">
        <v>0.25</v>
      </c>
      <c r="V23" s="402">
        <v>6</v>
      </c>
      <c r="W23" s="29">
        <v>7</v>
      </c>
    </row>
    <row r="24" spans="1:23" ht="15" customHeight="1">
      <c r="A24" s="102">
        <v>20</v>
      </c>
      <c r="B24" s="103">
        <v>46160</v>
      </c>
      <c r="C24" s="104">
        <v>0.88200000000000001</v>
      </c>
      <c r="D24" s="105">
        <v>776</v>
      </c>
      <c r="E24" s="105">
        <v>115</v>
      </c>
      <c r="F24" s="105">
        <v>22</v>
      </c>
      <c r="G24" s="105">
        <v>16</v>
      </c>
      <c r="H24" s="105">
        <v>12</v>
      </c>
      <c r="I24" s="105">
        <v>10</v>
      </c>
      <c r="J24" s="104">
        <v>0.8</v>
      </c>
      <c r="K24" s="105">
        <v>7</v>
      </c>
      <c r="L24" s="106">
        <v>971000</v>
      </c>
      <c r="M24" s="106">
        <v>825000</v>
      </c>
      <c r="N24" s="104">
        <v>0.85</v>
      </c>
      <c r="O24" s="419">
        <v>100000</v>
      </c>
      <c r="P24" s="402">
        <v>68</v>
      </c>
      <c r="Q24" s="402">
        <v>33</v>
      </c>
      <c r="R24" s="402">
        <v>11</v>
      </c>
      <c r="S24" s="402">
        <v>19</v>
      </c>
      <c r="T24" s="417">
        <v>0.16</v>
      </c>
      <c r="U24" s="417">
        <v>0.25</v>
      </c>
      <c r="V24" s="402">
        <v>6</v>
      </c>
      <c r="W24" s="29">
        <v>7</v>
      </c>
    </row>
    <row r="25" spans="1:23" ht="15" customHeight="1">
      <c r="A25" s="107">
        <v>21</v>
      </c>
      <c r="B25" s="108">
        <v>46167</v>
      </c>
      <c r="C25" s="109">
        <v>0.88500000000000001</v>
      </c>
      <c r="D25" s="110">
        <v>779</v>
      </c>
      <c r="E25" s="110">
        <v>112</v>
      </c>
      <c r="F25" s="110">
        <v>22</v>
      </c>
      <c r="G25" s="110">
        <v>15</v>
      </c>
      <c r="H25" s="110">
        <v>11</v>
      </c>
      <c r="I25" s="110">
        <v>9</v>
      </c>
      <c r="J25" s="109">
        <v>0.8</v>
      </c>
      <c r="K25" s="110">
        <v>6</v>
      </c>
      <c r="L25" s="111">
        <v>971000</v>
      </c>
      <c r="M25" s="111">
        <v>913000</v>
      </c>
      <c r="N25" s="109">
        <v>0.94</v>
      </c>
      <c r="O25" s="420">
        <v>100000</v>
      </c>
      <c r="P25" s="403">
        <v>65</v>
      </c>
      <c r="Q25" s="403">
        <v>30</v>
      </c>
      <c r="R25" s="403">
        <v>11</v>
      </c>
      <c r="S25" s="403">
        <v>18</v>
      </c>
      <c r="T25" s="404">
        <v>0.17</v>
      </c>
      <c r="U25" s="404">
        <v>0.25</v>
      </c>
      <c r="V25" s="403">
        <v>5</v>
      </c>
      <c r="W25" s="407">
        <v>7</v>
      </c>
    </row>
    <row r="26" spans="1:23" ht="15" customHeight="1">
      <c r="A26" s="102">
        <v>22</v>
      </c>
      <c r="B26" s="103">
        <v>46174</v>
      </c>
      <c r="C26" s="104">
        <v>0.88900000000000001</v>
      </c>
      <c r="D26" s="105">
        <v>783</v>
      </c>
      <c r="E26" s="105">
        <v>112</v>
      </c>
      <c r="F26" s="105">
        <v>21</v>
      </c>
      <c r="G26" s="105">
        <v>15</v>
      </c>
      <c r="H26" s="105">
        <v>11</v>
      </c>
      <c r="I26" s="105">
        <v>9</v>
      </c>
      <c r="J26" s="104">
        <v>0.8</v>
      </c>
      <c r="K26" s="105">
        <v>6</v>
      </c>
      <c r="L26" s="106">
        <v>973000</v>
      </c>
      <c r="M26" s="106">
        <v>438000</v>
      </c>
      <c r="N26" s="104">
        <v>0.45</v>
      </c>
      <c r="O26" s="419">
        <v>80000</v>
      </c>
      <c r="P26" s="402">
        <v>65</v>
      </c>
      <c r="Q26" s="402">
        <v>30</v>
      </c>
      <c r="R26" s="402">
        <v>11</v>
      </c>
      <c r="S26" s="402">
        <v>18</v>
      </c>
      <c r="T26" s="417">
        <v>0.17</v>
      </c>
      <c r="U26" s="417">
        <v>0.25</v>
      </c>
      <c r="V26" s="402">
        <v>5</v>
      </c>
      <c r="W26" s="29">
        <v>7</v>
      </c>
    </row>
    <row r="27" spans="1:23" ht="15" customHeight="1">
      <c r="A27" s="102">
        <v>23</v>
      </c>
      <c r="B27" s="103">
        <v>46181</v>
      </c>
      <c r="C27" s="104">
        <v>0.89400000000000002</v>
      </c>
      <c r="D27" s="105">
        <v>787</v>
      </c>
      <c r="E27" s="105">
        <v>112</v>
      </c>
      <c r="F27" s="105">
        <v>21</v>
      </c>
      <c r="G27" s="105">
        <v>15</v>
      </c>
      <c r="H27" s="105">
        <v>11</v>
      </c>
      <c r="I27" s="105">
        <v>9</v>
      </c>
      <c r="J27" s="104">
        <v>0.8</v>
      </c>
      <c r="K27" s="105">
        <v>6</v>
      </c>
      <c r="L27" s="106">
        <v>973000</v>
      </c>
      <c r="M27" s="106">
        <v>632000</v>
      </c>
      <c r="N27" s="104">
        <v>0.65</v>
      </c>
      <c r="O27" s="419">
        <v>80000</v>
      </c>
      <c r="P27" s="402">
        <v>65</v>
      </c>
      <c r="Q27" s="402">
        <v>30</v>
      </c>
      <c r="R27" s="402">
        <v>11</v>
      </c>
      <c r="S27" s="402">
        <v>18</v>
      </c>
      <c r="T27" s="417">
        <v>0.17</v>
      </c>
      <c r="U27" s="417">
        <v>0.25</v>
      </c>
      <c r="V27" s="402">
        <v>5</v>
      </c>
      <c r="W27" s="29">
        <v>7</v>
      </c>
    </row>
    <row r="28" spans="1:23" ht="15" customHeight="1">
      <c r="A28" s="107">
        <v>24</v>
      </c>
      <c r="B28" s="108">
        <v>46188</v>
      </c>
      <c r="C28" s="109">
        <v>0.9</v>
      </c>
      <c r="D28" s="110">
        <v>792</v>
      </c>
      <c r="E28" s="110">
        <v>110</v>
      </c>
      <c r="F28" s="110">
        <v>21</v>
      </c>
      <c r="G28" s="110">
        <v>15</v>
      </c>
      <c r="H28" s="110">
        <v>11</v>
      </c>
      <c r="I28" s="110">
        <v>9</v>
      </c>
      <c r="J28" s="109">
        <v>0.8</v>
      </c>
      <c r="K28" s="110">
        <v>6</v>
      </c>
      <c r="L28" s="111">
        <v>973000</v>
      </c>
      <c r="M28" s="111">
        <v>876000</v>
      </c>
      <c r="N28" s="109">
        <v>0.9</v>
      </c>
      <c r="O28" s="420">
        <v>80000</v>
      </c>
      <c r="P28" s="403">
        <v>65</v>
      </c>
      <c r="Q28" s="403">
        <v>30</v>
      </c>
      <c r="R28" s="403">
        <v>11</v>
      </c>
      <c r="S28" s="403">
        <v>18</v>
      </c>
      <c r="T28" s="404">
        <v>0.17</v>
      </c>
      <c r="U28" s="404">
        <v>0.25</v>
      </c>
      <c r="V28" s="403">
        <v>5</v>
      </c>
      <c r="W28" s="407">
        <v>7</v>
      </c>
    </row>
    <row r="29" spans="1:23">
      <c r="P29" s="31"/>
      <c r="Q29" s="31"/>
    </row>
    <row r="30" spans="1:23" ht="15" customHeight="1">
      <c r="A30" s="17" t="s">
        <v>1439</v>
      </c>
    </row>
    <row r="31" spans="1:23" ht="15" customHeight="1">
      <c r="A31" s="97"/>
      <c r="B31" s="31"/>
      <c r="C31" s="31"/>
      <c r="D31" s="31"/>
      <c r="E31" s="31"/>
      <c r="F31" s="31"/>
      <c r="G31" s="31"/>
    </row>
    <row r="32" spans="1:23" ht="15" customHeight="1">
      <c r="A32" s="101"/>
      <c r="B32" s="101"/>
      <c r="C32" s="101"/>
      <c r="D32" s="101"/>
      <c r="E32" s="101"/>
      <c r="F32" s="31"/>
      <c r="G32" s="31"/>
    </row>
    <row r="33" spans="1:7" ht="15" customHeight="1">
      <c r="A33" s="99"/>
      <c r="B33" s="112"/>
      <c r="C33" s="34"/>
      <c r="D33" s="34"/>
      <c r="E33" s="112"/>
      <c r="F33" s="31"/>
      <c r="G33" s="31"/>
    </row>
    <row r="34" spans="1:7">
      <c r="A34" s="99"/>
      <c r="B34" s="112"/>
      <c r="C34" s="34"/>
      <c r="D34" s="34"/>
      <c r="E34" s="112"/>
      <c r="F34" s="31"/>
      <c r="G34" s="31"/>
    </row>
    <row r="35" spans="1:7">
      <c r="A35" s="99"/>
      <c r="B35" s="112"/>
      <c r="C35" s="34"/>
      <c r="D35" s="34"/>
      <c r="E35" s="112"/>
      <c r="F35" s="31"/>
      <c r="G35" s="31"/>
    </row>
    <row r="36" spans="1:7">
      <c r="A36" s="99"/>
      <c r="B36" s="112"/>
      <c r="C36" s="34"/>
      <c r="D36" s="34"/>
      <c r="E36" s="112"/>
      <c r="F36" s="31"/>
      <c r="G36" s="31"/>
    </row>
    <row r="37" spans="1:7">
      <c r="A37" s="99"/>
      <c r="B37" s="112"/>
      <c r="C37" s="34"/>
      <c r="D37" s="34"/>
      <c r="E37" s="112"/>
      <c r="F37" s="31"/>
      <c r="G37" s="31"/>
    </row>
    <row r="38" spans="1:7">
      <c r="A38" s="99"/>
      <c r="B38" s="112"/>
      <c r="C38" s="34"/>
      <c r="D38" s="34"/>
      <c r="E38" s="112"/>
      <c r="F38" s="31"/>
      <c r="G38" s="31"/>
    </row>
    <row r="39" spans="1:7">
      <c r="A39" s="99"/>
      <c r="B39" s="112"/>
      <c r="C39" s="34"/>
      <c r="D39" s="34"/>
      <c r="E39" s="112"/>
      <c r="F39" s="31"/>
      <c r="G39" s="31"/>
    </row>
    <row r="40" spans="1:7">
      <c r="A40" s="31"/>
      <c r="B40" s="31"/>
      <c r="C40" s="31"/>
      <c r="D40" s="31"/>
      <c r="E40" s="31"/>
      <c r="F40" s="31"/>
      <c r="G40" s="31"/>
    </row>
    <row r="41" spans="1:7">
      <c r="A41" s="31"/>
      <c r="B41" s="31"/>
      <c r="C41" s="31"/>
      <c r="D41" s="31"/>
      <c r="E41" s="31"/>
      <c r="F41" s="31"/>
      <c r="G41" s="31"/>
    </row>
    <row r="42" spans="1:7">
      <c r="A42" s="31"/>
      <c r="B42" s="31"/>
      <c r="C42" s="31"/>
      <c r="D42" s="31"/>
      <c r="E42" s="31"/>
      <c r="F42" s="31"/>
      <c r="G42" s="31"/>
    </row>
    <row r="43" spans="1:7">
      <c r="A43" s="31"/>
      <c r="B43" s="31"/>
      <c r="C43" s="31"/>
      <c r="D43" s="31"/>
      <c r="E43" s="31"/>
      <c r="F43" s="31"/>
      <c r="G43" s="31"/>
    </row>
    <row r="44" spans="1:7">
      <c r="A44" s="31"/>
      <c r="B44" s="31"/>
      <c r="C44" s="31"/>
      <c r="D44" s="31"/>
      <c r="E44" s="31"/>
      <c r="F44" s="31"/>
      <c r="G44" s="31"/>
    </row>
  </sheetData>
  <pageMargins left="0.75" right="0.75" top="1" bottom="1"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B57"/>
  <sheetViews>
    <sheetView showGridLines="0" zoomScaleNormal="100" workbookViewId="0">
      <pane xSplit="2" ySplit="4" topLeftCell="X37" activePane="bottomRight" state="frozen"/>
      <selection pane="topRight" activeCell="C1" sqref="C1"/>
      <selection pane="bottomLeft" activeCell="A5" sqref="A5"/>
      <selection pane="bottomRight" activeCell="X37" sqref="X37"/>
    </sheetView>
  </sheetViews>
  <sheetFormatPr defaultColWidth="8.54296875" defaultRowHeight="14.5"/>
  <cols>
    <col min="1" max="1" width="16" customWidth="1"/>
    <col min="2" max="2" width="24" customWidth="1"/>
    <col min="3" max="28" width="10" customWidth="1"/>
  </cols>
  <sheetData>
    <row r="1" spans="1:28" ht="21.75" customHeight="1">
      <c r="A1" s="1" t="s">
        <v>218</v>
      </c>
    </row>
    <row r="2" spans="1:28" ht="15" customHeight="1">
      <c r="A2" s="2" t="s">
        <v>1440</v>
      </c>
    </row>
    <row r="4" spans="1:28" ht="15" customHeight="1">
      <c r="A4" s="18" t="s">
        <v>415</v>
      </c>
      <c r="B4" s="18" t="s">
        <v>334</v>
      </c>
      <c r="C4" s="19">
        <v>45535</v>
      </c>
      <c r="D4" s="19">
        <v>45565</v>
      </c>
      <c r="E4" s="19">
        <v>45596</v>
      </c>
      <c r="F4" s="19">
        <v>45626</v>
      </c>
      <c r="G4" s="19">
        <v>45657</v>
      </c>
      <c r="H4" s="19">
        <v>45688</v>
      </c>
      <c r="I4" s="19">
        <v>45716</v>
      </c>
      <c r="J4" s="19">
        <v>45747</v>
      </c>
      <c r="K4" s="19">
        <v>45777</v>
      </c>
      <c r="L4" s="19">
        <v>45808</v>
      </c>
      <c r="M4" s="19">
        <v>45838</v>
      </c>
      <c r="N4" s="19">
        <v>45869</v>
      </c>
      <c r="O4" s="19">
        <v>45873</v>
      </c>
      <c r="P4" s="19">
        <v>45880</v>
      </c>
      <c r="Q4" s="19">
        <v>45887</v>
      </c>
      <c r="R4" s="19">
        <v>45894</v>
      </c>
      <c r="S4" s="19">
        <v>45900</v>
      </c>
      <c r="T4" s="19">
        <v>45901</v>
      </c>
      <c r="U4" s="19">
        <v>45908</v>
      </c>
      <c r="V4" s="19">
        <v>45915</v>
      </c>
      <c r="W4" s="19">
        <v>45922</v>
      </c>
      <c r="X4" s="19">
        <v>45929</v>
      </c>
      <c r="Y4" s="19">
        <v>45936</v>
      </c>
      <c r="Z4" s="19">
        <v>45943</v>
      </c>
      <c r="AA4" s="19">
        <v>45950</v>
      </c>
      <c r="AB4" s="19">
        <v>45957</v>
      </c>
    </row>
    <row r="5" spans="1:28" ht="15" customHeight="1">
      <c r="A5" s="20" t="s">
        <v>341</v>
      </c>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spans="1:28" ht="15" customHeight="1">
      <c r="B6" s="64" t="s">
        <v>342</v>
      </c>
      <c r="C6" s="104">
        <v>0.87729999999999997</v>
      </c>
      <c r="D6" s="104">
        <v>0.87390000000000001</v>
      </c>
      <c r="E6" s="104">
        <v>0.88749999999999996</v>
      </c>
      <c r="F6" s="104">
        <v>0.92390000000000005</v>
      </c>
      <c r="G6" s="104">
        <v>0.92500000000000004</v>
      </c>
      <c r="H6" s="104">
        <v>0.92949999999999999</v>
      </c>
      <c r="I6" s="104">
        <v>0.94430000000000003</v>
      </c>
      <c r="J6" s="104">
        <v>0.94889999999999997</v>
      </c>
      <c r="K6" s="104">
        <v>0.93179999999999996</v>
      </c>
      <c r="L6" s="104">
        <v>0.91700000000000004</v>
      </c>
      <c r="M6" s="104">
        <v>0.91020000000000001</v>
      </c>
      <c r="N6" s="104">
        <v>0.90569999999999995</v>
      </c>
      <c r="O6" s="104">
        <v>0.88900000000000001</v>
      </c>
      <c r="P6" s="104">
        <v>0.88</v>
      </c>
      <c r="Q6" s="104">
        <v>0.88100000000000001</v>
      </c>
      <c r="R6" s="104">
        <v>0.86299999999999999</v>
      </c>
      <c r="S6" s="104">
        <v>0.8659</v>
      </c>
      <c r="T6" s="104">
        <v>0.8659</v>
      </c>
      <c r="U6" s="104">
        <v>0.86399999999999999</v>
      </c>
      <c r="V6" s="104">
        <v>0.85099999999999998</v>
      </c>
      <c r="W6" s="104">
        <v>0.84799999999999998</v>
      </c>
      <c r="X6" s="104">
        <v>0.84199999999999997</v>
      </c>
      <c r="Y6" s="104">
        <v>0.84099999999999997</v>
      </c>
      <c r="Z6" s="104">
        <v>0.83899999999999997</v>
      </c>
      <c r="AA6" s="104">
        <v>0.83199999999999996</v>
      </c>
      <c r="AB6" s="104">
        <v>0.83</v>
      </c>
    </row>
    <row r="7" spans="1:28" ht="15" customHeight="1">
      <c r="B7" s="64" t="s">
        <v>1441</v>
      </c>
      <c r="C7" s="104">
        <v>0.75</v>
      </c>
      <c r="D7" s="104">
        <v>0.72219999999999995</v>
      </c>
      <c r="E7" s="104">
        <v>0.77780000000000005</v>
      </c>
      <c r="F7" s="104">
        <v>0.80559999999999998</v>
      </c>
      <c r="G7" s="104">
        <v>0.86109999999999998</v>
      </c>
      <c r="H7" s="104">
        <v>0.86109999999999998</v>
      </c>
      <c r="I7" s="104">
        <v>0.86109999999999998</v>
      </c>
      <c r="J7" s="104">
        <v>0.94440000000000002</v>
      </c>
      <c r="K7" s="104">
        <v>0.97219999999999995</v>
      </c>
      <c r="L7" s="104">
        <v>0.97219999999999995</v>
      </c>
      <c r="M7" s="104">
        <v>0.97219999999999995</v>
      </c>
      <c r="N7" s="104">
        <v>1</v>
      </c>
      <c r="O7" s="104">
        <v>1</v>
      </c>
      <c r="P7" s="104">
        <v>1</v>
      </c>
      <c r="Q7" s="104">
        <v>1</v>
      </c>
      <c r="R7" s="104">
        <v>0.96876183263915205</v>
      </c>
      <c r="S7" s="104">
        <v>0.93673482266818098</v>
      </c>
      <c r="T7" s="104">
        <v>0.93673482266818098</v>
      </c>
      <c r="U7" s="104">
        <v>0.93673482266818098</v>
      </c>
      <c r="V7" s="104">
        <v>0.93673482266818098</v>
      </c>
      <c r="W7" s="104">
        <v>0.93673482266818098</v>
      </c>
      <c r="X7" s="104">
        <v>0.90991417392401897</v>
      </c>
      <c r="Y7" s="104">
        <v>0.90991417392401897</v>
      </c>
      <c r="Z7" s="104">
        <v>0.90991417392401897</v>
      </c>
      <c r="AA7" s="104">
        <v>0.91092142700809797</v>
      </c>
      <c r="AB7" s="104">
        <v>0.88253134477691297</v>
      </c>
    </row>
    <row r="8" spans="1:28" ht="15" customHeight="1">
      <c r="B8" s="64" t="s">
        <v>1442</v>
      </c>
      <c r="C8" s="104">
        <v>0.86720909090909104</v>
      </c>
      <c r="D8" s="104">
        <v>0.86934545454545498</v>
      </c>
      <c r="E8" s="104">
        <v>0.90408181818181799</v>
      </c>
      <c r="F8" s="104">
        <v>0.94543636363636396</v>
      </c>
      <c r="G8" s="104">
        <v>0.95097272727272697</v>
      </c>
      <c r="H8" s="104">
        <v>0.94489999999999996</v>
      </c>
      <c r="I8" s="104">
        <v>0.95888181818181795</v>
      </c>
      <c r="J8" s="104">
        <v>0.97239090909090897</v>
      </c>
      <c r="K8" s="104">
        <v>0.95981818181818201</v>
      </c>
      <c r="L8" s="104">
        <v>0.94830909090909099</v>
      </c>
      <c r="M8" s="104">
        <v>0.93152727272727298</v>
      </c>
      <c r="N8" s="104">
        <v>0.92255454545454596</v>
      </c>
      <c r="O8" s="104">
        <v>0.91209229178388496</v>
      </c>
      <c r="P8" s="104">
        <v>0.89984489003772405</v>
      </c>
      <c r="Q8" s="104">
        <v>0.90247700485470606</v>
      </c>
      <c r="R8" s="104">
        <v>0.88457688356841901</v>
      </c>
      <c r="S8" s="104">
        <v>0.892387415790035</v>
      </c>
      <c r="T8" s="104">
        <v>0.892387415790035</v>
      </c>
      <c r="U8" s="104">
        <v>0.892387415790035</v>
      </c>
      <c r="V8" s="104">
        <v>0.874492370772326</v>
      </c>
      <c r="W8" s="104">
        <v>0.86812171633012003</v>
      </c>
      <c r="X8" s="104">
        <v>0.86289410896678098</v>
      </c>
      <c r="Y8" s="104">
        <v>0.85942965517253</v>
      </c>
      <c r="Z8" s="104">
        <v>0.86063368009837604</v>
      </c>
      <c r="AA8" s="104">
        <v>0.86353612885540798</v>
      </c>
      <c r="AB8" s="104">
        <v>0.86128286111778796</v>
      </c>
    </row>
    <row r="9" spans="1:28" ht="15" customHeight="1">
      <c r="B9" s="64" t="s">
        <v>1443</v>
      </c>
      <c r="C9" s="104">
        <v>0.91315000000000002</v>
      </c>
      <c r="D9" s="104">
        <v>0.87855000000000005</v>
      </c>
      <c r="E9" s="104">
        <v>0.84060000000000001</v>
      </c>
      <c r="F9" s="104">
        <v>0.89572499999999999</v>
      </c>
      <c r="G9" s="104">
        <v>0.86246250000000002</v>
      </c>
      <c r="H9" s="104">
        <v>0.87890000000000001</v>
      </c>
      <c r="I9" s="104">
        <v>0.91686250000000002</v>
      </c>
      <c r="J9" s="104">
        <v>0.89006249999999998</v>
      </c>
      <c r="K9" s="104">
        <v>0.84628749999999997</v>
      </c>
      <c r="L9" s="104">
        <v>0.83247499999999997</v>
      </c>
      <c r="M9" s="104">
        <v>0.82155</v>
      </c>
      <c r="N9" s="104">
        <v>0.79464999999999997</v>
      </c>
      <c r="O9" s="104">
        <v>0.76626605286874605</v>
      </c>
      <c r="P9" s="104">
        <v>0.76213144531297305</v>
      </c>
      <c r="Q9" s="104">
        <v>0.76105089647330504</v>
      </c>
      <c r="R9" s="104">
        <v>0.74047988751142102</v>
      </c>
      <c r="S9" s="104">
        <v>0.74782107009647703</v>
      </c>
      <c r="T9" s="104">
        <v>0.74782107009647703</v>
      </c>
      <c r="U9" s="104">
        <v>0.74054994979970301</v>
      </c>
      <c r="V9" s="104">
        <v>0.73673609725818301</v>
      </c>
      <c r="W9" s="104">
        <v>0.73439343803790602</v>
      </c>
      <c r="X9" s="104">
        <v>0.73205077881762903</v>
      </c>
      <c r="Y9" s="104">
        <v>0.71945115619240196</v>
      </c>
      <c r="Z9" s="104">
        <v>0.70942204460090696</v>
      </c>
      <c r="AA9" s="104">
        <v>0.69118034991925503</v>
      </c>
      <c r="AB9" s="104">
        <v>0.69281324737795602</v>
      </c>
    </row>
    <row r="10" spans="1:28" ht="15" customHeight="1">
      <c r="B10" s="64" t="s">
        <v>1444</v>
      </c>
      <c r="C10" s="104">
        <v>1</v>
      </c>
      <c r="D10" s="104">
        <v>0.9375</v>
      </c>
      <c r="E10" s="104">
        <v>0.875</v>
      </c>
      <c r="F10" s="104">
        <v>0.9375</v>
      </c>
      <c r="G10" s="104">
        <v>0.9375</v>
      </c>
      <c r="H10" s="104">
        <v>0.9375</v>
      </c>
      <c r="I10" s="104">
        <v>0.9375</v>
      </c>
      <c r="J10" s="104">
        <v>1</v>
      </c>
      <c r="K10" s="104">
        <v>1</v>
      </c>
      <c r="L10" s="104">
        <v>1</v>
      </c>
      <c r="M10" s="104">
        <v>1</v>
      </c>
      <c r="N10" s="104">
        <v>0.9375</v>
      </c>
      <c r="O10" s="104">
        <v>0.87223142524081199</v>
      </c>
      <c r="P10" s="104">
        <v>0.87223142524081199</v>
      </c>
      <c r="Q10" s="104">
        <v>0.81164488618933694</v>
      </c>
      <c r="R10" s="104">
        <v>0.81164488618933694</v>
      </c>
      <c r="S10" s="104">
        <v>0.81164488618933694</v>
      </c>
      <c r="T10" s="104">
        <v>0.81164488618933694</v>
      </c>
      <c r="U10" s="104">
        <v>0.74814405791766403</v>
      </c>
      <c r="V10" s="104">
        <v>0.74814405791766403</v>
      </c>
      <c r="W10" s="104">
        <v>0.74814405791766403</v>
      </c>
      <c r="X10" s="104">
        <v>0.74814405791766403</v>
      </c>
      <c r="Y10" s="104">
        <v>0.75004326307410096</v>
      </c>
      <c r="Z10" s="104">
        <v>0.75004326307410096</v>
      </c>
      <c r="AA10" s="104">
        <v>0.75004326307410096</v>
      </c>
      <c r="AB10" s="104">
        <v>0.81400339182501003</v>
      </c>
    </row>
    <row r="11" spans="1:28" ht="15" customHeight="1">
      <c r="B11" s="64" t="s">
        <v>344</v>
      </c>
      <c r="C11" s="104">
        <v>15.7</v>
      </c>
      <c r="D11" s="104">
        <v>13.5</v>
      </c>
      <c r="E11" s="104">
        <v>12.8</v>
      </c>
      <c r="F11" s="104">
        <v>9.8000000000000007</v>
      </c>
      <c r="G11" s="104">
        <v>8.4</v>
      </c>
      <c r="H11" s="104">
        <v>7.8</v>
      </c>
      <c r="I11" s="104">
        <v>4.9000000000000004</v>
      </c>
      <c r="J11" s="104">
        <v>6.5</v>
      </c>
      <c r="K11" s="104">
        <v>8.9</v>
      </c>
      <c r="L11" s="104">
        <v>10.5</v>
      </c>
      <c r="M11" s="104">
        <v>11</v>
      </c>
      <c r="N11" s="104">
        <v>11.6</v>
      </c>
      <c r="O11" s="104">
        <v>12.4</v>
      </c>
      <c r="P11" s="104">
        <v>13.1</v>
      </c>
      <c r="Q11" s="104">
        <v>13</v>
      </c>
      <c r="R11" s="104">
        <v>14.7</v>
      </c>
      <c r="S11" s="104">
        <v>12.5</v>
      </c>
      <c r="T11" s="104">
        <v>12.5</v>
      </c>
      <c r="U11" s="104">
        <v>12.7</v>
      </c>
      <c r="V11" s="104">
        <v>16.8</v>
      </c>
      <c r="W11" s="104">
        <v>16.600000000000001</v>
      </c>
      <c r="X11" s="104">
        <v>18.2</v>
      </c>
      <c r="Y11" s="104">
        <v>18.399999999999999</v>
      </c>
      <c r="Z11" s="104">
        <v>19</v>
      </c>
      <c r="AA11" s="104">
        <v>19.3</v>
      </c>
      <c r="AB11" s="104">
        <v>18.899999999999999</v>
      </c>
    </row>
    <row r="12" spans="1:28" ht="15" customHeight="1">
      <c r="A12" s="20" t="s">
        <v>427</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row>
    <row r="13" spans="1:28" ht="15" customHeight="1">
      <c r="B13" s="64" t="s">
        <v>347</v>
      </c>
      <c r="C13" s="105">
        <v>334</v>
      </c>
      <c r="D13" s="105">
        <v>456</v>
      </c>
      <c r="E13" s="105">
        <v>466</v>
      </c>
      <c r="F13" s="105">
        <v>384</v>
      </c>
      <c r="G13" s="105">
        <v>431</v>
      </c>
      <c r="H13" s="105">
        <v>405</v>
      </c>
      <c r="I13" s="105">
        <v>374</v>
      </c>
      <c r="J13" s="105">
        <v>372</v>
      </c>
      <c r="K13" s="105">
        <v>268</v>
      </c>
      <c r="L13" s="105">
        <v>385</v>
      </c>
      <c r="M13" s="105">
        <v>356</v>
      </c>
      <c r="N13" s="105">
        <v>336</v>
      </c>
      <c r="O13" s="105">
        <v>57</v>
      </c>
      <c r="P13" s="105">
        <v>55</v>
      </c>
      <c r="Q13" s="105">
        <v>66</v>
      </c>
      <c r="R13" s="105">
        <v>67</v>
      </c>
      <c r="S13" s="105">
        <v>252</v>
      </c>
      <c r="T13" s="105">
        <v>53</v>
      </c>
      <c r="U13" s="105">
        <v>48</v>
      </c>
      <c r="V13" s="105">
        <v>68</v>
      </c>
      <c r="W13" s="105">
        <v>61</v>
      </c>
      <c r="X13" s="105">
        <v>68</v>
      </c>
      <c r="Y13" s="105">
        <v>84</v>
      </c>
      <c r="Z13" s="105">
        <v>132</v>
      </c>
      <c r="AA13" s="105">
        <v>122</v>
      </c>
      <c r="AB13" s="105">
        <v>124</v>
      </c>
    </row>
    <row r="14" spans="1:28" ht="15" customHeight="1">
      <c r="B14" s="64" t="s">
        <v>348</v>
      </c>
      <c r="C14" s="105">
        <v>41</v>
      </c>
      <c r="D14" s="105">
        <v>32</v>
      </c>
      <c r="E14" s="105">
        <v>33</v>
      </c>
      <c r="F14" s="105">
        <v>28</v>
      </c>
      <c r="G14" s="105">
        <v>26</v>
      </c>
      <c r="H14" s="105">
        <v>30</v>
      </c>
      <c r="I14" s="105">
        <v>31</v>
      </c>
      <c r="J14" s="105">
        <v>42</v>
      </c>
      <c r="K14" s="105">
        <v>25</v>
      </c>
      <c r="L14" s="105">
        <v>35</v>
      </c>
      <c r="M14" s="105">
        <v>40</v>
      </c>
      <c r="N14" s="105">
        <v>48</v>
      </c>
      <c r="O14" s="105">
        <v>2</v>
      </c>
      <c r="P14" s="105">
        <v>4</v>
      </c>
      <c r="Q14" s="105">
        <v>8</v>
      </c>
      <c r="R14" s="105">
        <v>10</v>
      </c>
      <c r="S14" s="105">
        <v>29</v>
      </c>
      <c r="T14" s="105">
        <v>5</v>
      </c>
      <c r="U14" s="105">
        <v>5</v>
      </c>
      <c r="V14" s="105">
        <v>9</v>
      </c>
      <c r="W14" s="105">
        <v>8</v>
      </c>
      <c r="X14" s="105">
        <v>17</v>
      </c>
      <c r="Y14" s="105">
        <v>11</v>
      </c>
      <c r="Z14" s="105">
        <v>12</v>
      </c>
      <c r="AA14" s="105">
        <v>17</v>
      </c>
      <c r="AB14" s="105">
        <v>19</v>
      </c>
    </row>
    <row r="15" spans="1:28" ht="15" customHeight="1">
      <c r="B15" s="64" t="s">
        <v>349</v>
      </c>
      <c r="C15" s="105">
        <v>42</v>
      </c>
      <c r="D15" s="105">
        <v>45</v>
      </c>
      <c r="E15" s="105">
        <v>57</v>
      </c>
      <c r="F15" s="105">
        <v>51</v>
      </c>
      <c r="G15" s="105">
        <v>34</v>
      </c>
      <c r="H15" s="105">
        <v>44</v>
      </c>
      <c r="I15" s="105">
        <v>46</v>
      </c>
      <c r="J15" s="105">
        <v>30</v>
      </c>
      <c r="K15" s="105">
        <v>21</v>
      </c>
      <c r="L15" s="105">
        <v>24</v>
      </c>
      <c r="M15" s="105">
        <v>31</v>
      </c>
      <c r="N15" s="105">
        <v>31</v>
      </c>
      <c r="O15" s="105">
        <v>7</v>
      </c>
      <c r="P15" s="105">
        <v>10</v>
      </c>
      <c r="Q15" s="105">
        <v>7</v>
      </c>
      <c r="R15" s="105">
        <v>2</v>
      </c>
      <c r="S15" s="105">
        <v>21</v>
      </c>
      <c r="T15" s="105">
        <v>4</v>
      </c>
      <c r="U15" s="105">
        <v>4</v>
      </c>
      <c r="V15" s="105">
        <v>3</v>
      </c>
      <c r="W15" s="105">
        <v>3</v>
      </c>
      <c r="X15" s="105">
        <v>5</v>
      </c>
      <c r="Y15" s="105">
        <v>3</v>
      </c>
      <c r="Z15" s="105">
        <v>5</v>
      </c>
      <c r="AA15" s="105">
        <v>6</v>
      </c>
      <c r="AB15" s="105">
        <v>9</v>
      </c>
    </row>
    <row r="16" spans="1:28" ht="15" customHeight="1">
      <c r="B16" s="64" t="s">
        <v>1445</v>
      </c>
      <c r="C16" s="105">
        <v>29</v>
      </c>
      <c r="D16" s="105">
        <v>27</v>
      </c>
      <c r="E16" s="105">
        <v>46</v>
      </c>
      <c r="F16" s="105">
        <v>34</v>
      </c>
      <c r="G16" s="105">
        <v>22</v>
      </c>
      <c r="H16" s="105">
        <v>29</v>
      </c>
      <c r="I16" s="105">
        <v>32</v>
      </c>
      <c r="J16" s="105">
        <v>19</v>
      </c>
      <c r="K16" s="105">
        <v>14</v>
      </c>
      <c r="L16" s="105">
        <v>16</v>
      </c>
      <c r="M16" s="105">
        <v>23</v>
      </c>
      <c r="N16" s="105">
        <v>24</v>
      </c>
      <c r="O16" s="105">
        <v>0</v>
      </c>
      <c r="P16" s="105">
        <v>3</v>
      </c>
      <c r="Q16" s="105">
        <v>0</v>
      </c>
      <c r="R16" s="105">
        <v>0</v>
      </c>
      <c r="S16" s="105">
        <v>14</v>
      </c>
      <c r="T16" s="105">
        <v>0</v>
      </c>
      <c r="U16" s="105">
        <v>3</v>
      </c>
      <c r="V16" s="105">
        <v>0</v>
      </c>
      <c r="W16" s="105">
        <v>0</v>
      </c>
      <c r="X16" s="105">
        <v>0</v>
      </c>
      <c r="Y16" s="105">
        <v>1</v>
      </c>
      <c r="Z16" s="105">
        <v>3</v>
      </c>
      <c r="AA16" s="105">
        <v>5</v>
      </c>
      <c r="AB16" s="105">
        <v>9</v>
      </c>
    </row>
    <row r="17" spans="1:28" ht="15" customHeight="1">
      <c r="B17" s="64" t="s">
        <v>1446</v>
      </c>
      <c r="C17" s="105">
        <v>8</v>
      </c>
      <c r="D17" s="105">
        <v>4</v>
      </c>
      <c r="E17" s="105">
        <v>8</v>
      </c>
      <c r="F17" s="105">
        <v>10</v>
      </c>
      <c r="G17" s="105">
        <v>6</v>
      </c>
      <c r="H17" s="105">
        <v>7</v>
      </c>
      <c r="I17" s="105">
        <v>4</v>
      </c>
      <c r="J17" s="105">
        <v>3</v>
      </c>
      <c r="K17" s="105">
        <v>6</v>
      </c>
      <c r="L17" s="105">
        <v>4</v>
      </c>
      <c r="M17" s="105">
        <v>6</v>
      </c>
      <c r="N17" s="105">
        <v>4</v>
      </c>
      <c r="O17" s="105">
        <v>7</v>
      </c>
      <c r="P17" s="105">
        <v>7</v>
      </c>
      <c r="Q17" s="105">
        <v>7</v>
      </c>
      <c r="R17" s="105">
        <v>7</v>
      </c>
      <c r="S17" s="105">
        <v>7</v>
      </c>
      <c r="T17" s="105">
        <v>7</v>
      </c>
      <c r="U17" s="105">
        <v>0</v>
      </c>
      <c r="V17" s="105">
        <v>2</v>
      </c>
      <c r="W17" s="105">
        <v>1</v>
      </c>
      <c r="X17" s="105">
        <v>2</v>
      </c>
      <c r="Y17" s="105">
        <v>0</v>
      </c>
      <c r="Z17" s="105">
        <v>1</v>
      </c>
      <c r="AA17" s="105">
        <v>0</v>
      </c>
      <c r="AB17" s="105">
        <v>0</v>
      </c>
    </row>
    <row r="18" spans="1:28" ht="15" customHeight="1">
      <c r="B18" s="64" t="s">
        <v>1447</v>
      </c>
      <c r="C18" s="104">
        <v>0.69047619047619102</v>
      </c>
      <c r="D18" s="104">
        <v>0.6</v>
      </c>
      <c r="E18" s="104">
        <v>0.80701754385964897</v>
      </c>
      <c r="F18" s="104">
        <v>0.66666666666666696</v>
      </c>
      <c r="G18" s="104">
        <v>0.64705882352941202</v>
      </c>
      <c r="H18" s="104">
        <v>0.65909090909090895</v>
      </c>
      <c r="I18" s="104">
        <v>0.69565217391304401</v>
      </c>
      <c r="J18" s="104">
        <v>0.63333333333333297</v>
      </c>
      <c r="K18" s="104">
        <v>0.66666666666666696</v>
      </c>
      <c r="L18" s="104">
        <v>0.66666666666666696</v>
      </c>
      <c r="M18" s="104">
        <v>0.74193548387096797</v>
      </c>
      <c r="N18" s="104">
        <v>0.77419354838709697</v>
      </c>
      <c r="O18" s="104">
        <v>0</v>
      </c>
      <c r="P18" s="104">
        <v>0.3</v>
      </c>
      <c r="Q18" s="104">
        <v>0</v>
      </c>
      <c r="R18" s="104">
        <v>0</v>
      </c>
      <c r="S18" s="104">
        <v>0.66666666666666696</v>
      </c>
      <c r="T18" s="104">
        <v>0</v>
      </c>
      <c r="U18" s="104">
        <v>0.75</v>
      </c>
      <c r="V18" s="104">
        <v>0</v>
      </c>
      <c r="W18" s="104">
        <v>0</v>
      </c>
      <c r="X18" s="104">
        <v>0</v>
      </c>
      <c r="Y18" s="104">
        <v>0.33333333333333298</v>
      </c>
      <c r="Z18" s="104">
        <v>0.6</v>
      </c>
      <c r="AA18" s="104">
        <v>0.83333333333333304</v>
      </c>
      <c r="AB18" s="104">
        <v>1</v>
      </c>
    </row>
    <row r="19" spans="1:28" ht="15" customHeight="1">
      <c r="B19" s="64" t="s">
        <v>1448</v>
      </c>
      <c r="C19" s="105">
        <v>27</v>
      </c>
      <c r="D19" s="105">
        <v>28</v>
      </c>
      <c r="E19" s="105">
        <v>39</v>
      </c>
      <c r="F19" s="105">
        <v>32</v>
      </c>
      <c r="G19" s="105">
        <v>20</v>
      </c>
      <c r="H19" s="105">
        <v>24</v>
      </c>
      <c r="I19" s="105">
        <v>38</v>
      </c>
      <c r="J19" s="105">
        <v>9</v>
      </c>
      <c r="K19" s="105">
        <v>17</v>
      </c>
      <c r="L19" s="105">
        <v>16</v>
      </c>
      <c r="M19" s="105">
        <v>18</v>
      </c>
      <c r="N19" s="105">
        <v>21</v>
      </c>
      <c r="O19" s="105">
        <v>0</v>
      </c>
      <c r="P19" s="105">
        <v>0</v>
      </c>
      <c r="Q19" s="105">
        <v>0</v>
      </c>
      <c r="R19" s="105">
        <v>0</v>
      </c>
      <c r="S19" s="105">
        <v>12</v>
      </c>
      <c r="T19" s="105">
        <v>4</v>
      </c>
      <c r="U19" s="105">
        <v>4</v>
      </c>
      <c r="V19" s="105">
        <v>1</v>
      </c>
      <c r="W19" s="105">
        <v>0</v>
      </c>
      <c r="X19" s="105">
        <v>-1</v>
      </c>
      <c r="Y19" s="105">
        <v>0</v>
      </c>
      <c r="Z19" s="105">
        <v>4</v>
      </c>
      <c r="AA19" s="105">
        <v>2</v>
      </c>
      <c r="AB19" s="105">
        <v>6</v>
      </c>
    </row>
    <row r="20" spans="1:28" ht="15" customHeight="1">
      <c r="A20" s="20" t="s">
        <v>1449</v>
      </c>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row>
    <row r="21" spans="1:28" ht="15" customHeight="1">
      <c r="B21" s="64" t="s">
        <v>363</v>
      </c>
      <c r="C21" s="105">
        <v>63</v>
      </c>
      <c r="D21" s="105">
        <v>65</v>
      </c>
      <c r="E21" s="105">
        <v>32</v>
      </c>
      <c r="F21" s="105">
        <v>61</v>
      </c>
      <c r="G21" s="105">
        <v>51</v>
      </c>
      <c r="H21" s="105">
        <v>61</v>
      </c>
      <c r="I21" s="105">
        <v>47</v>
      </c>
      <c r="J21" s="105">
        <v>52</v>
      </c>
      <c r="K21" s="105">
        <v>46</v>
      </c>
      <c r="L21" s="105">
        <v>57</v>
      </c>
      <c r="M21" s="105">
        <v>57</v>
      </c>
      <c r="N21" s="105">
        <v>81</v>
      </c>
      <c r="O21" s="105">
        <v>69</v>
      </c>
      <c r="P21" s="105">
        <v>69</v>
      </c>
      <c r="Q21" s="105">
        <v>69</v>
      </c>
      <c r="R21" s="105">
        <v>69</v>
      </c>
      <c r="S21" s="105">
        <v>53</v>
      </c>
      <c r="T21" s="105">
        <v>68</v>
      </c>
      <c r="U21" s="105">
        <v>68</v>
      </c>
      <c r="V21" s="105">
        <v>68</v>
      </c>
      <c r="W21" s="105">
        <v>68</v>
      </c>
      <c r="X21" s="105">
        <v>68</v>
      </c>
      <c r="Y21" s="105">
        <v>53</v>
      </c>
      <c r="Z21" s="105">
        <v>53</v>
      </c>
      <c r="AA21" s="105">
        <v>53</v>
      </c>
      <c r="AB21" s="105">
        <v>50</v>
      </c>
    </row>
    <row r="22" spans="1:28" ht="15" customHeight="1">
      <c r="B22" s="64" t="s">
        <v>622</v>
      </c>
      <c r="C22" s="105">
        <v>41</v>
      </c>
      <c r="D22" s="105">
        <v>53</v>
      </c>
      <c r="E22" s="105">
        <v>28</v>
      </c>
      <c r="F22" s="105">
        <v>42</v>
      </c>
      <c r="G22" s="105">
        <v>33</v>
      </c>
      <c r="H22" s="105">
        <v>48</v>
      </c>
      <c r="I22" s="105">
        <v>34</v>
      </c>
      <c r="J22" s="105">
        <v>38</v>
      </c>
      <c r="K22" s="105">
        <v>36</v>
      </c>
      <c r="L22" s="105">
        <v>41</v>
      </c>
      <c r="M22" s="105">
        <v>42</v>
      </c>
      <c r="N22" s="105">
        <v>55</v>
      </c>
      <c r="O22" s="105">
        <v>34</v>
      </c>
      <c r="P22" s="105">
        <v>34</v>
      </c>
      <c r="Q22" s="105">
        <v>34</v>
      </c>
      <c r="R22" s="105">
        <v>34</v>
      </c>
      <c r="S22" s="105">
        <v>34</v>
      </c>
      <c r="T22" s="105">
        <v>11</v>
      </c>
      <c r="U22" s="105">
        <v>13</v>
      </c>
      <c r="V22" s="105"/>
      <c r="W22" s="105"/>
      <c r="X22" s="105"/>
      <c r="Y22" s="105"/>
      <c r="Z22" s="105"/>
      <c r="AA22" s="105"/>
      <c r="AB22" s="105"/>
    </row>
    <row r="23" spans="1:28" ht="15" customHeight="1">
      <c r="B23" s="64" t="s">
        <v>366</v>
      </c>
      <c r="C23" s="104">
        <v>0.65079365079365104</v>
      </c>
      <c r="D23" s="104">
        <v>0.81538461538461504</v>
      </c>
      <c r="E23" s="104">
        <v>0.875</v>
      </c>
      <c r="F23" s="104">
        <v>0.68852459016393397</v>
      </c>
      <c r="G23" s="104">
        <v>0.64705882352941202</v>
      </c>
      <c r="H23" s="104">
        <v>0.786885245901639</v>
      </c>
      <c r="I23" s="104">
        <v>0.72340425531914898</v>
      </c>
      <c r="J23" s="104">
        <v>0.73076923076923095</v>
      </c>
      <c r="K23" s="104">
        <v>0.78260869565217395</v>
      </c>
      <c r="L23" s="104">
        <v>0.71929824561403499</v>
      </c>
      <c r="M23" s="104">
        <v>0.73684210526315796</v>
      </c>
      <c r="N23" s="104">
        <v>0.67901234567901203</v>
      </c>
      <c r="O23" s="104">
        <v>0.52173913043478304</v>
      </c>
      <c r="P23" s="104">
        <v>0.52173913043478304</v>
      </c>
      <c r="Q23" s="104">
        <v>0.52173913043478304</v>
      </c>
      <c r="R23" s="104">
        <v>0.52173913043478304</v>
      </c>
      <c r="S23" s="104">
        <v>0.660377358490566</v>
      </c>
      <c r="T23" s="104">
        <v>0.32352941176470601</v>
      </c>
      <c r="U23" s="104">
        <v>0.35294117647058798</v>
      </c>
      <c r="V23" s="104">
        <v>0.41176470588235298</v>
      </c>
      <c r="W23" s="104">
        <v>0.47058823529411797</v>
      </c>
      <c r="X23" s="104">
        <v>0.66176470588235303</v>
      </c>
      <c r="Y23" s="104">
        <v>0.339622641509434</v>
      </c>
      <c r="Z23" s="104">
        <v>0.339622641509434</v>
      </c>
      <c r="AA23" s="104">
        <v>0.41509433962264197</v>
      </c>
      <c r="AB23" s="104">
        <v>0.7</v>
      </c>
    </row>
    <row r="24" spans="1:28" ht="15" customHeight="1">
      <c r="B24" s="64" t="s">
        <v>1450</v>
      </c>
      <c r="C24" s="105">
        <v>1</v>
      </c>
      <c r="D24" s="105">
        <v>1</v>
      </c>
      <c r="E24" s="105">
        <v>0</v>
      </c>
      <c r="F24" s="105">
        <v>1</v>
      </c>
      <c r="G24" s="105">
        <v>1</v>
      </c>
      <c r="H24" s="105">
        <v>0</v>
      </c>
      <c r="I24" s="105">
        <v>1</v>
      </c>
      <c r="J24" s="105">
        <v>1</v>
      </c>
      <c r="K24" s="105">
        <v>0</v>
      </c>
      <c r="L24" s="105">
        <v>0</v>
      </c>
      <c r="M24" s="105">
        <v>4</v>
      </c>
      <c r="N24" s="105">
        <v>2</v>
      </c>
      <c r="O24" s="105">
        <v>6</v>
      </c>
      <c r="P24" s="105">
        <v>6</v>
      </c>
      <c r="Q24" s="105">
        <v>6</v>
      </c>
      <c r="R24" s="105">
        <v>6</v>
      </c>
      <c r="S24" s="105">
        <v>5</v>
      </c>
      <c r="T24" s="105">
        <v>23</v>
      </c>
      <c r="U24" s="105">
        <v>17</v>
      </c>
      <c r="V24" s="105">
        <v>11</v>
      </c>
      <c r="W24" s="105">
        <v>8</v>
      </c>
      <c r="X24" s="105">
        <v>3</v>
      </c>
      <c r="Y24" s="105">
        <v>15</v>
      </c>
      <c r="Z24" s="105">
        <v>14</v>
      </c>
      <c r="AA24" s="105">
        <v>10</v>
      </c>
      <c r="AB24" s="105">
        <v>2</v>
      </c>
    </row>
    <row r="25" spans="1:28" ht="15" customHeight="1">
      <c r="B25" s="64" t="s">
        <v>1451</v>
      </c>
      <c r="C25" s="104">
        <v>1.4084507042253501E-2</v>
      </c>
      <c r="D25" s="104">
        <v>1.3157894736842099E-2</v>
      </c>
      <c r="E25" s="104">
        <v>0</v>
      </c>
      <c r="F25" s="104">
        <v>1.4705882352941201E-2</v>
      </c>
      <c r="G25" s="104">
        <v>1.4705882352941201E-2</v>
      </c>
      <c r="H25" s="104">
        <v>0</v>
      </c>
      <c r="I25" s="104">
        <v>1.72413793103448E-2</v>
      </c>
      <c r="J25" s="104">
        <v>1.7543859649122799E-2</v>
      </c>
      <c r="K25" s="104">
        <v>0</v>
      </c>
      <c r="L25" s="104">
        <v>0</v>
      </c>
      <c r="M25" s="104">
        <v>6.25E-2</v>
      </c>
      <c r="N25" s="104">
        <v>2.1052631578947399E-2</v>
      </c>
      <c r="O25" s="104">
        <v>8.6956521739130502E-2</v>
      </c>
      <c r="P25" s="104">
        <v>8.6956521739130502E-2</v>
      </c>
      <c r="Q25" s="104">
        <v>8.6956521739130502E-2</v>
      </c>
      <c r="R25" s="104">
        <v>8.6956521739130502E-2</v>
      </c>
      <c r="S25" s="104">
        <v>7.2463768115942004E-2</v>
      </c>
      <c r="T25" s="104">
        <v>0.29870129870129902</v>
      </c>
      <c r="U25" s="104">
        <v>0.22077922077922099</v>
      </c>
      <c r="V25" s="104">
        <v>0.14285714285714299</v>
      </c>
      <c r="W25" s="104">
        <v>0.103896103896104</v>
      </c>
      <c r="X25" s="104">
        <v>3.8961038961039002E-2</v>
      </c>
      <c r="Y25" s="104">
        <v>0.241935483870968</v>
      </c>
      <c r="Z25" s="104">
        <v>0.225806451612903</v>
      </c>
      <c r="AA25" s="104">
        <v>0.16129032258064499</v>
      </c>
      <c r="AB25" s="104">
        <v>6.5573770491803296E-2</v>
      </c>
    </row>
    <row r="26" spans="1:28" ht="15" customHeight="1">
      <c r="A26" s="20" t="s">
        <v>442</v>
      </c>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row>
    <row r="27" spans="1:28" ht="15" customHeight="1">
      <c r="B27" s="64" t="s">
        <v>444</v>
      </c>
      <c r="C27" s="105">
        <v>27</v>
      </c>
      <c r="D27" s="105">
        <v>34</v>
      </c>
      <c r="E27" s="105">
        <v>22</v>
      </c>
      <c r="F27" s="105">
        <v>12</v>
      </c>
      <c r="G27" s="105">
        <v>14</v>
      </c>
      <c r="H27" s="105">
        <v>15</v>
      </c>
      <c r="I27" s="105">
        <v>16</v>
      </c>
      <c r="J27" s="105">
        <v>23</v>
      </c>
      <c r="K27" s="105">
        <v>28</v>
      </c>
      <c r="L27" s="105">
        <v>23</v>
      </c>
      <c r="M27" s="105">
        <v>30</v>
      </c>
      <c r="N27" s="105">
        <v>31</v>
      </c>
      <c r="O27" s="105">
        <v>28</v>
      </c>
      <c r="P27" s="105">
        <v>28</v>
      </c>
      <c r="Q27" s="105">
        <v>28</v>
      </c>
      <c r="R27" s="105">
        <v>28</v>
      </c>
      <c r="S27" s="105">
        <v>38</v>
      </c>
      <c r="T27" s="105">
        <v>0</v>
      </c>
      <c r="U27" s="105">
        <v>10</v>
      </c>
      <c r="V27" s="105">
        <v>15</v>
      </c>
      <c r="W27" s="105">
        <v>22</v>
      </c>
      <c r="X27" s="105">
        <v>26</v>
      </c>
      <c r="Y27" s="105">
        <v>0</v>
      </c>
      <c r="Z27" s="105">
        <v>3</v>
      </c>
      <c r="AA27" s="105">
        <v>9</v>
      </c>
      <c r="AB27" s="105">
        <v>23</v>
      </c>
    </row>
    <row r="28" spans="1:28" ht="15" customHeight="1">
      <c r="B28" s="64" t="s">
        <v>1452</v>
      </c>
      <c r="C28" s="105">
        <v>10</v>
      </c>
      <c r="D28" s="105">
        <v>17</v>
      </c>
      <c r="E28" s="105">
        <v>7</v>
      </c>
      <c r="F28" s="105">
        <v>6</v>
      </c>
      <c r="G28" s="105">
        <v>6</v>
      </c>
      <c r="H28" s="105">
        <v>2</v>
      </c>
      <c r="I28" s="105">
        <v>7</v>
      </c>
      <c r="J28" s="105">
        <v>6</v>
      </c>
      <c r="K28" s="105">
        <v>8</v>
      </c>
      <c r="L28" s="105">
        <v>8</v>
      </c>
      <c r="M28" s="105">
        <v>8</v>
      </c>
      <c r="N28" s="105">
        <v>8</v>
      </c>
      <c r="O28" s="105">
        <v>6</v>
      </c>
      <c r="P28" s="105">
        <v>6</v>
      </c>
      <c r="Q28" s="105">
        <v>6</v>
      </c>
      <c r="R28" s="105">
        <v>6</v>
      </c>
      <c r="S28" s="105">
        <v>8</v>
      </c>
      <c r="T28" s="105">
        <v>0</v>
      </c>
      <c r="U28" s="105">
        <v>1</v>
      </c>
      <c r="V28" s="105">
        <v>2</v>
      </c>
      <c r="W28" s="105">
        <v>4</v>
      </c>
      <c r="X28" s="105">
        <v>5</v>
      </c>
      <c r="Y28" s="105">
        <v>0</v>
      </c>
      <c r="Z28" s="105">
        <v>2</v>
      </c>
      <c r="AA28" s="105">
        <v>3</v>
      </c>
      <c r="AB28" s="105">
        <v>7</v>
      </c>
    </row>
    <row r="29" spans="1:28" ht="15" customHeight="1">
      <c r="B29" s="64" t="s">
        <v>1453</v>
      </c>
      <c r="C29" s="105">
        <v>3</v>
      </c>
      <c r="D29" s="105">
        <v>6</v>
      </c>
      <c r="E29" s="105">
        <v>6</v>
      </c>
      <c r="F29" s="105">
        <v>3</v>
      </c>
      <c r="G29" s="105">
        <v>7</v>
      </c>
      <c r="H29" s="105">
        <v>1</v>
      </c>
      <c r="I29" s="105">
        <v>4</v>
      </c>
      <c r="J29" s="105">
        <v>4</v>
      </c>
      <c r="K29" s="105">
        <v>1</v>
      </c>
      <c r="L29" s="105">
        <v>2</v>
      </c>
      <c r="M29" s="105">
        <v>8</v>
      </c>
      <c r="N29" s="105">
        <v>7</v>
      </c>
      <c r="O29" s="105">
        <v>0</v>
      </c>
      <c r="P29" s="105">
        <v>0</v>
      </c>
      <c r="Q29" s="105">
        <v>0</v>
      </c>
      <c r="R29" s="105">
        <v>0</v>
      </c>
      <c r="S29" s="105">
        <v>5</v>
      </c>
      <c r="T29" s="105">
        <v>0</v>
      </c>
      <c r="U29" s="105">
        <v>2</v>
      </c>
      <c r="V29" s="105">
        <v>5</v>
      </c>
      <c r="W29" s="105">
        <v>6</v>
      </c>
      <c r="X29" s="105">
        <v>6</v>
      </c>
      <c r="Y29" s="105">
        <v>0</v>
      </c>
      <c r="Z29" s="105">
        <v>1</v>
      </c>
      <c r="AA29" s="105">
        <v>1</v>
      </c>
      <c r="AB29" s="105">
        <v>5</v>
      </c>
    </row>
    <row r="30" spans="1:28" ht="15" customHeight="1">
      <c r="B30" s="64" t="s">
        <v>443</v>
      </c>
      <c r="C30" s="105">
        <v>15</v>
      </c>
      <c r="D30" s="105">
        <v>47</v>
      </c>
      <c r="E30" s="105">
        <v>59</v>
      </c>
      <c r="F30" s="105">
        <v>54</v>
      </c>
      <c r="G30" s="105">
        <v>30</v>
      </c>
      <c r="H30" s="105">
        <v>44</v>
      </c>
      <c r="I30" s="105">
        <v>39</v>
      </c>
      <c r="J30" s="105">
        <v>43</v>
      </c>
      <c r="K30" s="105">
        <v>23</v>
      </c>
      <c r="L30" s="105">
        <v>18</v>
      </c>
      <c r="M30" s="105">
        <v>30</v>
      </c>
      <c r="N30" s="105">
        <v>36</v>
      </c>
      <c r="O30" s="105">
        <v>12</v>
      </c>
      <c r="P30" s="105">
        <v>12</v>
      </c>
      <c r="Q30" s="105">
        <v>12</v>
      </c>
      <c r="R30" s="105">
        <v>12</v>
      </c>
      <c r="S30" s="105">
        <v>23</v>
      </c>
      <c r="T30" s="105">
        <v>9</v>
      </c>
      <c r="U30" s="105">
        <v>0</v>
      </c>
      <c r="V30" s="105">
        <v>2</v>
      </c>
      <c r="W30" s="105">
        <v>1</v>
      </c>
      <c r="X30" s="105">
        <v>2</v>
      </c>
      <c r="Y30" s="105">
        <v>5</v>
      </c>
      <c r="Z30" s="105">
        <v>2</v>
      </c>
      <c r="AA30" s="105">
        <v>2</v>
      </c>
      <c r="AB30" s="105">
        <v>2</v>
      </c>
    </row>
    <row r="31" spans="1:28" ht="15" customHeight="1">
      <c r="B31" s="64" t="s">
        <v>1454</v>
      </c>
      <c r="C31" s="105">
        <v>-12</v>
      </c>
      <c r="D31" s="105">
        <v>13</v>
      </c>
      <c r="E31" s="105">
        <v>37</v>
      </c>
      <c r="F31" s="105">
        <v>42</v>
      </c>
      <c r="G31" s="105">
        <v>16</v>
      </c>
      <c r="H31" s="105">
        <v>29</v>
      </c>
      <c r="I31" s="105">
        <v>23</v>
      </c>
      <c r="J31" s="105">
        <v>20</v>
      </c>
      <c r="K31" s="105">
        <v>-5</v>
      </c>
      <c r="L31" s="105">
        <v>-5</v>
      </c>
      <c r="M31" s="105">
        <v>0</v>
      </c>
      <c r="N31" s="105">
        <v>5</v>
      </c>
      <c r="O31" s="105">
        <v>-16</v>
      </c>
      <c r="P31" s="105">
        <v>-16</v>
      </c>
      <c r="Q31" s="105">
        <v>-16</v>
      </c>
      <c r="R31" s="105">
        <v>-16</v>
      </c>
      <c r="S31" s="105">
        <v>-15</v>
      </c>
      <c r="T31" s="105">
        <v>9</v>
      </c>
      <c r="U31" s="105">
        <v>-10</v>
      </c>
      <c r="V31" s="105">
        <v>-13</v>
      </c>
      <c r="W31" s="105">
        <v>-21</v>
      </c>
      <c r="X31" s="105">
        <v>-24</v>
      </c>
      <c r="Y31" s="105">
        <v>5</v>
      </c>
      <c r="Z31" s="105">
        <v>-1</v>
      </c>
      <c r="AA31" s="105">
        <v>-7</v>
      </c>
      <c r="AB31" s="105">
        <v>-21</v>
      </c>
    </row>
    <row r="32" spans="1:28" ht="15" customHeight="1">
      <c r="A32" s="20" t="s">
        <v>368</v>
      </c>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row>
    <row r="33" spans="1:28" ht="15" customHeight="1">
      <c r="B33" s="64" t="s">
        <v>1455</v>
      </c>
      <c r="C33" s="106">
        <v>999564.9</v>
      </c>
      <c r="D33" s="106">
        <v>1013675.91</v>
      </c>
      <c r="E33" s="106">
        <v>1019921.53</v>
      </c>
      <c r="F33" s="106">
        <v>1081685.3400000001</v>
      </c>
      <c r="G33" s="106">
        <v>1079697.99</v>
      </c>
      <c r="H33" s="106">
        <v>1069383.45</v>
      </c>
      <c r="I33" s="106">
        <v>1086399.6100000001</v>
      </c>
      <c r="J33" s="106">
        <v>1126564.67</v>
      </c>
      <c r="K33" s="106">
        <v>1093658.3</v>
      </c>
      <c r="L33" s="106">
        <v>1090701.57</v>
      </c>
      <c r="M33" s="106">
        <v>1049393.1299999999</v>
      </c>
      <c r="N33" s="106">
        <v>1038983.38</v>
      </c>
      <c r="O33" s="106">
        <v>0</v>
      </c>
      <c r="P33" s="106"/>
      <c r="Q33" s="106"/>
      <c r="R33" s="106"/>
      <c r="S33" s="106">
        <v>1007690.45</v>
      </c>
      <c r="T33" s="106">
        <v>987830.32</v>
      </c>
      <c r="U33" s="106">
        <v>1003677.49</v>
      </c>
      <c r="V33" s="106">
        <v>1001985.25</v>
      </c>
      <c r="W33" s="106">
        <v>1010268.68</v>
      </c>
      <c r="X33" s="106">
        <v>1020151.21</v>
      </c>
      <c r="Y33" s="106">
        <v>985923.61</v>
      </c>
      <c r="Z33" s="106">
        <v>983030.54</v>
      </c>
      <c r="AA33" s="106">
        <v>985730.04</v>
      </c>
      <c r="AB33" s="106">
        <v>982503.47</v>
      </c>
    </row>
    <row r="34" spans="1:28" ht="15" customHeight="1">
      <c r="B34" s="64" t="s">
        <v>450</v>
      </c>
      <c r="C34" s="106">
        <v>-102822.01</v>
      </c>
      <c r="D34" s="106">
        <v>-118883.27</v>
      </c>
      <c r="E34" s="106">
        <v>-127336.18</v>
      </c>
      <c r="F34" s="106">
        <v>-132264.66</v>
      </c>
      <c r="G34" s="106">
        <v>-138218.71</v>
      </c>
      <c r="H34" s="106">
        <v>-160148.81</v>
      </c>
      <c r="I34" s="106">
        <v>-87447.07</v>
      </c>
      <c r="J34" s="106">
        <v>-85730.559999999998</v>
      </c>
      <c r="K34" s="106">
        <v>-96779.32</v>
      </c>
      <c r="L34" s="106">
        <v>-74152.45</v>
      </c>
      <c r="M34" s="106">
        <v>-86676.31</v>
      </c>
      <c r="N34" s="106">
        <v>-58644.14</v>
      </c>
      <c r="O34" s="106">
        <v>0</v>
      </c>
      <c r="P34" s="106"/>
      <c r="Q34" s="106"/>
      <c r="R34" s="106"/>
      <c r="S34" s="106">
        <v>-135800.87</v>
      </c>
      <c r="T34" s="106">
        <v>-18571.5</v>
      </c>
      <c r="U34" s="106">
        <v>-18044.55</v>
      </c>
      <c r="V34" s="106">
        <v>-18323.55</v>
      </c>
      <c r="W34" s="106">
        <v>-18783.13</v>
      </c>
      <c r="X34" s="106">
        <v>-22239.38</v>
      </c>
      <c r="Y34" s="106">
        <v>-13239.13</v>
      </c>
      <c r="Z34" s="106">
        <v>-13469.13</v>
      </c>
      <c r="AA34" s="106">
        <v>-13469.13</v>
      </c>
      <c r="AB34" s="106">
        <v>-39855.730000000003</v>
      </c>
    </row>
    <row r="35" spans="1:28" ht="15" customHeight="1">
      <c r="B35" s="64" t="s">
        <v>451</v>
      </c>
      <c r="C35" s="106">
        <v>-10062.58</v>
      </c>
      <c r="D35" s="106">
        <v>-12105.43</v>
      </c>
      <c r="E35" s="106">
        <v>-8377.01</v>
      </c>
      <c r="F35" s="106">
        <v>-8988.09</v>
      </c>
      <c r="G35" s="106">
        <v>-5716.44</v>
      </c>
      <c r="H35" s="106">
        <v>-18742.68</v>
      </c>
      <c r="I35" s="106">
        <v>-9753</v>
      </c>
      <c r="J35" s="106">
        <v>-11332.57</v>
      </c>
      <c r="K35" s="106">
        <v>-5136.01</v>
      </c>
      <c r="L35" s="106">
        <v>-6668.96</v>
      </c>
      <c r="M35" s="106">
        <v>-14388.16</v>
      </c>
      <c r="N35" s="106">
        <v>-8344.94</v>
      </c>
      <c r="O35" s="106"/>
      <c r="P35" s="106"/>
      <c r="Q35" s="106"/>
      <c r="R35" s="106"/>
      <c r="S35" s="106">
        <v>-4616.3100000000004</v>
      </c>
      <c r="T35" s="106">
        <v>0</v>
      </c>
      <c r="U35" s="106">
        <v>-3684.01</v>
      </c>
      <c r="V35" s="106">
        <v>-7703.39</v>
      </c>
      <c r="W35" s="106">
        <v>-7703.39</v>
      </c>
      <c r="X35" s="106">
        <v>-7703.39</v>
      </c>
      <c r="Y35" s="106">
        <v>0</v>
      </c>
      <c r="Z35" s="106">
        <v>-4302.84</v>
      </c>
      <c r="AA35" s="106">
        <v>-4963.8500000000004</v>
      </c>
      <c r="AB35" s="106">
        <v>-4963.8500000000004</v>
      </c>
    </row>
    <row r="36" spans="1:28" ht="15" customHeight="1">
      <c r="B36" s="64" t="s">
        <v>1456</v>
      </c>
      <c r="C36" s="106">
        <v>784327.96</v>
      </c>
      <c r="D36" s="106">
        <v>768076.87</v>
      </c>
      <c r="E36" s="106">
        <v>777760.09</v>
      </c>
      <c r="F36" s="106">
        <v>814483.24</v>
      </c>
      <c r="G36" s="106">
        <v>769691.93</v>
      </c>
      <c r="H36" s="106">
        <v>786665.69</v>
      </c>
      <c r="I36" s="106">
        <v>810643.84</v>
      </c>
      <c r="J36" s="106">
        <v>874014.86</v>
      </c>
      <c r="K36" s="106">
        <v>871837.41</v>
      </c>
      <c r="L36" s="106">
        <v>869285.07</v>
      </c>
      <c r="M36" s="106">
        <v>828893.8</v>
      </c>
      <c r="N36" s="106">
        <v>827125.35</v>
      </c>
      <c r="O36" s="106"/>
      <c r="P36" s="106"/>
      <c r="Q36" s="106"/>
      <c r="R36" s="106"/>
      <c r="S36" s="106">
        <v>797191.37</v>
      </c>
      <c r="T36" s="106">
        <v>347377.87</v>
      </c>
      <c r="U36" s="106">
        <v>717558.8</v>
      </c>
      <c r="V36" s="106">
        <v>732852.23</v>
      </c>
      <c r="W36" s="106">
        <v>773001.75</v>
      </c>
      <c r="X36" s="106">
        <v>798144.83</v>
      </c>
      <c r="Y36" s="106">
        <v>691292.72</v>
      </c>
      <c r="Z36" s="106">
        <v>719000.42</v>
      </c>
      <c r="AA36" s="106">
        <v>757548.25</v>
      </c>
      <c r="AB36" s="106">
        <v>778055.07</v>
      </c>
    </row>
    <row r="37" spans="1:28" ht="15" customHeight="1">
      <c r="B37" s="64" t="s">
        <v>371</v>
      </c>
      <c r="C37" s="104">
        <v>0.84432696666319496</v>
      </c>
      <c r="D37" s="104">
        <v>0.83093486950873696</v>
      </c>
      <c r="E37" s="104">
        <v>0.82031299996187002</v>
      </c>
      <c r="F37" s="104">
        <v>0.80058751651381399</v>
      </c>
      <c r="G37" s="104">
        <v>0.76441510278258495</v>
      </c>
      <c r="H37" s="104">
        <v>0.78469699526395298</v>
      </c>
      <c r="I37" s="104">
        <v>0.80947858587688604</v>
      </c>
      <c r="J37" s="104">
        <v>0.83277017732146696</v>
      </c>
      <c r="K37" s="104">
        <v>0.857951327210702</v>
      </c>
      <c r="L37" s="104">
        <v>0.84893839476182298</v>
      </c>
      <c r="M37" s="104">
        <v>0.85388967621695799</v>
      </c>
      <c r="N37" s="104">
        <v>0.86184290070164604</v>
      </c>
      <c r="O37" s="104"/>
      <c r="P37" s="104"/>
      <c r="Q37" s="104"/>
      <c r="R37" s="104"/>
      <c r="S37" s="104">
        <v>0.87717437433291201</v>
      </c>
      <c r="T37" s="104">
        <v>0.38924594863619899</v>
      </c>
      <c r="U37" s="104">
        <v>0.75342805585885997</v>
      </c>
      <c r="V37" s="104">
        <v>0.77358684671256395</v>
      </c>
      <c r="W37" s="104">
        <v>0.81100543471267506</v>
      </c>
      <c r="X37" s="104">
        <v>0.84214734205922304</v>
      </c>
      <c r="Y37" s="104">
        <v>0.73995295639588099</v>
      </c>
      <c r="Z37" s="104">
        <v>0.77374587975669595</v>
      </c>
      <c r="AA37" s="104">
        <v>0.81426450187112098</v>
      </c>
      <c r="AB37" s="104">
        <v>0.84644876623183796</v>
      </c>
    </row>
    <row r="38" spans="1:28" ht="15" customHeight="1">
      <c r="A38" s="20" t="s">
        <v>372</v>
      </c>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row>
    <row r="39" spans="1:28" ht="15" customHeight="1">
      <c r="B39" s="64" t="s">
        <v>1457</v>
      </c>
      <c r="C39" s="106">
        <v>79097.31</v>
      </c>
      <c r="D39" s="106">
        <v>74191.990000000005</v>
      </c>
      <c r="E39" s="106">
        <v>67465.48</v>
      </c>
      <c r="F39" s="106">
        <v>82224.91</v>
      </c>
      <c r="G39" s="106">
        <v>149829.76999999999</v>
      </c>
      <c r="H39" s="106">
        <v>122364.56</v>
      </c>
      <c r="I39" s="106">
        <v>173865.65</v>
      </c>
      <c r="J39" s="106">
        <v>204749.19</v>
      </c>
      <c r="K39" s="106">
        <v>194135.24</v>
      </c>
      <c r="L39" s="106">
        <v>229422.45</v>
      </c>
      <c r="M39" s="106">
        <v>232476.83</v>
      </c>
      <c r="N39" s="106">
        <v>277214.40000000002</v>
      </c>
      <c r="O39" s="106">
        <v>501559.14</v>
      </c>
      <c r="P39" s="106">
        <v>452937.09</v>
      </c>
      <c r="Q39" s="106">
        <v>398512.59</v>
      </c>
      <c r="R39" s="106">
        <v>344424.91</v>
      </c>
      <c r="S39" s="106">
        <v>237436.08</v>
      </c>
      <c r="T39" s="106">
        <v>727424.41</v>
      </c>
      <c r="U39" s="106">
        <v>399644.41</v>
      </c>
      <c r="V39" s="106">
        <v>383121.74</v>
      </c>
      <c r="W39" s="106">
        <v>346359.63</v>
      </c>
      <c r="X39" s="106">
        <v>326227.39</v>
      </c>
      <c r="Y39" s="106">
        <v>453209.17</v>
      </c>
      <c r="Z39" s="106">
        <v>421806.94</v>
      </c>
      <c r="AA39" s="106">
        <v>385983.61</v>
      </c>
      <c r="AB39" s="106">
        <v>334613.32</v>
      </c>
    </row>
    <row r="40" spans="1:28" ht="15" customHeight="1">
      <c r="B40" s="64" t="s">
        <v>460</v>
      </c>
      <c r="C40" s="113">
        <v>1</v>
      </c>
      <c r="D40" s="113">
        <v>0.93798373168442795</v>
      </c>
      <c r="E40" s="113">
        <v>0.85294278654988398</v>
      </c>
      <c r="F40" s="113">
        <v>1.03954116770849</v>
      </c>
      <c r="G40" s="113">
        <v>1.89424608750917</v>
      </c>
      <c r="H40" s="113">
        <v>1.54701291358707</v>
      </c>
      <c r="I40" s="113">
        <v>2.1981234254363402</v>
      </c>
      <c r="J40" s="113">
        <v>2.5885733661486099</v>
      </c>
      <c r="K40" s="113">
        <v>2.4543848583472698</v>
      </c>
      <c r="L40" s="113">
        <v>2.9005088795055101</v>
      </c>
      <c r="M40" s="113">
        <v>2.93912435201652</v>
      </c>
      <c r="N40" s="113">
        <v>3.5047260140705201</v>
      </c>
      <c r="O40" s="113">
        <v>6.3410391579688401</v>
      </c>
      <c r="P40" s="113">
        <v>5.72632735550678</v>
      </c>
      <c r="Q40" s="113">
        <v>5.0382571796689399</v>
      </c>
      <c r="R40" s="113">
        <v>4.3544453028807197</v>
      </c>
      <c r="S40" s="113">
        <v>3.0018224387150498</v>
      </c>
      <c r="T40" s="113">
        <v>9.1965758380405092</v>
      </c>
      <c r="U40" s="113">
        <v>5.0525663894258903</v>
      </c>
      <c r="V40" s="113">
        <v>4.84367597330428</v>
      </c>
      <c r="W40" s="113">
        <v>4.3789053003193201</v>
      </c>
      <c r="X40" s="113">
        <v>4.1243803360695797</v>
      </c>
      <c r="Y40" s="113">
        <v>5.7297671690731304</v>
      </c>
      <c r="Z40" s="113">
        <v>5.3327596096504397</v>
      </c>
      <c r="AA40" s="113">
        <v>4.8798576083055201</v>
      </c>
      <c r="AB40" s="113">
        <v>4.2304007557273398</v>
      </c>
    </row>
    <row r="41" spans="1:28" ht="15" customHeight="1">
      <c r="B41" s="64" t="s">
        <v>1458</v>
      </c>
      <c r="C41" s="106">
        <v>35834.92</v>
      </c>
      <c r="D41" s="106">
        <v>18359.95</v>
      </c>
      <c r="E41" s="106">
        <v>19689.919999999998</v>
      </c>
      <c r="F41" s="106">
        <v>7730.47</v>
      </c>
      <c r="G41" s="106">
        <v>18208.37</v>
      </c>
      <c r="H41" s="106">
        <v>38227</v>
      </c>
      <c r="I41" s="106">
        <v>55915.83</v>
      </c>
      <c r="J41" s="106">
        <v>60383.47</v>
      </c>
      <c r="K41" s="106">
        <v>69186.320000000007</v>
      </c>
      <c r="L41" s="106">
        <v>78474.52</v>
      </c>
      <c r="M41" s="106">
        <v>82128.990000000005</v>
      </c>
      <c r="N41" s="106">
        <v>105575.92</v>
      </c>
      <c r="O41" s="106">
        <v>0</v>
      </c>
      <c r="P41" s="106">
        <v>6217.08</v>
      </c>
      <c r="Q41" s="106">
        <v>34529.56</v>
      </c>
      <c r="R41" s="106">
        <v>27238.37</v>
      </c>
      <c r="S41" s="106">
        <v>155052.15</v>
      </c>
      <c r="T41" s="106">
        <v>155052.15</v>
      </c>
      <c r="U41" s="106">
        <v>157363.6</v>
      </c>
      <c r="V41" s="106">
        <v>157231.6</v>
      </c>
      <c r="W41" s="106">
        <v>155614.28</v>
      </c>
      <c r="X41" s="106">
        <v>154935.45000000001</v>
      </c>
      <c r="Y41" s="106">
        <v>168212.44</v>
      </c>
      <c r="Z41" s="106">
        <v>172463.04</v>
      </c>
      <c r="AA41" s="106">
        <v>172463.04</v>
      </c>
      <c r="AB41" s="106">
        <v>158889.79</v>
      </c>
    </row>
    <row r="42" spans="1:28" ht="15" customHeight="1">
      <c r="B42" s="64" t="s">
        <v>455</v>
      </c>
      <c r="C42" s="105">
        <v>3</v>
      </c>
      <c r="D42" s="105">
        <v>1</v>
      </c>
      <c r="E42" s="105">
        <v>10</v>
      </c>
      <c r="F42" s="105">
        <v>4</v>
      </c>
      <c r="G42" s="105">
        <v>9</v>
      </c>
      <c r="H42" s="105">
        <v>4</v>
      </c>
      <c r="I42" s="105">
        <v>10</v>
      </c>
      <c r="J42" s="105">
        <v>2</v>
      </c>
      <c r="K42" s="105">
        <v>7</v>
      </c>
      <c r="L42" s="105">
        <v>4</v>
      </c>
      <c r="M42" s="105">
        <v>8</v>
      </c>
      <c r="N42" s="105">
        <v>13</v>
      </c>
      <c r="O42" s="105">
        <v>0</v>
      </c>
      <c r="P42" s="105">
        <v>1</v>
      </c>
      <c r="Q42" s="105">
        <v>0</v>
      </c>
      <c r="R42" s="105">
        <v>0</v>
      </c>
      <c r="S42" s="105">
        <v>79</v>
      </c>
      <c r="T42" s="105">
        <v>79</v>
      </c>
      <c r="U42" s="105">
        <v>148</v>
      </c>
      <c r="V42" s="105">
        <v>132</v>
      </c>
      <c r="W42" s="105">
        <v>88</v>
      </c>
      <c r="X42" s="105">
        <v>41</v>
      </c>
      <c r="Y42" s="105">
        <v>109</v>
      </c>
      <c r="Z42" s="105">
        <v>88</v>
      </c>
      <c r="AA42" s="105">
        <v>45</v>
      </c>
      <c r="AB42" s="105">
        <v>32</v>
      </c>
    </row>
    <row r="43" spans="1:28" ht="15" customHeight="1">
      <c r="B43" s="64" t="s">
        <v>456</v>
      </c>
      <c r="C43" s="105">
        <v>0</v>
      </c>
      <c r="D43" s="105">
        <v>0</v>
      </c>
      <c r="E43" s="105">
        <v>0</v>
      </c>
      <c r="F43" s="105">
        <v>0</v>
      </c>
      <c r="G43" s="105">
        <v>0</v>
      </c>
      <c r="H43" s="105">
        <v>0</v>
      </c>
      <c r="I43" s="105">
        <v>0</v>
      </c>
      <c r="J43" s="105">
        <v>0</v>
      </c>
      <c r="K43" s="105">
        <v>0</v>
      </c>
      <c r="L43" s="105">
        <v>0</v>
      </c>
      <c r="M43" s="105">
        <v>0</v>
      </c>
      <c r="N43" s="105">
        <v>4</v>
      </c>
      <c r="O43" s="105">
        <v>9</v>
      </c>
      <c r="P43" s="105">
        <v>9</v>
      </c>
      <c r="Q43" s="105">
        <v>9</v>
      </c>
      <c r="R43" s="105">
        <v>9</v>
      </c>
      <c r="S43" s="105">
        <v>12</v>
      </c>
      <c r="T43" s="105">
        <v>12</v>
      </c>
      <c r="U43" s="105">
        <v>1</v>
      </c>
      <c r="V43" s="105">
        <v>4</v>
      </c>
      <c r="W43" s="105">
        <v>16</v>
      </c>
      <c r="X43" s="105">
        <v>35</v>
      </c>
      <c r="Y43" s="105">
        <v>45</v>
      </c>
      <c r="Z43" s="105">
        <v>47</v>
      </c>
      <c r="AA43" s="105">
        <v>59</v>
      </c>
      <c r="AB43" s="105">
        <v>57</v>
      </c>
    </row>
    <row r="44" spans="1:28" ht="15" customHeight="1">
      <c r="B44" s="64" t="s">
        <v>511</v>
      </c>
      <c r="C44" s="105">
        <v>0</v>
      </c>
      <c r="D44" s="105">
        <v>0</v>
      </c>
      <c r="E44" s="105">
        <v>0</v>
      </c>
      <c r="F44" s="105">
        <v>0</v>
      </c>
      <c r="G44" s="105">
        <v>0</v>
      </c>
      <c r="H44" s="105">
        <v>0</v>
      </c>
      <c r="I44" s="105">
        <v>0</v>
      </c>
      <c r="J44" s="105">
        <v>0</v>
      </c>
      <c r="K44" s="105">
        <v>0</v>
      </c>
      <c r="L44" s="105">
        <v>0</v>
      </c>
      <c r="M44" s="105">
        <v>0</v>
      </c>
      <c r="N44" s="105">
        <v>4</v>
      </c>
      <c r="O44" s="105">
        <v>12</v>
      </c>
      <c r="P44" s="105">
        <v>12</v>
      </c>
      <c r="Q44" s="105">
        <v>12</v>
      </c>
      <c r="R44" s="105">
        <v>12</v>
      </c>
      <c r="S44" s="105">
        <v>1</v>
      </c>
      <c r="T44" s="105">
        <v>1</v>
      </c>
      <c r="U44" s="105">
        <v>6</v>
      </c>
      <c r="V44" s="105">
        <v>11</v>
      </c>
      <c r="W44" s="105">
        <v>17</v>
      </c>
      <c r="X44" s="105">
        <v>11</v>
      </c>
      <c r="Y44" s="105">
        <v>1</v>
      </c>
      <c r="Z44" s="105">
        <v>4</v>
      </c>
      <c r="AA44" s="105">
        <v>12</v>
      </c>
      <c r="AB44" s="105">
        <v>2</v>
      </c>
    </row>
    <row r="45" spans="1:28" ht="15" customHeight="1">
      <c r="A45" s="114" t="s">
        <v>1459</v>
      </c>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row>
    <row r="46" spans="1:28" ht="15" customHeight="1">
      <c r="B46" s="77" t="s">
        <v>465</v>
      </c>
      <c r="H46" s="29">
        <v>3.6</v>
      </c>
      <c r="I46" s="29">
        <v>4.8</v>
      </c>
      <c r="J46" s="29">
        <v>6.1</v>
      </c>
      <c r="K46" s="29">
        <v>5.7</v>
      </c>
      <c r="L46" s="29">
        <v>7</v>
      </c>
      <c r="M46" s="29">
        <v>6.9</v>
      </c>
      <c r="N46" s="29">
        <v>8.3000000000000007</v>
      </c>
      <c r="S46" s="29">
        <v>7.2</v>
      </c>
      <c r="X46" s="29">
        <v>7.5</v>
      </c>
    </row>
    <row r="47" spans="1:28" ht="15" customHeight="1">
      <c r="B47" s="77" t="s">
        <v>467</v>
      </c>
      <c r="I47" s="29">
        <v>4.2</v>
      </c>
      <c r="J47" s="29">
        <v>5.5</v>
      </c>
      <c r="K47" s="29">
        <v>5.9</v>
      </c>
      <c r="L47" s="29">
        <v>6.3</v>
      </c>
      <c r="M47" s="29">
        <v>6.9</v>
      </c>
      <c r="N47" s="29">
        <v>7.6</v>
      </c>
      <c r="S47" s="29">
        <v>7.7</v>
      </c>
      <c r="X47" s="29">
        <v>7.4</v>
      </c>
    </row>
    <row r="48" spans="1:28" ht="15" customHeight="1"/>
    <row r="49" spans="1:28" ht="15" customHeight="1">
      <c r="A49" s="20" t="s">
        <v>376</v>
      </c>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row>
    <row r="50" spans="1:28" ht="15" customHeight="1">
      <c r="B50" s="64" t="s">
        <v>1460</v>
      </c>
      <c r="C50" s="105">
        <v>0</v>
      </c>
      <c r="D50" s="105">
        <v>0</v>
      </c>
      <c r="E50" s="105">
        <v>0</v>
      </c>
      <c r="F50" s="105">
        <v>0</v>
      </c>
      <c r="G50" s="105">
        <v>1</v>
      </c>
      <c r="H50" s="105">
        <v>0</v>
      </c>
      <c r="I50" s="105">
        <v>1</v>
      </c>
      <c r="J50" s="105">
        <v>0</v>
      </c>
      <c r="K50" s="105">
        <v>1</v>
      </c>
      <c r="L50" s="105">
        <v>20</v>
      </c>
      <c r="M50" s="105">
        <v>27</v>
      </c>
      <c r="N50" s="105">
        <v>41</v>
      </c>
      <c r="O50" s="105">
        <v>14</v>
      </c>
      <c r="P50" s="105">
        <v>26</v>
      </c>
      <c r="Q50" s="105">
        <v>47</v>
      </c>
      <c r="R50" s="105">
        <v>22</v>
      </c>
      <c r="S50" s="105">
        <v>74</v>
      </c>
      <c r="T50" s="105">
        <v>27</v>
      </c>
      <c r="U50" s="105">
        <v>46</v>
      </c>
      <c r="V50" s="105">
        <v>13</v>
      </c>
      <c r="W50" s="105">
        <v>10</v>
      </c>
      <c r="X50" s="105">
        <v>29</v>
      </c>
      <c r="Y50" s="105">
        <v>29</v>
      </c>
      <c r="Z50" s="105">
        <v>18</v>
      </c>
      <c r="AA50" s="105">
        <v>19</v>
      </c>
      <c r="AB50" s="105">
        <v>4</v>
      </c>
    </row>
    <row r="51" spans="1:28" ht="15" customHeight="1">
      <c r="B51" s="64" t="s">
        <v>1461</v>
      </c>
      <c r="C51" s="105">
        <v>562</v>
      </c>
      <c r="D51" s="105">
        <v>447</v>
      </c>
      <c r="E51" s="105">
        <v>437</v>
      </c>
      <c r="F51" s="105">
        <v>470</v>
      </c>
      <c r="G51" s="105">
        <v>466</v>
      </c>
      <c r="H51" s="105">
        <v>446</v>
      </c>
      <c r="I51" s="105">
        <v>452</v>
      </c>
      <c r="J51" s="105">
        <v>494</v>
      </c>
      <c r="K51" s="105">
        <v>441</v>
      </c>
      <c r="L51" s="105">
        <v>499</v>
      </c>
      <c r="M51" s="105">
        <v>512</v>
      </c>
      <c r="N51" s="105">
        <v>505</v>
      </c>
      <c r="O51" s="105">
        <v>94</v>
      </c>
      <c r="P51" s="105">
        <v>125</v>
      </c>
      <c r="Q51" s="105">
        <v>104</v>
      </c>
      <c r="R51" s="105">
        <v>79</v>
      </c>
      <c r="S51" s="105">
        <v>442</v>
      </c>
      <c r="T51" s="105">
        <v>84</v>
      </c>
      <c r="U51" s="105">
        <v>100</v>
      </c>
      <c r="V51" s="105">
        <v>74</v>
      </c>
      <c r="W51" s="105">
        <v>80</v>
      </c>
      <c r="X51" s="105">
        <v>80</v>
      </c>
      <c r="Y51" s="105">
        <v>84</v>
      </c>
      <c r="Z51" s="105">
        <v>75</v>
      </c>
      <c r="AA51" s="105">
        <v>88</v>
      </c>
      <c r="AB51" s="105">
        <v>84</v>
      </c>
    </row>
    <row r="52" spans="1:28" ht="15" customHeight="1">
      <c r="B52" s="64" t="s">
        <v>1462</v>
      </c>
      <c r="C52" s="105">
        <v>547</v>
      </c>
      <c r="D52" s="105">
        <v>443</v>
      </c>
      <c r="E52" s="105">
        <v>431</v>
      </c>
      <c r="F52" s="105">
        <v>454</v>
      </c>
      <c r="G52" s="105">
        <v>455</v>
      </c>
      <c r="H52" s="105">
        <v>438</v>
      </c>
      <c r="I52" s="105">
        <v>447</v>
      </c>
      <c r="J52" s="105">
        <v>481</v>
      </c>
      <c r="K52" s="105">
        <v>431</v>
      </c>
      <c r="L52" s="105">
        <v>449</v>
      </c>
      <c r="M52" s="105">
        <v>479</v>
      </c>
      <c r="N52" s="105">
        <v>457</v>
      </c>
      <c r="O52" s="105">
        <v>80</v>
      </c>
      <c r="P52" s="105">
        <v>97</v>
      </c>
      <c r="Q52" s="105">
        <v>57</v>
      </c>
      <c r="R52" s="105">
        <v>57</v>
      </c>
      <c r="S52" s="105">
        <v>368</v>
      </c>
      <c r="T52" s="105">
        <v>57</v>
      </c>
      <c r="U52" s="105">
        <v>55</v>
      </c>
      <c r="V52" s="105">
        <v>64</v>
      </c>
      <c r="W52" s="105">
        <v>341</v>
      </c>
      <c r="X52" s="105">
        <v>94</v>
      </c>
      <c r="Y52" s="105">
        <v>55</v>
      </c>
      <c r="Z52" s="105">
        <v>57</v>
      </c>
      <c r="AA52" s="105">
        <v>69</v>
      </c>
      <c r="AB52" s="105">
        <v>80</v>
      </c>
    </row>
    <row r="53" spans="1:28" ht="15" customHeight="1">
      <c r="B53" s="64" t="s">
        <v>1463</v>
      </c>
      <c r="C53" s="104">
        <v>0.97330960854092496</v>
      </c>
      <c r="D53" s="104">
        <v>0.99105145413870199</v>
      </c>
      <c r="E53" s="104">
        <v>0.98627002288329502</v>
      </c>
      <c r="F53" s="104">
        <v>0.96595744680851103</v>
      </c>
      <c r="G53" s="104">
        <v>0.97639484978540803</v>
      </c>
      <c r="H53" s="104">
        <v>0.98206278026905802</v>
      </c>
      <c r="I53" s="104">
        <v>0.98893805309734495</v>
      </c>
      <c r="J53" s="104">
        <v>0.97368421052631604</v>
      </c>
      <c r="K53" s="104">
        <v>0.97732426303854902</v>
      </c>
      <c r="L53" s="104">
        <v>0.89979959919839703</v>
      </c>
      <c r="M53" s="104">
        <v>0.935546875</v>
      </c>
      <c r="N53" s="104">
        <v>0.90495049504950498</v>
      </c>
      <c r="O53" s="104">
        <v>0.85106382978723405</v>
      </c>
      <c r="P53" s="104">
        <v>0.77600000000000002</v>
      </c>
      <c r="Q53" s="104">
        <v>0.54807692307692302</v>
      </c>
      <c r="R53" s="104">
        <v>0.721518987341772</v>
      </c>
      <c r="S53" s="104">
        <v>0.83257918552036203</v>
      </c>
      <c r="T53" s="104">
        <v>0.67857142857142905</v>
      </c>
      <c r="U53" s="104">
        <v>0.55000000000000004</v>
      </c>
      <c r="V53" s="104">
        <v>0.86486486486486502</v>
      </c>
      <c r="W53" s="104">
        <v>4.2625000000000002</v>
      </c>
      <c r="X53" s="104">
        <v>1.175</v>
      </c>
      <c r="Y53" s="104">
        <v>0.65476190476190499</v>
      </c>
      <c r="Z53" s="104">
        <v>0.76</v>
      </c>
      <c r="AA53" s="104">
        <v>0.78409090909090895</v>
      </c>
      <c r="AB53" s="104">
        <v>0.952380952380952</v>
      </c>
    </row>
    <row r="54" spans="1:28">
      <c r="A54" s="20" t="s">
        <v>381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row>
    <row r="55" spans="1:28">
      <c r="B55" s="64" t="s">
        <v>1464</v>
      </c>
      <c r="C55" s="106">
        <v>1142</v>
      </c>
      <c r="D55" s="106">
        <v>1186</v>
      </c>
      <c r="E55" s="106">
        <v>1186</v>
      </c>
      <c r="F55" s="106">
        <v>1191</v>
      </c>
      <c r="G55" s="106">
        <v>1216</v>
      </c>
      <c r="H55" s="106">
        <v>1229</v>
      </c>
      <c r="I55" s="106">
        <v>1254</v>
      </c>
      <c r="J55" s="106">
        <v>1317</v>
      </c>
      <c r="K55" s="106">
        <v>1326</v>
      </c>
      <c r="L55" s="106">
        <v>1297</v>
      </c>
      <c r="M55" s="106">
        <v>1264</v>
      </c>
      <c r="N55" s="106">
        <v>1304</v>
      </c>
      <c r="O55" s="106">
        <v>1342</v>
      </c>
      <c r="P55" s="106">
        <v>1337</v>
      </c>
      <c r="Q55" s="106">
        <v>1341</v>
      </c>
      <c r="R55" s="106">
        <v>1344</v>
      </c>
      <c r="S55" s="106">
        <v>1305</v>
      </c>
      <c r="T55" s="106">
        <v>1305</v>
      </c>
      <c r="U55" s="106">
        <v>1293</v>
      </c>
      <c r="V55" s="106">
        <v>1285</v>
      </c>
      <c r="W55" s="106">
        <v>1283</v>
      </c>
      <c r="X55" s="106">
        <v>1274</v>
      </c>
      <c r="Y55" s="106">
        <v>1154</v>
      </c>
      <c r="Z55" s="106">
        <v>1147</v>
      </c>
      <c r="AA55" s="106">
        <v>1147</v>
      </c>
      <c r="AB55" s="106">
        <v>1140</v>
      </c>
    </row>
    <row r="56" spans="1:28">
      <c r="B56" s="64" t="s">
        <v>383</v>
      </c>
      <c r="C56" s="106">
        <v>1123</v>
      </c>
      <c r="D56" s="106">
        <v>1047</v>
      </c>
      <c r="E56" s="106">
        <v>1026</v>
      </c>
      <c r="F56" s="106">
        <v>1002</v>
      </c>
      <c r="G56" s="106">
        <v>1045</v>
      </c>
      <c r="H56" s="106">
        <v>1062</v>
      </c>
      <c r="I56" s="106">
        <v>1151</v>
      </c>
      <c r="J56" s="106">
        <v>1275</v>
      </c>
      <c r="K56" s="106">
        <v>1275</v>
      </c>
      <c r="L56" s="106">
        <v>1247</v>
      </c>
      <c r="M56" s="106">
        <v>1218</v>
      </c>
      <c r="N56" s="106">
        <v>1257</v>
      </c>
      <c r="O56" s="106">
        <v>1290</v>
      </c>
      <c r="P56" s="106">
        <v>1285</v>
      </c>
      <c r="Q56" s="106">
        <v>1289</v>
      </c>
      <c r="R56" s="106">
        <v>1342</v>
      </c>
      <c r="S56" s="106">
        <v>1255</v>
      </c>
      <c r="T56" s="106">
        <v>1255</v>
      </c>
      <c r="U56" s="106">
        <v>1244</v>
      </c>
      <c r="V56" s="106">
        <v>1282</v>
      </c>
      <c r="W56" s="106">
        <v>1236</v>
      </c>
      <c r="X56" s="106">
        <v>1271</v>
      </c>
      <c r="Y56" s="106">
        <v>1111</v>
      </c>
      <c r="Z56" s="106">
        <v>1103</v>
      </c>
      <c r="AA56" s="106">
        <v>1103</v>
      </c>
      <c r="AB56" s="106">
        <v>1097</v>
      </c>
    </row>
    <row r="57" spans="1:28">
      <c r="B57" s="64" t="s">
        <v>470</v>
      </c>
      <c r="C57" s="105">
        <v>31</v>
      </c>
      <c r="D57" s="105">
        <v>35</v>
      </c>
      <c r="E57" s="105">
        <v>47</v>
      </c>
      <c r="F57" s="105">
        <v>33</v>
      </c>
      <c r="G57" s="105">
        <v>26</v>
      </c>
      <c r="H57" s="105">
        <v>31</v>
      </c>
      <c r="I57" s="105">
        <v>37</v>
      </c>
      <c r="J57" s="105">
        <v>17</v>
      </c>
      <c r="K57" s="105">
        <v>18</v>
      </c>
      <c r="L57" s="105">
        <v>18</v>
      </c>
      <c r="M57" s="105">
        <v>24</v>
      </c>
      <c r="N57" s="105">
        <v>25</v>
      </c>
      <c r="O57" s="105">
        <v>5</v>
      </c>
      <c r="P57" s="105">
        <v>3</v>
      </c>
      <c r="Q57" s="105">
        <v>7</v>
      </c>
      <c r="R57" s="105">
        <v>4</v>
      </c>
      <c r="S57" s="105">
        <v>17</v>
      </c>
      <c r="T57" s="105">
        <v>17</v>
      </c>
      <c r="U57" s="105">
        <v>19</v>
      </c>
      <c r="V57" s="105">
        <v>19</v>
      </c>
      <c r="W57" s="105">
        <v>21</v>
      </c>
      <c r="X57" s="105">
        <v>19</v>
      </c>
      <c r="Y57" s="105">
        <v>16</v>
      </c>
      <c r="Z57" s="105">
        <v>13</v>
      </c>
      <c r="AA57" s="105">
        <v>20</v>
      </c>
      <c r="AB57" s="105">
        <v>28</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B32"/>
  <sheetViews>
    <sheetView showGridLines="0" zoomScaleNormal="100" workbookViewId="0">
      <pane xSplit="2" ySplit="4" topLeftCell="W5" activePane="bottomRight" state="frozen"/>
      <selection pane="topRight" activeCell="C1" sqref="C1"/>
      <selection pane="bottomLeft" activeCell="A5" sqref="A5"/>
      <selection pane="bottomRight"/>
    </sheetView>
  </sheetViews>
  <sheetFormatPr defaultColWidth="8.54296875" defaultRowHeight="14.5"/>
  <cols>
    <col min="1" max="1" width="12" customWidth="1"/>
    <col min="2" max="2" width="22" customWidth="1"/>
    <col min="3" max="28" width="10" customWidth="1"/>
  </cols>
  <sheetData>
    <row r="1" spans="1:28" ht="21.75" customHeight="1">
      <c r="A1" s="1" t="s">
        <v>218</v>
      </c>
    </row>
    <row r="2" spans="1:28" ht="15" customHeight="1">
      <c r="A2" s="2" t="s">
        <v>1465</v>
      </c>
    </row>
    <row r="4" spans="1:28" ht="15" customHeight="1">
      <c r="A4" s="18" t="s">
        <v>1466</v>
      </c>
      <c r="B4" s="18" t="s">
        <v>294</v>
      </c>
      <c r="C4" s="19">
        <v>45535</v>
      </c>
      <c r="D4" s="19">
        <v>45565</v>
      </c>
      <c r="E4" s="19">
        <v>45596</v>
      </c>
      <c r="F4" s="19">
        <v>45626</v>
      </c>
      <c r="G4" s="19">
        <v>45657</v>
      </c>
      <c r="H4" s="19">
        <v>45688</v>
      </c>
      <c r="I4" s="19">
        <v>45716</v>
      </c>
      <c r="J4" s="19">
        <v>45747</v>
      </c>
      <c r="K4" s="19">
        <v>45777</v>
      </c>
      <c r="L4" s="19">
        <v>45808</v>
      </c>
      <c r="M4" s="19">
        <v>45838</v>
      </c>
      <c r="N4" s="19">
        <v>45869</v>
      </c>
      <c r="O4" s="19">
        <v>45873</v>
      </c>
      <c r="P4" s="19">
        <v>45880</v>
      </c>
      <c r="Q4" s="19">
        <v>45887</v>
      </c>
      <c r="R4" s="19">
        <v>45894</v>
      </c>
      <c r="S4" s="19">
        <v>45900</v>
      </c>
      <c r="T4" s="19">
        <v>45901</v>
      </c>
      <c r="U4" s="19">
        <v>45908</v>
      </c>
      <c r="V4" s="19">
        <v>45915</v>
      </c>
      <c r="W4" s="19">
        <v>45922</v>
      </c>
      <c r="X4" s="19">
        <v>45929</v>
      </c>
      <c r="Y4" s="19">
        <v>45936</v>
      </c>
      <c r="Z4" s="19">
        <v>45943</v>
      </c>
      <c r="AA4" s="19">
        <v>45950</v>
      </c>
      <c r="AB4" s="19">
        <v>45957</v>
      </c>
    </row>
    <row r="5" spans="1:28" ht="15" customHeight="1">
      <c r="A5" s="20" t="s">
        <v>1467</v>
      </c>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spans="1:28" ht="15" customHeight="1">
      <c r="B6" s="64" t="s">
        <v>1468</v>
      </c>
      <c r="C6" s="105">
        <v>13</v>
      </c>
      <c r="D6" s="105">
        <v>11</v>
      </c>
      <c r="E6" s="105">
        <v>8</v>
      </c>
      <c r="F6" s="105">
        <v>6</v>
      </c>
      <c r="G6" s="105">
        <v>7</v>
      </c>
      <c r="H6" s="105">
        <v>6</v>
      </c>
      <c r="I6" s="105">
        <v>2</v>
      </c>
      <c r="J6" s="105">
        <v>2</v>
      </c>
      <c r="K6" s="105">
        <v>2</v>
      </c>
      <c r="L6" s="105"/>
      <c r="M6" s="105">
        <v>59</v>
      </c>
      <c r="N6" s="105">
        <v>55</v>
      </c>
      <c r="O6" s="105">
        <v>1</v>
      </c>
      <c r="P6" s="105">
        <v>2</v>
      </c>
      <c r="Q6" s="105">
        <v>2</v>
      </c>
      <c r="R6" s="105">
        <v>3</v>
      </c>
      <c r="S6" s="105">
        <v>5</v>
      </c>
      <c r="T6" s="105">
        <v>5</v>
      </c>
      <c r="U6" s="105">
        <v>5</v>
      </c>
      <c r="V6" s="105">
        <v>6</v>
      </c>
      <c r="W6" s="105">
        <v>6</v>
      </c>
      <c r="X6" s="105">
        <v>7</v>
      </c>
      <c r="Y6" s="105">
        <v>8</v>
      </c>
      <c r="Z6" s="105">
        <v>8</v>
      </c>
      <c r="AA6" s="105">
        <v>8</v>
      </c>
      <c r="AB6" s="105">
        <v>9</v>
      </c>
    </row>
    <row r="7" spans="1:28" ht="15" customHeight="1">
      <c r="B7" s="64" t="s">
        <v>1469</v>
      </c>
      <c r="C7" s="115">
        <v>2.08</v>
      </c>
      <c r="D7" s="115">
        <v>2.105</v>
      </c>
      <c r="E7" s="115">
        <v>2.16</v>
      </c>
      <c r="F7" s="115">
        <v>2.19</v>
      </c>
      <c r="G7" s="115">
        <v>1.9650000000000001</v>
      </c>
      <c r="H7" s="115">
        <v>2.105</v>
      </c>
      <c r="I7" s="115">
        <v>2.15</v>
      </c>
      <c r="J7" s="115">
        <v>1.9750000000000001</v>
      </c>
      <c r="K7" s="115">
        <v>1.84</v>
      </c>
      <c r="L7" s="115">
        <v>1.83</v>
      </c>
      <c r="M7" s="115">
        <v>1.55</v>
      </c>
      <c r="N7" s="115">
        <v>1.5349999999999999</v>
      </c>
      <c r="O7" s="115">
        <v>2.25</v>
      </c>
      <c r="P7" s="115">
        <v>2.25</v>
      </c>
      <c r="Q7" s="115">
        <v>2.25</v>
      </c>
      <c r="R7" s="115">
        <v>2.3050000000000002</v>
      </c>
      <c r="S7" s="115">
        <v>2.2999999999999998</v>
      </c>
      <c r="T7" s="115">
        <v>2.2999999999999998</v>
      </c>
      <c r="U7" s="115">
        <v>2.33</v>
      </c>
      <c r="V7" s="115">
        <v>2.335</v>
      </c>
      <c r="W7" s="115">
        <v>2.335</v>
      </c>
      <c r="X7" s="115">
        <v>2.2450000000000001</v>
      </c>
      <c r="Y7" s="115">
        <v>2.2250000000000001</v>
      </c>
      <c r="Z7" s="115">
        <v>2.2250000000000001</v>
      </c>
      <c r="AA7" s="115">
        <v>2.1800000000000002</v>
      </c>
      <c r="AB7" s="115">
        <v>2.1800000000000002</v>
      </c>
    </row>
    <row r="8" spans="1:28" ht="15" customHeight="1">
      <c r="B8" s="64" t="s">
        <v>1470</v>
      </c>
      <c r="C8" s="115">
        <v>2.15</v>
      </c>
      <c r="D8" s="115">
        <v>2.21</v>
      </c>
      <c r="E8" s="115">
        <v>2.16</v>
      </c>
      <c r="F8" s="115">
        <v>2.19</v>
      </c>
      <c r="G8" s="115">
        <v>2.1800000000000002</v>
      </c>
      <c r="H8" s="115">
        <v>2.15</v>
      </c>
      <c r="I8" s="115">
        <v>2.15</v>
      </c>
      <c r="J8" s="115">
        <v>2.08</v>
      </c>
      <c r="K8" s="115"/>
      <c r="L8" s="115"/>
      <c r="M8" s="115">
        <v>1.55</v>
      </c>
      <c r="N8" s="115">
        <v>1.58</v>
      </c>
      <c r="O8" s="115"/>
      <c r="P8" s="115"/>
      <c r="Q8" s="115"/>
      <c r="R8" s="115">
        <v>2.36</v>
      </c>
      <c r="S8" s="115">
        <v>2.2999999999999998</v>
      </c>
      <c r="T8" s="115">
        <v>2.2999999999999998</v>
      </c>
      <c r="U8" s="115">
        <v>2.2999999999999998</v>
      </c>
      <c r="V8" s="115">
        <v>2.2999999999999998</v>
      </c>
      <c r="W8" s="115">
        <v>2.2999999999999998</v>
      </c>
      <c r="X8" s="115">
        <v>2.23</v>
      </c>
      <c r="Y8" s="115">
        <v>2.19</v>
      </c>
      <c r="Z8" s="115">
        <v>2.19</v>
      </c>
      <c r="AA8" s="115">
        <v>2.1800000000000002</v>
      </c>
      <c r="AB8" s="115">
        <v>2.1800000000000002</v>
      </c>
    </row>
    <row r="9" spans="1:28" ht="15" customHeight="1">
      <c r="B9" s="64" t="s">
        <v>1471</v>
      </c>
      <c r="C9" s="115">
        <v>2.11</v>
      </c>
      <c r="D9" s="115">
        <v>1.84</v>
      </c>
      <c r="E9" s="115">
        <v>1.8</v>
      </c>
      <c r="F9" s="115">
        <v>1.87</v>
      </c>
      <c r="G9" s="115">
        <v>1.86</v>
      </c>
      <c r="H9" s="115">
        <v>1.85</v>
      </c>
      <c r="I9" s="115">
        <v>1.9</v>
      </c>
      <c r="J9" s="115">
        <v>2.04</v>
      </c>
      <c r="K9" s="115"/>
      <c r="L9" s="115"/>
      <c r="M9" s="115">
        <v>1.5</v>
      </c>
      <c r="N9" s="115">
        <v>1.52</v>
      </c>
      <c r="O9" s="115"/>
      <c r="P9" s="115"/>
      <c r="Q9" s="115"/>
      <c r="R9" s="115">
        <v>2.36</v>
      </c>
      <c r="S9" s="115">
        <v>2.21</v>
      </c>
      <c r="T9" s="115">
        <v>2.21</v>
      </c>
      <c r="U9" s="115">
        <v>2.21</v>
      </c>
      <c r="V9" s="115">
        <v>2.2999999999999998</v>
      </c>
      <c r="W9" s="115">
        <v>2.21</v>
      </c>
      <c r="X9" s="115">
        <v>2.23</v>
      </c>
      <c r="Y9" s="115">
        <v>2.1</v>
      </c>
      <c r="Z9" s="115">
        <v>2.1</v>
      </c>
      <c r="AA9" s="115">
        <v>2.1</v>
      </c>
      <c r="AB9" s="115">
        <v>2.09</v>
      </c>
    </row>
    <row r="10" spans="1:28" ht="15" customHeight="1">
      <c r="B10" s="64" t="s">
        <v>1472</v>
      </c>
      <c r="C10" s="104">
        <v>0.75</v>
      </c>
      <c r="D10" s="104">
        <v>0.72219999999999995</v>
      </c>
      <c r="E10" s="104">
        <v>0.77780000000000005</v>
      </c>
      <c r="F10" s="104">
        <v>0.80559999999999998</v>
      </c>
      <c r="G10" s="104">
        <v>0.86109999999999998</v>
      </c>
      <c r="H10" s="104">
        <v>0.86109999999999998</v>
      </c>
      <c r="I10" s="104">
        <v>0.86109999999999998</v>
      </c>
      <c r="J10" s="104">
        <v>0.94440000000000002</v>
      </c>
      <c r="K10" s="104">
        <v>0.97219999999999995</v>
      </c>
      <c r="L10" s="104">
        <v>0.97219999999999995</v>
      </c>
      <c r="M10" s="104">
        <v>0.97219999999999995</v>
      </c>
      <c r="N10" s="104">
        <v>1</v>
      </c>
      <c r="O10" s="104">
        <v>1</v>
      </c>
      <c r="P10" s="104">
        <v>1</v>
      </c>
      <c r="Q10" s="104">
        <v>1</v>
      </c>
      <c r="R10" s="104">
        <v>0.96876183263915205</v>
      </c>
      <c r="S10" s="104">
        <v>0.93673482266818098</v>
      </c>
      <c r="T10" s="104">
        <v>0.93673482266818098</v>
      </c>
      <c r="U10" s="104">
        <v>0.93673482266818098</v>
      </c>
      <c r="V10" s="104">
        <v>0.93673482266818098</v>
      </c>
      <c r="W10" s="104">
        <v>0.93673482266818098</v>
      </c>
      <c r="X10" s="104">
        <v>0.90991417392401897</v>
      </c>
      <c r="Y10" s="104">
        <v>0.90991417392401897</v>
      </c>
      <c r="Z10" s="104">
        <v>0.90991417392401897</v>
      </c>
      <c r="AA10" s="104">
        <v>0.91092142700809797</v>
      </c>
      <c r="AB10" s="104">
        <v>0.88253134477691297</v>
      </c>
    </row>
    <row r="11" spans="1:28" ht="15" customHeight="1">
      <c r="B11" s="64" t="s">
        <v>1473</v>
      </c>
      <c r="C11" s="104">
        <v>0.84615384615384603</v>
      </c>
      <c r="D11" s="104">
        <v>1</v>
      </c>
      <c r="E11" s="104">
        <v>1</v>
      </c>
      <c r="F11" s="104">
        <v>1</v>
      </c>
      <c r="G11" s="104">
        <v>0.85714285714285698</v>
      </c>
      <c r="H11" s="104">
        <v>1</v>
      </c>
      <c r="I11" s="104">
        <v>1</v>
      </c>
      <c r="J11" s="104">
        <v>0</v>
      </c>
      <c r="K11" s="104">
        <v>0</v>
      </c>
      <c r="L11" s="104">
        <v>0</v>
      </c>
      <c r="M11" s="104">
        <v>0.93220338983050799</v>
      </c>
      <c r="N11" s="104">
        <v>0.90909090909090895</v>
      </c>
      <c r="O11" s="104">
        <v>0</v>
      </c>
      <c r="P11" s="104">
        <v>0</v>
      </c>
      <c r="Q11" s="104">
        <v>0</v>
      </c>
      <c r="R11" s="104">
        <v>0.33333333333333298</v>
      </c>
      <c r="S11" s="104">
        <v>0.6</v>
      </c>
      <c r="T11" s="104">
        <v>0.6</v>
      </c>
      <c r="U11" s="104">
        <v>0.6</v>
      </c>
      <c r="V11" s="104">
        <v>0.5</v>
      </c>
      <c r="W11" s="104">
        <v>0.5</v>
      </c>
      <c r="X11" s="104">
        <v>0.57142857142857095</v>
      </c>
      <c r="Y11" s="104">
        <v>0.625</v>
      </c>
      <c r="Z11" s="104">
        <v>0.625</v>
      </c>
      <c r="AA11" s="104">
        <v>0.625</v>
      </c>
      <c r="AB11" s="104">
        <v>0.66666666666666696</v>
      </c>
    </row>
    <row r="12" spans="1:28" ht="15" customHeight="1">
      <c r="A12" s="20" t="s">
        <v>1474</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row>
    <row r="13" spans="1:28" ht="15" customHeight="1">
      <c r="B13" s="64" t="s">
        <v>1468</v>
      </c>
      <c r="C13" s="105">
        <v>199</v>
      </c>
      <c r="D13" s="105">
        <v>183</v>
      </c>
      <c r="E13" s="105">
        <v>185</v>
      </c>
      <c r="F13" s="105">
        <v>158</v>
      </c>
      <c r="G13" s="105">
        <v>149</v>
      </c>
      <c r="H13" s="105">
        <v>144</v>
      </c>
      <c r="I13" s="105">
        <v>129</v>
      </c>
      <c r="J13" s="105">
        <v>144</v>
      </c>
      <c r="K13" s="105">
        <v>164</v>
      </c>
      <c r="L13" s="105">
        <v>174</v>
      </c>
      <c r="M13" s="105">
        <v>106</v>
      </c>
      <c r="N13" s="105">
        <v>115</v>
      </c>
      <c r="O13" s="105">
        <v>153</v>
      </c>
      <c r="P13" s="105">
        <v>156</v>
      </c>
      <c r="Q13" s="105">
        <v>157</v>
      </c>
      <c r="R13" s="105">
        <v>158</v>
      </c>
      <c r="S13" s="105">
        <v>154</v>
      </c>
      <c r="T13" s="105">
        <v>154</v>
      </c>
      <c r="U13" s="105">
        <v>157</v>
      </c>
      <c r="V13" s="105">
        <v>178</v>
      </c>
      <c r="W13" s="105">
        <v>179</v>
      </c>
      <c r="X13" s="105">
        <v>189</v>
      </c>
      <c r="Y13" s="105">
        <v>205</v>
      </c>
      <c r="Z13" s="105">
        <v>184</v>
      </c>
      <c r="AA13" s="105">
        <v>206</v>
      </c>
      <c r="AB13" s="105">
        <v>197</v>
      </c>
    </row>
    <row r="14" spans="1:28" ht="15" customHeight="1">
      <c r="B14" s="64" t="s">
        <v>1469</v>
      </c>
      <c r="C14" s="115">
        <v>1.536</v>
      </c>
      <c r="D14" s="115">
        <v>1.548</v>
      </c>
      <c r="E14" s="115">
        <v>1.4966666666666699</v>
      </c>
      <c r="F14" s="115">
        <v>1.5149999999999999</v>
      </c>
      <c r="G14" s="115">
        <v>1.44166666666667</v>
      </c>
      <c r="H14" s="115">
        <v>1.51</v>
      </c>
      <c r="I14" s="115">
        <v>1.5033333333333301</v>
      </c>
      <c r="J14" s="115">
        <v>1.54666666666667</v>
      </c>
      <c r="K14" s="115">
        <v>1.5516666666666701</v>
      </c>
      <c r="L14" s="115">
        <v>1.50833333333333</v>
      </c>
      <c r="M14" s="115">
        <v>1.37666666666667</v>
      </c>
      <c r="N14" s="115">
        <v>1.3716666666666699</v>
      </c>
      <c r="O14" s="115">
        <v>1.55666666666667</v>
      </c>
      <c r="P14" s="115">
        <v>1.5433333333333299</v>
      </c>
      <c r="Q14" s="115">
        <v>1.54</v>
      </c>
      <c r="R14" s="115">
        <v>1.53</v>
      </c>
      <c r="S14" s="115">
        <v>1.52</v>
      </c>
      <c r="T14" s="115">
        <v>1.52</v>
      </c>
      <c r="U14" s="115">
        <v>1.5133333333333301</v>
      </c>
      <c r="V14" s="115">
        <v>1.5166666666666699</v>
      </c>
      <c r="W14" s="115">
        <v>1.51833333333333</v>
      </c>
      <c r="X14" s="115">
        <v>1.50166666666667</v>
      </c>
      <c r="Y14" s="115">
        <v>1.4783333333333299</v>
      </c>
      <c r="Z14" s="115">
        <v>1.514</v>
      </c>
      <c r="AA14" s="115">
        <v>1.478</v>
      </c>
      <c r="AB14" s="115">
        <v>1.4566666666666701</v>
      </c>
    </row>
    <row r="15" spans="1:28" ht="15" customHeight="1">
      <c r="B15" s="64" t="s">
        <v>1470</v>
      </c>
      <c r="C15" s="115">
        <v>1.56</v>
      </c>
      <c r="D15" s="115">
        <v>1.55</v>
      </c>
      <c r="E15" s="115">
        <v>1.53</v>
      </c>
      <c r="F15" s="115">
        <v>1.56</v>
      </c>
      <c r="G15" s="115">
        <v>1.53</v>
      </c>
      <c r="H15" s="115">
        <v>1.54</v>
      </c>
      <c r="I15" s="115">
        <v>1.57</v>
      </c>
      <c r="J15" s="115">
        <v>1.55</v>
      </c>
      <c r="K15" s="115">
        <v>1.55</v>
      </c>
      <c r="L15" s="115">
        <v>1.53</v>
      </c>
      <c r="M15" s="115">
        <v>1.59</v>
      </c>
      <c r="N15" s="115">
        <v>1.61</v>
      </c>
      <c r="O15" s="115">
        <v>1.59</v>
      </c>
      <c r="P15" s="115">
        <v>1.58</v>
      </c>
      <c r="Q15" s="115">
        <v>1.58</v>
      </c>
      <c r="R15" s="115">
        <v>1.59</v>
      </c>
      <c r="S15" s="115">
        <v>1.59</v>
      </c>
      <c r="T15" s="115">
        <v>1.59</v>
      </c>
      <c r="U15" s="115">
        <v>1.6</v>
      </c>
      <c r="V15" s="115">
        <v>1.6</v>
      </c>
      <c r="W15" s="115">
        <v>1.59</v>
      </c>
      <c r="X15" s="115">
        <v>1.59</v>
      </c>
      <c r="Y15" s="115">
        <v>1.5</v>
      </c>
      <c r="Z15" s="115">
        <v>1.68</v>
      </c>
      <c r="AA15" s="115">
        <v>1.49</v>
      </c>
      <c r="AB15" s="115">
        <v>1.49</v>
      </c>
    </row>
    <row r="16" spans="1:28" ht="15" customHeight="1">
      <c r="B16" s="64" t="s">
        <v>1471</v>
      </c>
      <c r="C16" s="115">
        <v>1.53</v>
      </c>
      <c r="D16" s="115">
        <v>1.38</v>
      </c>
      <c r="E16" s="115">
        <v>1.33</v>
      </c>
      <c r="F16" s="115">
        <v>1.31</v>
      </c>
      <c r="G16" s="115">
        <v>1.31</v>
      </c>
      <c r="H16" s="115">
        <v>1.33</v>
      </c>
      <c r="I16" s="115">
        <v>1.45</v>
      </c>
      <c r="J16" s="115">
        <v>1.51</v>
      </c>
      <c r="K16" s="115">
        <v>1.49</v>
      </c>
      <c r="L16" s="115">
        <v>1.47</v>
      </c>
      <c r="M16" s="115">
        <v>1.53</v>
      </c>
      <c r="N16" s="115">
        <v>1.55</v>
      </c>
      <c r="O16" s="115">
        <v>1.53</v>
      </c>
      <c r="P16" s="115">
        <v>1.52</v>
      </c>
      <c r="Q16" s="115">
        <v>1.52</v>
      </c>
      <c r="R16" s="115">
        <v>1.59</v>
      </c>
      <c r="S16" s="115">
        <v>1.53</v>
      </c>
      <c r="T16" s="115">
        <v>1.53</v>
      </c>
      <c r="U16" s="115">
        <v>1.54</v>
      </c>
      <c r="V16" s="115">
        <v>1.59</v>
      </c>
      <c r="W16" s="115">
        <v>1.53</v>
      </c>
      <c r="X16" s="115">
        <v>1.58</v>
      </c>
      <c r="Y16" s="115">
        <v>1.45</v>
      </c>
      <c r="Z16" s="115">
        <v>1.61</v>
      </c>
      <c r="AA16" s="115">
        <v>1.43</v>
      </c>
      <c r="AB16" s="115">
        <v>1.43</v>
      </c>
    </row>
    <row r="17" spans="1:28" ht="15" customHeight="1">
      <c r="B17" s="64" t="s">
        <v>1472</v>
      </c>
      <c r="C17" s="104">
        <v>0.86720909090909104</v>
      </c>
      <c r="D17" s="104">
        <v>0.86934545454545498</v>
      </c>
      <c r="E17" s="104">
        <v>0.90408181818181799</v>
      </c>
      <c r="F17" s="104">
        <v>0.94543636363636396</v>
      </c>
      <c r="G17" s="104">
        <v>0.95097272727272697</v>
      </c>
      <c r="H17" s="104">
        <v>0.94489999999999996</v>
      </c>
      <c r="I17" s="104">
        <v>0.95888181818181795</v>
      </c>
      <c r="J17" s="104">
        <v>0.97239090909090897</v>
      </c>
      <c r="K17" s="104">
        <v>0.95981818181818201</v>
      </c>
      <c r="L17" s="104">
        <v>0.94830909090909099</v>
      </c>
      <c r="M17" s="104">
        <v>0.93152727272727298</v>
      </c>
      <c r="N17" s="104">
        <v>0.92255454545454596</v>
      </c>
      <c r="O17" s="104">
        <v>0.91209229178388496</v>
      </c>
      <c r="P17" s="104">
        <v>0.89984489003772405</v>
      </c>
      <c r="Q17" s="104">
        <v>0.90247700485470606</v>
      </c>
      <c r="R17" s="104">
        <v>0.88457688356841901</v>
      </c>
      <c r="S17" s="104">
        <v>0.892387415790035</v>
      </c>
      <c r="T17" s="104">
        <v>0.892387415790035</v>
      </c>
      <c r="U17" s="104">
        <v>0.892387415790035</v>
      </c>
      <c r="V17" s="104">
        <v>0.874492370772326</v>
      </c>
      <c r="W17" s="104">
        <v>0.86812171633012003</v>
      </c>
      <c r="X17" s="104">
        <v>0.86289410896678098</v>
      </c>
      <c r="Y17" s="104">
        <v>0.85942965517253</v>
      </c>
      <c r="Z17" s="104">
        <v>0.86063368009837604</v>
      </c>
      <c r="AA17" s="104">
        <v>0.86353612885540798</v>
      </c>
      <c r="AB17" s="104">
        <v>0.86128286111778796</v>
      </c>
    </row>
    <row r="18" spans="1:28" ht="15" customHeight="1">
      <c r="B18" s="64" t="s">
        <v>1473</v>
      </c>
      <c r="C18" s="104">
        <v>0.447236180904523</v>
      </c>
      <c r="D18" s="104">
        <v>0.39344262295082</v>
      </c>
      <c r="E18" s="104">
        <v>0.356756756756757</v>
      </c>
      <c r="F18" s="104">
        <v>0.30379746835443</v>
      </c>
      <c r="G18" s="104">
        <v>0.228187919463087</v>
      </c>
      <c r="H18" s="104">
        <v>0.21527777777777801</v>
      </c>
      <c r="I18" s="104">
        <v>0.14728682170542601</v>
      </c>
      <c r="J18" s="104">
        <v>0.15972222222222199</v>
      </c>
      <c r="K18" s="104">
        <v>0.22560975609756101</v>
      </c>
      <c r="L18" s="104">
        <v>0.25862068965517199</v>
      </c>
      <c r="M18" s="104">
        <v>0.37735849056603799</v>
      </c>
      <c r="N18" s="104">
        <v>0.41739130434782601</v>
      </c>
      <c r="O18" s="104">
        <v>0.33986928104575198</v>
      </c>
      <c r="P18" s="104">
        <v>0.35897435897435898</v>
      </c>
      <c r="Q18" s="104">
        <v>0.33121019108280297</v>
      </c>
      <c r="R18" s="104">
        <v>0.379746835443038</v>
      </c>
      <c r="S18" s="104">
        <v>0.415584415584416</v>
      </c>
      <c r="T18" s="104">
        <v>0.415584415584416</v>
      </c>
      <c r="U18" s="104">
        <v>0.40127388535031899</v>
      </c>
      <c r="V18" s="104">
        <v>0.41011235955056202</v>
      </c>
      <c r="W18" s="104">
        <v>0.41899441340782101</v>
      </c>
      <c r="X18" s="104">
        <v>0.455026455026455</v>
      </c>
      <c r="Y18" s="104">
        <v>0.44390243902439003</v>
      </c>
      <c r="Z18" s="104">
        <v>0.49456521739130399</v>
      </c>
      <c r="AA18" s="104">
        <v>0.45145631067961201</v>
      </c>
      <c r="AB18" s="104">
        <v>0.47208121827411198</v>
      </c>
    </row>
    <row r="19" spans="1:28" ht="15" customHeight="1">
      <c r="A19" s="20" t="s">
        <v>1475</v>
      </c>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row>
    <row r="20" spans="1:28" ht="15" customHeight="1">
      <c r="B20" s="64" t="s">
        <v>1468</v>
      </c>
      <c r="C20" s="105">
        <v>87</v>
      </c>
      <c r="D20" s="105">
        <v>93</v>
      </c>
      <c r="E20" s="105">
        <v>97</v>
      </c>
      <c r="F20" s="105">
        <v>94</v>
      </c>
      <c r="G20" s="105">
        <v>97</v>
      </c>
      <c r="H20" s="105">
        <v>100</v>
      </c>
      <c r="I20" s="105">
        <v>94</v>
      </c>
      <c r="J20" s="105">
        <v>107</v>
      </c>
      <c r="K20" s="105">
        <v>106</v>
      </c>
      <c r="L20" s="105">
        <v>111</v>
      </c>
      <c r="M20" s="105">
        <v>14</v>
      </c>
      <c r="N20" s="105">
        <v>13</v>
      </c>
      <c r="O20" s="105">
        <v>121</v>
      </c>
      <c r="P20" s="105">
        <v>126</v>
      </c>
      <c r="Q20" s="105">
        <v>130</v>
      </c>
      <c r="R20" s="105">
        <v>134</v>
      </c>
      <c r="S20" s="105">
        <v>129</v>
      </c>
      <c r="T20" s="105">
        <v>129</v>
      </c>
      <c r="U20" s="105">
        <v>146</v>
      </c>
      <c r="V20" s="105">
        <v>150</v>
      </c>
      <c r="W20" s="105">
        <v>152</v>
      </c>
      <c r="X20" s="105">
        <v>149</v>
      </c>
      <c r="Y20" s="105">
        <v>158</v>
      </c>
      <c r="Z20" s="105">
        <v>165</v>
      </c>
      <c r="AA20" s="105">
        <v>117</v>
      </c>
      <c r="AB20" s="105">
        <v>108</v>
      </c>
    </row>
    <row r="21" spans="1:28" ht="15" customHeight="1">
      <c r="B21" s="64" t="s">
        <v>1469</v>
      </c>
      <c r="C21" s="115">
        <v>1.36333333333333</v>
      </c>
      <c r="D21" s="115">
        <v>1.3516666666666699</v>
      </c>
      <c r="E21" s="115">
        <v>1.3583333333333301</v>
      </c>
      <c r="F21" s="115">
        <v>1.385</v>
      </c>
      <c r="G21" s="115">
        <v>1.34666666666667</v>
      </c>
      <c r="H21" s="115">
        <v>1.4166666666666701</v>
      </c>
      <c r="I21" s="115">
        <v>1.4066666666666701</v>
      </c>
      <c r="J21" s="115">
        <v>1.40333333333333</v>
      </c>
      <c r="K21" s="115">
        <v>1.4066666666666701</v>
      </c>
      <c r="L21" s="115">
        <v>1.36666666666667</v>
      </c>
      <c r="M21" s="115">
        <v>1.58666666666667</v>
      </c>
      <c r="N21" s="115">
        <v>1.55</v>
      </c>
      <c r="O21" s="115">
        <v>1.3583333333333301</v>
      </c>
      <c r="P21" s="115">
        <v>1.355</v>
      </c>
      <c r="Q21" s="115">
        <v>1.36</v>
      </c>
      <c r="R21" s="115">
        <v>1.3683333333333301</v>
      </c>
      <c r="S21" s="115">
        <v>1.355</v>
      </c>
      <c r="T21" s="115">
        <v>1.355</v>
      </c>
      <c r="U21" s="115">
        <v>1.3533333333333299</v>
      </c>
      <c r="V21" s="115">
        <v>1.34666666666667</v>
      </c>
      <c r="W21" s="115">
        <v>1.345</v>
      </c>
      <c r="X21" s="115">
        <v>1.34</v>
      </c>
      <c r="Y21" s="115">
        <v>1.35</v>
      </c>
      <c r="Z21" s="115">
        <v>1.46</v>
      </c>
      <c r="AA21" s="115">
        <v>1.405</v>
      </c>
      <c r="AB21" s="115">
        <v>1.41</v>
      </c>
    </row>
    <row r="22" spans="1:28" ht="15" customHeight="1">
      <c r="B22" s="64" t="s">
        <v>1470</v>
      </c>
      <c r="C22" s="115">
        <v>1.56</v>
      </c>
      <c r="D22" s="115">
        <v>1.65</v>
      </c>
      <c r="E22" s="115">
        <v>1.64</v>
      </c>
      <c r="F22" s="115">
        <v>1.65</v>
      </c>
      <c r="G22" s="115">
        <v>1.65</v>
      </c>
      <c r="H22" s="115">
        <v>1.61</v>
      </c>
      <c r="I22" s="115">
        <v>1.66</v>
      </c>
      <c r="J22" s="115">
        <v>1.69</v>
      </c>
      <c r="K22" s="115">
        <v>1.69</v>
      </c>
      <c r="L22" s="115">
        <v>1.62</v>
      </c>
      <c r="M22" s="115">
        <v>1.88</v>
      </c>
      <c r="N22" s="115">
        <v>1.87</v>
      </c>
      <c r="O22" s="115">
        <v>1.63</v>
      </c>
      <c r="P22" s="115">
        <v>1.63</v>
      </c>
      <c r="Q22" s="115">
        <v>1.64</v>
      </c>
      <c r="R22" s="115">
        <v>1.64</v>
      </c>
      <c r="S22" s="115">
        <v>1.64</v>
      </c>
      <c r="T22" s="115">
        <v>1.64</v>
      </c>
      <c r="U22" s="115">
        <v>1.61</v>
      </c>
      <c r="V22" s="115">
        <v>1.61</v>
      </c>
      <c r="W22" s="115">
        <v>1.61</v>
      </c>
      <c r="X22" s="115">
        <v>1.61</v>
      </c>
      <c r="Y22" s="115">
        <v>1.39</v>
      </c>
      <c r="Z22" s="115">
        <v>1.42</v>
      </c>
      <c r="AA22" s="115">
        <v>1.38</v>
      </c>
      <c r="AB22" s="115">
        <v>1.39</v>
      </c>
    </row>
    <row r="23" spans="1:28" ht="15" customHeight="1">
      <c r="B23" s="64" t="s">
        <v>1471</v>
      </c>
      <c r="C23" s="115">
        <v>1.54</v>
      </c>
      <c r="D23" s="115">
        <v>1.45</v>
      </c>
      <c r="E23" s="115">
        <v>1.42</v>
      </c>
      <c r="F23" s="115">
        <v>1.39</v>
      </c>
      <c r="G23" s="115">
        <v>1.42</v>
      </c>
      <c r="H23" s="115">
        <v>1.39</v>
      </c>
      <c r="I23" s="115">
        <v>1.52</v>
      </c>
      <c r="J23" s="115">
        <v>1.62</v>
      </c>
      <c r="K23" s="115">
        <v>1.62</v>
      </c>
      <c r="L23" s="115">
        <v>1.55</v>
      </c>
      <c r="M23" s="115">
        <v>1.81</v>
      </c>
      <c r="N23" s="115">
        <v>1.8</v>
      </c>
      <c r="O23" s="115">
        <v>1.57</v>
      </c>
      <c r="P23" s="115">
        <v>1.57</v>
      </c>
      <c r="Q23" s="115">
        <v>1.57</v>
      </c>
      <c r="R23" s="115">
        <v>1.64</v>
      </c>
      <c r="S23" s="115">
        <v>1.58</v>
      </c>
      <c r="T23" s="115">
        <v>1.58</v>
      </c>
      <c r="U23" s="115">
        <v>1.55</v>
      </c>
      <c r="V23" s="115">
        <v>1.61</v>
      </c>
      <c r="W23" s="115">
        <v>1.55</v>
      </c>
      <c r="X23" s="115">
        <v>1.61</v>
      </c>
      <c r="Y23" s="115">
        <v>1.34</v>
      </c>
      <c r="Z23" s="115">
        <v>1.37</v>
      </c>
      <c r="AA23" s="115">
        <v>1.33</v>
      </c>
      <c r="AB23" s="115">
        <v>1.33</v>
      </c>
    </row>
    <row r="24" spans="1:28" ht="15" customHeight="1">
      <c r="B24" s="64" t="s">
        <v>1472</v>
      </c>
      <c r="C24" s="104">
        <v>0.91315000000000002</v>
      </c>
      <c r="D24" s="104">
        <v>0.87855000000000005</v>
      </c>
      <c r="E24" s="104">
        <v>0.84060000000000001</v>
      </c>
      <c r="F24" s="104">
        <v>0.89572499999999999</v>
      </c>
      <c r="G24" s="104">
        <v>0.86246250000000002</v>
      </c>
      <c r="H24" s="104">
        <v>0.87890000000000001</v>
      </c>
      <c r="I24" s="104">
        <v>0.91686250000000002</v>
      </c>
      <c r="J24" s="104">
        <v>0.89006249999999998</v>
      </c>
      <c r="K24" s="104">
        <v>0.84628749999999997</v>
      </c>
      <c r="L24" s="104">
        <v>0.83247499999999997</v>
      </c>
      <c r="M24" s="104">
        <v>0.82155</v>
      </c>
      <c r="N24" s="104">
        <v>0.79464999999999997</v>
      </c>
      <c r="O24" s="104">
        <v>0.76626605286874605</v>
      </c>
      <c r="P24" s="104">
        <v>0.76213144531297305</v>
      </c>
      <c r="Q24" s="104">
        <v>0.76105089647330504</v>
      </c>
      <c r="R24" s="104">
        <v>0.74047988751142102</v>
      </c>
      <c r="S24" s="104">
        <v>0.74782107009647703</v>
      </c>
      <c r="T24" s="104">
        <v>0.74782107009647703</v>
      </c>
      <c r="U24" s="104">
        <v>0.74054994979970301</v>
      </c>
      <c r="V24" s="104">
        <v>0.73673609725818301</v>
      </c>
      <c r="W24" s="104">
        <v>0.73439343803790602</v>
      </c>
      <c r="X24" s="104">
        <v>0.73205077881762903</v>
      </c>
      <c r="Y24" s="104">
        <v>0.71945115619240196</v>
      </c>
      <c r="Z24" s="104">
        <v>0.70942204460090696</v>
      </c>
      <c r="AA24" s="104">
        <v>0.69118034991925503</v>
      </c>
      <c r="AB24" s="104">
        <v>0.69281324737795602</v>
      </c>
    </row>
    <row r="25" spans="1:28" ht="15" customHeight="1">
      <c r="B25" s="64" t="s">
        <v>1473</v>
      </c>
      <c r="C25" s="104">
        <v>0.390804597701149</v>
      </c>
      <c r="D25" s="104">
        <v>0.35483870967741898</v>
      </c>
      <c r="E25" s="104">
        <v>0.32989690721649501</v>
      </c>
      <c r="F25" s="104">
        <v>0.329787234042553</v>
      </c>
      <c r="G25" s="104">
        <v>0.32989690721649501</v>
      </c>
      <c r="H25" s="104">
        <v>0.28999999999999998</v>
      </c>
      <c r="I25" s="104">
        <v>0.23404255319148901</v>
      </c>
      <c r="J25" s="104">
        <v>0.31775700934579398</v>
      </c>
      <c r="K25" s="104">
        <v>0.37735849056603799</v>
      </c>
      <c r="L25" s="104">
        <v>0.39639639639639601</v>
      </c>
      <c r="M25" s="104">
        <v>0.14285714285714299</v>
      </c>
      <c r="N25" s="104">
        <v>0.230769230769231</v>
      </c>
      <c r="O25" s="104">
        <v>0.43801652892561999</v>
      </c>
      <c r="P25" s="104">
        <v>0.44444444444444398</v>
      </c>
      <c r="Q25" s="104">
        <v>0.44615384615384601</v>
      </c>
      <c r="R25" s="104">
        <v>0.47761194029850801</v>
      </c>
      <c r="S25" s="104">
        <v>0.50387596899224796</v>
      </c>
      <c r="T25" s="104">
        <v>0.50387596899224796</v>
      </c>
      <c r="U25" s="104">
        <v>0.43835616438356201</v>
      </c>
      <c r="V25" s="104">
        <v>0.43333333333333302</v>
      </c>
      <c r="W25" s="104">
        <v>0.42105263157894701</v>
      </c>
      <c r="X25" s="104">
        <v>0.42953020134228198</v>
      </c>
      <c r="Y25" s="104">
        <v>0.39873417721519</v>
      </c>
      <c r="Z25" s="104">
        <v>0.40606060606060601</v>
      </c>
      <c r="AA25" s="104">
        <v>0.59829059829059805</v>
      </c>
      <c r="AB25" s="104">
        <v>0.61111111111111105</v>
      </c>
    </row>
    <row r="26" spans="1:28" ht="15" customHeight="1">
      <c r="A26" s="20" t="s">
        <v>1476</v>
      </c>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row>
    <row r="27" spans="1:28" ht="15" customHeight="1">
      <c r="B27" s="64" t="s">
        <v>1468</v>
      </c>
      <c r="C27" s="105">
        <v>7</v>
      </c>
      <c r="D27" s="105">
        <v>10</v>
      </c>
      <c r="E27" s="105">
        <v>8</v>
      </c>
      <c r="F27" s="105">
        <v>8</v>
      </c>
      <c r="G27" s="105">
        <v>10</v>
      </c>
      <c r="H27" s="105">
        <v>8</v>
      </c>
      <c r="I27" s="105">
        <v>5</v>
      </c>
      <c r="J27" s="105">
        <v>8</v>
      </c>
      <c r="K27" s="105">
        <v>10</v>
      </c>
      <c r="L27" s="105">
        <v>16</v>
      </c>
      <c r="M27" s="105"/>
      <c r="N27" s="105"/>
      <c r="O27" s="105">
        <v>12</v>
      </c>
      <c r="P27" s="105">
        <v>13</v>
      </c>
      <c r="Q27" s="105">
        <v>14</v>
      </c>
      <c r="R27" s="105">
        <v>14</v>
      </c>
      <c r="S27" s="105">
        <v>14</v>
      </c>
      <c r="T27" s="105">
        <v>14</v>
      </c>
      <c r="U27" s="105">
        <v>12</v>
      </c>
      <c r="V27" s="105">
        <v>13</v>
      </c>
      <c r="W27" s="105">
        <v>13</v>
      </c>
      <c r="X27" s="105">
        <v>11</v>
      </c>
      <c r="Y27" s="105">
        <v>9</v>
      </c>
      <c r="Z27" s="105">
        <v>8</v>
      </c>
      <c r="AA27" s="105">
        <v>7</v>
      </c>
      <c r="AB27" s="105">
        <v>3</v>
      </c>
    </row>
    <row r="28" spans="1:28" ht="15" customHeight="1">
      <c r="B28" s="64" t="s">
        <v>1469</v>
      </c>
      <c r="C28" s="115">
        <v>1.58</v>
      </c>
      <c r="D28" s="115">
        <v>1.60666666666667</v>
      </c>
      <c r="E28" s="115">
        <v>1.61333333333333</v>
      </c>
      <c r="F28" s="115">
        <v>1.6866666666666701</v>
      </c>
      <c r="G28" s="115">
        <v>1.7</v>
      </c>
      <c r="H28" s="115">
        <v>1.7366666666666699</v>
      </c>
      <c r="I28" s="115">
        <v>1.6966666666666701</v>
      </c>
      <c r="J28" s="115">
        <v>1.825</v>
      </c>
      <c r="K28" s="115">
        <v>1.64333333333333</v>
      </c>
      <c r="L28" s="115">
        <v>1.61666666666667</v>
      </c>
      <c r="M28" s="115"/>
      <c r="N28" s="115"/>
      <c r="O28" s="115">
        <v>1.51</v>
      </c>
      <c r="P28" s="115">
        <v>1.54</v>
      </c>
      <c r="Q28" s="115">
        <v>1.5633333333333299</v>
      </c>
      <c r="R28" s="115">
        <v>1.56</v>
      </c>
      <c r="S28" s="115">
        <v>1.5533333333333299</v>
      </c>
      <c r="T28" s="115">
        <v>1.5533333333333299</v>
      </c>
      <c r="U28" s="115">
        <v>1.5533333333333299</v>
      </c>
      <c r="V28" s="115">
        <v>1.55666666666667</v>
      </c>
      <c r="W28" s="115">
        <v>1.55666666666667</v>
      </c>
      <c r="X28" s="115">
        <v>1.5633333333333299</v>
      </c>
      <c r="Y28" s="115">
        <v>1.57666666666667</v>
      </c>
      <c r="Z28" s="115">
        <v>1.57</v>
      </c>
      <c r="AA28" s="115">
        <v>1.55666666666667</v>
      </c>
      <c r="AB28" s="115">
        <v>1.5433333333333299</v>
      </c>
    </row>
    <row r="29" spans="1:28" ht="15" customHeight="1">
      <c r="B29" s="64" t="s">
        <v>1470</v>
      </c>
      <c r="C29" s="115">
        <v>1.65</v>
      </c>
      <c r="D29" s="115">
        <v>1.73</v>
      </c>
      <c r="E29" s="115">
        <v>1.81</v>
      </c>
      <c r="F29" s="115">
        <v>1.78</v>
      </c>
      <c r="G29" s="115">
        <v>1.78</v>
      </c>
      <c r="H29" s="115">
        <v>1.56</v>
      </c>
      <c r="I29" s="115">
        <v>1.89</v>
      </c>
      <c r="J29" s="115"/>
      <c r="K29" s="115"/>
      <c r="L29" s="115">
        <v>1.88</v>
      </c>
      <c r="M29" s="115"/>
      <c r="N29" s="115"/>
      <c r="O29" s="115">
        <v>1.87</v>
      </c>
      <c r="P29" s="115">
        <v>1.87</v>
      </c>
      <c r="Q29" s="115">
        <v>1.87</v>
      </c>
      <c r="R29" s="115">
        <v>1.85</v>
      </c>
      <c r="S29" s="115">
        <v>1.85</v>
      </c>
      <c r="T29" s="115">
        <v>1.85</v>
      </c>
      <c r="U29" s="115">
        <v>1.85</v>
      </c>
      <c r="V29" s="115">
        <v>1.85</v>
      </c>
      <c r="W29" s="115">
        <v>1.85</v>
      </c>
      <c r="X29" s="115">
        <v>1.85</v>
      </c>
      <c r="Y29" s="115">
        <v>1.68</v>
      </c>
      <c r="Z29" s="115">
        <v>1.63</v>
      </c>
      <c r="AA29" s="115">
        <v>1.63</v>
      </c>
      <c r="AB29" s="115">
        <v>1.63</v>
      </c>
    </row>
    <row r="30" spans="1:28" ht="15" customHeight="1">
      <c r="B30" s="64" t="s">
        <v>1471</v>
      </c>
      <c r="C30" s="115">
        <v>1.63</v>
      </c>
      <c r="D30" s="115">
        <v>1.54</v>
      </c>
      <c r="E30" s="115">
        <v>1.51</v>
      </c>
      <c r="F30" s="115">
        <v>1.48</v>
      </c>
      <c r="G30" s="115">
        <v>1.48</v>
      </c>
      <c r="H30" s="115">
        <v>1.3</v>
      </c>
      <c r="I30" s="115">
        <v>1.67</v>
      </c>
      <c r="J30" s="115"/>
      <c r="K30" s="115"/>
      <c r="L30" s="115">
        <v>1.81</v>
      </c>
      <c r="M30" s="115"/>
      <c r="N30" s="115"/>
      <c r="O30" s="115">
        <v>1.8</v>
      </c>
      <c r="P30" s="115">
        <v>1.8</v>
      </c>
      <c r="Q30" s="115">
        <v>1.8</v>
      </c>
      <c r="R30" s="115">
        <v>1.85</v>
      </c>
      <c r="S30" s="115">
        <v>1.78</v>
      </c>
      <c r="T30" s="115">
        <v>1.78</v>
      </c>
      <c r="U30" s="115">
        <v>1.78</v>
      </c>
      <c r="V30" s="115">
        <v>1.83</v>
      </c>
      <c r="W30" s="115">
        <v>1.78</v>
      </c>
      <c r="X30" s="115">
        <v>1.85</v>
      </c>
      <c r="Y30" s="115">
        <v>1.62</v>
      </c>
      <c r="Z30" s="115">
        <v>1.57</v>
      </c>
      <c r="AA30" s="115">
        <v>1.57</v>
      </c>
      <c r="AB30" s="115">
        <v>1.57</v>
      </c>
    </row>
    <row r="31" spans="1:28" ht="15" customHeight="1">
      <c r="B31" s="64" t="s">
        <v>1472</v>
      </c>
      <c r="C31" s="104">
        <v>1</v>
      </c>
      <c r="D31" s="104">
        <v>0.9375</v>
      </c>
      <c r="E31" s="104">
        <v>0.875</v>
      </c>
      <c r="F31" s="104">
        <v>0.9375</v>
      </c>
      <c r="G31" s="104">
        <v>0.9375</v>
      </c>
      <c r="H31" s="104">
        <v>0.9375</v>
      </c>
      <c r="I31" s="104">
        <v>0.9375</v>
      </c>
      <c r="J31" s="104">
        <v>1</v>
      </c>
      <c r="K31" s="104">
        <v>1</v>
      </c>
      <c r="L31" s="104">
        <v>1</v>
      </c>
      <c r="M31" s="104">
        <v>1</v>
      </c>
      <c r="N31" s="104">
        <v>0.9375</v>
      </c>
      <c r="O31" s="104">
        <v>0.87223142524081199</v>
      </c>
      <c r="P31" s="104">
        <v>0.87223142524081199</v>
      </c>
      <c r="Q31" s="104">
        <v>0.81164488618933694</v>
      </c>
      <c r="R31" s="104">
        <v>0.81164488618933694</v>
      </c>
      <c r="S31" s="104">
        <v>0.81164488618933694</v>
      </c>
      <c r="T31" s="104">
        <v>0.81164488618933694</v>
      </c>
      <c r="U31" s="104">
        <v>0.74814405791766403</v>
      </c>
      <c r="V31" s="104">
        <v>0.74814405791766403</v>
      </c>
      <c r="W31" s="104">
        <v>0.74814405791766403</v>
      </c>
      <c r="X31" s="104">
        <v>0.74814405791766403</v>
      </c>
      <c r="Y31" s="104">
        <v>0.75004326307410096</v>
      </c>
      <c r="Z31" s="104">
        <v>0.75004326307410096</v>
      </c>
      <c r="AA31" s="104">
        <v>0.75004326307410096</v>
      </c>
      <c r="AB31" s="104">
        <v>0.81400339182501003</v>
      </c>
    </row>
    <row r="32" spans="1:28" ht="15" customHeight="1">
      <c r="B32" s="64" t="s">
        <v>1473</v>
      </c>
      <c r="C32" s="104">
        <v>0.28571428571428598</v>
      </c>
      <c r="D32" s="104">
        <v>0.3</v>
      </c>
      <c r="E32" s="104">
        <v>0.25</v>
      </c>
      <c r="F32" s="104">
        <v>0.125</v>
      </c>
      <c r="G32" s="104">
        <v>0.1</v>
      </c>
      <c r="H32" s="104">
        <v>0</v>
      </c>
      <c r="I32" s="104">
        <v>0</v>
      </c>
      <c r="J32" s="104">
        <v>0</v>
      </c>
      <c r="K32" s="104">
        <v>0</v>
      </c>
      <c r="L32" s="104">
        <v>0.125</v>
      </c>
      <c r="M32" s="104">
        <v>0</v>
      </c>
      <c r="N32" s="104">
        <v>0</v>
      </c>
      <c r="O32" s="104">
        <v>0.25</v>
      </c>
      <c r="P32" s="104">
        <v>0.230769230769231</v>
      </c>
      <c r="Q32" s="104">
        <v>0.214285714285714</v>
      </c>
      <c r="R32" s="104">
        <v>0.28571428571428598</v>
      </c>
      <c r="S32" s="104">
        <v>0.214285714285714</v>
      </c>
      <c r="T32" s="104">
        <v>0.214285714285714</v>
      </c>
      <c r="U32" s="104">
        <v>0.25</v>
      </c>
      <c r="V32" s="104">
        <v>0.230769230769231</v>
      </c>
      <c r="W32" s="104">
        <v>0.230769230769231</v>
      </c>
      <c r="X32" s="104">
        <v>0.36363636363636398</v>
      </c>
      <c r="Y32" s="104">
        <v>0.33333333333333298</v>
      </c>
      <c r="Z32" s="104">
        <v>0.5</v>
      </c>
      <c r="AA32" s="104">
        <v>0.28571428571428598</v>
      </c>
      <c r="AB32" s="104">
        <v>0.33333333333333298</v>
      </c>
    </row>
  </sheetData>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5006F-82F8-48F8-AE75-B9F338B3A92C}">
  <sheetPr codeName="Sheet8">
    <tabColor theme="4" tint="0.59999389629810485"/>
  </sheetPr>
  <dimension ref="A1:Q22"/>
  <sheetViews>
    <sheetView workbookViewId="0">
      <selection activeCell="D26" sqref="D26"/>
    </sheetView>
  </sheetViews>
  <sheetFormatPr defaultRowHeight="14.5"/>
  <cols>
    <col min="4" max="4" width="17.453125" customWidth="1"/>
    <col min="5" max="5" width="19.26953125" customWidth="1"/>
    <col min="6" max="6" width="25.1796875" customWidth="1"/>
    <col min="7" max="7" width="22.453125" customWidth="1"/>
    <col min="13" max="13" width="14.1796875" customWidth="1"/>
    <col min="14" max="17" width="9.1796875" style="53"/>
  </cols>
  <sheetData>
    <row r="1" spans="1:17">
      <c r="A1" s="116" t="s">
        <v>1466</v>
      </c>
      <c r="B1" s="116" t="s">
        <v>1477</v>
      </c>
      <c r="C1" s="116" t="s">
        <v>1478</v>
      </c>
      <c r="D1" s="116" t="s">
        <v>1479</v>
      </c>
      <c r="E1" s="116" t="s">
        <v>1480</v>
      </c>
      <c r="F1" s="116" t="s">
        <v>1481</v>
      </c>
      <c r="G1" s="116" t="s">
        <v>1482</v>
      </c>
      <c r="H1" s="116" t="s">
        <v>1483</v>
      </c>
      <c r="I1" s="116" t="s">
        <v>1484</v>
      </c>
      <c r="J1" s="116" t="s">
        <v>1485</v>
      </c>
      <c r="K1" s="116" t="s">
        <v>1486</v>
      </c>
      <c r="L1" s="116" t="s">
        <v>1487</v>
      </c>
      <c r="M1" s="116" t="s">
        <v>1488</v>
      </c>
      <c r="N1" s="116" t="s">
        <v>1489</v>
      </c>
      <c r="O1" s="116" t="s">
        <v>1490</v>
      </c>
      <c r="P1" s="116" t="s">
        <v>1491</v>
      </c>
      <c r="Q1" s="116" t="s">
        <v>1492</v>
      </c>
    </row>
    <row r="2" spans="1:17">
      <c r="A2" s="116" t="s">
        <v>1493</v>
      </c>
      <c r="B2" s="116">
        <v>505</v>
      </c>
      <c r="C2" s="116">
        <v>56</v>
      </c>
      <c r="D2" s="116">
        <v>945.66</v>
      </c>
      <c r="E2" s="116">
        <v>894.01</v>
      </c>
      <c r="F2" s="116">
        <v>0</v>
      </c>
      <c r="G2" s="116">
        <v>12</v>
      </c>
      <c r="H2" s="116">
        <v>1</v>
      </c>
      <c r="I2" s="116">
        <v>13</v>
      </c>
      <c r="J2" s="116">
        <v>0</v>
      </c>
      <c r="K2" s="116">
        <v>5</v>
      </c>
      <c r="L2" s="116">
        <v>38</v>
      </c>
      <c r="M2" s="116">
        <v>43</v>
      </c>
      <c r="N2" s="116">
        <v>0.76790000000000003</v>
      </c>
      <c r="O2" s="116">
        <v>0.78569999999999995</v>
      </c>
      <c r="P2" s="116">
        <v>0.30359999999999998</v>
      </c>
      <c r="Q2" s="116">
        <v>0.69640000000000002</v>
      </c>
    </row>
    <row r="3" spans="1:17">
      <c r="A3" s="116" t="s">
        <v>1494</v>
      </c>
      <c r="B3" s="116">
        <v>560</v>
      </c>
      <c r="C3" s="116">
        <v>20</v>
      </c>
      <c r="D3" s="116">
        <v>837.5</v>
      </c>
      <c r="E3" s="116">
        <v>932.37</v>
      </c>
      <c r="F3" s="116">
        <v>0</v>
      </c>
      <c r="G3" s="116">
        <v>4</v>
      </c>
      <c r="H3" s="116">
        <v>1</v>
      </c>
      <c r="I3" s="116">
        <v>5</v>
      </c>
      <c r="J3" s="116">
        <v>0</v>
      </c>
      <c r="K3" s="116">
        <v>1</v>
      </c>
      <c r="L3" s="116">
        <v>14</v>
      </c>
      <c r="M3" s="116">
        <v>15</v>
      </c>
      <c r="N3" s="116">
        <v>0.75</v>
      </c>
      <c r="O3" s="116">
        <v>0.8</v>
      </c>
      <c r="P3" s="116">
        <v>0.25</v>
      </c>
      <c r="Q3" s="116">
        <v>0.75</v>
      </c>
    </row>
    <row r="4" spans="1:17">
      <c r="A4" s="116" t="s">
        <v>1495</v>
      </c>
      <c r="B4" s="116">
        <v>594</v>
      </c>
      <c r="C4" s="116">
        <v>72</v>
      </c>
      <c r="D4" s="116">
        <v>846.97</v>
      </c>
      <c r="E4" s="116">
        <v>948.53</v>
      </c>
      <c r="F4" s="116">
        <v>0</v>
      </c>
      <c r="G4" s="116">
        <v>8</v>
      </c>
      <c r="H4" s="116">
        <v>0</v>
      </c>
      <c r="I4" s="116">
        <v>8</v>
      </c>
      <c r="J4" s="116">
        <v>0</v>
      </c>
      <c r="K4" s="116">
        <v>1</v>
      </c>
      <c r="L4" s="116">
        <v>63</v>
      </c>
      <c r="M4" s="116">
        <v>64</v>
      </c>
      <c r="N4" s="116">
        <v>0.88890000000000002</v>
      </c>
      <c r="O4" s="116">
        <v>0.88890000000000002</v>
      </c>
      <c r="P4" s="116">
        <v>0.125</v>
      </c>
      <c r="Q4" s="116">
        <v>0.875</v>
      </c>
    </row>
    <row r="5" spans="1:17">
      <c r="A5" s="116" t="s">
        <v>1496</v>
      </c>
      <c r="B5" s="116">
        <v>650</v>
      </c>
      <c r="C5" s="116">
        <v>72</v>
      </c>
      <c r="D5" s="116">
        <v>814.44</v>
      </c>
      <c r="E5" s="116">
        <v>976.28</v>
      </c>
      <c r="F5" s="116">
        <v>0</v>
      </c>
      <c r="G5" s="116">
        <v>20</v>
      </c>
      <c r="H5" s="116">
        <v>5</v>
      </c>
      <c r="I5" s="116">
        <v>25</v>
      </c>
      <c r="J5" s="116">
        <v>1</v>
      </c>
      <c r="K5" s="116">
        <v>5</v>
      </c>
      <c r="L5" s="116">
        <v>41</v>
      </c>
      <c r="M5" s="116">
        <v>47</v>
      </c>
      <c r="N5" s="116">
        <v>0.65280000000000005</v>
      </c>
      <c r="O5" s="116">
        <v>0.72219999999999995</v>
      </c>
      <c r="P5" s="116">
        <v>0.34720000000000001</v>
      </c>
      <c r="Q5" s="116">
        <v>0.65280000000000005</v>
      </c>
    </row>
    <row r="6" spans="1:17">
      <c r="A6" s="116" t="s">
        <v>1497</v>
      </c>
      <c r="B6" s="116">
        <v>667</v>
      </c>
      <c r="C6" s="116">
        <v>96</v>
      </c>
      <c r="D6" s="116">
        <v>930.53</v>
      </c>
      <c r="E6" s="117">
        <v>1001.2</v>
      </c>
      <c r="F6" s="116">
        <v>1</v>
      </c>
      <c r="G6" s="116">
        <v>22</v>
      </c>
      <c r="H6" s="116">
        <v>1</v>
      </c>
      <c r="I6" s="116">
        <v>23</v>
      </c>
      <c r="J6" s="116">
        <v>0</v>
      </c>
      <c r="K6" s="116">
        <v>11</v>
      </c>
      <c r="L6" s="116">
        <v>61</v>
      </c>
      <c r="M6" s="116">
        <v>72</v>
      </c>
      <c r="N6" s="116">
        <v>0.75790000000000002</v>
      </c>
      <c r="O6" s="116">
        <v>0.76839999999999997</v>
      </c>
      <c r="P6" s="116">
        <v>0.34739999999999999</v>
      </c>
      <c r="Q6" s="116">
        <v>0.65259999999999996</v>
      </c>
    </row>
    <row r="7" spans="1:17">
      <c r="A7" s="116" t="s">
        <v>1498</v>
      </c>
      <c r="B7" s="116">
        <v>670</v>
      </c>
      <c r="C7" s="116">
        <v>48</v>
      </c>
      <c r="D7" s="116">
        <v>958.35</v>
      </c>
      <c r="E7" s="117">
        <v>1064.68</v>
      </c>
      <c r="F7" s="116">
        <v>0</v>
      </c>
      <c r="G7" s="116">
        <v>4</v>
      </c>
      <c r="H7" s="116">
        <v>0</v>
      </c>
      <c r="I7" s="116">
        <v>4</v>
      </c>
      <c r="J7" s="116">
        <v>0</v>
      </c>
      <c r="K7" s="116">
        <v>4</v>
      </c>
      <c r="L7" s="116">
        <v>40</v>
      </c>
      <c r="M7" s="116">
        <v>44</v>
      </c>
      <c r="N7" s="116">
        <v>0.91669999999999996</v>
      </c>
      <c r="O7" s="116">
        <v>0.91669999999999996</v>
      </c>
      <c r="P7" s="116">
        <v>0.16669999999999999</v>
      </c>
      <c r="Q7" s="116">
        <v>0.83330000000000004</v>
      </c>
    </row>
    <row r="8" spans="1:17">
      <c r="A8" s="116" t="s">
        <v>1499</v>
      </c>
      <c r="B8" s="116">
        <v>700</v>
      </c>
      <c r="C8" s="116">
        <v>56</v>
      </c>
      <c r="D8" s="116">
        <v>834.95</v>
      </c>
      <c r="E8" s="117">
        <v>1031.8599999999999</v>
      </c>
      <c r="F8" s="116">
        <v>0</v>
      </c>
      <c r="G8" s="116">
        <v>17</v>
      </c>
      <c r="H8" s="116">
        <v>3</v>
      </c>
      <c r="I8" s="116">
        <v>20</v>
      </c>
      <c r="J8" s="116">
        <v>0</v>
      </c>
      <c r="K8" s="116">
        <v>5</v>
      </c>
      <c r="L8" s="116">
        <v>31</v>
      </c>
      <c r="M8" s="116">
        <v>36</v>
      </c>
      <c r="N8" s="116">
        <v>0.64290000000000003</v>
      </c>
      <c r="O8" s="116">
        <v>0.69640000000000002</v>
      </c>
      <c r="P8" s="116">
        <v>0.39290000000000003</v>
      </c>
      <c r="Q8" s="116">
        <v>0.60709999999999997</v>
      </c>
    </row>
    <row r="9" spans="1:17">
      <c r="A9" s="116" t="s">
        <v>1500</v>
      </c>
      <c r="B9" s="116">
        <v>746</v>
      </c>
      <c r="C9" s="116">
        <v>64</v>
      </c>
      <c r="D9" s="116">
        <v>999.78</v>
      </c>
      <c r="E9" s="117">
        <v>1157.42</v>
      </c>
      <c r="F9" s="116">
        <v>0</v>
      </c>
      <c r="G9" s="116">
        <v>19</v>
      </c>
      <c r="H9" s="116">
        <v>0</v>
      </c>
      <c r="I9" s="116">
        <v>19</v>
      </c>
      <c r="J9" s="116">
        <v>0</v>
      </c>
      <c r="K9" s="116">
        <v>3</v>
      </c>
      <c r="L9" s="116">
        <v>42</v>
      </c>
      <c r="M9" s="116">
        <v>45</v>
      </c>
      <c r="N9" s="116">
        <v>0.70309999999999995</v>
      </c>
      <c r="O9" s="116">
        <v>0.70309999999999995</v>
      </c>
      <c r="P9" s="116">
        <v>0.34379999999999999</v>
      </c>
      <c r="Q9" s="116">
        <v>0.65620000000000001</v>
      </c>
    </row>
    <row r="10" spans="1:17">
      <c r="A10" s="116" t="s">
        <v>1501</v>
      </c>
      <c r="B10" s="116">
        <v>753</v>
      </c>
      <c r="C10" s="116">
        <v>24</v>
      </c>
      <c r="D10" s="117">
        <v>1041.3800000000001</v>
      </c>
      <c r="E10" s="117">
        <v>1170.82</v>
      </c>
      <c r="F10" s="116">
        <v>0</v>
      </c>
      <c r="G10" s="116">
        <v>7</v>
      </c>
      <c r="H10" s="116">
        <v>0</v>
      </c>
      <c r="I10" s="116">
        <v>7</v>
      </c>
      <c r="J10" s="116">
        <v>0</v>
      </c>
      <c r="K10" s="116">
        <v>2</v>
      </c>
      <c r="L10" s="116">
        <v>15</v>
      </c>
      <c r="M10" s="116">
        <v>17</v>
      </c>
      <c r="N10" s="116">
        <v>0.70830000000000004</v>
      </c>
      <c r="O10" s="116">
        <v>0.70830000000000004</v>
      </c>
      <c r="P10" s="116">
        <v>0.375</v>
      </c>
      <c r="Q10" s="116">
        <v>0.625</v>
      </c>
    </row>
    <row r="11" spans="1:17">
      <c r="A11" s="116" t="s">
        <v>1502</v>
      </c>
      <c r="B11" s="116">
        <v>800</v>
      </c>
      <c r="C11" s="116">
        <v>48</v>
      </c>
      <c r="D11" s="116">
        <v>924.6</v>
      </c>
      <c r="E11" s="117">
        <v>1147.92</v>
      </c>
      <c r="F11" s="116">
        <v>0</v>
      </c>
      <c r="G11" s="116">
        <v>18</v>
      </c>
      <c r="H11" s="116">
        <v>2</v>
      </c>
      <c r="I11" s="116">
        <v>20</v>
      </c>
      <c r="J11" s="116">
        <v>0</v>
      </c>
      <c r="K11" s="116">
        <v>2</v>
      </c>
      <c r="L11" s="116">
        <v>26</v>
      </c>
      <c r="M11" s="116">
        <v>28</v>
      </c>
      <c r="N11" s="116">
        <v>0.58330000000000004</v>
      </c>
      <c r="O11" s="116">
        <v>0.625</v>
      </c>
      <c r="P11" s="116">
        <v>0.41670000000000001</v>
      </c>
      <c r="Q11" s="116">
        <v>0.58330000000000004</v>
      </c>
    </row>
    <row r="12" spans="1:17">
      <c r="A12" s="116" t="s">
        <v>1503</v>
      </c>
      <c r="B12" s="116">
        <v>841</v>
      </c>
      <c r="C12" s="116">
        <v>28</v>
      </c>
      <c r="D12" s="117">
        <v>1105.6400000000001</v>
      </c>
      <c r="E12" s="117">
        <v>1243.6400000000001</v>
      </c>
      <c r="F12" s="116">
        <v>0</v>
      </c>
      <c r="G12" s="116">
        <v>14</v>
      </c>
      <c r="H12" s="116">
        <v>0</v>
      </c>
      <c r="I12" s="116">
        <v>14</v>
      </c>
      <c r="J12" s="116">
        <v>0</v>
      </c>
      <c r="K12" s="116">
        <v>1</v>
      </c>
      <c r="L12" s="116">
        <v>13</v>
      </c>
      <c r="M12" s="116">
        <v>14</v>
      </c>
      <c r="N12" s="116">
        <v>0.5</v>
      </c>
      <c r="O12" s="116">
        <v>0.5</v>
      </c>
      <c r="P12" s="116">
        <v>0.53569999999999995</v>
      </c>
      <c r="Q12" s="116">
        <v>0.46429999999999999</v>
      </c>
    </row>
    <row r="13" spans="1:17">
      <c r="A13" s="116" t="s">
        <v>1504</v>
      </c>
      <c r="B13" s="116">
        <v>845</v>
      </c>
      <c r="C13" s="116">
        <v>32</v>
      </c>
      <c r="D13" s="117">
        <v>1284.56</v>
      </c>
      <c r="E13" s="117">
        <v>1400.17</v>
      </c>
      <c r="F13" s="116">
        <v>0</v>
      </c>
      <c r="G13" s="116">
        <v>14</v>
      </c>
      <c r="H13" s="116">
        <v>0</v>
      </c>
      <c r="I13" s="116">
        <v>14</v>
      </c>
      <c r="J13" s="116">
        <v>0</v>
      </c>
      <c r="K13" s="116">
        <v>2</v>
      </c>
      <c r="L13" s="116">
        <v>16</v>
      </c>
      <c r="M13" s="116">
        <v>18</v>
      </c>
      <c r="N13" s="116">
        <v>0.5625</v>
      </c>
      <c r="O13" s="116">
        <v>0.5625</v>
      </c>
      <c r="P13" s="116">
        <v>0.5</v>
      </c>
      <c r="Q13" s="116">
        <v>0.5</v>
      </c>
    </row>
    <row r="14" spans="1:17">
      <c r="A14" s="116" t="s">
        <v>1505</v>
      </c>
      <c r="B14" s="116">
        <v>900</v>
      </c>
      <c r="C14" s="116">
        <v>32</v>
      </c>
      <c r="D14" s="117">
        <v>1179.0999999999999</v>
      </c>
      <c r="E14" s="117">
        <v>1381.2</v>
      </c>
      <c r="F14" s="116">
        <v>1</v>
      </c>
      <c r="G14" s="116">
        <v>9</v>
      </c>
      <c r="H14" s="116">
        <v>2</v>
      </c>
      <c r="I14" s="116">
        <v>11</v>
      </c>
      <c r="J14" s="116">
        <v>0</v>
      </c>
      <c r="K14" s="116">
        <v>1</v>
      </c>
      <c r="L14" s="116">
        <v>19</v>
      </c>
      <c r="M14" s="116">
        <v>20</v>
      </c>
      <c r="N14" s="116">
        <v>0.6452</v>
      </c>
      <c r="O14" s="116">
        <v>0.7097</v>
      </c>
      <c r="P14" s="116">
        <v>0.3226</v>
      </c>
      <c r="Q14" s="116">
        <v>0.6774</v>
      </c>
    </row>
    <row r="15" spans="1:17">
      <c r="A15" s="116" t="s">
        <v>1506</v>
      </c>
      <c r="B15" s="116">
        <v>909</v>
      </c>
      <c r="C15" s="116">
        <v>36</v>
      </c>
      <c r="D15" s="117">
        <v>1172.03</v>
      </c>
      <c r="E15" s="117">
        <v>1332.15</v>
      </c>
      <c r="F15" s="116">
        <v>0</v>
      </c>
      <c r="G15" s="116">
        <v>7</v>
      </c>
      <c r="H15" s="116">
        <v>2</v>
      </c>
      <c r="I15" s="116">
        <v>9</v>
      </c>
      <c r="J15" s="116">
        <v>0</v>
      </c>
      <c r="K15" s="116">
        <v>2</v>
      </c>
      <c r="L15" s="116">
        <v>25</v>
      </c>
      <c r="M15" s="116">
        <v>27</v>
      </c>
      <c r="N15" s="116">
        <v>0.75</v>
      </c>
      <c r="O15" s="116">
        <v>0.80559999999999998</v>
      </c>
      <c r="P15" s="116">
        <v>0.25</v>
      </c>
      <c r="Q15" s="116">
        <v>0.75</v>
      </c>
    </row>
    <row r="16" spans="1:17">
      <c r="A16" s="116" t="s">
        <v>1507</v>
      </c>
      <c r="B16" s="116">
        <v>921</v>
      </c>
      <c r="C16" s="116">
        <v>32</v>
      </c>
      <c r="D16" s="117">
        <v>1067.77</v>
      </c>
      <c r="E16" s="117">
        <v>1317</v>
      </c>
      <c r="F16" s="116">
        <v>1</v>
      </c>
      <c r="G16" s="116">
        <v>2</v>
      </c>
      <c r="H16" s="116">
        <v>3</v>
      </c>
      <c r="I16" s="116">
        <v>5</v>
      </c>
      <c r="J16" s="116">
        <v>1</v>
      </c>
      <c r="K16" s="116">
        <v>1</v>
      </c>
      <c r="L16" s="116">
        <v>24</v>
      </c>
      <c r="M16" s="116">
        <v>26</v>
      </c>
      <c r="N16" s="116">
        <v>0.8387</v>
      </c>
      <c r="O16" s="116">
        <v>0.9355</v>
      </c>
      <c r="P16" s="116">
        <v>9.6799999999999997E-2</v>
      </c>
      <c r="Q16" s="116">
        <v>0.9032</v>
      </c>
    </row>
    <row r="17" spans="1:17">
      <c r="A17" s="116" t="s">
        <v>1508</v>
      </c>
      <c r="B17" s="116">
        <v>988</v>
      </c>
      <c r="C17" s="116">
        <v>56</v>
      </c>
      <c r="D17" s="117">
        <v>1093.27</v>
      </c>
      <c r="E17" s="117">
        <v>1361.18</v>
      </c>
      <c r="F17" s="116">
        <v>1</v>
      </c>
      <c r="G17" s="116">
        <v>0</v>
      </c>
      <c r="H17" s="116">
        <v>5</v>
      </c>
      <c r="I17" s="116">
        <v>5</v>
      </c>
      <c r="J17" s="116">
        <v>0</v>
      </c>
      <c r="K17" s="116">
        <v>2</v>
      </c>
      <c r="L17" s="116">
        <v>48</v>
      </c>
      <c r="M17" s="116">
        <v>50</v>
      </c>
      <c r="N17" s="116">
        <v>0.90910000000000002</v>
      </c>
      <c r="O17" s="116">
        <v>1</v>
      </c>
      <c r="P17" s="116">
        <v>3.6400000000000002E-2</v>
      </c>
      <c r="Q17" s="116">
        <v>0.96360000000000001</v>
      </c>
    </row>
    <row r="18" spans="1:17">
      <c r="A18" s="116" t="s">
        <v>1509</v>
      </c>
      <c r="B18" s="116">
        <v>1000</v>
      </c>
      <c r="C18" s="116">
        <v>28</v>
      </c>
      <c r="D18" s="117">
        <v>1106.6300000000001</v>
      </c>
      <c r="E18" s="117">
        <v>1341.32</v>
      </c>
      <c r="F18" s="116">
        <v>1</v>
      </c>
      <c r="G18" s="116">
        <v>3</v>
      </c>
      <c r="H18" s="116">
        <v>5</v>
      </c>
      <c r="I18" s="116">
        <v>8</v>
      </c>
      <c r="J18" s="116">
        <v>1</v>
      </c>
      <c r="K18" s="116">
        <v>1</v>
      </c>
      <c r="L18" s="116">
        <v>17</v>
      </c>
      <c r="M18" s="116">
        <v>19</v>
      </c>
      <c r="N18" s="116">
        <v>0.70369999999999999</v>
      </c>
      <c r="O18" s="116">
        <v>0.88890000000000002</v>
      </c>
      <c r="P18" s="116">
        <v>0.14810000000000001</v>
      </c>
      <c r="Q18" s="116">
        <v>0.85189999999999999</v>
      </c>
    </row>
    <row r="19" spans="1:17">
      <c r="A19" s="116" t="s">
        <v>1510</v>
      </c>
      <c r="B19" s="116">
        <v>1066</v>
      </c>
      <c r="C19" s="116">
        <v>12</v>
      </c>
      <c r="D19" s="117">
        <v>1200.33</v>
      </c>
      <c r="E19" s="117">
        <v>1085.9100000000001</v>
      </c>
      <c r="F19" s="116">
        <v>0</v>
      </c>
      <c r="G19" s="116">
        <v>0</v>
      </c>
      <c r="H19" s="116">
        <v>1</v>
      </c>
      <c r="I19" s="116">
        <v>1</v>
      </c>
      <c r="J19" s="116">
        <v>1</v>
      </c>
      <c r="K19" s="116">
        <v>1</v>
      </c>
      <c r="L19" s="116">
        <v>9</v>
      </c>
      <c r="M19" s="116">
        <v>11</v>
      </c>
      <c r="N19" s="116">
        <v>0.91669999999999996</v>
      </c>
      <c r="O19" s="116">
        <v>1</v>
      </c>
      <c r="P19" s="116">
        <v>8.3299999999999999E-2</v>
      </c>
      <c r="Q19" s="116">
        <v>0.91669999999999996</v>
      </c>
    </row>
    <row r="20" spans="1:17">
      <c r="A20" s="116" t="s">
        <v>1511</v>
      </c>
      <c r="B20" s="116">
        <v>1100</v>
      </c>
      <c r="C20" s="116">
        <v>16</v>
      </c>
      <c r="D20" s="117">
        <v>1223.67</v>
      </c>
      <c r="E20" s="117">
        <v>1369.9</v>
      </c>
      <c r="F20" s="116">
        <v>1</v>
      </c>
      <c r="G20" s="116">
        <v>1</v>
      </c>
      <c r="H20" s="116">
        <v>4</v>
      </c>
      <c r="I20" s="116">
        <v>5</v>
      </c>
      <c r="J20" s="116">
        <v>0</v>
      </c>
      <c r="K20" s="116">
        <v>0</v>
      </c>
      <c r="L20" s="116">
        <v>10</v>
      </c>
      <c r="M20" s="116">
        <v>10</v>
      </c>
      <c r="N20" s="116">
        <v>0.66669999999999996</v>
      </c>
      <c r="O20" s="116">
        <v>0.93330000000000002</v>
      </c>
      <c r="P20" s="116">
        <v>6.6699999999999995E-2</v>
      </c>
      <c r="Q20" s="116">
        <v>0.93330000000000002</v>
      </c>
    </row>
    <row r="21" spans="1:17">
      <c r="A21" s="116" t="s">
        <v>425</v>
      </c>
      <c r="B21" s="116">
        <v>1109</v>
      </c>
      <c r="C21" s="116">
        <v>16</v>
      </c>
      <c r="D21" s="117">
        <v>1662.81</v>
      </c>
      <c r="E21" s="117">
        <v>1868</v>
      </c>
      <c r="F21" s="116">
        <v>0</v>
      </c>
      <c r="G21" s="116">
        <v>2</v>
      </c>
      <c r="H21" s="116">
        <v>1</v>
      </c>
      <c r="I21" s="116">
        <v>3</v>
      </c>
      <c r="J21" s="116">
        <v>0</v>
      </c>
      <c r="K21" s="116">
        <v>0</v>
      </c>
      <c r="L21" s="116">
        <v>13</v>
      </c>
      <c r="M21" s="116">
        <v>13</v>
      </c>
      <c r="N21" s="116">
        <v>0.8125</v>
      </c>
      <c r="O21" s="116">
        <v>0.875</v>
      </c>
      <c r="P21" s="116">
        <v>0.125</v>
      </c>
      <c r="Q21" s="116">
        <v>0.875</v>
      </c>
    </row>
    <row r="22" spans="1:17">
      <c r="A22" s="116" t="s">
        <v>419</v>
      </c>
      <c r="B22" s="116">
        <v>420</v>
      </c>
      <c r="C22" s="116">
        <v>36</v>
      </c>
      <c r="D22" s="116">
        <v>782.72</v>
      </c>
      <c r="E22" s="116">
        <v>903.75</v>
      </c>
      <c r="F22" s="116">
        <v>0</v>
      </c>
      <c r="G22" s="116">
        <v>15</v>
      </c>
      <c r="H22" s="116">
        <v>1</v>
      </c>
      <c r="I22" s="116">
        <v>16</v>
      </c>
      <c r="J22" s="116">
        <v>0</v>
      </c>
      <c r="K22" s="116">
        <v>1</v>
      </c>
      <c r="L22" s="116">
        <v>19</v>
      </c>
      <c r="M22" s="116">
        <v>20</v>
      </c>
      <c r="N22" s="116">
        <v>0.55559999999999998</v>
      </c>
      <c r="O22" s="116">
        <v>0.58330000000000004</v>
      </c>
      <c r="P22" s="116">
        <v>0.44440000000000002</v>
      </c>
      <c r="Q22" s="116">
        <v>0.55559999999999998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72792-F27C-43F3-BFF9-E019CC4BAEF9}">
  <sheetPr codeName="Sheet9">
    <tabColor theme="4" tint="0.59999389629810485"/>
  </sheetPr>
  <dimension ref="A1:O23"/>
  <sheetViews>
    <sheetView workbookViewId="0">
      <selection activeCell="A22" sqref="A22:XFD22"/>
    </sheetView>
  </sheetViews>
  <sheetFormatPr defaultRowHeight="14.5"/>
  <cols>
    <col min="1" max="15" width="11" customWidth="1"/>
  </cols>
  <sheetData>
    <row r="1" spans="1:15">
      <c r="A1" s="116" t="s">
        <v>1466</v>
      </c>
      <c r="B1" s="116" t="s">
        <v>1512</v>
      </c>
      <c r="C1" s="116" t="s">
        <v>1513</v>
      </c>
      <c r="D1" s="116" t="s">
        <v>1514</v>
      </c>
      <c r="E1" s="116" t="s">
        <v>1515</v>
      </c>
      <c r="F1" s="116" t="s">
        <v>1516</v>
      </c>
      <c r="G1" s="116" t="s">
        <v>1517</v>
      </c>
      <c r="H1" s="116" t="s">
        <v>1518</v>
      </c>
      <c r="I1" s="116" t="s">
        <v>1519</v>
      </c>
      <c r="J1" s="116" t="s">
        <v>1520</v>
      </c>
      <c r="K1" s="116" t="s">
        <v>1521</v>
      </c>
      <c r="L1" s="116" t="s">
        <v>1522</v>
      </c>
      <c r="M1" s="116" t="s">
        <v>1523</v>
      </c>
      <c r="N1" s="116" t="s">
        <v>1524</v>
      </c>
      <c r="O1" s="116" t="s">
        <v>1525</v>
      </c>
    </row>
    <row r="2" spans="1:15">
      <c r="A2" s="116" t="s">
        <v>1493</v>
      </c>
      <c r="B2" s="116">
        <v>20</v>
      </c>
      <c r="C2" s="116">
        <v>0</v>
      </c>
      <c r="D2" s="116">
        <v>0</v>
      </c>
      <c r="E2" s="116">
        <v>13</v>
      </c>
      <c r="F2" s="116">
        <v>0</v>
      </c>
      <c r="G2" s="116">
        <v>0</v>
      </c>
      <c r="H2" s="116">
        <v>1</v>
      </c>
      <c r="I2" s="116">
        <v>2</v>
      </c>
      <c r="J2" s="116">
        <v>135</v>
      </c>
      <c r="K2" s="116">
        <v>21</v>
      </c>
      <c r="L2" s="116">
        <v>0</v>
      </c>
      <c r="M2" s="116">
        <v>79</v>
      </c>
      <c r="N2" s="116">
        <v>7</v>
      </c>
      <c r="O2" s="116">
        <v>1</v>
      </c>
    </row>
    <row r="3" spans="1:15">
      <c r="A3" s="116" t="s">
        <v>1494</v>
      </c>
      <c r="B3" s="116">
        <v>1</v>
      </c>
      <c r="C3" s="116">
        <v>0</v>
      </c>
      <c r="D3" s="116">
        <v>0</v>
      </c>
      <c r="E3" s="116">
        <v>1</v>
      </c>
      <c r="F3" s="116">
        <v>0</v>
      </c>
      <c r="G3" s="116">
        <v>0</v>
      </c>
      <c r="H3" s="116">
        <v>0</v>
      </c>
      <c r="I3" s="116">
        <v>0</v>
      </c>
      <c r="J3" s="116">
        <v>4</v>
      </c>
      <c r="K3" s="116">
        <v>5</v>
      </c>
      <c r="L3" s="116">
        <v>0</v>
      </c>
      <c r="M3" s="116">
        <v>1</v>
      </c>
      <c r="N3" s="116">
        <v>0</v>
      </c>
      <c r="O3" s="116">
        <v>0</v>
      </c>
    </row>
    <row r="4" spans="1:15">
      <c r="A4" s="116" t="s">
        <v>1495</v>
      </c>
      <c r="B4" s="116">
        <v>0</v>
      </c>
      <c r="C4" s="116">
        <v>0</v>
      </c>
      <c r="D4" s="116">
        <v>0</v>
      </c>
      <c r="E4" s="116">
        <v>0</v>
      </c>
      <c r="F4" s="116">
        <v>0</v>
      </c>
      <c r="G4" s="116">
        <v>0</v>
      </c>
      <c r="H4" s="116">
        <v>0</v>
      </c>
      <c r="I4" s="116">
        <v>0</v>
      </c>
      <c r="J4" s="116">
        <v>6</v>
      </c>
      <c r="K4" s="116">
        <v>2</v>
      </c>
      <c r="L4" s="116">
        <v>0</v>
      </c>
      <c r="M4" s="116">
        <v>1</v>
      </c>
      <c r="N4" s="116">
        <v>0</v>
      </c>
      <c r="O4" s="116">
        <v>0</v>
      </c>
    </row>
    <row r="5" spans="1:15">
      <c r="A5" s="116" t="s">
        <v>1496</v>
      </c>
      <c r="B5" s="116">
        <v>12</v>
      </c>
      <c r="C5" s="116">
        <v>0</v>
      </c>
      <c r="D5" s="116">
        <v>1</v>
      </c>
      <c r="E5" s="116">
        <v>7</v>
      </c>
      <c r="F5" s="116">
        <v>0</v>
      </c>
      <c r="G5" s="116">
        <v>0</v>
      </c>
      <c r="H5" s="116">
        <v>1</v>
      </c>
      <c r="I5" s="116">
        <v>0</v>
      </c>
      <c r="J5" s="116">
        <v>73</v>
      </c>
      <c r="K5" s="116">
        <v>46</v>
      </c>
      <c r="L5" s="116">
        <v>0</v>
      </c>
      <c r="M5" s="116">
        <v>15</v>
      </c>
      <c r="N5" s="116">
        <v>4</v>
      </c>
      <c r="O5" s="116">
        <v>0</v>
      </c>
    </row>
    <row r="6" spans="1:15">
      <c r="A6" s="116" t="s">
        <v>1497</v>
      </c>
      <c r="B6" s="116">
        <v>0</v>
      </c>
      <c r="C6" s="116">
        <v>0</v>
      </c>
      <c r="D6" s="116">
        <v>0</v>
      </c>
      <c r="E6" s="116">
        <v>0</v>
      </c>
      <c r="F6" s="116">
        <v>0</v>
      </c>
      <c r="G6" s="116">
        <v>0</v>
      </c>
      <c r="H6" s="116">
        <v>0</v>
      </c>
      <c r="I6" s="116">
        <v>0</v>
      </c>
      <c r="J6" s="116">
        <v>11</v>
      </c>
      <c r="K6" s="116">
        <v>6</v>
      </c>
      <c r="L6" s="116">
        <v>0</v>
      </c>
      <c r="M6" s="116">
        <v>10</v>
      </c>
      <c r="N6" s="116">
        <v>0</v>
      </c>
      <c r="O6" s="116">
        <v>0</v>
      </c>
    </row>
    <row r="7" spans="1:15">
      <c r="A7" s="116" t="s">
        <v>1499</v>
      </c>
      <c r="B7" s="116">
        <v>5</v>
      </c>
      <c r="C7" s="116">
        <v>0</v>
      </c>
      <c r="D7" s="116">
        <v>0</v>
      </c>
      <c r="E7" s="116">
        <v>4</v>
      </c>
      <c r="F7" s="116">
        <v>0</v>
      </c>
      <c r="G7" s="116">
        <v>0</v>
      </c>
      <c r="H7" s="116">
        <v>0</v>
      </c>
      <c r="I7" s="116">
        <v>0</v>
      </c>
      <c r="J7" s="116">
        <v>29</v>
      </c>
      <c r="K7" s="116">
        <v>10</v>
      </c>
      <c r="L7" s="116">
        <v>0</v>
      </c>
      <c r="M7" s="116">
        <v>10</v>
      </c>
      <c r="N7" s="116">
        <v>3</v>
      </c>
      <c r="O7" s="116">
        <v>0</v>
      </c>
    </row>
    <row r="8" spans="1:15">
      <c r="A8" s="116" t="s">
        <v>1500</v>
      </c>
      <c r="B8" s="116">
        <v>1</v>
      </c>
      <c r="C8" s="116">
        <v>0</v>
      </c>
      <c r="D8" s="116">
        <v>0</v>
      </c>
      <c r="E8" s="116">
        <v>1</v>
      </c>
      <c r="F8" s="116">
        <v>0</v>
      </c>
      <c r="G8" s="116">
        <v>0</v>
      </c>
      <c r="H8" s="116">
        <v>0</v>
      </c>
      <c r="I8" s="116">
        <v>0</v>
      </c>
      <c r="J8" s="116">
        <v>3</v>
      </c>
      <c r="K8" s="116">
        <v>3</v>
      </c>
      <c r="L8" s="116">
        <v>0</v>
      </c>
      <c r="M8" s="116">
        <v>0</v>
      </c>
      <c r="N8" s="116">
        <v>0</v>
      </c>
      <c r="O8" s="116">
        <v>0</v>
      </c>
    </row>
    <row r="9" spans="1:15">
      <c r="A9" s="116" t="s">
        <v>1501</v>
      </c>
      <c r="B9" s="116">
        <v>0</v>
      </c>
      <c r="C9" s="116">
        <v>0</v>
      </c>
      <c r="D9" s="116">
        <v>0</v>
      </c>
      <c r="E9" s="116">
        <v>0</v>
      </c>
      <c r="F9" s="116">
        <v>0</v>
      </c>
      <c r="G9" s="116">
        <v>0</v>
      </c>
      <c r="H9" s="116">
        <v>0</v>
      </c>
      <c r="I9" s="116">
        <v>0</v>
      </c>
      <c r="J9" s="116">
        <v>2</v>
      </c>
      <c r="K9" s="116">
        <v>0</v>
      </c>
      <c r="L9" s="116">
        <v>0</v>
      </c>
      <c r="M9" s="116">
        <v>0</v>
      </c>
      <c r="N9" s="116">
        <v>0</v>
      </c>
      <c r="O9" s="116">
        <v>0</v>
      </c>
    </row>
    <row r="10" spans="1:15">
      <c r="A10" s="116" t="s">
        <v>1502</v>
      </c>
      <c r="B10" s="116">
        <v>6</v>
      </c>
      <c r="C10" s="116">
        <v>0</v>
      </c>
      <c r="D10" s="116">
        <v>1</v>
      </c>
      <c r="E10" s="116">
        <v>5</v>
      </c>
      <c r="F10" s="116">
        <v>0</v>
      </c>
      <c r="G10" s="116">
        <v>0</v>
      </c>
      <c r="H10" s="116">
        <v>0</v>
      </c>
      <c r="I10" s="116">
        <v>0</v>
      </c>
      <c r="J10" s="116">
        <v>21</v>
      </c>
      <c r="K10" s="116">
        <v>18</v>
      </c>
      <c r="L10" s="116">
        <v>0</v>
      </c>
      <c r="M10" s="116">
        <v>3</v>
      </c>
      <c r="N10" s="116">
        <v>1</v>
      </c>
      <c r="O10" s="116">
        <v>0</v>
      </c>
    </row>
    <row r="11" spans="1:15">
      <c r="A11" s="116" t="s">
        <v>1504</v>
      </c>
      <c r="B11" s="116">
        <v>6</v>
      </c>
      <c r="C11" s="116">
        <v>0</v>
      </c>
      <c r="D11" s="116">
        <v>0</v>
      </c>
      <c r="E11" s="116">
        <v>6</v>
      </c>
      <c r="F11" s="116">
        <v>0</v>
      </c>
      <c r="G11" s="116">
        <v>0</v>
      </c>
      <c r="H11" s="116">
        <v>0</v>
      </c>
      <c r="I11" s="116">
        <v>0</v>
      </c>
      <c r="J11" s="116">
        <v>49</v>
      </c>
      <c r="K11" s="116">
        <v>1</v>
      </c>
      <c r="L11" s="116">
        <v>0</v>
      </c>
      <c r="M11" s="116">
        <v>21</v>
      </c>
      <c r="N11" s="116">
        <v>0</v>
      </c>
      <c r="O11" s="116">
        <v>0</v>
      </c>
    </row>
    <row r="12" spans="1:15">
      <c r="A12" s="116" t="s">
        <v>1505</v>
      </c>
      <c r="B12" s="116">
        <v>4</v>
      </c>
      <c r="C12" s="116">
        <v>0</v>
      </c>
      <c r="D12" s="116">
        <v>1</v>
      </c>
      <c r="E12" s="116">
        <v>2</v>
      </c>
      <c r="F12" s="116">
        <v>0</v>
      </c>
      <c r="G12" s="116">
        <v>0</v>
      </c>
      <c r="H12" s="116">
        <v>0</v>
      </c>
      <c r="I12" s="116">
        <v>1</v>
      </c>
      <c r="J12" s="116">
        <v>13</v>
      </c>
      <c r="K12" s="116">
        <v>13</v>
      </c>
      <c r="L12" s="116">
        <v>0</v>
      </c>
      <c r="M12" s="116">
        <v>10</v>
      </c>
      <c r="N12" s="116">
        <v>2</v>
      </c>
      <c r="O12" s="116">
        <v>0</v>
      </c>
    </row>
    <row r="13" spans="1:15">
      <c r="A13" s="116" t="s">
        <v>1506</v>
      </c>
      <c r="B13" s="116">
        <v>3</v>
      </c>
      <c r="C13" s="116">
        <v>0</v>
      </c>
      <c r="D13" s="116">
        <v>0</v>
      </c>
      <c r="E13" s="116">
        <v>2</v>
      </c>
      <c r="F13" s="116">
        <v>0</v>
      </c>
      <c r="G13" s="116">
        <v>0</v>
      </c>
      <c r="H13" s="116">
        <v>0</v>
      </c>
      <c r="I13" s="116">
        <v>0</v>
      </c>
      <c r="J13" s="116">
        <v>19</v>
      </c>
      <c r="K13" s="116">
        <v>9</v>
      </c>
      <c r="L13" s="116">
        <v>0</v>
      </c>
      <c r="M13" s="116">
        <v>5</v>
      </c>
      <c r="N13" s="116">
        <v>1</v>
      </c>
      <c r="O13" s="116">
        <v>0</v>
      </c>
    </row>
    <row r="14" spans="1:15">
      <c r="A14" s="116" t="s">
        <v>1507</v>
      </c>
      <c r="B14" s="116">
        <v>7</v>
      </c>
      <c r="C14" s="116">
        <v>0</v>
      </c>
      <c r="D14" s="116">
        <v>1</v>
      </c>
      <c r="E14" s="116">
        <v>4</v>
      </c>
      <c r="F14" s="116">
        <v>0</v>
      </c>
      <c r="G14" s="116">
        <v>0</v>
      </c>
      <c r="H14" s="116">
        <v>1</v>
      </c>
      <c r="I14" s="116">
        <v>0</v>
      </c>
      <c r="J14" s="116">
        <v>38</v>
      </c>
      <c r="K14" s="116">
        <v>21</v>
      </c>
      <c r="L14" s="116">
        <v>0</v>
      </c>
      <c r="M14" s="116">
        <v>19</v>
      </c>
      <c r="N14" s="116">
        <v>2</v>
      </c>
      <c r="O14" s="116">
        <v>0</v>
      </c>
    </row>
    <row r="15" spans="1:15">
      <c r="A15" s="116" t="s">
        <v>1508</v>
      </c>
      <c r="B15" s="116">
        <v>1</v>
      </c>
      <c r="C15" s="116">
        <v>0</v>
      </c>
      <c r="D15" s="116">
        <v>0</v>
      </c>
      <c r="E15" s="116">
        <v>1</v>
      </c>
      <c r="F15" s="116">
        <v>0</v>
      </c>
      <c r="G15" s="116">
        <v>0</v>
      </c>
      <c r="H15" s="116">
        <v>0</v>
      </c>
      <c r="I15" s="116">
        <v>0</v>
      </c>
      <c r="J15" s="116">
        <v>3</v>
      </c>
      <c r="K15" s="116">
        <v>6</v>
      </c>
      <c r="L15" s="116">
        <v>0</v>
      </c>
      <c r="M15" s="116">
        <v>0</v>
      </c>
      <c r="N15" s="116">
        <v>0</v>
      </c>
      <c r="O15" s="116">
        <v>0</v>
      </c>
    </row>
    <row r="16" spans="1:15">
      <c r="A16" s="116" t="s">
        <v>1509</v>
      </c>
      <c r="B16" s="116">
        <v>2</v>
      </c>
      <c r="C16" s="116">
        <v>0</v>
      </c>
      <c r="D16" s="116">
        <v>0</v>
      </c>
      <c r="E16" s="116">
        <v>2</v>
      </c>
      <c r="F16" s="116">
        <v>0</v>
      </c>
      <c r="G16" s="116">
        <v>0</v>
      </c>
      <c r="H16" s="116">
        <v>0</v>
      </c>
      <c r="I16" s="116">
        <v>0</v>
      </c>
      <c r="J16" s="116">
        <v>42</v>
      </c>
      <c r="K16" s="116">
        <v>30</v>
      </c>
      <c r="L16" s="116">
        <v>0</v>
      </c>
      <c r="M16" s="116">
        <v>5</v>
      </c>
      <c r="N16" s="116">
        <v>0</v>
      </c>
      <c r="O16" s="116">
        <v>0</v>
      </c>
    </row>
    <row r="17" spans="1:15">
      <c r="A17" s="116" t="s">
        <v>1510</v>
      </c>
      <c r="B17" s="116">
        <v>3</v>
      </c>
      <c r="C17" s="116">
        <v>0</v>
      </c>
      <c r="D17" s="116">
        <v>2</v>
      </c>
      <c r="E17" s="116">
        <v>1</v>
      </c>
      <c r="F17" s="116">
        <v>0</v>
      </c>
      <c r="G17" s="116">
        <v>0</v>
      </c>
      <c r="H17" s="116">
        <v>0</v>
      </c>
      <c r="I17" s="116">
        <v>0</v>
      </c>
      <c r="J17" s="116">
        <v>10</v>
      </c>
      <c r="K17" s="116">
        <v>21</v>
      </c>
      <c r="L17" s="116">
        <v>0</v>
      </c>
      <c r="M17" s="116">
        <v>4</v>
      </c>
      <c r="N17" s="116">
        <v>0</v>
      </c>
      <c r="O17" s="116">
        <v>0</v>
      </c>
    </row>
    <row r="18" spans="1:15">
      <c r="A18" s="116" t="s">
        <v>1511</v>
      </c>
      <c r="B18" s="116">
        <v>0</v>
      </c>
      <c r="C18" s="116">
        <v>0</v>
      </c>
      <c r="D18" s="116">
        <v>0</v>
      </c>
      <c r="E18" s="116">
        <v>0</v>
      </c>
      <c r="F18" s="116">
        <v>0</v>
      </c>
      <c r="G18" s="116">
        <v>0</v>
      </c>
      <c r="H18" s="116">
        <v>0</v>
      </c>
      <c r="I18" s="116">
        <v>0</v>
      </c>
      <c r="J18" s="116">
        <v>11</v>
      </c>
      <c r="K18" s="116">
        <v>10</v>
      </c>
      <c r="L18" s="116">
        <v>0</v>
      </c>
      <c r="M18" s="116">
        <v>4</v>
      </c>
      <c r="N18" s="116">
        <v>0</v>
      </c>
      <c r="O18" s="116">
        <v>0</v>
      </c>
    </row>
    <row r="19" spans="1:15">
      <c r="A19" s="116" t="s">
        <v>425</v>
      </c>
      <c r="B19" s="116">
        <v>9</v>
      </c>
      <c r="C19" s="116">
        <v>0</v>
      </c>
      <c r="D19" s="116">
        <v>1</v>
      </c>
      <c r="E19" s="116">
        <v>6</v>
      </c>
      <c r="F19" s="116">
        <v>0</v>
      </c>
      <c r="G19" s="116">
        <v>0</v>
      </c>
      <c r="H19" s="116">
        <v>1</v>
      </c>
      <c r="I19" s="116">
        <v>1</v>
      </c>
      <c r="J19" s="116">
        <v>55</v>
      </c>
      <c r="K19" s="116">
        <v>11</v>
      </c>
      <c r="L19" s="116">
        <v>0</v>
      </c>
      <c r="M19" s="116">
        <v>35</v>
      </c>
      <c r="N19" s="116">
        <v>1</v>
      </c>
      <c r="O19" s="116">
        <v>0</v>
      </c>
    </row>
    <row r="20" spans="1:15">
      <c r="A20" s="116" t="s">
        <v>419</v>
      </c>
      <c r="B20" s="116">
        <v>13</v>
      </c>
      <c r="C20" s="116">
        <v>0</v>
      </c>
      <c r="D20" s="116">
        <v>1</v>
      </c>
      <c r="E20" s="116">
        <v>12</v>
      </c>
      <c r="F20" s="116">
        <v>0</v>
      </c>
      <c r="G20" s="116">
        <v>0</v>
      </c>
      <c r="H20" s="116">
        <v>0</v>
      </c>
      <c r="I20" s="116">
        <v>0</v>
      </c>
      <c r="J20" s="116">
        <v>68</v>
      </c>
      <c r="K20" s="116">
        <v>8</v>
      </c>
      <c r="L20" s="116">
        <v>0</v>
      </c>
      <c r="M20" s="116">
        <v>25</v>
      </c>
      <c r="N20" s="116">
        <v>2</v>
      </c>
      <c r="O20" s="116">
        <v>0</v>
      </c>
    </row>
    <row r="21" spans="1:15">
      <c r="A21" s="116" t="s">
        <v>1526</v>
      </c>
      <c r="B21" s="116">
        <v>153</v>
      </c>
      <c r="C21" s="116">
        <v>36</v>
      </c>
      <c r="D21" s="116">
        <v>57</v>
      </c>
      <c r="E21" s="116">
        <v>24</v>
      </c>
      <c r="F21" s="116">
        <v>0</v>
      </c>
      <c r="G21" s="116">
        <v>0</v>
      </c>
      <c r="H21" s="116">
        <v>16</v>
      </c>
      <c r="I21" s="116">
        <v>13</v>
      </c>
      <c r="J21" s="116">
        <v>709</v>
      </c>
      <c r="K21" s="116">
        <v>205</v>
      </c>
      <c r="L21" s="116">
        <v>0</v>
      </c>
      <c r="M21" s="116">
        <v>420</v>
      </c>
      <c r="N21" s="116">
        <v>3</v>
      </c>
      <c r="O21" s="116">
        <v>0</v>
      </c>
    </row>
    <row r="22" spans="1:15">
      <c r="A22" s="116"/>
      <c r="B22" s="116"/>
      <c r="C22" s="116"/>
      <c r="D22" s="116"/>
      <c r="E22" s="116"/>
      <c r="F22" s="116"/>
      <c r="G22" s="116"/>
      <c r="H22" s="116"/>
      <c r="I22" s="116"/>
      <c r="J22" s="116"/>
      <c r="K22" s="116"/>
      <c r="L22" s="116"/>
      <c r="M22" s="116"/>
      <c r="N22" s="116"/>
      <c r="O22" s="116"/>
    </row>
    <row r="23" spans="1:15">
      <c r="A23" s="517"/>
      <c r="B23" s="517"/>
      <c r="C23" s="517"/>
      <c r="D23" s="517"/>
      <c r="E23" s="517"/>
      <c r="F23" s="517"/>
      <c r="G23" s="517"/>
      <c r="H23" s="517"/>
      <c r="I23" s="517"/>
      <c r="J23" s="517"/>
      <c r="K23" s="517"/>
      <c r="L23" s="517"/>
      <c r="M23" s="517"/>
      <c r="N23" s="517"/>
      <c r="O23" s="517"/>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82DDD-F7D7-4222-AAEF-A69DE2029F37}">
  <sheetPr codeName="Sheet10">
    <tabColor theme="4" tint="0.59999389629810485"/>
  </sheetPr>
  <dimension ref="A1:K18"/>
  <sheetViews>
    <sheetView zoomScale="88" workbookViewId="0">
      <selection sqref="A1:J15"/>
    </sheetView>
  </sheetViews>
  <sheetFormatPr defaultRowHeight="14.5"/>
  <cols>
    <col min="1" max="1" width="9.453125" bestFit="1" customWidth="1"/>
    <col min="2" max="2" width="23" bestFit="1" customWidth="1"/>
    <col min="3" max="3" width="34" bestFit="1" customWidth="1"/>
    <col min="4" max="4" width="31" bestFit="1" customWidth="1"/>
    <col min="5" max="5" width="19.453125" bestFit="1" customWidth="1"/>
    <col min="6" max="6" width="21.81640625" bestFit="1" customWidth="1"/>
    <col min="7" max="7" width="32.7265625" bestFit="1" customWidth="1"/>
    <col min="8" max="8" width="17.7265625" bestFit="1" customWidth="1"/>
    <col min="9" max="9" width="28.54296875" bestFit="1" customWidth="1"/>
    <col min="10" max="10" width="16.453125" bestFit="1" customWidth="1"/>
  </cols>
  <sheetData>
    <row r="1" spans="1:11">
      <c r="A1" s="116" t="s">
        <v>1466</v>
      </c>
      <c r="B1" s="116" t="s">
        <v>1527</v>
      </c>
      <c r="C1" s="116" t="s">
        <v>1528</v>
      </c>
      <c r="D1" s="116" t="s">
        <v>1529</v>
      </c>
      <c r="E1" s="116" t="s">
        <v>1530</v>
      </c>
      <c r="F1" s="116" t="s">
        <v>1531</v>
      </c>
      <c r="G1" s="116" t="s">
        <v>1532</v>
      </c>
      <c r="H1" s="116" t="s">
        <v>1533</v>
      </c>
      <c r="I1" s="116" t="s">
        <v>1534</v>
      </c>
      <c r="J1" s="116" t="s">
        <v>1535</v>
      </c>
      <c r="K1" s="517"/>
    </row>
    <row r="2" spans="1:11">
      <c r="A2" s="116" t="s">
        <v>1493</v>
      </c>
      <c r="B2" s="116">
        <v>1</v>
      </c>
      <c r="C2" s="116">
        <v>0</v>
      </c>
      <c r="D2" s="116">
        <v>0</v>
      </c>
      <c r="E2" s="116">
        <v>0</v>
      </c>
      <c r="F2" s="116">
        <v>1</v>
      </c>
      <c r="G2" s="116">
        <v>1</v>
      </c>
      <c r="H2" s="116">
        <v>0</v>
      </c>
      <c r="I2" s="116">
        <v>0</v>
      </c>
      <c r="J2" s="116">
        <v>0</v>
      </c>
      <c r="K2" s="116"/>
    </row>
    <row r="3" spans="1:11">
      <c r="A3" s="116" t="s">
        <v>1496</v>
      </c>
      <c r="B3" s="116">
        <v>5</v>
      </c>
      <c r="C3" s="116">
        <v>1</v>
      </c>
      <c r="D3" s="116">
        <v>0</v>
      </c>
      <c r="E3" s="116">
        <v>1</v>
      </c>
      <c r="F3" s="116">
        <v>1</v>
      </c>
      <c r="G3" s="116">
        <v>0</v>
      </c>
      <c r="H3" s="116">
        <v>1</v>
      </c>
      <c r="I3" s="116">
        <v>0</v>
      </c>
      <c r="J3" s="116">
        <v>1</v>
      </c>
      <c r="K3" s="116"/>
    </row>
    <row r="4" spans="1:11">
      <c r="A4" s="116" t="s">
        <v>1497</v>
      </c>
      <c r="B4" s="116">
        <v>0</v>
      </c>
      <c r="C4" s="116">
        <v>0</v>
      </c>
      <c r="D4" s="116">
        <v>0</v>
      </c>
      <c r="E4" s="116">
        <v>0</v>
      </c>
      <c r="F4" s="116">
        <v>1</v>
      </c>
      <c r="G4" s="116">
        <v>0</v>
      </c>
      <c r="H4" s="116">
        <v>1</v>
      </c>
      <c r="I4" s="116">
        <v>0</v>
      </c>
      <c r="J4" s="116">
        <v>1</v>
      </c>
      <c r="K4" s="116"/>
    </row>
    <row r="5" spans="1:11">
      <c r="A5" s="116" t="s">
        <v>1499</v>
      </c>
      <c r="B5" s="116">
        <v>2</v>
      </c>
      <c r="C5" s="116">
        <v>1</v>
      </c>
      <c r="D5" s="116">
        <v>0</v>
      </c>
      <c r="E5" s="116">
        <v>0</v>
      </c>
      <c r="F5" s="116">
        <v>0</v>
      </c>
      <c r="G5" s="116">
        <v>0</v>
      </c>
      <c r="H5" s="116">
        <v>0</v>
      </c>
      <c r="I5" s="116">
        <v>0</v>
      </c>
      <c r="J5" s="116">
        <v>0</v>
      </c>
      <c r="K5" s="116"/>
    </row>
    <row r="6" spans="1:11">
      <c r="A6" s="116" t="s">
        <v>1502</v>
      </c>
      <c r="B6" s="116">
        <v>2</v>
      </c>
      <c r="C6" s="116">
        <v>0</v>
      </c>
      <c r="D6" s="116">
        <v>0</v>
      </c>
      <c r="E6" s="116">
        <v>0</v>
      </c>
      <c r="F6" s="116">
        <v>0</v>
      </c>
      <c r="G6" s="116">
        <v>0</v>
      </c>
      <c r="H6" s="116">
        <v>0</v>
      </c>
      <c r="I6" s="116">
        <v>0</v>
      </c>
      <c r="J6" s="116">
        <v>0</v>
      </c>
      <c r="K6" s="116"/>
    </row>
    <row r="7" spans="1:11">
      <c r="A7" s="116" t="s">
        <v>1505</v>
      </c>
      <c r="B7" s="116">
        <v>2</v>
      </c>
      <c r="C7" s="116">
        <v>0</v>
      </c>
      <c r="D7" s="116">
        <v>0</v>
      </c>
      <c r="E7" s="116">
        <v>0</v>
      </c>
      <c r="F7" s="116">
        <v>0</v>
      </c>
      <c r="G7" s="116">
        <v>0</v>
      </c>
      <c r="H7" s="116">
        <v>0</v>
      </c>
      <c r="I7" s="116">
        <v>0</v>
      </c>
      <c r="J7" s="116">
        <v>0</v>
      </c>
      <c r="K7" s="116"/>
    </row>
    <row r="8" spans="1:11">
      <c r="A8" s="116" t="s">
        <v>1506</v>
      </c>
      <c r="B8" s="116">
        <v>1</v>
      </c>
      <c r="C8" s="116">
        <v>0</v>
      </c>
      <c r="D8" s="116">
        <v>0</v>
      </c>
      <c r="E8" s="116">
        <v>0</v>
      </c>
      <c r="F8" s="116">
        <v>0</v>
      </c>
      <c r="G8" s="116">
        <v>0</v>
      </c>
      <c r="H8" s="116">
        <v>0</v>
      </c>
      <c r="I8" s="116">
        <v>0</v>
      </c>
      <c r="J8" s="116">
        <v>0</v>
      </c>
      <c r="K8" s="116"/>
    </row>
    <row r="9" spans="1:11">
      <c r="A9" s="116" t="s">
        <v>1507</v>
      </c>
      <c r="B9" s="116">
        <v>2</v>
      </c>
      <c r="C9" s="116">
        <v>1</v>
      </c>
      <c r="D9" s="116">
        <v>0</v>
      </c>
      <c r="E9" s="116">
        <v>0</v>
      </c>
      <c r="F9" s="116">
        <v>0</v>
      </c>
      <c r="G9" s="116">
        <v>1</v>
      </c>
      <c r="H9" s="116">
        <v>1</v>
      </c>
      <c r="I9" s="116">
        <v>0</v>
      </c>
      <c r="J9" s="116">
        <v>1</v>
      </c>
      <c r="K9" s="116"/>
    </row>
    <row r="10" spans="1:11">
      <c r="A10" s="116" t="s">
        <v>1508</v>
      </c>
      <c r="B10" s="116">
        <v>0</v>
      </c>
      <c r="C10" s="116">
        <v>0</v>
      </c>
      <c r="D10" s="116">
        <v>0</v>
      </c>
      <c r="E10" s="116">
        <v>0</v>
      </c>
      <c r="F10" s="116">
        <v>0</v>
      </c>
      <c r="G10" s="116">
        <v>0</v>
      </c>
      <c r="H10" s="116">
        <v>1</v>
      </c>
      <c r="I10" s="116">
        <v>0</v>
      </c>
      <c r="J10" s="116">
        <v>1</v>
      </c>
      <c r="K10" s="116"/>
    </row>
    <row r="11" spans="1:11">
      <c r="A11" s="116" t="s">
        <v>1509</v>
      </c>
      <c r="B11" s="116">
        <v>0</v>
      </c>
      <c r="C11" s="116">
        <v>1</v>
      </c>
      <c r="D11" s="116">
        <v>0</v>
      </c>
      <c r="E11" s="116">
        <v>0</v>
      </c>
      <c r="F11" s="116">
        <v>4</v>
      </c>
      <c r="G11" s="116">
        <v>0</v>
      </c>
      <c r="H11" s="116">
        <v>3</v>
      </c>
      <c r="I11" s="116">
        <v>0</v>
      </c>
      <c r="J11" s="116">
        <v>2</v>
      </c>
      <c r="K11" s="116"/>
    </row>
    <row r="12" spans="1:11">
      <c r="A12" s="116" t="s">
        <v>1510</v>
      </c>
      <c r="B12" s="116">
        <v>2</v>
      </c>
      <c r="C12" s="116">
        <v>2</v>
      </c>
      <c r="D12" s="116">
        <v>0</v>
      </c>
      <c r="E12" s="116">
        <v>0</v>
      </c>
      <c r="F12" s="116">
        <v>0</v>
      </c>
      <c r="G12" s="116">
        <v>0</v>
      </c>
      <c r="H12" s="116">
        <v>0</v>
      </c>
      <c r="I12" s="116">
        <v>0</v>
      </c>
      <c r="J12" s="116">
        <v>0</v>
      </c>
      <c r="K12" s="116"/>
    </row>
    <row r="13" spans="1:11">
      <c r="A13" s="116" t="s">
        <v>1511</v>
      </c>
      <c r="B13" s="116">
        <v>1</v>
      </c>
      <c r="C13" s="116">
        <v>0</v>
      </c>
      <c r="D13" s="116">
        <v>0</v>
      </c>
      <c r="E13" s="116">
        <v>1</v>
      </c>
      <c r="F13" s="116">
        <v>0</v>
      </c>
      <c r="G13" s="116">
        <v>0</v>
      </c>
      <c r="H13" s="116">
        <v>0</v>
      </c>
      <c r="I13" s="116">
        <v>0</v>
      </c>
      <c r="J13" s="116">
        <v>0</v>
      </c>
      <c r="K13" s="116"/>
    </row>
    <row r="14" spans="1:11">
      <c r="A14" s="116" t="s">
        <v>425</v>
      </c>
      <c r="B14" s="116">
        <v>1</v>
      </c>
      <c r="C14" s="116">
        <v>0</v>
      </c>
      <c r="D14" s="116">
        <v>1</v>
      </c>
      <c r="E14" s="116">
        <v>0</v>
      </c>
      <c r="F14" s="116">
        <v>0</v>
      </c>
      <c r="G14" s="116">
        <v>0</v>
      </c>
      <c r="H14" s="116">
        <v>0</v>
      </c>
      <c r="I14" s="116">
        <v>0</v>
      </c>
      <c r="J14" s="116">
        <v>0</v>
      </c>
      <c r="K14" s="116"/>
    </row>
    <row r="15" spans="1:11">
      <c r="A15" s="116" t="s">
        <v>419</v>
      </c>
      <c r="B15" s="116">
        <v>1</v>
      </c>
      <c r="C15" s="116">
        <v>0</v>
      </c>
      <c r="D15" s="116">
        <v>0</v>
      </c>
      <c r="E15" s="116">
        <v>0</v>
      </c>
      <c r="F15" s="116">
        <v>0</v>
      </c>
      <c r="G15" s="116">
        <v>0</v>
      </c>
      <c r="H15" s="116">
        <v>0</v>
      </c>
      <c r="I15" s="116">
        <v>0</v>
      </c>
      <c r="J15" s="116">
        <v>0</v>
      </c>
    </row>
    <row r="16" spans="1:11">
      <c r="A16" s="517"/>
      <c r="B16" s="517"/>
      <c r="C16" s="517"/>
      <c r="D16" s="517"/>
      <c r="E16" s="517"/>
      <c r="F16" s="517"/>
      <c r="G16" s="517"/>
      <c r="H16" s="517"/>
      <c r="I16" s="517"/>
      <c r="J16" s="517"/>
    </row>
    <row r="17" spans="1:10">
      <c r="A17" s="517"/>
      <c r="B17" s="517"/>
      <c r="C17" s="517"/>
      <c r="D17" s="517"/>
      <c r="E17" s="517"/>
      <c r="F17" s="517"/>
      <c r="G17" s="517"/>
      <c r="H17" s="517"/>
      <c r="I17" s="517"/>
      <c r="J17" s="517"/>
    </row>
    <row r="18" spans="1:10">
      <c r="A18" s="116"/>
      <c r="B18" s="116"/>
      <c r="C18" s="116"/>
      <c r="D18" s="116"/>
      <c r="E18" s="116"/>
      <c r="F18" s="116"/>
      <c r="G18" s="116"/>
      <c r="H18" s="116"/>
      <c r="I18" s="116"/>
      <c r="J18" s="11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89C11-297E-4C40-A0EF-A70C877562C2}">
  <sheetPr codeName="Sheet11">
    <tabColor rgb="FFC00000"/>
  </sheetPr>
  <dimension ref="A1:K16"/>
  <sheetViews>
    <sheetView workbookViewId="0">
      <selection activeCell="A4" sqref="A4"/>
    </sheetView>
  </sheetViews>
  <sheetFormatPr defaultRowHeight="14.5"/>
  <cols>
    <col min="2" max="2" width="13.54296875" customWidth="1"/>
    <col min="3" max="10" width="24.1796875" customWidth="1"/>
    <col min="11" max="11" width="8.7265625" style="473"/>
  </cols>
  <sheetData>
    <row r="1" spans="1:10">
      <c r="A1" s="517" t="s">
        <v>1536</v>
      </c>
      <c r="B1" s="517" t="s">
        <v>1254</v>
      </c>
      <c r="C1" s="517" t="s">
        <v>1537</v>
      </c>
      <c r="D1" s="517" t="s">
        <v>1538</v>
      </c>
      <c r="E1" s="517" t="s">
        <v>365</v>
      </c>
      <c r="F1" s="517" t="s">
        <v>622</v>
      </c>
      <c r="G1" s="517" t="s">
        <v>1539</v>
      </c>
      <c r="H1" s="517" t="s">
        <v>1540</v>
      </c>
      <c r="I1" s="517" t="s">
        <v>618</v>
      </c>
      <c r="J1" s="517" t="s">
        <v>1450</v>
      </c>
    </row>
    <row r="2" spans="1:10">
      <c r="A2" s="517" t="s">
        <v>953</v>
      </c>
      <c r="B2" s="956">
        <v>46054</v>
      </c>
      <c r="C2" s="517">
        <v>63</v>
      </c>
      <c r="D2" s="517">
        <v>6</v>
      </c>
      <c r="E2" s="517">
        <v>10</v>
      </c>
      <c r="F2" s="517">
        <v>34</v>
      </c>
      <c r="G2" s="517">
        <v>0</v>
      </c>
      <c r="H2" s="517">
        <v>0</v>
      </c>
      <c r="I2" s="517">
        <v>0</v>
      </c>
      <c r="J2" s="517">
        <v>13</v>
      </c>
    </row>
    <row r="3" spans="1:10">
      <c r="A3" s="116" t="s">
        <v>953</v>
      </c>
      <c r="B3" s="118">
        <v>46082</v>
      </c>
      <c r="C3" s="517">
        <v>58</v>
      </c>
      <c r="D3" s="517">
        <v>6</v>
      </c>
      <c r="E3" s="517">
        <v>14</v>
      </c>
      <c r="F3" s="517">
        <v>38</v>
      </c>
      <c r="G3" s="517">
        <v>0</v>
      </c>
      <c r="H3" s="517">
        <v>0</v>
      </c>
      <c r="I3" s="517">
        <v>0</v>
      </c>
      <c r="J3" s="517">
        <v>0</v>
      </c>
    </row>
    <row r="4" spans="1:10">
      <c r="A4" s="116" t="s">
        <v>953</v>
      </c>
      <c r="B4" s="118">
        <v>46113</v>
      </c>
      <c r="C4" s="116">
        <v>124</v>
      </c>
      <c r="D4" s="116">
        <v>8</v>
      </c>
      <c r="E4" s="116">
        <v>17</v>
      </c>
      <c r="F4" s="116">
        <v>31</v>
      </c>
      <c r="G4" s="116">
        <v>0</v>
      </c>
      <c r="H4" s="116">
        <v>2</v>
      </c>
      <c r="I4" s="116">
        <v>2</v>
      </c>
      <c r="J4" s="116">
        <v>64</v>
      </c>
    </row>
    <row r="5" spans="1:10">
      <c r="A5" s="116" t="s">
        <v>953</v>
      </c>
      <c r="B5" s="118">
        <v>46143</v>
      </c>
      <c r="C5" s="116">
        <v>56</v>
      </c>
      <c r="D5" s="116">
        <v>6</v>
      </c>
      <c r="E5" s="116">
        <v>11</v>
      </c>
      <c r="F5" s="116">
        <v>22</v>
      </c>
      <c r="G5" s="116">
        <v>0</v>
      </c>
      <c r="H5" s="116">
        <v>1</v>
      </c>
      <c r="I5" s="116">
        <v>16</v>
      </c>
      <c r="J5" s="116">
        <v>0</v>
      </c>
    </row>
    <row r="6" spans="1:10">
      <c r="A6" s="116" t="s">
        <v>953</v>
      </c>
      <c r="B6" s="118">
        <v>46174</v>
      </c>
      <c r="C6" s="116">
        <v>55</v>
      </c>
      <c r="D6" s="116">
        <v>12</v>
      </c>
      <c r="E6" s="116">
        <v>7</v>
      </c>
      <c r="F6" s="116">
        <v>16</v>
      </c>
      <c r="G6" s="116">
        <v>0</v>
      </c>
      <c r="H6" s="116">
        <v>0</v>
      </c>
      <c r="I6" s="116">
        <v>20</v>
      </c>
      <c r="J6" s="116">
        <v>0</v>
      </c>
    </row>
    <row r="7" spans="1:10">
      <c r="A7" s="116" t="s">
        <v>953</v>
      </c>
      <c r="B7" s="118">
        <v>46204</v>
      </c>
      <c r="C7" s="116">
        <v>73</v>
      </c>
      <c r="D7" s="116">
        <v>7</v>
      </c>
      <c r="E7" s="116">
        <v>10</v>
      </c>
      <c r="F7" s="116">
        <v>0</v>
      </c>
      <c r="G7" s="116">
        <v>0</v>
      </c>
      <c r="H7" s="116">
        <v>0</v>
      </c>
      <c r="I7" s="116">
        <v>56</v>
      </c>
      <c r="J7" s="116">
        <v>0</v>
      </c>
    </row>
    <row r="8" spans="1:10">
      <c r="A8" s="116" t="s">
        <v>953</v>
      </c>
      <c r="B8" s="118">
        <v>46235</v>
      </c>
      <c r="C8" s="116">
        <v>51</v>
      </c>
      <c r="D8" s="116">
        <v>2</v>
      </c>
      <c r="E8" s="116">
        <v>1</v>
      </c>
      <c r="F8" s="116">
        <v>0</v>
      </c>
      <c r="G8" s="116">
        <v>0</v>
      </c>
      <c r="H8" s="116">
        <v>0</v>
      </c>
      <c r="I8" s="116">
        <v>48</v>
      </c>
      <c r="J8" s="116">
        <v>0</v>
      </c>
    </row>
    <row r="9" spans="1:10">
      <c r="A9" s="116" t="s">
        <v>953</v>
      </c>
      <c r="B9" s="118">
        <v>46266</v>
      </c>
      <c r="C9" s="116">
        <v>53</v>
      </c>
      <c r="D9" s="116">
        <v>6</v>
      </c>
      <c r="E9" s="116">
        <v>1</v>
      </c>
      <c r="F9" s="116">
        <v>0</v>
      </c>
      <c r="G9" s="116">
        <v>0</v>
      </c>
      <c r="H9" s="116">
        <v>0</v>
      </c>
      <c r="I9" s="116">
        <v>46</v>
      </c>
      <c r="J9" s="116">
        <v>0</v>
      </c>
    </row>
    <row r="10" spans="1:10">
      <c r="A10" s="116" t="s">
        <v>953</v>
      </c>
      <c r="B10" s="118">
        <v>46296</v>
      </c>
      <c r="C10" s="116">
        <v>39</v>
      </c>
      <c r="D10" s="116">
        <v>2</v>
      </c>
      <c r="E10" s="116">
        <v>0</v>
      </c>
      <c r="F10" s="116">
        <v>0</v>
      </c>
      <c r="G10" s="116">
        <v>0</v>
      </c>
      <c r="H10" s="116">
        <v>0</v>
      </c>
      <c r="I10" s="116">
        <v>37</v>
      </c>
      <c r="J10" s="116">
        <v>0</v>
      </c>
    </row>
    <row r="11" spans="1:10">
      <c r="A11" s="116" t="s">
        <v>953</v>
      </c>
      <c r="B11" s="118">
        <v>46327</v>
      </c>
      <c r="C11" s="116">
        <v>44</v>
      </c>
      <c r="D11" s="116">
        <v>2</v>
      </c>
      <c r="E11" s="116">
        <v>1</v>
      </c>
      <c r="F11" s="116">
        <v>0</v>
      </c>
      <c r="G11" s="116">
        <v>0</v>
      </c>
      <c r="H11" s="116">
        <v>0</v>
      </c>
      <c r="I11" s="116">
        <v>41</v>
      </c>
      <c r="J11" s="116">
        <v>0</v>
      </c>
    </row>
    <row r="12" spans="1:10">
      <c r="A12" s="116" t="s">
        <v>953</v>
      </c>
      <c r="B12" s="118">
        <v>46357</v>
      </c>
      <c r="C12" s="116">
        <v>17</v>
      </c>
      <c r="D12" s="116">
        <v>0</v>
      </c>
      <c r="E12" s="116">
        <v>1</v>
      </c>
      <c r="F12" s="116">
        <v>0</v>
      </c>
      <c r="G12" s="116">
        <v>0</v>
      </c>
      <c r="H12" s="116">
        <v>0</v>
      </c>
      <c r="I12" s="116">
        <v>16</v>
      </c>
      <c r="J12" s="116">
        <v>0</v>
      </c>
    </row>
    <row r="13" spans="1:10">
      <c r="A13" s="116" t="s">
        <v>953</v>
      </c>
      <c r="B13" s="118">
        <v>46388</v>
      </c>
      <c r="C13" s="116">
        <v>17</v>
      </c>
      <c r="D13" s="116">
        <v>1</v>
      </c>
      <c r="E13" s="116">
        <v>0</v>
      </c>
      <c r="F13" s="116">
        <v>0</v>
      </c>
      <c r="G13" s="116">
        <v>0</v>
      </c>
      <c r="H13" s="116">
        <v>1</v>
      </c>
      <c r="I13" s="116">
        <v>15</v>
      </c>
      <c r="J13" s="116">
        <v>0</v>
      </c>
    </row>
    <row r="14" spans="1:10">
      <c r="A14" s="116" t="s">
        <v>953</v>
      </c>
      <c r="B14" s="118">
        <v>46419</v>
      </c>
      <c r="C14" s="116">
        <v>60</v>
      </c>
      <c r="D14" s="116">
        <v>0</v>
      </c>
      <c r="E14" s="116">
        <v>0</v>
      </c>
      <c r="F14" s="116">
        <v>0</v>
      </c>
      <c r="G14" s="116">
        <v>0</v>
      </c>
      <c r="H14" s="116">
        <v>0</v>
      </c>
      <c r="I14" s="116">
        <v>60</v>
      </c>
      <c r="J14" s="116">
        <v>0</v>
      </c>
    </row>
    <row r="15" spans="1:10">
      <c r="A15" s="116" t="s">
        <v>953</v>
      </c>
      <c r="B15" s="956">
        <v>46447</v>
      </c>
      <c r="C15" s="116">
        <v>70</v>
      </c>
      <c r="D15" s="116">
        <v>0</v>
      </c>
      <c r="E15" s="116">
        <v>0</v>
      </c>
      <c r="F15" s="116">
        <v>0</v>
      </c>
      <c r="G15" s="116">
        <v>0</v>
      </c>
      <c r="H15" s="116">
        <v>0</v>
      </c>
      <c r="I15" s="116">
        <v>70</v>
      </c>
      <c r="J15" s="116">
        <v>0</v>
      </c>
    </row>
    <row r="16" spans="1:10">
      <c r="A16" s="116" t="s">
        <v>953</v>
      </c>
      <c r="B16" s="956">
        <v>46478</v>
      </c>
      <c r="C16" s="116">
        <v>56</v>
      </c>
      <c r="D16" s="116">
        <v>1</v>
      </c>
      <c r="E16" s="116">
        <v>0</v>
      </c>
      <c r="F16" s="116">
        <v>0</v>
      </c>
      <c r="G16" s="116">
        <v>0</v>
      </c>
      <c r="H16" s="116">
        <v>0</v>
      </c>
      <c r="I16" s="116">
        <v>55</v>
      </c>
      <c r="J16" s="116">
        <v>0</v>
      </c>
    </row>
  </sheetData>
  <autoFilter ref="A1:J1" xr:uid="{81F89C11-297E-4C40-A0EF-A70C877562C2}">
    <sortState xmlns:xlrd2="http://schemas.microsoft.com/office/spreadsheetml/2017/richdata2" ref="A2:J14">
      <sortCondition ref="B1"/>
    </sortState>
  </autoFilter>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E8AFA-5BAC-4BE7-B1E5-EE4D097A0695}">
  <sheetPr codeName="Sheet12">
    <tabColor theme="4" tint="0.59999389629810485"/>
  </sheetPr>
  <dimension ref="A1:J21"/>
  <sheetViews>
    <sheetView workbookViewId="0">
      <selection activeCell="C26" sqref="C26"/>
    </sheetView>
  </sheetViews>
  <sheetFormatPr defaultRowHeight="14.5"/>
  <cols>
    <col min="1" max="3" width="16.81640625" customWidth="1"/>
    <col min="4" max="4" width="22.54296875" bestFit="1" customWidth="1"/>
    <col min="5" max="11" width="16.81640625" customWidth="1"/>
  </cols>
  <sheetData>
    <row r="1" spans="1:10">
      <c r="A1" s="116" t="s">
        <v>1466</v>
      </c>
      <c r="B1" s="116" t="s">
        <v>1541</v>
      </c>
      <c r="C1" s="116" t="s">
        <v>1450</v>
      </c>
      <c r="D1" s="116" t="s">
        <v>1542</v>
      </c>
      <c r="E1" s="116" t="s">
        <v>1540</v>
      </c>
      <c r="F1" s="116" t="s">
        <v>1543</v>
      </c>
      <c r="G1" s="116" t="s">
        <v>1544</v>
      </c>
      <c r="H1" s="116" t="s">
        <v>489</v>
      </c>
      <c r="I1" s="116" t="s">
        <v>1545</v>
      </c>
      <c r="J1" s="116" t="s">
        <v>486</v>
      </c>
    </row>
    <row r="2" spans="1:10">
      <c r="A2" s="116" t="s">
        <v>1493</v>
      </c>
      <c r="B2" s="116">
        <v>1</v>
      </c>
      <c r="C2" s="116">
        <v>0</v>
      </c>
      <c r="D2" s="116">
        <v>0</v>
      </c>
      <c r="E2" s="116">
        <v>0</v>
      </c>
      <c r="F2" s="116">
        <v>0</v>
      </c>
      <c r="G2" s="116">
        <v>0</v>
      </c>
      <c r="H2" s="116">
        <v>0</v>
      </c>
      <c r="I2" s="116">
        <v>1</v>
      </c>
      <c r="J2" s="116">
        <v>0</v>
      </c>
    </row>
    <row r="3" spans="1:10">
      <c r="A3" s="116" t="s">
        <v>1494</v>
      </c>
      <c r="B3" s="116">
        <v>0</v>
      </c>
      <c r="C3" s="116">
        <v>0</v>
      </c>
      <c r="D3" s="116">
        <v>0</v>
      </c>
      <c r="E3" s="116">
        <v>0</v>
      </c>
      <c r="F3" s="116">
        <v>1</v>
      </c>
      <c r="G3" s="116">
        <v>1</v>
      </c>
      <c r="H3" s="116">
        <v>1</v>
      </c>
      <c r="I3" s="116">
        <v>2</v>
      </c>
      <c r="J3" s="116">
        <v>0</v>
      </c>
    </row>
    <row r="4" spans="1:10">
      <c r="A4" s="116" t="s">
        <v>1495</v>
      </c>
      <c r="B4" s="116">
        <v>1</v>
      </c>
      <c r="C4" s="116">
        <v>0</v>
      </c>
      <c r="D4" s="116">
        <v>2</v>
      </c>
      <c r="E4" s="116">
        <v>0</v>
      </c>
      <c r="F4" s="116">
        <v>1</v>
      </c>
      <c r="G4" s="116">
        <v>0</v>
      </c>
      <c r="H4" s="116">
        <v>0</v>
      </c>
      <c r="I4" s="116">
        <v>0</v>
      </c>
      <c r="J4" s="116">
        <v>0</v>
      </c>
    </row>
    <row r="5" spans="1:10">
      <c r="A5" s="116" t="s">
        <v>1496</v>
      </c>
      <c r="B5" s="116">
        <v>0</v>
      </c>
      <c r="C5" s="116">
        <v>0</v>
      </c>
      <c r="D5" s="116">
        <v>2</v>
      </c>
      <c r="E5" s="116">
        <v>0</v>
      </c>
      <c r="F5" s="116">
        <v>1</v>
      </c>
      <c r="G5" s="116">
        <v>0</v>
      </c>
      <c r="H5" s="116">
        <v>0</v>
      </c>
      <c r="I5" s="116">
        <v>1</v>
      </c>
      <c r="J5" s="116">
        <v>0</v>
      </c>
    </row>
    <row r="6" spans="1:10">
      <c r="A6" s="116" t="s">
        <v>1497</v>
      </c>
      <c r="B6" s="116">
        <v>1</v>
      </c>
      <c r="C6" s="116">
        <v>1</v>
      </c>
      <c r="D6" s="116">
        <v>0</v>
      </c>
      <c r="E6" s="116">
        <v>0</v>
      </c>
      <c r="F6" s="116">
        <v>3</v>
      </c>
      <c r="G6" s="116">
        <v>1</v>
      </c>
      <c r="H6" s="116">
        <v>0</v>
      </c>
      <c r="I6" s="116">
        <v>2</v>
      </c>
      <c r="J6" s="116">
        <v>0</v>
      </c>
    </row>
    <row r="7" spans="1:10">
      <c r="A7" s="116" t="s">
        <v>1498</v>
      </c>
      <c r="B7" s="116">
        <v>0</v>
      </c>
      <c r="C7" s="116">
        <v>0</v>
      </c>
      <c r="D7" s="116">
        <v>1</v>
      </c>
      <c r="E7" s="116">
        <v>0</v>
      </c>
      <c r="F7" s="116">
        <v>0</v>
      </c>
      <c r="G7" s="116">
        <v>0</v>
      </c>
      <c r="H7" s="116">
        <v>0</v>
      </c>
      <c r="I7" s="116">
        <v>0</v>
      </c>
      <c r="J7" s="116">
        <v>0</v>
      </c>
    </row>
    <row r="8" spans="1:10">
      <c r="A8" s="116" t="s">
        <v>1499</v>
      </c>
      <c r="B8" s="116">
        <v>0</v>
      </c>
      <c r="C8" s="116">
        <v>1</v>
      </c>
      <c r="D8" s="116">
        <v>0</v>
      </c>
      <c r="E8" s="116">
        <v>0</v>
      </c>
      <c r="F8" s="116">
        <v>2</v>
      </c>
      <c r="G8" s="116">
        <v>0</v>
      </c>
      <c r="H8" s="116">
        <v>0</v>
      </c>
      <c r="I8" s="116">
        <v>1</v>
      </c>
      <c r="J8" s="116">
        <v>0</v>
      </c>
    </row>
    <row r="9" spans="1:10">
      <c r="A9" s="116" t="s">
        <v>1502</v>
      </c>
      <c r="B9" s="116">
        <v>0</v>
      </c>
      <c r="C9" s="116">
        <v>0</v>
      </c>
      <c r="D9" s="116">
        <v>0</v>
      </c>
      <c r="E9" s="116">
        <v>0</v>
      </c>
      <c r="F9" s="116">
        <v>0</v>
      </c>
      <c r="G9" s="116">
        <v>0</v>
      </c>
      <c r="H9" s="116">
        <v>0</v>
      </c>
      <c r="I9" s="116">
        <v>1</v>
      </c>
      <c r="J9" s="116">
        <v>0</v>
      </c>
    </row>
    <row r="10" spans="1:10">
      <c r="A10" s="116" t="s">
        <v>1503</v>
      </c>
      <c r="B10" s="116">
        <v>0</v>
      </c>
      <c r="C10" s="116">
        <v>0</v>
      </c>
      <c r="D10" s="116">
        <v>1</v>
      </c>
      <c r="E10" s="116">
        <v>0</v>
      </c>
      <c r="F10" s="116">
        <v>0</v>
      </c>
      <c r="G10" s="116">
        <v>0</v>
      </c>
      <c r="H10" s="116">
        <v>0</v>
      </c>
      <c r="I10" s="116">
        <v>0</v>
      </c>
      <c r="J10" s="116">
        <v>0</v>
      </c>
    </row>
    <row r="11" spans="1:10">
      <c r="A11" s="116" t="s">
        <v>1504</v>
      </c>
      <c r="B11" s="116">
        <v>0</v>
      </c>
      <c r="C11" s="116">
        <v>0</v>
      </c>
      <c r="D11" s="116">
        <v>1</v>
      </c>
      <c r="E11" s="116">
        <v>0</v>
      </c>
      <c r="F11" s="116">
        <v>0</v>
      </c>
      <c r="G11" s="116">
        <v>0</v>
      </c>
      <c r="H11" s="116">
        <v>0</v>
      </c>
      <c r="I11" s="116">
        <v>0</v>
      </c>
      <c r="J11" s="116">
        <v>0</v>
      </c>
    </row>
    <row r="12" spans="1:10">
      <c r="A12" s="116" t="s">
        <v>1506</v>
      </c>
      <c r="B12" s="116">
        <v>0</v>
      </c>
      <c r="C12" s="116">
        <v>0</v>
      </c>
      <c r="D12" s="116">
        <v>4</v>
      </c>
      <c r="E12" s="116">
        <v>0</v>
      </c>
      <c r="F12" s="116">
        <v>1</v>
      </c>
      <c r="G12" s="116">
        <v>0</v>
      </c>
      <c r="H12" s="116">
        <v>0</v>
      </c>
      <c r="I12" s="116">
        <v>1</v>
      </c>
      <c r="J12" s="116">
        <v>0</v>
      </c>
    </row>
    <row r="13" spans="1:10">
      <c r="A13" s="116" t="s">
        <v>1507</v>
      </c>
      <c r="B13" s="116">
        <v>1</v>
      </c>
      <c r="C13" s="116">
        <v>0</v>
      </c>
      <c r="D13" s="116">
        <v>-1</v>
      </c>
      <c r="E13" s="116">
        <v>0</v>
      </c>
      <c r="F13" s="116">
        <v>1</v>
      </c>
      <c r="G13" s="116">
        <v>0</v>
      </c>
      <c r="H13" s="116">
        <v>0</v>
      </c>
      <c r="I13" s="116">
        <v>0</v>
      </c>
      <c r="J13" s="116">
        <v>0</v>
      </c>
    </row>
    <row r="14" spans="1:10">
      <c r="A14" s="116" t="s">
        <v>1508</v>
      </c>
      <c r="B14" s="116">
        <v>0</v>
      </c>
      <c r="C14" s="116">
        <v>0</v>
      </c>
      <c r="D14" s="116">
        <v>0</v>
      </c>
      <c r="E14" s="116">
        <v>0</v>
      </c>
      <c r="F14" s="116">
        <v>1</v>
      </c>
      <c r="G14" s="116">
        <v>1</v>
      </c>
      <c r="H14" s="116">
        <v>0</v>
      </c>
      <c r="I14" s="116">
        <v>2</v>
      </c>
      <c r="J14" s="116">
        <v>1</v>
      </c>
    </row>
    <row r="15" spans="1:10">
      <c r="A15" s="116" t="s">
        <v>1509</v>
      </c>
      <c r="B15" s="116">
        <v>1</v>
      </c>
      <c r="C15" s="116">
        <v>0</v>
      </c>
      <c r="D15" s="116">
        <v>0</v>
      </c>
      <c r="E15" s="116">
        <v>0</v>
      </c>
      <c r="F15" s="116">
        <v>0</v>
      </c>
      <c r="G15" s="116">
        <v>0</v>
      </c>
      <c r="H15" s="116">
        <v>0</v>
      </c>
      <c r="I15" s="116">
        <v>0</v>
      </c>
      <c r="J15" s="116">
        <v>0</v>
      </c>
    </row>
    <row r="16" spans="1:10">
      <c r="A16" s="116" t="s">
        <v>1510</v>
      </c>
      <c r="B16" s="116">
        <v>0</v>
      </c>
      <c r="C16" s="116">
        <v>0</v>
      </c>
      <c r="D16" s="116">
        <v>1</v>
      </c>
      <c r="E16" s="116">
        <v>0</v>
      </c>
      <c r="F16" s="116">
        <v>1</v>
      </c>
      <c r="G16" s="116">
        <v>0</v>
      </c>
      <c r="H16" s="116">
        <v>1</v>
      </c>
      <c r="I16" s="116">
        <v>0</v>
      </c>
      <c r="J16" s="116">
        <v>0</v>
      </c>
    </row>
    <row r="17" spans="1:10">
      <c r="A17" s="116" t="s">
        <v>1511</v>
      </c>
      <c r="B17" s="116">
        <v>0</v>
      </c>
      <c r="C17" s="116">
        <v>0</v>
      </c>
      <c r="D17" s="116">
        <v>0</v>
      </c>
      <c r="E17" s="116">
        <v>0</v>
      </c>
      <c r="F17" s="116">
        <v>0</v>
      </c>
      <c r="G17" s="116">
        <v>1</v>
      </c>
      <c r="H17" s="116">
        <v>0</v>
      </c>
      <c r="I17" s="116">
        <v>2</v>
      </c>
      <c r="J17" s="116">
        <v>1</v>
      </c>
    </row>
    <row r="18" spans="1:10">
      <c r="A18" s="116" t="s">
        <v>419</v>
      </c>
      <c r="B18" s="116">
        <v>0</v>
      </c>
      <c r="C18" s="116">
        <v>0</v>
      </c>
      <c r="D18" s="116">
        <v>-1</v>
      </c>
      <c r="E18" s="116">
        <v>0</v>
      </c>
      <c r="F18" s="116">
        <v>1</v>
      </c>
      <c r="G18" s="116">
        <v>0</v>
      </c>
      <c r="H18" s="116">
        <v>0</v>
      </c>
      <c r="I18" s="116">
        <v>0</v>
      </c>
      <c r="J18" s="116">
        <v>0</v>
      </c>
    </row>
    <row r="19" spans="1:10">
      <c r="A19" s="116"/>
      <c r="B19" s="116"/>
      <c r="C19" s="116"/>
      <c r="D19" s="116"/>
      <c r="E19" s="116"/>
      <c r="F19" s="116"/>
      <c r="G19" s="116"/>
      <c r="H19" s="116"/>
      <c r="I19" s="116"/>
      <c r="J19" s="116"/>
    </row>
    <row r="20" spans="1:10">
      <c r="A20" s="116"/>
      <c r="B20" s="116"/>
      <c r="C20" s="116"/>
      <c r="D20" s="116"/>
      <c r="E20" s="116"/>
      <c r="F20" s="116"/>
      <c r="G20" s="116"/>
      <c r="H20" s="116"/>
      <c r="I20" s="116"/>
      <c r="J20" s="116"/>
    </row>
    <row r="21" spans="1:10">
      <c r="A21" s="116"/>
      <c r="B21" s="116"/>
      <c r="C21" s="116"/>
      <c r="D21" s="116"/>
      <c r="E21" s="116"/>
      <c r="F21" s="116"/>
      <c r="G21" s="116"/>
      <c r="H21" s="116"/>
      <c r="I21" s="116"/>
      <c r="J21" s="116"/>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D39BF-13CF-4076-9F0D-DDEC9F809E40}">
  <sheetPr codeName="Sheet13">
    <tabColor theme="4" tint="0.59999389629810485"/>
  </sheetPr>
  <dimension ref="A1:H38"/>
  <sheetViews>
    <sheetView workbookViewId="0">
      <selection activeCell="B42" sqref="B42"/>
    </sheetView>
  </sheetViews>
  <sheetFormatPr defaultRowHeight="14.5"/>
  <cols>
    <col min="1" max="1" width="34.81640625" bestFit="1" customWidth="1"/>
    <col min="2" max="2" width="48.453125" bestFit="1" customWidth="1"/>
    <col min="3" max="3" width="32.81640625" customWidth="1"/>
    <col min="4" max="4" width="20.81640625" customWidth="1"/>
    <col min="5" max="5" width="24.81640625" customWidth="1"/>
    <col min="6" max="6" width="20.54296875" bestFit="1" customWidth="1"/>
    <col min="7" max="7" width="20.1796875" bestFit="1" customWidth="1"/>
    <col min="8" max="8" width="15.81640625" bestFit="1" customWidth="1"/>
  </cols>
  <sheetData>
    <row r="1" spans="1:8">
      <c r="A1" s="116" t="s">
        <v>1546</v>
      </c>
      <c r="B1" s="116" t="s">
        <v>1547</v>
      </c>
      <c r="C1" s="116" t="s">
        <v>1257</v>
      </c>
      <c r="D1" s="116" t="s">
        <v>1548</v>
      </c>
      <c r="E1" s="116" t="s">
        <v>1549</v>
      </c>
      <c r="F1" s="116" t="s">
        <v>1550</v>
      </c>
      <c r="G1" s="116" t="s">
        <v>1551</v>
      </c>
      <c r="H1" s="116" t="s">
        <v>1552</v>
      </c>
    </row>
    <row r="2" spans="1:8">
      <c r="A2" s="116" t="s">
        <v>1553</v>
      </c>
      <c r="B2" s="116" t="s">
        <v>1554</v>
      </c>
      <c r="C2" s="117">
        <v>2359</v>
      </c>
      <c r="D2" s="116">
        <v>195</v>
      </c>
      <c r="E2" s="117">
        <v>1733</v>
      </c>
      <c r="F2" s="117">
        <v>1928</v>
      </c>
      <c r="G2" s="116">
        <v>0</v>
      </c>
      <c r="H2" s="117">
        <v>1928</v>
      </c>
    </row>
    <row r="3" spans="1:8">
      <c r="A3" s="116" t="s">
        <v>1555</v>
      </c>
      <c r="B3" s="116" t="s">
        <v>1556</v>
      </c>
      <c r="C3" s="117">
        <v>7623</v>
      </c>
      <c r="D3" s="116">
        <v>474</v>
      </c>
      <c r="E3" s="117">
        <v>6229</v>
      </c>
      <c r="F3" s="117">
        <v>6703</v>
      </c>
      <c r="G3" s="116">
        <v>0</v>
      </c>
      <c r="H3" s="117">
        <v>6703</v>
      </c>
    </row>
    <row r="4" spans="1:8">
      <c r="A4" s="116" t="s">
        <v>1557</v>
      </c>
      <c r="B4" s="116" t="s">
        <v>1558</v>
      </c>
      <c r="C4" s="116">
        <v>-71.59</v>
      </c>
      <c r="D4" s="116">
        <v>0</v>
      </c>
      <c r="E4" s="116">
        <v>0</v>
      </c>
      <c r="F4" s="116">
        <v>0</v>
      </c>
      <c r="G4" s="116">
        <v>-71.59</v>
      </c>
      <c r="H4" s="116">
        <v>-71.59</v>
      </c>
    </row>
    <row r="5" spans="1:8">
      <c r="A5" s="116" t="s">
        <v>1559</v>
      </c>
      <c r="B5" s="116" t="s">
        <v>1558</v>
      </c>
      <c r="C5" s="116">
        <v>0</v>
      </c>
      <c r="D5" s="116">
        <v>0</v>
      </c>
      <c r="E5" s="117">
        <v>1193</v>
      </c>
      <c r="F5" s="117">
        <v>1193</v>
      </c>
      <c r="G5" s="116">
        <v>0</v>
      </c>
      <c r="H5" s="117">
        <v>1193</v>
      </c>
    </row>
    <row r="6" spans="1:8">
      <c r="A6" s="116" t="s">
        <v>1560</v>
      </c>
      <c r="B6" s="116" t="s">
        <v>1561</v>
      </c>
      <c r="C6" s="117">
        <v>24382</v>
      </c>
      <c r="D6" s="116">
        <v>60.87</v>
      </c>
      <c r="E6" s="116">
        <v>453.49</v>
      </c>
      <c r="F6" s="116">
        <v>514.36</v>
      </c>
      <c r="G6" s="116">
        <v>277.33</v>
      </c>
      <c r="H6" s="116">
        <v>791.69</v>
      </c>
    </row>
    <row r="7" spans="1:8">
      <c r="A7" s="116" t="s">
        <v>1562</v>
      </c>
      <c r="B7" s="116" t="s">
        <v>1563</v>
      </c>
      <c r="C7" s="117">
        <v>-20536</v>
      </c>
      <c r="D7" s="116">
        <v>0</v>
      </c>
      <c r="E7" s="116">
        <v>0</v>
      </c>
      <c r="F7" s="116">
        <v>0</v>
      </c>
      <c r="G7" s="117">
        <v>-20757.3</v>
      </c>
      <c r="H7" s="117">
        <v>-20757.3</v>
      </c>
    </row>
    <row r="8" spans="1:8">
      <c r="A8" s="116" t="s">
        <v>1564</v>
      </c>
      <c r="B8" s="116" t="s">
        <v>1565</v>
      </c>
      <c r="C8" s="117">
        <v>10500</v>
      </c>
      <c r="D8" s="116">
        <v>100</v>
      </c>
      <c r="E8" s="117">
        <v>9000</v>
      </c>
      <c r="F8" s="117">
        <v>9100</v>
      </c>
      <c r="G8" s="116">
        <v>0</v>
      </c>
      <c r="H8" s="117">
        <v>9100</v>
      </c>
    </row>
    <row r="9" spans="1:8">
      <c r="A9" s="116" t="s">
        <v>1566</v>
      </c>
      <c r="B9" s="116" t="s">
        <v>1567</v>
      </c>
      <c r="C9" s="117">
        <v>1785</v>
      </c>
      <c r="D9" s="116">
        <v>-33</v>
      </c>
      <c r="E9" s="117">
        <v>1608</v>
      </c>
      <c r="F9" s="117">
        <v>1575</v>
      </c>
      <c r="G9" s="116">
        <v>43</v>
      </c>
      <c r="H9" s="117">
        <v>1618</v>
      </c>
    </row>
    <row r="10" spans="1:8">
      <c r="A10" s="116" t="s">
        <v>1568</v>
      </c>
      <c r="B10" s="116" t="s">
        <v>1569</v>
      </c>
      <c r="C10" s="117">
        <v>31241.75</v>
      </c>
      <c r="D10" s="116">
        <v>49</v>
      </c>
      <c r="E10" s="117">
        <v>1826.86</v>
      </c>
      <c r="F10" s="117">
        <v>1875.86</v>
      </c>
      <c r="G10" s="117">
        <v>1309.75</v>
      </c>
      <c r="H10" s="117">
        <v>3185.61</v>
      </c>
    </row>
    <row r="11" spans="1:8">
      <c r="A11" s="116" t="s">
        <v>1570</v>
      </c>
      <c r="B11" s="116" t="s">
        <v>1571</v>
      </c>
      <c r="C11" s="116">
        <v>150</v>
      </c>
      <c r="D11" s="116">
        <v>500</v>
      </c>
      <c r="E11" s="117">
        <v>3500</v>
      </c>
      <c r="F11" s="117">
        <v>4000</v>
      </c>
      <c r="G11" s="117">
        <v>-4350</v>
      </c>
      <c r="H11" s="116">
        <v>-350</v>
      </c>
    </row>
    <row r="12" spans="1:8">
      <c r="A12" s="116" t="s">
        <v>1572</v>
      </c>
      <c r="B12" s="116" t="s">
        <v>1573</v>
      </c>
      <c r="C12" s="116">
        <v>-138.63999999999999</v>
      </c>
      <c r="D12" s="116">
        <v>79.22</v>
      </c>
      <c r="E12" s="116">
        <v>985.56</v>
      </c>
      <c r="F12" s="117">
        <v>1064.78</v>
      </c>
      <c r="G12" s="116">
        <v>0</v>
      </c>
      <c r="H12" s="117">
        <v>1064.78</v>
      </c>
    </row>
    <row r="13" spans="1:8">
      <c r="A13" s="116" t="s">
        <v>1574</v>
      </c>
      <c r="B13" s="116" t="s">
        <v>1575</v>
      </c>
      <c r="C13" s="117">
        <v>-1793</v>
      </c>
      <c r="D13" s="116">
        <v>0</v>
      </c>
      <c r="E13" s="116">
        <v>0</v>
      </c>
      <c r="F13" s="116">
        <v>0</v>
      </c>
      <c r="G13" s="117">
        <v>-1660.58</v>
      </c>
      <c r="H13" s="117">
        <v>-1660.58</v>
      </c>
    </row>
    <row r="14" spans="1:8">
      <c r="A14" s="116" t="s">
        <v>1576</v>
      </c>
      <c r="B14" s="116" t="s">
        <v>1577</v>
      </c>
      <c r="C14" s="117">
        <v>13522.82</v>
      </c>
      <c r="D14" s="116">
        <v>379.05</v>
      </c>
      <c r="E14" s="117">
        <v>11294.4</v>
      </c>
      <c r="F14" s="117">
        <v>11673.45</v>
      </c>
      <c r="G14" s="116">
        <v>149.05000000000001</v>
      </c>
      <c r="H14" s="117">
        <v>11822.5</v>
      </c>
    </row>
    <row r="15" spans="1:8">
      <c r="A15" s="116" t="s">
        <v>1578</v>
      </c>
      <c r="B15" s="116" t="s">
        <v>1579</v>
      </c>
      <c r="C15" s="117">
        <v>12394</v>
      </c>
      <c r="D15" s="116">
        <v>-119</v>
      </c>
      <c r="E15" s="117">
        <v>7587.87</v>
      </c>
      <c r="F15" s="117">
        <v>7468.87</v>
      </c>
      <c r="G15" s="116">
        <v>0</v>
      </c>
      <c r="H15" s="117">
        <v>7468.87</v>
      </c>
    </row>
    <row r="16" spans="1:8">
      <c r="A16" s="116" t="s">
        <v>1580</v>
      </c>
      <c r="B16" s="116" t="s">
        <v>1581</v>
      </c>
      <c r="C16" s="117">
        <v>3833</v>
      </c>
      <c r="D16" s="116">
        <v>110.04</v>
      </c>
      <c r="E16" s="117">
        <v>3246.53</v>
      </c>
      <c r="F16" s="117">
        <v>3356.57</v>
      </c>
      <c r="G16" s="116">
        <v>175.3</v>
      </c>
      <c r="H16" s="117">
        <v>3531.87</v>
      </c>
    </row>
    <row r="17" spans="1:8">
      <c r="A17" s="116" t="s">
        <v>1582</v>
      </c>
      <c r="B17" s="116" t="s">
        <v>1583</v>
      </c>
      <c r="C17" s="117">
        <v>3290</v>
      </c>
      <c r="D17" s="116">
        <v>0</v>
      </c>
      <c r="E17" s="117">
        <v>1330</v>
      </c>
      <c r="F17" s="117">
        <v>1330</v>
      </c>
      <c r="G17" s="116">
        <v>0</v>
      </c>
      <c r="H17" s="117">
        <v>1330</v>
      </c>
    </row>
    <row r="18" spans="1:8">
      <c r="A18" s="116" t="s">
        <v>1584</v>
      </c>
      <c r="B18" s="116" t="s">
        <v>1585</v>
      </c>
      <c r="C18" s="116">
        <v>75</v>
      </c>
      <c r="D18" s="116">
        <v>0</v>
      </c>
      <c r="E18" s="116">
        <v>75</v>
      </c>
      <c r="F18" s="116">
        <v>75</v>
      </c>
      <c r="G18" s="116">
        <v>0</v>
      </c>
      <c r="H18" s="116">
        <v>75</v>
      </c>
    </row>
    <row r="19" spans="1:8">
      <c r="A19" s="116" t="s">
        <v>1586</v>
      </c>
      <c r="B19" s="116" t="s">
        <v>1587</v>
      </c>
      <c r="C19" s="116">
        <v>350</v>
      </c>
      <c r="D19" s="116">
        <v>0</v>
      </c>
      <c r="E19" s="116">
        <v>450</v>
      </c>
      <c r="F19" s="116">
        <v>450</v>
      </c>
      <c r="G19" s="116">
        <v>50</v>
      </c>
      <c r="H19" s="116">
        <v>500</v>
      </c>
    </row>
    <row r="20" spans="1:8">
      <c r="A20" s="116" t="s">
        <v>1588</v>
      </c>
      <c r="B20" s="116" t="s">
        <v>1589</v>
      </c>
      <c r="C20" s="117">
        <v>1741</v>
      </c>
      <c r="D20" s="116">
        <v>50</v>
      </c>
      <c r="E20" s="117">
        <v>1490.34</v>
      </c>
      <c r="F20" s="117">
        <v>1540.34</v>
      </c>
      <c r="G20" s="116">
        <v>47.05</v>
      </c>
      <c r="H20" s="117">
        <v>1587.39</v>
      </c>
    </row>
    <row r="21" spans="1:8">
      <c r="A21" s="116" t="s">
        <v>1590</v>
      </c>
      <c r="B21" s="116" t="s">
        <v>1591</v>
      </c>
      <c r="C21" s="116">
        <v>700</v>
      </c>
      <c r="D21" s="116">
        <v>0</v>
      </c>
      <c r="E21" s="116">
        <v>699.32</v>
      </c>
      <c r="F21" s="116">
        <v>699.32</v>
      </c>
      <c r="G21" s="116">
        <v>0</v>
      </c>
      <c r="H21" s="116">
        <v>699.32</v>
      </c>
    </row>
    <row r="22" spans="1:8">
      <c r="A22" s="116" t="s">
        <v>1592</v>
      </c>
      <c r="B22" s="116" t="s">
        <v>1593</v>
      </c>
      <c r="C22" s="117">
        <v>1617</v>
      </c>
      <c r="D22" s="116">
        <v>67</v>
      </c>
      <c r="E22" s="117">
        <v>1528.43</v>
      </c>
      <c r="F22" s="117">
        <v>1595.43</v>
      </c>
      <c r="G22" s="116">
        <v>49</v>
      </c>
      <c r="H22" s="117">
        <v>1644.43</v>
      </c>
    </row>
    <row r="23" spans="1:8">
      <c r="A23" s="116" t="s">
        <v>1594</v>
      </c>
      <c r="B23" s="116" t="s">
        <v>1571</v>
      </c>
      <c r="C23" s="116">
        <v>400</v>
      </c>
      <c r="D23" s="116">
        <v>0</v>
      </c>
      <c r="E23" s="116">
        <v>400</v>
      </c>
      <c r="F23" s="116">
        <v>400</v>
      </c>
      <c r="G23" s="116">
        <v>0</v>
      </c>
      <c r="H23" s="116">
        <v>400</v>
      </c>
    </row>
    <row r="24" spans="1:8">
      <c r="A24" s="116" t="s">
        <v>1595</v>
      </c>
      <c r="B24" s="116" t="s">
        <v>1596</v>
      </c>
      <c r="C24" s="116">
        <v>650</v>
      </c>
      <c r="D24" s="116">
        <v>0</v>
      </c>
      <c r="E24" s="116">
        <v>500</v>
      </c>
      <c r="F24" s="116">
        <v>500</v>
      </c>
      <c r="G24" s="116">
        <v>0</v>
      </c>
      <c r="H24" s="116">
        <v>500</v>
      </c>
    </row>
    <row r="25" spans="1:8">
      <c r="A25" s="116" t="s">
        <v>1597</v>
      </c>
      <c r="B25" s="116" t="s">
        <v>1598</v>
      </c>
      <c r="C25" s="116">
        <v>662</v>
      </c>
      <c r="D25" s="116">
        <v>-115</v>
      </c>
      <c r="E25" s="116">
        <v>668</v>
      </c>
      <c r="F25" s="116">
        <v>553</v>
      </c>
      <c r="G25" s="116">
        <v>0</v>
      </c>
      <c r="H25" s="116">
        <v>553</v>
      </c>
    </row>
    <row r="26" spans="1:8">
      <c r="A26" s="116" t="s">
        <v>1599</v>
      </c>
      <c r="B26" s="116" t="s">
        <v>1600</v>
      </c>
      <c r="C26" s="116">
        <v>42.95</v>
      </c>
      <c r="D26" s="116">
        <v>2</v>
      </c>
      <c r="E26" s="116">
        <v>40.950000000000003</v>
      </c>
      <c r="F26" s="116">
        <v>42.95</v>
      </c>
      <c r="G26" s="116">
        <v>0</v>
      </c>
      <c r="H26" s="116">
        <v>42.95</v>
      </c>
    </row>
    <row r="27" spans="1:8">
      <c r="A27" s="116" t="s">
        <v>1601</v>
      </c>
      <c r="B27" s="116" t="s">
        <v>1561</v>
      </c>
      <c r="C27" s="117">
        <v>10083.9</v>
      </c>
      <c r="D27" s="116">
        <v>0</v>
      </c>
      <c r="E27" s="116">
        <v>220</v>
      </c>
      <c r="F27" s="116">
        <v>220</v>
      </c>
      <c r="G27" s="116">
        <v>630</v>
      </c>
      <c r="H27" s="116">
        <v>850</v>
      </c>
    </row>
    <row r="28" spans="1:8">
      <c r="A28" s="116" t="s">
        <v>1602</v>
      </c>
      <c r="B28" s="116" t="s">
        <v>1603</v>
      </c>
      <c r="C28" s="117">
        <v>720375</v>
      </c>
      <c r="D28" s="117">
        <v>23242.25</v>
      </c>
      <c r="E28" s="117">
        <v>634468.72</v>
      </c>
      <c r="F28" s="117">
        <v>657710.97</v>
      </c>
      <c r="G28" s="117">
        <v>24364.46</v>
      </c>
      <c r="H28" s="117">
        <v>682075.43</v>
      </c>
    </row>
    <row r="29" spans="1:8">
      <c r="A29" s="116" t="s">
        <v>1604</v>
      </c>
      <c r="B29" s="116" t="s">
        <v>1605</v>
      </c>
      <c r="C29" s="117">
        <v>9065</v>
      </c>
      <c r="D29" s="116">
        <v>-25</v>
      </c>
      <c r="E29" s="117">
        <v>8190.2</v>
      </c>
      <c r="F29" s="117">
        <v>8165.2</v>
      </c>
      <c r="G29" s="116">
        <v>100.8</v>
      </c>
      <c r="H29" s="117">
        <v>8266</v>
      </c>
    </row>
    <row r="30" spans="1:8">
      <c r="A30" s="116" t="s">
        <v>1606</v>
      </c>
      <c r="B30" s="116" t="s">
        <v>1607</v>
      </c>
      <c r="C30" s="117">
        <v>-1000</v>
      </c>
      <c r="D30" s="116">
        <v>0</v>
      </c>
      <c r="E30" s="116">
        <v>0</v>
      </c>
      <c r="F30" s="116">
        <v>0</v>
      </c>
      <c r="G30" s="117">
        <v>-1000</v>
      </c>
      <c r="H30" s="117">
        <v>-1000</v>
      </c>
    </row>
    <row r="31" spans="1:8">
      <c r="A31" s="116" t="s">
        <v>1608</v>
      </c>
      <c r="B31" s="116" t="s">
        <v>1581</v>
      </c>
      <c r="C31" s="117">
        <v>8749</v>
      </c>
      <c r="D31" s="116">
        <v>-187</v>
      </c>
      <c r="E31" s="117">
        <v>7820</v>
      </c>
      <c r="F31" s="117">
        <v>7633</v>
      </c>
      <c r="G31" s="116">
        <v>0</v>
      </c>
      <c r="H31" s="117">
        <v>7633</v>
      </c>
    </row>
    <row r="32" spans="1:8">
      <c r="A32" s="116" t="s">
        <v>1609</v>
      </c>
      <c r="B32" s="116" t="s">
        <v>1603</v>
      </c>
      <c r="C32" s="117">
        <v>1360</v>
      </c>
      <c r="D32" s="116">
        <v>0</v>
      </c>
      <c r="E32" s="117">
        <v>1312</v>
      </c>
      <c r="F32" s="117">
        <v>1312</v>
      </c>
      <c r="G32" s="116">
        <v>0</v>
      </c>
      <c r="H32" s="117">
        <v>1312</v>
      </c>
    </row>
    <row r="33" spans="1:8">
      <c r="A33" s="116" t="s">
        <v>1610</v>
      </c>
      <c r="B33" s="116" t="s">
        <v>1611</v>
      </c>
      <c r="C33" s="116">
        <v>2</v>
      </c>
      <c r="D33" s="116">
        <v>12</v>
      </c>
      <c r="E33" s="116">
        <v>483.87</v>
      </c>
      <c r="F33" s="116">
        <v>495.87</v>
      </c>
      <c r="G33" s="116">
        <v>12</v>
      </c>
      <c r="H33" s="116">
        <v>507.87</v>
      </c>
    </row>
    <row r="34" spans="1:8">
      <c r="A34" s="116" t="s">
        <v>1612</v>
      </c>
      <c r="B34" s="116" t="s">
        <v>1603</v>
      </c>
      <c r="C34" s="117">
        <v>8212</v>
      </c>
      <c r="D34" s="116">
        <v>400</v>
      </c>
      <c r="E34" s="117">
        <v>7338.7</v>
      </c>
      <c r="F34" s="117">
        <v>7738.7</v>
      </c>
      <c r="G34" s="116">
        <v>236.69</v>
      </c>
      <c r="H34" s="117">
        <v>7975.39</v>
      </c>
    </row>
    <row r="35" spans="1:8">
      <c r="A35" s="116" t="s">
        <v>1613</v>
      </c>
      <c r="B35" s="116" t="s">
        <v>1611</v>
      </c>
      <c r="C35" s="116">
        <v>36</v>
      </c>
      <c r="D35" s="116">
        <v>0</v>
      </c>
      <c r="E35" s="116">
        <v>24</v>
      </c>
      <c r="F35" s="116">
        <v>24</v>
      </c>
      <c r="G35" s="116">
        <v>12</v>
      </c>
      <c r="H35" s="116">
        <v>36</v>
      </c>
    </row>
    <row r="36" spans="1:8">
      <c r="A36" s="116" t="s">
        <v>1614</v>
      </c>
      <c r="B36" s="116" t="s">
        <v>1615</v>
      </c>
      <c r="C36" s="116">
        <v>35</v>
      </c>
      <c r="D36" s="116">
        <v>0</v>
      </c>
      <c r="E36" s="116">
        <v>35</v>
      </c>
      <c r="F36" s="116">
        <v>35</v>
      </c>
      <c r="G36" s="116">
        <v>0</v>
      </c>
      <c r="H36" s="116">
        <v>35</v>
      </c>
    </row>
    <row r="37" spans="1:8">
      <c r="A37" s="116" t="s">
        <v>1616</v>
      </c>
      <c r="B37" s="116" t="s">
        <v>1617</v>
      </c>
      <c r="C37" s="117">
        <v>3756</v>
      </c>
      <c r="D37" s="116">
        <v>281.99</v>
      </c>
      <c r="E37" s="117">
        <v>3329.04</v>
      </c>
      <c r="F37" s="117">
        <v>3611.03</v>
      </c>
      <c r="G37" s="116">
        <v>142</v>
      </c>
      <c r="H37" s="117">
        <v>3753.03</v>
      </c>
    </row>
    <row r="38" spans="1:8">
      <c r="A38" s="116" t="s">
        <v>1618</v>
      </c>
      <c r="B38" s="116" t="s">
        <v>1619</v>
      </c>
      <c r="C38" s="117">
        <v>34888.5</v>
      </c>
      <c r="D38" s="116">
        <v>750.12</v>
      </c>
      <c r="E38" s="117">
        <v>29654.37</v>
      </c>
      <c r="F38" s="117">
        <v>30404.49</v>
      </c>
      <c r="G38" s="116">
        <v>241.04</v>
      </c>
      <c r="H38" s="117">
        <v>30645.53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E161D-12A0-4181-995C-0F977385FB3E}">
  <sheetPr>
    <tabColor rgb="FFFFFF00"/>
  </sheetPr>
  <dimension ref="A1:Q91"/>
  <sheetViews>
    <sheetView topLeftCell="A71" workbookViewId="0">
      <selection activeCell="D91" sqref="D91"/>
    </sheetView>
  </sheetViews>
  <sheetFormatPr defaultRowHeight="14.5"/>
  <cols>
    <col min="1" max="6" width="17.26953125" customWidth="1"/>
  </cols>
  <sheetData>
    <row r="1" spans="1:9">
      <c r="A1" s="133"/>
      <c r="B1" s="133"/>
      <c r="C1" s="133"/>
      <c r="D1" s="133"/>
      <c r="E1" s="133"/>
      <c r="F1" s="133"/>
      <c r="G1" s="133"/>
      <c r="H1" s="133"/>
      <c r="I1" s="133"/>
    </row>
    <row r="2" spans="1:9" ht="15.5">
      <c r="A2" s="360" t="s">
        <v>1620</v>
      </c>
      <c r="B2" s="360"/>
      <c r="C2" s="133"/>
      <c r="D2" s="133"/>
      <c r="E2" s="133"/>
      <c r="F2" s="1023" t="s">
        <v>1621</v>
      </c>
      <c r="G2" s="1023"/>
      <c r="H2" s="1023"/>
      <c r="I2" s="1023"/>
    </row>
    <row r="3" spans="1:9">
      <c r="A3" s="361" t="s">
        <v>953</v>
      </c>
      <c r="B3" s="133"/>
      <c r="C3" s="133"/>
      <c r="D3" s="133"/>
      <c r="E3" s="133"/>
      <c r="F3" s="1023" t="s">
        <v>1622</v>
      </c>
      <c r="G3" s="1023"/>
      <c r="H3" s="1023"/>
      <c r="I3" s="1023"/>
    </row>
    <row r="4" spans="1:9">
      <c r="A4" s="361"/>
      <c r="B4" s="361"/>
      <c r="C4" s="133"/>
      <c r="D4" s="133"/>
      <c r="E4" s="133"/>
      <c r="F4" s="133"/>
      <c r="G4" s="133"/>
      <c r="H4" s="133"/>
      <c r="I4" s="133"/>
    </row>
    <row r="5" spans="1:9">
      <c r="A5" s="133"/>
      <c r="B5" s="133"/>
      <c r="C5" s="133"/>
      <c r="D5" s="133"/>
      <c r="E5" s="133"/>
      <c r="F5" s="133"/>
      <c r="G5" s="133"/>
      <c r="H5" s="133"/>
      <c r="I5" s="133"/>
    </row>
    <row r="6" spans="1:9" ht="26.5">
      <c r="A6" s="957" t="s">
        <v>1</v>
      </c>
      <c r="B6" s="957" t="s">
        <v>1623</v>
      </c>
      <c r="C6" s="957" t="s">
        <v>638</v>
      </c>
      <c r="D6" s="957" t="s">
        <v>654</v>
      </c>
      <c r="E6" s="957" t="s">
        <v>781</v>
      </c>
      <c r="F6" s="957" t="s">
        <v>1624</v>
      </c>
      <c r="G6" s="133"/>
      <c r="H6" s="133"/>
      <c r="I6" s="133"/>
    </row>
    <row r="7" spans="1:9">
      <c r="A7" s="958">
        <v>46055</v>
      </c>
      <c r="B7" s="959">
        <v>1047562.32</v>
      </c>
      <c r="C7" s="959">
        <v>195680.8</v>
      </c>
      <c r="D7" s="959">
        <v>851881.52</v>
      </c>
      <c r="E7" s="960">
        <v>0.81320000000000003</v>
      </c>
      <c r="F7" s="361">
        <v>570</v>
      </c>
      <c r="G7" s="133"/>
      <c r="H7" s="133"/>
      <c r="I7" s="133"/>
    </row>
    <row r="8" spans="1:9">
      <c r="A8" s="958">
        <v>46056</v>
      </c>
      <c r="B8" s="959">
        <v>854139.52</v>
      </c>
      <c r="C8" s="959">
        <v>166688.87</v>
      </c>
      <c r="D8" s="959">
        <v>687450.65</v>
      </c>
      <c r="E8" s="960">
        <v>0.65480000000000005</v>
      </c>
      <c r="F8" s="361">
        <v>392</v>
      </c>
      <c r="G8" s="133"/>
      <c r="H8" s="133"/>
      <c r="I8" s="133"/>
    </row>
    <row r="9" spans="1:9">
      <c r="A9" s="958">
        <v>46057</v>
      </c>
      <c r="B9" s="959">
        <v>708068.65</v>
      </c>
      <c r="C9" s="959">
        <v>31176.1</v>
      </c>
      <c r="D9" s="959">
        <v>676892.55</v>
      </c>
      <c r="E9" s="960">
        <v>0.63239999999999996</v>
      </c>
      <c r="F9" s="361">
        <v>348</v>
      </c>
      <c r="G9" s="133"/>
      <c r="H9" s="133"/>
      <c r="I9" s="133"/>
    </row>
    <row r="10" spans="1:9">
      <c r="A10" s="958">
        <v>46058</v>
      </c>
      <c r="B10" s="959">
        <v>676992.55</v>
      </c>
      <c r="C10" s="959">
        <v>19284.8</v>
      </c>
      <c r="D10" s="959">
        <v>657707.75</v>
      </c>
      <c r="E10" s="960">
        <v>0.61439999999999995</v>
      </c>
      <c r="F10" s="361">
        <v>310</v>
      </c>
      <c r="G10" s="133"/>
      <c r="H10" s="133"/>
      <c r="I10" s="133"/>
    </row>
    <row r="11" spans="1:9">
      <c r="A11" s="958">
        <v>46059</v>
      </c>
      <c r="B11" s="959">
        <v>657707.75</v>
      </c>
      <c r="C11" s="959">
        <v>15705.42</v>
      </c>
      <c r="D11" s="959">
        <v>642002.32999999996</v>
      </c>
      <c r="E11" s="960">
        <v>0.59970000000000001</v>
      </c>
      <c r="F11" s="361">
        <v>286</v>
      </c>
      <c r="G11" s="133"/>
      <c r="H11" s="133"/>
      <c r="I11" s="133"/>
    </row>
    <row r="12" spans="1:9">
      <c r="A12" s="958">
        <v>46060</v>
      </c>
      <c r="B12" s="959">
        <v>643372.32999999996</v>
      </c>
      <c r="C12" s="959">
        <v>8525.42</v>
      </c>
      <c r="D12" s="959">
        <v>634846.91</v>
      </c>
      <c r="E12" s="960">
        <v>0.59230000000000005</v>
      </c>
      <c r="F12" s="361">
        <v>278</v>
      </c>
      <c r="G12" s="133"/>
      <c r="H12" s="133"/>
      <c r="I12" s="133"/>
    </row>
    <row r="13" spans="1:9">
      <c r="A13" s="958">
        <v>46061</v>
      </c>
      <c r="B13" s="959">
        <v>637257.91</v>
      </c>
      <c r="C13" s="959">
        <v>3444.84</v>
      </c>
      <c r="D13" s="959">
        <v>633813.06999999995</v>
      </c>
      <c r="E13" s="960">
        <v>0.59</v>
      </c>
      <c r="F13" s="361">
        <v>272</v>
      </c>
      <c r="G13" s="133"/>
      <c r="H13" s="133"/>
      <c r="I13" s="133"/>
    </row>
    <row r="14" spans="1:9">
      <c r="A14" s="958">
        <v>46062</v>
      </c>
      <c r="B14" s="959">
        <v>635704.06999999995</v>
      </c>
      <c r="C14" s="959">
        <v>6841.1</v>
      </c>
      <c r="D14" s="959">
        <v>628862.97</v>
      </c>
      <c r="E14" s="960">
        <v>0.58430000000000004</v>
      </c>
      <c r="F14" s="361">
        <v>262</v>
      </c>
      <c r="G14" s="133"/>
      <c r="H14" s="133"/>
      <c r="I14" s="133"/>
    </row>
    <row r="15" spans="1:9">
      <c r="A15" s="958">
        <v>46063</v>
      </c>
      <c r="B15" s="959">
        <v>629465.97</v>
      </c>
      <c r="C15" s="959">
        <v>11640.39</v>
      </c>
      <c r="D15" s="959">
        <v>617825.57999999996</v>
      </c>
      <c r="E15" s="960">
        <v>0.57379999999999998</v>
      </c>
      <c r="F15" s="361">
        <v>247</v>
      </c>
      <c r="G15" s="133"/>
      <c r="H15" s="133"/>
      <c r="I15" s="133"/>
    </row>
    <row r="16" spans="1:9">
      <c r="A16" s="958">
        <v>46064</v>
      </c>
      <c r="B16" s="959">
        <v>619722.57999999996</v>
      </c>
      <c r="C16" s="959">
        <v>4409.6400000000003</v>
      </c>
      <c r="D16" s="959">
        <v>615312.93999999994</v>
      </c>
      <c r="E16" s="960">
        <v>0.57040000000000002</v>
      </c>
      <c r="F16" s="361">
        <v>240</v>
      </c>
      <c r="G16" s="133"/>
      <c r="H16" s="133"/>
      <c r="I16" s="133"/>
    </row>
    <row r="17" spans="1:9">
      <c r="A17" s="958">
        <v>46065</v>
      </c>
      <c r="B17" s="959">
        <v>616947.93999999994</v>
      </c>
      <c r="C17" s="959">
        <v>7825.45</v>
      </c>
      <c r="D17" s="959">
        <v>609122.49</v>
      </c>
      <c r="E17" s="960">
        <v>0.56379999999999997</v>
      </c>
      <c r="F17" s="361">
        <v>229</v>
      </c>
      <c r="G17" s="133"/>
      <c r="H17" s="133"/>
      <c r="I17" s="133"/>
    </row>
    <row r="18" spans="1:9">
      <c r="A18" s="958">
        <v>46066</v>
      </c>
      <c r="B18" s="959">
        <v>610540.49</v>
      </c>
      <c r="C18" s="959">
        <v>7165.57</v>
      </c>
      <c r="D18" s="959">
        <v>603374.92000000004</v>
      </c>
      <c r="E18" s="960">
        <v>0.55779999999999996</v>
      </c>
      <c r="F18" s="361">
        <v>219</v>
      </c>
      <c r="G18" s="133"/>
      <c r="H18" s="133"/>
      <c r="I18" s="133"/>
    </row>
    <row r="19" spans="1:9">
      <c r="A19" s="958">
        <v>46067</v>
      </c>
      <c r="B19" s="959">
        <v>603374.92000000004</v>
      </c>
      <c r="C19" s="959">
        <v>4264.51</v>
      </c>
      <c r="D19" s="959">
        <v>599110.41</v>
      </c>
      <c r="E19" s="960">
        <v>0.55379999999999996</v>
      </c>
      <c r="F19" s="361">
        <v>215</v>
      </c>
      <c r="G19" s="133"/>
      <c r="H19" s="133"/>
      <c r="I19" s="133"/>
    </row>
    <row r="20" spans="1:9">
      <c r="A20" s="958">
        <v>46068</v>
      </c>
      <c r="B20" s="959">
        <v>599683.41</v>
      </c>
      <c r="C20" s="959">
        <v>4543.2700000000004</v>
      </c>
      <c r="D20" s="959">
        <v>595140.14</v>
      </c>
      <c r="E20" s="960">
        <v>0.54990000000000006</v>
      </c>
      <c r="F20" s="361">
        <v>213</v>
      </c>
      <c r="G20" s="133"/>
      <c r="H20" s="133"/>
      <c r="I20" s="133"/>
    </row>
    <row r="21" spans="1:9">
      <c r="A21" s="958">
        <v>46069</v>
      </c>
      <c r="B21" s="959">
        <v>597068.14</v>
      </c>
      <c r="C21" s="959">
        <v>2233.4299999999998</v>
      </c>
      <c r="D21" s="959">
        <v>594834.71</v>
      </c>
      <c r="E21" s="960">
        <v>0.54859999999999998</v>
      </c>
      <c r="F21" s="361">
        <v>212</v>
      </c>
      <c r="G21" s="133"/>
      <c r="H21" s="133"/>
      <c r="I21" s="133"/>
    </row>
    <row r="22" spans="1:9">
      <c r="A22" s="958">
        <v>46070</v>
      </c>
      <c r="B22" s="959">
        <v>596326.71</v>
      </c>
      <c r="C22" s="959">
        <v>7027.37</v>
      </c>
      <c r="D22" s="959">
        <v>589299.34</v>
      </c>
      <c r="E22" s="960">
        <v>0.54279999999999995</v>
      </c>
      <c r="F22" s="361">
        <v>209</v>
      </c>
      <c r="G22" s="133"/>
      <c r="H22" s="133"/>
      <c r="I22" s="133"/>
    </row>
    <row r="23" spans="1:9">
      <c r="A23" s="958">
        <v>46071</v>
      </c>
      <c r="B23" s="959">
        <v>589876.34</v>
      </c>
      <c r="C23" s="959">
        <v>4774.68</v>
      </c>
      <c r="D23" s="959">
        <v>585101.66</v>
      </c>
      <c r="E23" s="960">
        <v>0.53859999999999997</v>
      </c>
      <c r="F23" s="361">
        <v>202</v>
      </c>
      <c r="G23" s="133"/>
      <c r="H23" s="133"/>
      <c r="I23" s="133"/>
    </row>
    <row r="24" spans="1:9">
      <c r="A24" s="958">
        <v>46072</v>
      </c>
      <c r="B24" s="959">
        <v>587061.66</v>
      </c>
      <c r="C24" s="959">
        <v>5029.45</v>
      </c>
      <c r="D24" s="959">
        <v>582032.21</v>
      </c>
      <c r="E24" s="960">
        <v>0.53480000000000005</v>
      </c>
      <c r="F24" s="361">
        <v>196</v>
      </c>
      <c r="G24" s="133"/>
      <c r="H24" s="133"/>
      <c r="I24" s="133"/>
    </row>
    <row r="25" spans="1:9">
      <c r="A25" s="958">
        <v>46073</v>
      </c>
      <c r="B25" s="959">
        <v>582521.21</v>
      </c>
      <c r="C25" s="959">
        <v>1966.17</v>
      </c>
      <c r="D25" s="959">
        <v>580555.04</v>
      </c>
      <c r="E25" s="960">
        <v>0.53320000000000001</v>
      </c>
      <c r="F25" s="361">
        <v>194</v>
      </c>
      <c r="G25" s="133"/>
      <c r="H25" s="133"/>
      <c r="I25" s="133"/>
    </row>
    <row r="26" spans="1:9">
      <c r="A26" s="958">
        <v>46074</v>
      </c>
      <c r="B26" s="959">
        <v>581535.04</v>
      </c>
      <c r="C26" s="959">
        <v>3357.33</v>
      </c>
      <c r="D26" s="959">
        <v>578177.71</v>
      </c>
      <c r="E26" s="960">
        <v>0.53059999999999996</v>
      </c>
      <c r="F26" s="361">
        <v>192</v>
      </c>
      <c r="G26" s="133"/>
      <c r="H26" s="133"/>
      <c r="I26" s="133"/>
    </row>
    <row r="27" spans="1:9">
      <c r="A27" s="958">
        <v>46075</v>
      </c>
      <c r="B27" s="959">
        <v>578384.71</v>
      </c>
      <c r="C27" s="361">
        <v>637</v>
      </c>
      <c r="D27" s="959">
        <v>577747.71</v>
      </c>
      <c r="E27" s="960">
        <v>0.53010000000000002</v>
      </c>
      <c r="F27" s="361">
        <v>192</v>
      </c>
      <c r="G27" s="133"/>
      <c r="H27" s="133"/>
      <c r="I27" s="133"/>
    </row>
    <row r="28" spans="1:9">
      <c r="A28" s="958">
        <v>46076</v>
      </c>
      <c r="B28" s="959">
        <v>578111.71</v>
      </c>
      <c r="C28" s="959">
        <v>4318.29</v>
      </c>
      <c r="D28" s="959">
        <v>573793.42000000004</v>
      </c>
      <c r="E28" s="960">
        <v>0.52629999999999999</v>
      </c>
      <c r="F28" s="361">
        <v>189</v>
      </c>
      <c r="G28" s="133"/>
      <c r="H28" s="133"/>
      <c r="I28" s="133"/>
    </row>
    <row r="29" spans="1:9">
      <c r="A29" s="958">
        <v>46077</v>
      </c>
      <c r="B29" s="959">
        <v>573793.42000000004</v>
      </c>
      <c r="C29" s="959">
        <v>1395.87</v>
      </c>
      <c r="D29" s="959">
        <v>572397.55000000005</v>
      </c>
      <c r="E29" s="960">
        <v>0.52500000000000002</v>
      </c>
      <c r="F29" s="361">
        <v>188</v>
      </c>
      <c r="G29" s="133"/>
      <c r="H29" s="133"/>
      <c r="I29" s="133"/>
    </row>
    <row r="30" spans="1:9">
      <c r="A30" s="958">
        <v>46078</v>
      </c>
      <c r="B30" s="959">
        <v>572397.55000000005</v>
      </c>
      <c r="C30" s="959">
        <v>3679.21</v>
      </c>
      <c r="D30" s="959">
        <v>568718.34</v>
      </c>
      <c r="E30" s="960">
        <v>0.52159999999999995</v>
      </c>
      <c r="F30" s="361">
        <v>184</v>
      </c>
    </row>
    <row r="31" spans="1:9">
      <c r="A31" s="958">
        <v>46079</v>
      </c>
      <c r="B31" s="959">
        <v>568857.34</v>
      </c>
      <c r="C31" s="959">
        <v>2569.2800000000002</v>
      </c>
      <c r="D31" s="959">
        <v>566288.06000000006</v>
      </c>
      <c r="E31" s="960">
        <v>0.51929999999999998</v>
      </c>
      <c r="F31" s="361">
        <v>177</v>
      </c>
    </row>
    <row r="32" spans="1:9">
      <c r="A32" s="958">
        <v>46080</v>
      </c>
      <c r="B32" s="959">
        <v>567286.06000000006</v>
      </c>
      <c r="C32" s="959">
        <v>4208.18</v>
      </c>
      <c r="D32" s="959">
        <v>563077.88</v>
      </c>
      <c r="E32" s="960">
        <v>0.51590000000000003</v>
      </c>
      <c r="F32" s="361">
        <v>175</v>
      </c>
    </row>
    <row r="33" spans="1:9">
      <c r="A33" s="958">
        <v>46081</v>
      </c>
      <c r="B33" s="959">
        <v>563311.88</v>
      </c>
      <c r="C33" s="959">
        <v>1518.15</v>
      </c>
      <c r="D33" s="959">
        <v>561793.73</v>
      </c>
      <c r="E33" s="960">
        <v>0.51459999999999995</v>
      </c>
      <c r="F33" s="361">
        <v>174</v>
      </c>
    </row>
    <row r="34" spans="1:9">
      <c r="A34" s="958">
        <v>46082</v>
      </c>
      <c r="B34" s="959">
        <v>1334267.73</v>
      </c>
      <c r="C34" s="959">
        <v>256092.74</v>
      </c>
      <c r="D34" s="959">
        <v>1078174.99</v>
      </c>
      <c r="E34" s="960">
        <v>0.57840000000000003</v>
      </c>
      <c r="F34" s="361">
        <v>514</v>
      </c>
    </row>
    <row r="35" spans="1:9">
      <c r="A35" s="958">
        <v>46083</v>
      </c>
      <c r="B35" s="959">
        <v>1136478.46</v>
      </c>
      <c r="C35" s="959">
        <v>206255.02</v>
      </c>
      <c r="D35" s="959">
        <v>930223.44</v>
      </c>
      <c r="E35" s="960">
        <v>0.4839</v>
      </c>
      <c r="F35" s="361">
        <v>546</v>
      </c>
    </row>
    <row r="36" spans="1:9">
      <c r="A36" s="958">
        <v>46084</v>
      </c>
      <c r="B36" s="959">
        <v>930573.44</v>
      </c>
      <c r="C36" s="959">
        <v>185179.54</v>
      </c>
      <c r="D36" s="959">
        <v>745393.9</v>
      </c>
      <c r="E36" s="960">
        <v>0.38769999999999999</v>
      </c>
      <c r="F36" s="361">
        <v>383</v>
      </c>
    </row>
    <row r="37" spans="1:9">
      <c r="A37" s="958">
        <v>46085</v>
      </c>
      <c r="B37" s="959">
        <v>764327.9</v>
      </c>
      <c r="C37" s="959">
        <v>30810.32</v>
      </c>
      <c r="D37" s="959">
        <v>733517.58</v>
      </c>
      <c r="E37" s="960">
        <v>0.37780000000000002</v>
      </c>
      <c r="F37" s="361">
        <v>355</v>
      </c>
    </row>
    <row r="38" spans="1:9">
      <c r="A38" s="958">
        <v>46086</v>
      </c>
      <c r="B38" s="959">
        <v>734219.83</v>
      </c>
      <c r="C38" s="959">
        <v>11741.07</v>
      </c>
      <c r="D38" s="959">
        <v>722478.76</v>
      </c>
      <c r="E38" s="960">
        <v>0.37190000000000001</v>
      </c>
      <c r="F38" s="361">
        <v>327</v>
      </c>
    </row>
    <row r="39" spans="1:9">
      <c r="A39" s="958">
        <v>46087</v>
      </c>
      <c r="B39" s="959">
        <v>738269.91</v>
      </c>
      <c r="C39" s="959">
        <v>20883.95</v>
      </c>
      <c r="D39" s="959">
        <v>717385.96</v>
      </c>
      <c r="E39" s="960">
        <v>0.36630000000000001</v>
      </c>
      <c r="F39" s="361">
        <v>299</v>
      </c>
    </row>
    <row r="40" spans="1:9">
      <c r="A40" s="958">
        <v>46088</v>
      </c>
      <c r="B40" s="959">
        <v>719783.96</v>
      </c>
      <c r="C40" s="959">
        <v>8667.7900000000009</v>
      </c>
      <c r="D40" s="959">
        <v>711116.17</v>
      </c>
      <c r="E40" s="960">
        <v>0.36270000000000002</v>
      </c>
      <c r="F40" s="361">
        <v>281</v>
      </c>
    </row>
    <row r="41" spans="1:9">
      <c r="A41" s="958">
        <v>46089</v>
      </c>
      <c r="B41" s="959">
        <v>711116.17</v>
      </c>
      <c r="C41" s="959">
        <v>3734.8</v>
      </c>
      <c r="D41" s="959">
        <v>707381.37</v>
      </c>
      <c r="E41" s="960">
        <v>0.36080000000000001</v>
      </c>
      <c r="F41" s="361">
        <v>271</v>
      </c>
    </row>
    <row r="42" spans="1:9">
      <c r="A42" s="958">
        <v>46090</v>
      </c>
      <c r="B42" s="959">
        <v>713807.37</v>
      </c>
      <c r="C42" s="959">
        <v>2735.11</v>
      </c>
      <c r="D42" s="959">
        <v>711072.26</v>
      </c>
      <c r="E42" s="960">
        <v>0.36149999999999999</v>
      </c>
      <c r="F42" s="361">
        <v>270</v>
      </c>
    </row>
    <row r="43" spans="1:9">
      <c r="A43" s="958">
        <v>46091</v>
      </c>
      <c r="B43" s="959">
        <v>711864.03</v>
      </c>
      <c r="C43" s="959">
        <v>5073.6899999999996</v>
      </c>
      <c r="D43" s="959">
        <v>706790.34</v>
      </c>
      <c r="E43" s="960">
        <v>0.223</v>
      </c>
      <c r="F43" s="361">
        <v>255</v>
      </c>
      <c r="G43" s="133"/>
      <c r="H43" s="133"/>
      <c r="I43" s="133"/>
    </row>
    <row r="44" spans="1:9">
      <c r="A44" s="958">
        <v>46092</v>
      </c>
      <c r="B44" s="959">
        <v>709429.34</v>
      </c>
      <c r="C44" s="959">
        <v>11526.65</v>
      </c>
      <c r="D44" s="959">
        <v>697902.69</v>
      </c>
      <c r="E44" s="960">
        <v>0.22</v>
      </c>
      <c r="F44" s="361">
        <v>249</v>
      </c>
      <c r="G44" s="133"/>
      <c r="H44" s="133"/>
      <c r="I44" s="133"/>
    </row>
    <row r="45" spans="1:9">
      <c r="A45" s="958">
        <v>46093</v>
      </c>
      <c r="B45" s="959">
        <v>698457.69</v>
      </c>
      <c r="C45" s="959">
        <v>3146.84</v>
      </c>
      <c r="D45" s="959">
        <v>695310.85</v>
      </c>
      <c r="E45" s="960">
        <v>0.21909999999999999</v>
      </c>
      <c r="F45" s="361">
        <v>240</v>
      </c>
      <c r="G45" s="133"/>
      <c r="H45" s="133"/>
      <c r="I45" s="133"/>
    </row>
    <row r="46" spans="1:9">
      <c r="A46" s="958">
        <v>46094</v>
      </c>
      <c r="B46" s="959">
        <v>697343.85</v>
      </c>
      <c r="C46" s="959">
        <v>5890.3</v>
      </c>
      <c r="D46" s="959">
        <v>691453.55</v>
      </c>
      <c r="E46" s="960">
        <v>0.21779999999999999</v>
      </c>
      <c r="F46" s="361">
        <v>229</v>
      </c>
      <c r="G46" s="133"/>
      <c r="H46" s="133"/>
      <c r="I46" s="133"/>
    </row>
    <row r="47" spans="1:9">
      <c r="A47" s="958">
        <v>46095</v>
      </c>
      <c r="B47" s="959">
        <v>692651.55</v>
      </c>
      <c r="C47" s="959">
        <v>3419.46</v>
      </c>
      <c r="D47" s="959">
        <v>689232.09</v>
      </c>
      <c r="E47" s="960">
        <v>0.217</v>
      </c>
      <c r="F47" s="361">
        <v>225</v>
      </c>
      <c r="G47" s="133"/>
      <c r="H47" s="133"/>
      <c r="I47" s="133"/>
    </row>
    <row r="48" spans="1:9">
      <c r="A48" s="958">
        <v>46096</v>
      </c>
      <c r="B48" s="959">
        <v>690033.09</v>
      </c>
      <c r="C48" s="959">
        <v>2433.4299999999998</v>
      </c>
      <c r="D48" s="959">
        <v>687599.66</v>
      </c>
      <c r="E48" s="960">
        <v>0.21640000000000001</v>
      </c>
      <c r="F48" s="361">
        <v>224</v>
      </c>
      <c r="G48" s="133"/>
      <c r="H48" s="133"/>
      <c r="I48" s="133"/>
    </row>
    <row r="49" spans="1:9">
      <c r="A49" s="958">
        <v>46097</v>
      </c>
      <c r="B49" s="959">
        <v>687599.66</v>
      </c>
      <c r="C49" s="361">
        <v>24</v>
      </c>
      <c r="D49" s="959">
        <v>687575.66</v>
      </c>
      <c r="E49" s="960">
        <v>0.21640000000000001</v>
      </c>
      <c r="F49" s="361">
        <v>224</v>
      </c>
      <c r="G49" s="133"/>
      <c r="H49" s="133"/>
      <c r="I49" s="133"/>
    </row>
    <row r="50" spans="1:9">
      <c r="A50" s="961">
        <v>46098</v>
      </c>
      <c r="B50" s="363">
        <v>712634.5</v>
      </c>
      <c r="C50" s="363">
        <v>13955.25</v>
      </c>
      <c r="D50" s="363">
        <v>698679.25</v>
      </c>
      <c r="E50" s="962">
        <v>0.21729999999999999</v>
      </c>
      <c r="F50" s="364">
        <v>225</v>
      </c>
    </row>
    <row r="51" spans="1:9">
      <c r="A51" s="961">
        <v>46099</v>
      </c>
      <c r="B51" s="363">
        <v>702866.25</v>
      </c>
      <c r="C51" s="363">
        <v>7114.49</v>
      </c>
      <c r="D51" s="363">
        <v>695751.76</v>
      </c>
      <c r="E51" s="962">
        <v>0.2162</v>
      </c>
      <c r="F51" s="364">
        <v>217</v>
      </c>
    </row>
    <row r="52" spans="1:9">
      <c r="A52" s="961">
        <v>46100</v>
      </c>
      <c r="B52" s="363">
        <v>707752.09</v>
      </c>
      <c r="C52" s="364">
        <v>118.74</v>
      </c>
      <c r="D52" s="363">
        <v>707633.35</v>
      </c>
      <c r="E52" s="962">
        <v>0.219</v>
      </c>
      <c r="F52" s="364">
        <v>216</v>
      </c>
    </row>
    <row r="53" spans="1:9">
      <c r="A53" s="961">
        <v>46101</v>
      </c>
      <c r="B53" s="363">
        <v>708527.35</v>
      </c>
      <c r="C53" s="363">
        <v>5022.16</v>
      </c>
      <c r="D53" s="363">
        <v>703505.19</v>
      </c>
      <c r="E53" s="962">
        <v>0.2177</v>
      </c>
      <c r="F53" s="364">
        <v>214</v>
      </c>
    </row>
    <row r="54" spans="1:9">
      <c r="A54" s="961">
        <v>46102</v>
      </c>
      <c r="B54" s="363">
        <v>704393.19</v>
      </c>
      <c r="C54" s="363">
        <v>6669.52</v>
      </c>
      <c r="D54" s="363">
        <v>697723.67</v>
      </c>
      <c r="E54" s="962">
        <v>0.21579999999999999</v>
      </c>
      <c r="F54" s="364">
        <v>209</v>
      </c>
    </row>
    <row r="55" spans="1:9">
      <c r="A55" s="958">
        <v>46103</v>
      </c>
      <c r="B55" s="959">
        <v>707032.61</v>
      </c>
      <c r="C55" s="959">
        <v>8846.32</v>
      </c>
      <c r="D55" s="959">
        <v>698186.29</v>
      </c>
      <c r="E55" s="960">
        <v>0.45689999999999997</v>
      </c>
      <c r="F55" s="361">
        <v>214</v>
      </c>
    </row>
    <row r="56" spans="1:9">
      <c r="A56" s="958">
        <v>46104</v>
      </c>
      <c r="B56" s="959">
        <v>718253.3</v>
      </c>
      <c r="C56" s="959">
        <v>7720.23</v>
      </c>
      <c r="D56" s="959">
        <v>710533.07</v>
      </c>
      <c r="E56" s="960">
        <v>0.45889999999999997</v>
      </c>
      <c r="F56" s="361">
        <v>210</v>
      </c>
    </row>
    <row r="57" spans="1:9">
      <c r="A57" s="958">
        <v>46105</v>
      </c>
      <c r="B57" s="959">
        <v>711170.07</v>
      </c>
      <c r="C57" s="959">
        <v>3323.2</v>
      </c>
      <c r="D57" s="959">
        <v>707846.87</v>
      </c>
      <c r="E57" s="960">
        <v>0.45700000000000002</v>
      </c>
      <c r="F57" s="361">
        <v>210</v>
      </c>
    </row>
    <row r="58" spans="1:9">
      <c r="A58" s="958">
        <v>46106</v>
      </c>
      <c r="B58" s="959">
        <v>710023.07</v>
      </c>
      <c r="C58" s="959">
        <v>4109.05</v>
      </c>
      <c r="D58" s="959">
        <v>705914.02</v>
      </c>
      <c r="E58" s="960">
        <v>0.4551</v>
      </c>
      <c r="F58" s="361">
        <v>207</v>
      </c>
    </row>
    <row r="59" spans="1:9">
      <c r="A59" s="958">
        <v>46107</v>
      </c>
      <c r="B59" s="959">
        <v>705914.02</v>
      </c>
      <c r="C59" s="959">
        <v>2811.6</v>
      </c>
      <c r="D59" s="959">
        <v>703102.42</v>
      </c>
      <c r="E59" s="960">
        <v>0.45329999999999998</v>
      </c>
      <c r="F59" s="361">
        <v>206</v>
      </c>
    </row>
    <row r="60" spans="1:9">
      <c r="A60" s="958">
        <v>46108</v>
      </c>
      <c r="B60" s="959">
        <v>703102.42</v>
      </c>
      <c r="C60" s="959">
        <v>3994.8</v>
      </c>
      <c r="D60" s="959">
        <v>699107.62</v>
      </c>
      <c r="E60" s="960">
        <v>0.45069999999999999</v>
      </c>
      <c r="F60" s="361">
        <v>203</v>
      </c>
    </row>
    <row r="61" spans="1:9">
      <c r="A61" s="958">
        <v>46109</v>
      </c>
      <c r="B61" s="959">
        <v>699478.62</v>
      </c>
      <c r="C61" s="959">
        <v>1400.72</v>
      </c>
      <c r="D61" s="959">
        <v>698077.9</v>
      </c>
      <c r="E61" s="960">
        <v>0.45</v>
      </c>
      <c r="F61" s="361">
        <v>202</v>
      </c>
    </row>
    <row r="62" spans="1:9">
      <c r="A62" s="958">
        <v>46110</v>
      </c>
      <c r="B62" s="959">
        <v>698452.9</v>
      </c>
      <c r="C62" s="959">
        <v>3084.33</v>
      </c>
      <c r="D62" s="959">
        <v>695368.57</v>
      </c>
      <c r="E62" s="960">
        <v>0.4481</v>
      </c>
      <c r="F62" s="361">
        <v>200</v>
      </c>
    </row>
    <row r="63" spans="1:9">
      <c r="A63" s="958">
        <v>46111</v>
      </c>
      <c r="B63" s="959">
        <v>697093.41</v>
      </c>
      <c r="C63" s="959">
        <v>4155.42</v>
      </c>
      <c r="D63" s="959">
        <v>692937.99</v>
      </c>
      <c r="E63" s="960">
        <v>0.44600000000000001</v>
      </c>
      <c r="F63" s="361">
        <v>195</v>
      </c>
    </row>
    <row r="64" spans="1:9">
      <c r="A64" s="961">
        <v>46112</v>
      </c>
      <c r="B64" s="363">
        <v>707636.5</v>
      </c>
      <c r="C64" s="363">
        <v>5223.75</v>
      </c>
      <c r="D64" s="363">
        <v>702412.75</v>
      </c>
      <c r="E64" s="962">
        <v>0.21240000000000001</v>
      </c>
      <c r="F64" s="364">
        <v>199</v>
      </c>
    </row>
    <row r="65" spans="1:17">
      <c r="A65" s="961">
        <v>46113</v>
      </c>
      <c r="B65" s="363">
        <v>1522775.6</v>
      </c>
      <c r="C65" s="363">
        <v>356589.35</v>
      </c>
      <c r="D65" s="363">
        <v>1166186.25</v>
      </c>
      <c r="E65" s="962">
        <v>0.28260000000000002</v>
      </c>
      <c r="F65" s="364">
        <v>505</v>
      </c>
    </row>
    <row r="66" spans="1:17">
      <c r="A66" s="961">
        <v>46114</v>
      </c>
      <c r="B66" s="363">
        <v>1176109.32</v>
      </c>
      <c r="C66" s="363">
        <v>146797.96</v>
      </c>
      <c r="D66" s="363">
        <v>1029311.36</v>
      </c>
      <c r="E66" s="962">
        <v>0.24879999999999999</v>
      </c>
      <c r="F66" s="364">
        <v>391</v>
      </c>
    </row>
    <row r="67" spans="1:17">
      <c r="A67" s="961">
        <v>46115</v>
      </c>
      <c r="B67" s="363">
        <v>1029311.36</v>
      </c>
      <c r="C67" s="363">
        <v>193091.43</v>
      </c>
      <c r="D67" s="363">
        <v>836219.93</v>
      </c>
      <c r="E67" s="962">
        <v>0.20219999999999999</v>
      </c>
      <c r="F67" s="364">
        <v>246</v>
      </c>
    </row>
    <row r="68" spans="1:17">
      <c r="A68" s="961">
        <v>46116</v>
      </c>
      <c r="B68" s="363">
        <v>853116.35</v>
      </c>
      <c r="C68" s="363">
        <v>25838.18</v>
      </c>
      <c r="D68" s="363">
        <v>827278.17</v>
      </c>
      <c r="E68" s="962">
        <v>0.19919999999999999</v>
      </c>
      <c r="F68" s="364">
        <v>235</v>
      </c>
    </row>
    <row r="69" spans="1:17">
      <c r="A69" s="961">
        <v>46117</v>
      </c>
      <c r="B69" s="363">
        <v>828855.17</v>
      </c>
      <c r="C69" s="363">
        <v>2241</v>
      </c>
      <c r="D69" s="363">
        <v>826614.17</v>
      </c>
      <c r="E69" s="962">
        <v>0.19889999999999999</v>
      </c>
      <c r="F69" s="364">
        <v>234</v>
      </c>
    </row>
    <row r="70" spans="1:17">
      <c r="A70" s="961">
        <v>46118</v>
      </c>
      <c r="B70" s="363">
        <v>826961.27</v>
      </c>
      <c r="C70" s="363">
        <v>7669.77</v>
      </c>
      <c r="D70" s="363">
        <v>819291.5</v>
      </c>
      <c r="E70" s="962">
        <v>0.19719999999999999</v>
      </c>
      <c r="F70" s="364">
        <v>230</v>
      </c>
    </row>
    <row r="71" spans="1:17">
      <c r="A71" s="961">
        <v>46119</v>
      </c>
      <c r="B71" s="363">
        <v>830403.53</v>
      </c>
      <c r="C71" s="363">
        <v>4508.92</v>
      </c>
      <c r="D71" s="363">
        <v>825894.61</v>
      </c>
      <c r="E71" s="962">
        <v>0.19819999999999999</v>
      </c>
      <c r="F71" s="364">
        <v>229</v>
      </c>
    </row>
    <row r="72" spans="1:17">
      <c r="A72" s="961">
        <v>46120</v>
      </c>
      <c r="B72" s="363">
        <v>870400.11</v>
      </c>
      <c r="C72" s="363">
        <v>10688.18</v>
      </c>
      <c r="D72" s="363">
        <v>859711.93</v>
      </c>
      <c r="E72" s="962">
        <v>0.52990000000000004</v>
      </c>
      <c r="F72" s="364">
        <v>251</v>
      </c>
    </row>
    <row r="73" spans="1:17">
      <c r="A73" s="961">
        <v>46121</v>
      </c>
      <c r="B73" s="363">
        <v>869638.43</v>
      </c>
      <c r="C73" s="363">
        <v>5700.79</v>
      </c>
      <c r="D73" s="363">
        <v>863937.64</v>
      </c>
      <c r="E73" s="962">
        <v>0.52929999999999999</v>
      </c>
      <c r="F73" s="364">
        <v>249</v>
      </c>
      <c r="Q73" t="s">
        <v>1625</v>
      </c>
    </row>
    <row r="74" spans="1:17">
      <c r="A74" s="961">
        <v>46122</v>
      </c>
      <c r="B74" s="363">
        <v>868298.83</v>
      </c>
      <c r="C74" s="363">
        <v>6385.94</v>
      </c>
      <c r="D74" s="363">
        <v>861912.89</v>
      </c>
      <c r="E74" s="962">
        <v>0.52669999999999995</v>
      </c>
      <c r="F74" s="364">
        <v>253</v>
      </c>
    </row>
    <row r="75" spans="1:17">
      <c r="A75" s="961">
        <v>46123</v>
      </c>
      <c r="B75" s="363">
        <v>863420.13</v>
      </c>
      <c r="C75" s="363">
        <v>2699.98</v>
      </c>
      <c r="D75" s="363">
        <v>860720.15</v>
      </c>
      <c r="E75" s="962">
        <v>0.52549999999999997</v>
      </c>
      <c r="F75" s="364">
        <v>253</v>
      </c>
    </row>
    <row r="76" spans="1:17">
      <c r="A76" s="961">
        <v>46124</v>
      </c>
      <c r="B76" s="363">
        <v>861685.15</v>
      </c>
      <c r="C76" s="363">
        <v>2279</v>
      </c>
      <c r="D76" s="363">
        <v>859406.15</v>
      </c>
      <c r="E76" s="962">
        <v>0.52429999999999999</v>
      </c>
      <c r="F76" s="364">
        <v>253</v>
      </c>
    </row>
    <row r="77" spans="1:17">
      <c r="A77" s="961">
        <v>46125</v>
      </c>
      <c r="B77" s="363">
        <v>860975.15</v>
      </c>
      <c r="C77" s="363">
        <v>7895.38</v>
      </c>
      <c r="D77" s="363">
        <v>853079.77</v>
      </c>
      <c r="E77" s="962">
        <v>0.52</v>
      </c>
      <c r="F77" s="364">
        <v>237</v>
      </c>
    </row>
    <row r="78" spans="1:17">
      <c r="A78" s="1099">
        <v>46126</v>
      </c>
      <c r="B78" s="1100">
        <v>864706.6</v>
      </c>
      <c r="C78" s="1100">
        <v>4836.87</v>
      </c>
      <c r="D78" s="1100">
        <v>859869.73</v>
      </c>
      <c r="E78" s="1101">
        <v>0.52149999999999996</v>
      </c>
      <c r="F78" s="1098">
        <v>222</v>
      </c>
    </row>
    <row r="79" spans="1:17">
      <c r="A79" s="1099">
        <v>46127</v>
      </c>
      <c r="B79" s="1100">
        <v>861737.73</v>
      </c>
      <c r="C79" s="1100">
        <v>5518.48</v>
      </c>
      <c r="D79" s="1100">
        <v>856219.25</v>
      </c>
      <c r="E79" s="1101">
        <v>0.51870000000000005</v>
      </c>
      <c r="F79" s="1098">
        <v>218</v>
      </c>
    </row>
    <row r="80" spans="1:17">
      <c r="A80" s="1099">
        <v>46128</v>
      </c>
      <c r="B80" s="1100">
        <v>857829.25</v>
      </c>
      <c r="C80" s="1100">
        <v>16752.16</v>
      </c>
      <c r="D80" s="1100">
        <v>841077.09</v>
      </c>
      <c r="E80" s="1101">
        <v>0.5091</v>
      </c>
      <c r="F80" s="1098">
        <v>213</v>
      </c>
    </row>
    <row r="81" spans="1:6">
      <c r="A81" s="1099">
        <v>46129</v>
      </c>
      <c r="B81" s="1100">
        <v>844979.09</v>
      </c>
      <c r="C81" s="1100">
        <v>8178.29</v>
      </c>
      <c r="D81" s="1100">
        <v>836800.8</v>
      </c>
      <c r="E81" s="1101">
        <v>0.50529999999999997</v>
      </c>
      <c r="F81" s="1098">
        <v>212</v>
      </c>
    </row>
    <row r="82" spans="1:6">
      <c r="A82" s="1099">
        <v>46130</v>
      </c>
      <c r="B82" s="1100">
        <v>839101.8</v>
      </c>
      <c r="C82" s="1100">
        <v>5800.2</v>
      </c>
      <c r="D82" s="1100">
        <v>833301.6</v>
      </c>
      <c r="E82" s="1101">
        <v>0.50249999999999995</v>
      </c>
      <c r="F82" s="1098">
        <v>209</v>
      </c>
    </row>
    <row r="83" spans="1:6">
      <c r="A83" s="1099">
        <v>46131</v>
      </c>
      <c r="B83" s="1100">
        <v>833475.6</v>
      </c>
      <c r="C83" s="1098">
        <v>789</v>
      </c>
      <c r="D83" s="1100">
        <v>832686.6</v>
      </c>
      <c r="E83" s="1101">
        <v>0.50209999999999999</v>
      </c>
      <c r="F83" s="1098">
        <v>208</v>
      </c>
    </row>
    <row r="84" spans="1:6">
      <c r="A84" s="1099">
        <v>46132</v>
      </c>
      <c r="B84" s="1100">
        <v>833529.23</v>
      </c>
      <c r="C84" s="1100">
        <v>3073.94</v>
      </c>
      <c r="D84" s="1100">
        <v>830455.29</v>
      </c>
      <c r="E84" s="1101">
        <v>0.50049999999999994</v>
      </c>
      <c r="F84" s="1098">
        <v>206</v>
      </c>
    </row>
    <row r="85" spans="1:6">
      <c r="A85" s="118">
        <v>46133</v>
      </c>
      <c r="B85" s="117">
        <v>836983.54</v>
      </c>
      <c r="C85" s="117">
        <v>7140.38</v>
      </c>
      <c r="D85" s="117">
        <v>829843.16</v>
      </c>
      <c r="E85" s="116">
        <v>0.49340000000000001</v>
      </c>
      <c r="F85" s="116">
        <v>203</v>
      </c>
    </row>
    <row r="86" spans="1:6">
      <c r="A86" s="118">
        <v>46134</v>
      </c>
      <c r="B86" s="117">
        <v>831800.71</v>
      </c>
      <c r="C86" s="117">
        <v>3876.33</v>
      </c>
      <c r="D86" s="117">
        <v>827924.38</v>
      </c>
      <c r="E86" s="116">
        <v>0.49170000000000003</v>
      </c>
      <c r="F86" s="116">
        <v>201</v>
      </c>
    </row>
    <row r="87" spans="1:6">
      <c r="A87" s="118">
        <v>46135</v>
      </c>
      <c r="B87" s="117">
        <v>828426.42</v>
      </c>
      <c r="C87" s="117">
        <v>14109.4</v>
      </c>
      <c r="D87" s="117">
        <v>814317.02</v>
      </c>
      <c r="E87" s="116">
        <v>0.4834</v>
      </c>
      <c r="F87" s="116">
        <v>199</v>
      </c>
    </row>
    <row r="88" spans="1:6">
      <c r="A88" s="118">
        <v>46136</v>
      </c>
      <c r="B88" s="117">
        <v>815894.97</v>
      </c>
      <c r="C88" s="117">
        <v>5211.3100000000004</v>
      </c>
      <c r="D88" s="117">
        <v>810683.66</v>
      </c>
      <c r="E88" s="116">
        <v>0.48080000000000001</v>
      </c>
      <c r="F88" s="116">
        <v>195</v>
      </c>
    </row>
    <row r="89" spans="1:6">
      <c r="A89" s="118">
        <v>46137</v>
      </c>
      <c r="B89" s="117">
        <v>810683.66</v>
      </c>
      <c r="C89" s="116">
        <v>264</v>
      </c>
      <c r="D89" s="117">
        <v>810419.66</v>
      </c>
      <c r="E89" s="116">
        <v>0.48070000000000002</v>
      </c>
      <c r="F89" s="116">
        <v>194</v>
      </c>
    </row>
    <row r="90" spans="1:6">
      <c r="A90" s="118">
        <v>46138</v>
      </c>
      <c r="B90" s="117">
        <v>810419.66</v>
      </c>
      <c r="C90" s="116">
        <v>150</v>
      </c>
      <c r="D90" s="117">
        <v>810269.66</v>
      </c>
      <c r="E90" s="116">
        <v>0.48060000000000003</v>
      </c>
      <c r="F90" s="116">
        <v>194</v>
      </c>
    </row>
    <row r="91" spans="1:6">
      <c r="A91" s="1112">
        <v>46139</v>
      </c>
      <c r="B91" s="1113">
        <v>810269.66</v>
      </c>
      <c r="C91" s="1114">
        <v>0</v>
      </c>
      <c r="D91" s="1113">
        <v>810269.66</v>
      </c>
      <c r="E91" s="1114">
        <v>0.48060000000000003</v>
      </c>
      <c r="F91" s="1114">
        <v>194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3B923-187E-492A-A916-8A288D0F2E7C}">
  <sheetPr codeName="Sheet14">
    <tabColor theme="4" tint="0.59999389629810485"/>
  </sheetPr>
  <dimension ref="A1:O509"/>
  <sheetViews>
    <sheetView workbookViewId="0">
      <selection activeCell="I26" sqref="I26"/>
    </sheetView>
  </sheetViews>
  <sheetFormatPr defaultRowHeight="14.5"/>
  <cols>
    <col min="1" max="1" width="8.7265625" bestFit="1" customWidth="1"/>
    <col min="2" max="2" width="11.26953125" bestFit="1" customWidth="1"/>
    <col min="3" max="3" width="9.453125" bestFit="1" customWidth="1"/>
    <col min="4" max="4" width="28.26953125" bestFit="1" customWidth="1"/>
    <col min="5" max="5" width="20.81640625" bestFit="1" customWidth="1"/>
    <col min="6" max="8" width="10.7265625" bestFit="1" customWidth="1"/>
    <col min="9" max="9" width="27.54296875" bestFit="1" customWidth="1"/>
    <col min="10" max="10" width="9.26953125" bestFit="1" customWidth="1"/>
    <col min="11" max="11" width="10.26953125" bestFit="1" customWidth="1"/>
    <col min="12" max="12" width="10.453125" bestFit="1" customWidth="1"/>
    <col min="13" max="13" width="12.1796875" customWidth="1"/>
  </cols>
  <sheetData>
    <row r="1" spans="1:15">
      <c r="A1" s="116" t="s">
        <v>1536</v>
      </c>
      <c r="B1" s="116" t="s">
        <v>962</v>
      </c>
      <c r="C1" s="116" t="s">
        <v>1466</v>
      </c>
      <c r="D1" s="116" t="s">
        <v>497</v>
      </c>
      <c r="E1" s="116" t="s">
        <v>1315</v>
      </c>
      <c r="F1" s="116" t="s">
        <v>1626</v>
      </c>
      <c r="G1" s="116" t="s">
        <v>1627</v>
      </c>
      <c r="H1" s="116" t="s">
        <v>1628</v>
      </c>
      <c r="I1" s="116" t="s">
        <v>1629</v>
      </c>
      <c r="J1" s="116" t="s">
        <v>481</v>
      </c>
      <c r="K1" s="116" t="s">
        <v>484</v>
      </c>
      <c r="L1" s="116" t="s">
        <v>1318</v>
      </c>
      <c r="M1" s="116" t="s">
        <v>1319</v>
      </c>
      <c r="N1" s="116"/>
      <c r="O1" s="116"/>
    </row>
    <row r="2" spans="1:15">
      <c r="A2" s="116" t="s">
        <v>953</v>
      </c>
      <c r="B2" s="116" t="s">
        <v>1630</v>
      </c>
      <c r="C2" s="116" t="s">
        <v>1493</v>
      </c>
      <c r="D2" s="116" t="s">
        <v>1631</v>
      </c>
      <c r="E2" s="116" t="s">
        <v>1632</v>
      </c>
      <c r="F2" s="118">
        <v>45586</v>
      </c>
      <c r="G2" s="118">
        <v>45586</v>
      </c>
      <c r="H2" s="118">
        <v>46011</v>
      </c>
      <c r="I2" s="116">
        <v>58.25</v>
      </c>
      <c r="J2" s="116">
        <v>0</v>
      </c>
      <c r="K2" s="116">
        <v>58.25</v>
      </c>
      <c r="L2" s="116">
        <v>0</v>
      </c>
      <c r="M2" s="116">
        <v>0</v>
      </c>
      <c r="N2" s="116"/>
      <c r="O2" s="116"/>
    </row>
    <row r="3" spans="1:15">
      <c r="A3" s="116" t="s">
        <v>953</v>
      </c>
      <c r="B3" s="116" t="s">
        <v>1633</v>
      </c>
      <c r="C3" s="116" t="s">
        <v>1493</v>
      </c>
      <c r="D3" s="116" t="s">
        <v>1634</v>
      </c>
      <c r="E3" s="116" t="s">
        <v>1635</v>
      </c>
      <c r="F3" s="118">
        <v>45873</v>
      </c>
      <c r="G3" s="118">
        <v>45873</v>
      </c>
      <c r="H3" s="118">
        <v>46237</v>
      </c>
      <c r="I3" s="116">
        <v>35.450000000000003</v>
      </c>
      <c r="J3" s="116">
        <v>35.450000000000003</v>
      </c>
      <c r="K3" s="116">
        <v>0</v>
      </c>
      <c r="L3" s="116">
        <v>0</v>
      </c>
      <c r="M3" s="116">
        <v>0</v>
      </c>
      <c r="N3" s="116"/>
      <c r="O3" s="116"/>
    </row>
    <row r="4" spans="1:15">
      <c r="A4" s="116" t="s">
        <v>953</v>
      </c>
      <c r="B4" s="116" t="s">
        <v>1636</v>
      </c>
      <c r="C4" s="116" t="s">
        <v>1493</v>
      </c>
      <c r="D4" s="116" t="s">
        <v>1637</v>
      </c>
      <c r="E4" s="116" t="s">
        <v>1635</v>
      </c>
      <c r="F4" s="118">
        <v>45958</v>
      </c>
      <c r="G4" s="118">
        <v>45958</v>
      </c>
      <c r="H4" s="118">
        <v>46315</v>
      </c>
      <c r="I4" s="116">
        <v>0.2</v>
      </c>
      <c r="J4" s="116">
        <v>0.2</v>
      </c>
      <c r="K4" s="116">
        <v>0</v>
      </c>
      <c r="L4" s="116">
        <v>0</v>
      </c>
      <c r="M4" s="116">
        <v>0</v>
      </c>
      <c r="N4" s="116"/>
      <c r="O4" s="116"/>
    </row>
    <row r="5" spans="1:15">
      <c r="A5" s="116" t="s">
        <v>953</v>
      </c>
      <c r="B5" s="116" t="s">
        <v>1397</v>
      </c>
      <c r="C5" s="116" t="s">
        <v>1493</v>
      </c>
      <c r="D5" s="116" t="s">
        <v>1398</v>
      </c>
      <c r="E5" s="116" t="s">
        <v>1338</v>
      </c>
      <c r="F5" s="118">
        <v>44230</v>
      </c>
      <c r="G5" s="118">
        <v>46023</v>
      </c>
      <c r="H5" s="118">
        <v>46025</v>
      </c>
      <c r="I5" s="116">
        <v>407.54</v>
      </c>
      <c r="J5" s="116">
        <v>0</v>
      </c>
      <c r="K5" s="116">
        <v>69.180000000000007</v>
      </c>
      <c r="L5" s="116">
        <v>69.180000000000007</v>
      </c>
      <c r="M5" s="116">
        <v>269.18</v>
      </c>
      <c r="N5" s="116"/>
      <c r="O5" s="116"/>
    </row>
    <row r="6" spans="1:15">
      <c r="A6" s="116" t="s">
        <v>953</v>
      </c>
      <c r="B6" s="116" t="s">
        <v>1638</v>
      </c>
      <c r="C6" s="116" t="s">
        <v>1500</v>
      </c>
      <c r="D6" s="116" t="s">
        <v>1639</v>
      </c>
      <c r="E6" s="116" t="s">
        <v>1635</v>
      </c>
      <c r="F6" s="118">
        <v>43641</v>
      </c>
      <c r="G6" s="118">
        <v>45839</v>
      </c>
      <c r="H6" s="118">
        <v>46203</v>
      </c>
      <c r="I6" s="117">
        <v>4758.42</v>
      </c>
      <c r="J6" s="117">
        <v>1196.58</v>
      </c>
      <c r="K6" s="117">
        <v>1187.28</v>
      </c>
      <c r="L6" s="117">
        <v>1187.28</v>
      </c>
      <c r="M6" s="117">
        <v>1187.28</v>
      </c>
      <c r="N6" s="116"/>
      <c r="O6" s="116"/>
    </row>
    <row r="7" spans="1:15">
      <c r="A7" s="116" t="s">
        <v>953</v>
      </c>
      <c r="B7" s="116" t="s">
        <v>1640</v>
      </c>
      <c r="C7" s="116" t="s">
        <v>1496</v>
      </c>
      <c r="D7" s="116" t="s">
        <v>1641</v>
      </c>
      <c r="E7" s="116" t="s">
        <v>1642</v>
      </c>
      <c r="F7" s="118">
        <v>38257</v>
      </c>
      <c r="G7" s="118">
        <v>45931</v>
      </c>
      <c r="H7" s="118">
        <v>46295</v>
      </c>
      <c r="I7" s="117">
        <v>3100.94</v>
      </c>
      <c r="J7" s="117">
        <v>1031.2</v>
      </c>
      <c r="K7" s="117">
        <v>1034.8699999999999</v>
      </c>
      <c r="L7" s="117">
        <v>1034.8699999999999</v>
      </c>
      <c r="M7" s="116">
        <v>0</v>
      </c>
      <c r="N7" s="116"/>
      <c r="O7" s="116"/>
    </row>
    <row r="8" spans="1:15">
      <c r="A8" s="116" t="s">
        <v>953</v>
      </c>
      <c r="B8" s="116" t="s">
        <v>1037</v>
      </c>
      <c r="C8" s="116" t="s">
        <v>1496</v>
      </c>
      <c r="D8" s="116" t="s">
        <v>1345</v>
      </c>
      <c r="E8" s="116" t="s">
        <v>1325</v>
      </c>
      <c r="F8" s="118">
        <v>45478</v>
      </c>
      <c r="G8" s="118">
        <v>45905</v>
      </c>
      <c r="H8" s="118">
        <v>46045</v>
      </c>
      <c r="I8" s="117">
        <v>7353.47</v>
      </c>
      <c r="J8" s="116">
        <v>0</v>
      </c>
      <c r="K8" s="116">
        <v>60.87</v>
      </c>
      <c r="L8" s="116">
        <v>60.87</v>
      </c>
      <c r="M8" s="117">
        <v>7231.73</v>
      </c>
      <c r="N8" s="116"/>
      <c r="O8" s="116"/>
    </row>
    <row r="9" spans="1:15">
      <c r="A9" s="116" t="s">
        <v>953</v>
      </c>
      <c r="B9" s="116" t="s">
        <v>1334</v>
      </c>
      <c r="C9" s="116" t="s">
        <v>1496</v>
      </c>
      <c r="D9" s="116" t="s">
        <v>1335</v>
      </c>
      <c r="E9" s="116" t="s">
        <v>1325</v>
      </c>
      <c r="F9" s="118">
        <v>45461</v>
      </c>
      <c r="G9" s="118">
        <v>45887</v>
      </c>
      <c r="H9" s="118">
        <v>46045</v>
      </c>
      <c r="I9" s="117">
        <v>8591.7900000000009</v>
      </c>
      <c r="J9" s="116">
        <v>0</v>
      </c>
      <c r="K9" s="116">
        <v>60.87</v>
      </c>
      <c r="L9" s="116">
        <v>60.87</v>
      </c>
      <c r="M9" s="117">
        <v>8470.0499999999993</v>
      </c>
      <c r="N9" s="116"/>
      <c r="O9" s="116"/>
    </row>
    <row r="10" spans="1:15">
      <c r="A10" s="116" t="s">
        <v>953</v>
      </c>
      <c r="B10" s="116" t="s">
        <v>1349</v>
      </c>
      <c r="C10" s="116" t="s">
        <v>1496</v>
      </c>
      <c r="D10" s="116" t="s">
        <v>1350</v>
      </c>
      <c r="E10" s="116" t="s">
        <v>1325</v>
      </c>
      <c r="F10" s="118">
        <v>45722</v>
      </c>
      <c r="G10" s="118">
        <v>45722</v>
      </c>
      <c r="H10" s="118">
        <v>46147</v>
      </c>
      <c r="I10" s="117">
        <v>6728.09</v>
      </c>
      <c r="J10" s="116">
        <v>0</v>
      </c>
      <c r="K10" s="116">
        <v>60.87</v>
      </c>
      <c r="L10" s="116">
        <v>60.87</v>
      </c>
      <c r="M10" s="117">
        <v>6606.35</v>
      </c>
      <c r="N10" s="116"/>
      <c r="O10" s="116"/>
    </row>
    <row r="11" spans="1:15">
      <c r="A11" s="116" t="s">
        <v>953</v>
      </c>
      <c r="B11" s="116" t="s">
        <v>1643</v>
      </c>
      <c r="C11" s="116" t="s">
        <v>1496</v>
      </c>
      <c r="D11" s="116" t="s">
        <v>1644</v>
      </c>
      <c r="E11" s="116" t="s">
        <v>1323</v>
      </c>
      <c r="F11" s="118">
        <v>45757</v>
      </c>
      <c r="G11" s="118">
        <v>45757</v>
      </c>
      <c r="H11" s="118">
        <v>46182</v>
      </c>
      <c r="I11" s="117">
        <v>13768.56</v>
      </c>
      <c r="J11" s="117">
        <v>5137.76</v>
      </c>
      <c r="K11" s="117">
        <v>1112.8699999999999</v>
      </c>
      <c r="L11" s="117">
        <v>1112.8699999999999</v>
      </c>
      <c r="M11" s="117">
        <v>6405.06</v>
      </c>
      <c r="N11" s="116"/>
      <c r="O11" s="116"/>
    </row>
    <row r="12" spans="1:15">
      <c r="A12" s="116" t="s">
        <v>953</v>
      </c>
      <c r="B12" s="116" t="s">
        <v>1645</v>
      </c>
      <c r="C12" s="116" t="s">
        <v>1496</v>
      </c>
      <c r="D12" s="116" t="s">
        <v>1646</v>
      </c>
      <c r="E12" s="116" t="s">
        <v>1647</v>
      </c>
      <c r="F12" s="118">
        <v>45611</v>
      </c>
      <c r="G12" s="118">
        <v>46037</v>
      </c>
      <c r="H12" s="116"/>
      <c r="I12" s="117">
        <v>2054.0700000000002</v>
      </c>
      <c r="J12" s="117">
        <v>1025.2</v>
      </c>
      <c r="K12" s="117">
        <v>1028.8699999999999</v>
      </c>
      <c r="L12" s="116">
        <v>0</v>
      </c>
      <c r="M12" s="116">
        <v>0</v>
      </c>
      <c r="N12" s="116"/>
      <c r="O12" s="116"/>
    </row>
    <row r="13" spans="1:15">
      <c r="A13" s="116" t="s">
        <v>953</v>
      </c>
      <c r="B13" s="116" t="s">
        <v>1648</v>
      </c>
      <c r="C13" s="116" t="s">
        <v>1496</v>
      </c>
      <c r="D13" s="116" t="s">
        <v>1649</v>
      </c>
      <c r="E13" s="116" t="s">
        <v>1635</v>
      </c>
      <c r="F13" s="118">
        <v>45661</v>
      </c>
      <c r="G13" s="118">
        <v>46085</v>
      </c>
      <c r="H13" s="118">
        <v>46449</v>
      </c>
      <c r="I13" s="116">
        <v>800.07</v>
      </c>
      <c r="J13" s="116">
        <v>800.07</v>
      </c>
      <c r="K13" s="116">
        <v>0</v>
      </c>
      <c r="L13" s="116">
        <v>0</v>
      </c>
      <c r="M13" s="116">
        <v>0</v>
      </c>
      <c r="N13" s="116"/>
      <c r="O13" s="116"/>
    </row>
    <row r="14" spans="1:15">
      <c r="A14" s="116" t="s">
        <v>953</v>
      </c>
      <c r="B14" s="116" t="s">
        <v>1650</v>
      </c>
      <c r="C14" s="116" t="s">
        <v>1496</v>
      </c>
      <c r="D14" s="116" t="s">
        <v>1651</v>
      </c>
      <c r="E14" s="116" t="s">
        <v>1635</v>
      </c>
      <c r="F14" s="118">
        <v>44967</v>
      </c>
      <c r="G14" s="118">
        <v>46073</v>
      </c>
      <c r="H14" s="118">
        <v>46437</v>
      </c>
      <c r="I14" s="116">
        <v>62</v>
      </c>
      <c r="J14" s="116">
        <v>62</v>
      </c>
      <c r="K14" s="116">
        <v>0</v>
      </c>
      <c r="L14" s="116">
        <v>0</v>
      </c>
      <c r="M14" s="116">
        <v>0</v>
      </c>
      <c r="N14" s="116"/>
      <c r="O14" s="116"/>
    </row>
    <row r="15" spans="1:15">
      <c r="A15" s="116" t="s">
        <v>953</v>
      </c>
      <c r="B15" s="116" t="s">
        <v>857</v>
      </c>
      <c r="C15" s="116" t="s">
        <v>1500</v>
      </c>
      <c r="D15" s="116" t="s">
        <v>1652</v>
      </c>
      <c r="E15" s="116" t="s">
        <v>1323</v>
      </c>
      <c r="F15" s="118">
        <v>44111</v>
      </c>
      <c r="G15" s="118">
        <v>45931</v>
      </c>
      <c r="H15" s="118">
        <v>46295</v>
      </c>
      <c r="I15" s="117">
        <v>9117.59</v>
      </c>
      <c r="J15" s="116">
        <v>0</v>
      </c>
      <c r="K15" s="117">
        <v>6271.03</v>
      </c>
      <c r="L15" s="117">
        <v>1423.28</v>
      </c>
      <c r="M15" s="117">
        <v>1423.28</v>
      </c>
      <c r="N15" s="116"/>
      <c r="O15" s="116"/>
    </row>
    <row r="16" spans="1:15">
      <c r="A16" s="116" t="s">
        <v>953</v>
      </c>
      <c r="B16" s="116" t="s">
        <v>899</v>
      </c>
      <c r="C16" s="116" t="s">
        <v>1500</v>
      </c>
      <c r="D16" s="116" t="s">
        <v>1653</v>
      </c>
      <c r="E16" s="116" t="s">
        <v>1323</v>
      </c>
      <c r="F16" s="118">
        <v>43259</v>
      </c>
      <c r="G16" s="118">
        <v>45627</v>
      </c>
      <c r="H16" s="118">
        <v>46053</v>
      </c>
      <c r="I16" s="116">
        <v>62.6</v>
      </c>
      <c r="J16" s="116">
        <v>0</v>
      </c>
      <c r="K16" s="116">
        <v>62.6</v>
      </c>
      <c r="L16" s="116">
        <v>0</v>
      </c>
      <c r="M16" s="116">
        <v>0</v>
      </c>
      <c r="N16" s="116"/>
      <c r="O16" s="116"/>
    </row>
    <row r="17" spans="1:15">
      <c r="A17" s="116" t="s">
        <v>953</v>
      </c>
      <c r="B17" s="116" t="s">
        <v>1140</v>
      </c>
      <c r="C17" s="116" t="s">
        <v>1500</v>
      </c>
      <c r="D17" s="116" t="s">
        <v>1654</v>
      </c>
      <c r="E17" s="116" t="s">
        <v>1338</v>
      </c>
      <c r="F17" s="118">
        <v>45682</v>
      </c>
      <c r="G17" s="118">
        <v>46106</v>
      </c>
      <c r="H17" s="118">
        <v>46109</v>
      </c>
      <c r="I17" s="117">
        <v>1099.25</v>
      </c>
      <c r="J17" s="117">
        <v>1099.25</v>
      </c>
      <c r="K17" s="116">
        <v>0</v>
      </c>
      <c r="L17" s="116">
        <v>0</v>
      </c>
      <c r="M17" s="116">
        <v>0</v>
      </c>
      <c r="N17" s="116"/>
      <c r="O17" s="116"/>
    </row>
    <row r="18" spans="1:15">
      <c r="A18" s="116" t="s">
        <v>953</v>
      </c>
      <c r="B18" s="116" t="s">
        <v>1655</v>
      </c>
      <c r="C18" s="116" t="s">
        <v>1500</v>
      </c>
      <c r="D18" s="116" t="s">
        <v>1656</v>
      </c>
      <c r="E18" s="116" t="s">
        <v>1338</v>
      </c>
      <c r="F18" s="118">
        <v>45535</v>
      </c>
      <c r="G18" s="118">
        <v>46016</v>
      </c>
      <c r="H18" s="118">
        <v>46099</v>
      </c>
      <c r="I18" s="117">
        <v>1015.84</v>
      </c>
      <c r="J18" s="116">
        <v>0</v>
      </c>
      <c r="K18" s="117">
        <v>1015.84</v>
      </c>
      <c r="L18" s="116">
        <v>0</v>
      </c>
      <c r="M18" s="116">
        <v>0</v>
      </c>
      <c r="N18" s="116"/>
      <c r="O18" s="116"/>
    </row>
    <row r="19" spans="1:15">
      <c r="A19" s="116" t="s">
        <v>953</v>
      </c>
      <c r="B19" s="116" t="s">
        <v>1388</v>
      </c>
      <c r="C19" s="116" t="s">
        <v>1493</v>
      </c>
      <c r="D19" s="116" t="s">
        <v>1657</v>
      </c>
      <c r="E19" s="116" t="s">
        <v>1647</v>
      </c>
      <c r="F19" s="118">
        <v>46088</v>
      </c>
      <c r="G19" s="118">
        <v>46119</v>
      </c>
      <c r="H19" s="116"/>
      <c r="I19" s="116">
        <v>148</v>
      </c>
      <c r="J19" s="116">
        <v>148</v>
      </c>
      <c r="K19" s="116">
        <v>0</v>
      </c>
      <c r="L19" s="116">
        <v>0</v>
      </c>
      <c r="M19" s="116">
        <v>0</v>
      </c>
      <c r="N19" s="116"/>
      <c r="O19" s="116"/>
    </row>
    <row r="20" spans="1:15">
      <c r="A20" s="116" t="s">
        <v>953</v>
      </c>
      <c r="B20" s="116" t="s">
        <v>1388</v>
      </c>
      <c r="C20" s="116" t="s">
        <v>1493</v>
      </c>
      <c r="D20" s="116" t="s">
        <v>1389</v>
      </c>
      <c r="E20" s="116" t="s">
        <v>1338</v>
      </c>
      <c r="F20" s="118">
        <v>45274</v>
      </c>
      <c r="G20" s="118">
        <v>45640</v>
      </c>
      <c r="H20" s="118">
        <v>46009</v>
      </c>
      <c r="I20" s="116">
        <v>728.27</v>
      </c>
      <c r="J20" s="116">
        <v>0</v>
      </c>
      <c r="K20" s="116">
        <v>54.5</v>
      </c>
      <c r="L20" s="116">
        <v>54.5</v>
      </c>
      <c r="M20" s="116">
        <v>619.27</v>
      </c>
      <c r="N20" s="116"/>
      <c r="O20" s="116"/>
    </row>
    <row r="21" spans="1:15">
      <c r="A21" s="116" t="s">
        <v>953</v>
      </c>
      <c r="B21" s="116" t="s">
        <v>1658</v>
      </c>
      <c r="C21" s="116" t="s">
        <v>1493</v>
      </c>
      <c r="D21" s="116" t="s">
        <v>1659</v>
      </c>
      <c r="E21" s="116" t="s">
        <v>1647</v>
      </c>
      <c r="F21" s="118">
        <v>45646</v>
      </c>
      <c r="G21" s="118">
        <v>46011</v>
      </c>
      <c r="H21" s="116"/>
      <c r="I21" s="117">
        <v>12771.92</v>
      </c>
      <c r="J21" s="117">
        <v>1013.2</v>
      </c>
      <c r="K21" s="117">
        <v>1019.25</v>
      </c>
      <c r="L21" s="117">
        <v>1019.25</v>
      </c>
      <c r="M21" s="117">
        <v>9720.2199999999993</v>
      </c>
      <c r="N21" s="116"/>
      <c r="O21" s="116"/>
    </row>
    <row r="22" spans="1:15">
      <c r="A22" s="116" t="s">
        <v>953</v>
      </c>
      <c r="B22" s="116" t="s">
        <v>1660</v>
      </c>
      <c r="C22" s="116" t="s">
        <v>1493</v>
      </c>
      <c r="D22" s="116" t="s">
        <v>1661</v>
      </c>
      <c r="E22" s="116" t="s">
        <v>1635</v>
      </c>
      <c r="F22" s="118">
        <v>44160</v>
      </c>
      <c r="G22" s="118">
        <v>45839</v>
      </c>
      <c r="H22" s="118">
        <v>46203</v>
      </c>
      <c r="I22" s="116">
        <v>226.95</v>
      </c>
      <c r="J22" s="116">
        <v>226.95</v>
      </c>
      <c r="K22" s="116">
        <v>0</v>
      </c>
      <c r="L22" s="116">
        <v>0</v>
      </c>
      <c r="M22" s="116">
        <v>0</v>
      </c>
      <c r="N22" s="116"/>
      <c r="O22" s="116"/>
    </row>
    <row r="23" spans="1:15">
      <c r="A23" s="116" t="s">
        <v>953</v>
      </c>
      <c r="B23" s="116" t="s">
        <v>1662</v>
      </c>
      <c r="C23" s="116" t="s">
        <v>1493</v>
      </c>
      <c r="D23" s="116" t="s">
        <v>1663</v>
      </c>
      <c r="E23" s="116" t="s">
        <v>1664</v>
      </c>
      <c r="F23" s="118">
        <v>45709</v>
      </c>
      <c r="G23" s="118">
        <v>45709</v>
      </c>
      <c r="H23" s="118">
        <v>46132</v>
      </c>
      <c r="I23" s="117">
        <v>9209.52</v>
      </c>
      <c r="J23" s="116">
        <v>770.2</v>
      </c>
      <c r="K23" s="117">
        <v>1088.25</v>
      </c>
      <c r="L23" s="117">
        <v>1088.25</v>
      </c>
      <c r="M23" s="117">
        <v>6262.82</v>
      </c>
      <c r="N23" s="116"/>
      <c r="O23" s="116"/>
    </row>
    <row r="24" spans="1:15">
      <c r="A24" s="116" t="s">
        <v>953</v>
      </c>
      <c r="B24" s="116" t="s">
        <v>1665</v>
      </c>
      <c r="C24" s="116" t="s">
        <v>1493</v>
      </c>
      <c r="D24" s="116" t="s">
        <v>1666</v>
      </c>
      <c r="E24" s="116" t="s">
        <v>1323</v>
      </c>
      <c r="F24" s="118">
        <v>45485</v>
      </c>
      <c r="G24" s="118">
        <v>45912</v>
      </c>
      <c r="H24" s="118">
        <v>46114</v>
      </c>
      <c r="I24" s="117">
        <v>8144.06</v>
      </c>
      <c r="J24" s="117">
        <v>7502.81</v>
      </c>
      <c r="K24" s="116">
        <v>641.25</v>
      </c>
      <c r="L24" s="116">
        <v>0</v>
      </c>
      <c r="M24" s="116">
        <v>0</v>
      </c>
      <c r="N24" s="116"/>
      <c r="O24" s="116"/>
    </row>
    <row r="25" spans="1:15">
      <c r="A25" s="116" t="s">
        <v>953</v>
      </c>
      <c r="B25" s="116" t="s">
        <v>1667</v>
      </c>
      <c r="C25" s="116" t="s">
        <v>1500</v>
      </c>
      <c r="D25" s="116" t="s">
        <v>1668</v>
      </c>
      <c r="E25" s="116" t="s">
        <v>1635</v>
      </c>
      <c r="F25" s="118">
        <v>41976</v>
      </c>
      <c r="G25" s="118">
        <v>45809</v>
      </c>
      <c r="H25" s="118">
        <v>46173</v>
      </c>
      <c r="I25" s="116">
        <v>0.68</v>
      </c>
      <c r="J25" s="116">
        <v>0.68</v>
      </c>
      <c r="K25" s="116">
        <v>0</v>
      </c>
      <c r="L25" s="116">
        <v>0</v>
      </c>
      <c r="M25" s="116">
        <v>0</v>
      </c>
      <c r="N25" s="116"/>
      <c r="O25" s="116"/>
    </row>
    <row r="26" spans="1:15">
      <c r="A26" s="116" t="s">
        <v>953</v>
      </c>
      <c r="B26" s="116" t="s">
        <v>880</v>
      </c>
      <c r="C26" s="116" t="s">
        <v>1493</v>
      </c>
      <c r="D26" s="116" t="s">
        <v>1669</v>
      </c>
      <c r="E26" s="116" t="s">
        <v>1338</v>
      </c>
      <c r="F26" s="118">
        <v>43922</v>
      </c>
      <c r="G26" s="118">
        <v>45901</v>
      </c>
      <c r="H26" s="118">
        <v>46081</v>
      </c>
      <c r="I26" s="117">
        <v>1267.5</v>
      </c>
      <c r="J26" s="116">
        <v>0</v>
      </c>
      <c r="K26" s="116">
        <v>324.25</v>
      </c>
      <c r="L26" s="116">
        <v>943.25</v>
      </c>
      <c r="M26" s="116">
        <v>0</v>
      </c>
      <c r="N26" s="116"/>
      <c r="O26" s="116"/>
    </row>
    <row r="27" spans="1:15">
      <c r="A27" s="116" t="s">
        <v>953</v>
      </c>
      <c r="B27" s="116" t="s">
        <v>1670</v>
      </c>
      <c r="C27" s="116" t="s">
        <v>1493</v>
      </c>
      <c r="D27" s="116" t="s">
        <v>1671</v>
      </c>
      <c r="E27" s="116" t="s">
        <v>1635</v>
      </c>
      <c r="F27" s="118">
        <v>45926</v>
      </c>
      <c r="G27" s="118">
        <v>45926</v>
      </c>
      <c r="H27" s="118">
        <v>46290</v>
      </c>
      <c r="I27" s="117">
        <v>4260.3999999999996</v>
      </c>
      <c r="J27" s="117">
        <v>1015.2</v>
      </c>
      <c r="K27" s="117">
        <v>1021.25</v>
      </c>
      <c r="L27" s="117">
        <v>1021.25</v>
      </c>
      <c r="M27" s="117">
        <v>1202.7</v>
      </c>
      <c r="N27" s="116"/>
      <c r="O27" s="116"/>
    </row>
    <row r="28" spans="1:15">
      <c r="A28" s="116" t="s">
        <v>953</v>
      </c>
      <c r="B28" s="116" t="s">
        <v>869</v>
      </c>
      <c r="C28" s="116" t="s">
        <v>1500</v>
      </c>
      <c r="D28" s="116" t="s">
        <v>1672</v>
      </c>
      <c r="E28" s="116" t="s">
        <v>1323</v>
      </c>
      <c r="F28" s="118">
        <v>45465</v>
      </c>
      <c r="G28" s="118">
        <v>45992</v>
      </c>
      <c r="H28" s="118">
        <v>46356</v>
      </c>
      <c r="I28" s="117">
        <v>2954.5</v>
      </c>
      <c r="J28" s="116">
        <v>0</v>
      </c>
      <c r="K28" s="117">
        <v>2443.25</v>
      </c>
      <c r="L28" s="116">
        <v>511.25</v>
      </c>
      <c r="M28" s="116">
        <v>0</v>
      </c>
      <c r="N28" s="116"/>
      <c r="O28" s="116"/>
    </row>
    <row r="29" spans="1:15">
      <c r="A29" s="116" t="s">
        <v>953</v>
      </c>
      <c r="B29" s="116" t="s">
        <v>1395</v>
      </c>
      <c r="C29" s="116" t="s">
        <v>1500</v>
      </c>
      <c r="D29" s="116" t="s">
        <v>1396</v>
      </c>
      <c r="E29" s="116" t="s">
        <v>1338</v>
      </c>
      <c r="F29" s="118">
        <v>45596</v>
      </c>
      <c r="G29" s="118">
        <v>46022</v>
      </c>
      <c r="H29" s="118">
        <v>46024</v>
      </c>
      <c r="I29" s="116">
        <v>410.84</v>
      </c>
      <c r="J29" s="116">
        <v>0</v>
      </c>
      <c r="K29" s="116">
        <v>77.28</v>
      </c>
      <c r="L29" s="116">
        <v>77.28</v>
      </c>
      <c r="M29" s="116">
        <v>256.27999999999997</v>
      </c>
      <c r="N29" s="116"/>
      <c r="O29" s="116"/>
    </row>
    <row r="30" spans="1:15">
      <c r="A30" s="116" t="s">
        <v>953</v>
      </c>
      <c r="B30" s="116" t="s">
        <v>1673</v>
      </c>
      <c r="C30" s="116" t="s">
        <v>1496</v>
      </c>
      <c r="D30" s="116" t="s">
        <v>1674</v>
      </c>
      <c r="E30" s="116" t="s">
        <v>1338</v>
      </c>
      <c r="F30" s="118">
        <v>45828</v>
      </c>
      <c r="G30" s="118">
        <v>45828</v>
      </c>
      <c r="H30" s="118">
        <v>46192</v>
      </c>
      <c r="I30" s="116">
        <v>90.87</v>
      </c>
      <c r="J30" s="116">
        <v>0</v>
      </c>
      <c r="K30" s="116">
        <v>0</v>
      </c>
      <c r="L30" s="116">
        <v>90.87</v>
      </c>
      <c r="M30" s="116">
        <v>0</v>
      </c>
      <c r="N30" s="116"/>
      <c r="O30" s="116"/>
    </row>
    <row r="31" spans="1:15">
      <c r="A31" s="116" t="s">
        <v>953</v>
      </c>
      <c r="B31" s="116" t="s">
        <v>863</v>
      </c>
      <c r="C31" s="116" t="s">
        <v>1496</v>
      </c>
      <c r="D31" s="116" t="s">
        <v>1377</v>
      </c>
      <c r="E31" s="116" t="s">
        <v>1323</v>
      </c>
      <c r="F31" s="118">
        <v>43404</v>
      </c>
      <c r="G31" s="118">
        <v>45778</v>
      </c>
      <c r="H31" s="118">
        <v>46142</v>
      </c>
      <c r="I31" s="117">
        <v>6169.06</v>
      </c>
      <c r="J31" s="116">
        <v>0</v>
      </c>
      <c r="K31" s="117">
        <v>2725.87</v>
      </c>
      <c r="L31" s="117">
        <v>1073.8699999999999</v>
      </c>
      <c r="M31" s="117">
        <v>2369.3200000000002</v>
      </c>
      <c r="N31" s="116"/>
      <c r="O31" s="116"/>
    </row>
    <row r="32" spans="1:15">
      <c r="A32" s="116" t="s">
        <v>953</v>
      </c>
      <c r="B32" s="116" t="s">
        <v>889</v>
      </c>
      <c r="C32" s="116" t="s">
        <v>1496</v>
      </c>
      <c r="D32" s="116" t="s">
        <v>1400</v>
      </c>
      <c r="E32" s="116" t="s">
        <v>1323</v>
      </c>
      <c r="F32" s="118">
        <v>45107</v>
      </c>
      <c r="G32" s="118">
        <v>46023</v>
      </c>
      <c r="H32" s="118">
        <v>46053</v>
      </c>
      <c r="I32" s="116">
        <v>330.65</v>
      </c>
      <c r="J32" s="116">
        <v>0</v>
      </c>
      <c r="K32" s="116">
        <v>75.55</v>
      </c>
      <c r="L32" s="116">
        <v>75.55</v>
      </c>
      <c r="M32" s="116">
        <v>179.55</v>
      </c>
      <c r="N32" s="116"/>
      <c r="O32" s="116"/>
    </row>
    <row r="33" spans="1:15">
      <c r="A33" s="116" t="s">
        <v>953</v>
      </c>
      <c r="B33" s="116" t="s">
        <v>1675</v>
      </c>
      <c r="C33" s="116" t="s">
        <v>1496</v>
      </c>
      <c r="D33" s="116" t="s">
        <v>1676</v>
      </c>
      <c r="E33" s="116" t="s">
        <v>1664</v>
      </c>
      <c r="F33" s="118">
        <v>45838</v>
      </c>
      <c r="G33" s="118">
        <v>45838</v>
      </c>
      <c r="H33" s="118">
        <v>46202</v>
      </c>
      <c r="I33" s="116">
        <v>96.27</v>
      </c>
      <c r="J33" s="116">
        <v>96.27</v>
      </c>
      <c r="K33" s="116">
        <v>0</v>
      </c>
      <c r="L33" s="116">
        <v>0</v>
      </c>
      <c r="M33" s="116">
        <v>0</v>
      </c>
      <c r="N33" s="116"/>
      <c r="O33" s="116"/>
    </row>
    <row r="34" spans="1:15">
      <c r="A34" s="116" t="s">
        <v>953</v>
      </c>
      <c r="B34" s="116" t="s">
        <v>856</v>
      </c>
      <c r="C34" s="116" t="s">
        <v>1496</v>
      </c>
      <c r="D34" s="116" t="s">
        <v>1368</v>
      </c>
      <c r="E34" s="116" t="s">
        <v>1323</v>
      </c>
      <c r="F34" s="118">
        <v>45563</v>
      </c>
      <c r="G34" s="118">
        <v>45989</v>
      </c>
      <c r="H34" s="118">
        <v>46353</v>
      </c>
      <c r="I34" s="117">
        <v>9482.35</v>
      </c>
      <c r="J34" s="116">
        <v>0</v>
      </c>
      <c r="K34" s="117">
        <v>4153.57</v>
      </c>
      <c r="L34" s="117">
        <v>1284.8699999999999</v>
      </c>
      <c r="M34" s="117">
        <v>4043.91</v>
      </c>
      <c r="N34" s="116"/>
      <c r="O34" s="116"/>
    </row>
    <row r="35" spans="1:15">
      <c r="A35" s="116" t="s">
        <v>953</v>
      </c>
      <c r="B35" s="116" t="s">
        <v>1677</v>
      </c>
      <c r="C35" s="116" t="s">
        <v>1496</v>
      </c>
      <c r="D35" s="116" t="s">
        <v>1678</v>
      </c>
      <c r="E35" s="116" t="s">
        <v>1679</v>
      </c>
      <c r="F35" s="118">
        <v>45796</v>
      </c>
      <c r="G35" s="118">
        <v>45796</v>
      </c>
      <c r="H35" s="118">
        <v>46160</v>
      </c>
      <c r="I35" s="116">
        <v>412.99</v>
      </c>
      <c r="J35" s="116">
        <v>412.99</v>
      </c>
      <c r="K35" s="116">
        <v>0</v>
      </c>
      <c r="L35" s="116">
        <v>0</v>
      </c>
      <c r="M35" s="116">
        <v>0</v>
      </c>
      <c r="N35" s="116"/>
      <c r="O35" s="116"/>
    </row>
    <row r="36" spans="1:15">
      <c r="A36" s="116" t="s">
        <v>953</v>
      </c>
      <c r="B36" s="116" t="s">
        <v>1680</v>
      </c>
      <c r="C36" s="116" t="s">
        <v>1493</v>
      </c>
      <c r="D36" s="116" t="s">
        <v>1681</v>
      </c>
      <c r="E36" s="116" t="s">
        <v>1323</v>
      </c>
      <c r="F36" s="118">
        <v>45710</v>
      </c>
      <c r="G36" s="118">
        <v>45710</v>
      </c>
      <c r="H36" s="118">
        <v>46133</v>
      </c>
      <c r="I36" s="117">
        <v>1546.51</v>
      </c>
      <c r="J36" s="117">
        <v>1546.51</v>
      </c>
      <c r="K36" s="116">
        <v>0</v>
      </c>
      <c r="L36" s="116">
        <v>0</v>
      </c>
      <c r="M36" s="116">
        <v>0</v>
      </c>
      <c r="N36" s="116"/>
      <c r="O36" s="116"/>
    </row>
    <row r="37" spans="1:15">
      <c r="A37" s="116" t="s">
        <v>953</v>
      </c>
      <c r="B37" s="116" t="s">
        <v>998</v>
      </c>
      <c r="C37" s="116" t="s">
        <v>1508</v>
      </c>
      <c r="D37" s="116" t="s">
        <v>999</v>
      </c>
      <c r="E37" s="116" t="s">
        <v>1635</v>
      </c>
      <c r="F37" s="118">
        <v>46120</v>
      </c>
      <c r="G37" s="118">
        <v>46120</v>
      </c>
      <c r="H37" s="118">
        <v>46484</v>
      </c>
      <c r="I37" s="116">
        <v>2.66</v>
      </c>
      <c r="J37" s="116">
        <v>2.66</v>
      </c>
      <c r="K37" s="116">
        <v>0</v>
      </c>
      <c r="L37" s="116">
        <v>0</v>
      </c>
      <c r="M37" s="116">
        <v>0</v>
      </c>
      <c r="N37" s="116"/>
      <c r="O37" s="116"/>
    </row>
    <row r="38" spans="1:15">
      <c r="A38" s="116" t="s">
        <v>953</v>
      </c>
      <c r="B38" s="116" t="s">
        <v>1682</v>
      </c>
      <c r="C38" s="116" t="s">
        <v>1508</v>
      </c>
      <c r="D38" s="116" t="s">
        <v>1683</v>
      </c>
      <c r="E38" s="116" t="s">
        <v>1338</v>
      </c>
      <c r="F38" s="118">
        <v>45462</v>
      </c>
      <c r="G38" s="118">
        <v>45888</v>
      </c>
      <c r="H38" s="118">
        <v>46053</v>
      </c>
      <c r="I38" s="116">
        <v>81.650000000000006</v>
      </c>
      <c r="J38" s="116">
        <v>0</v>
      </c>
      <c r="K38" s="116">
        <v>81.650000000000006</v>
      </c>
      <c r="L38" s="116">
        <v>0</v>
      </c>
      <c r="M38" s="116">
        <v>0</v>
      </c>
      <c r="N38" s="116"/>
      <c r="O38" s="116"/>
    </row>
    <row r="39" spans="1:15">
      <c r="A39" s="116" t="s">
        <v>953</v>
      </c>
      <c r="B39" s="116" t="s">
        <v>1684</v>
      </c>
      <c r="C39" s="116" t="s">
        <v>1508</v>
      </c>
      <c r="D39" s="116" t="s">
        <v>1685</v>
      </c>
      <c r="E39" s="116" t="s">
        <v>1325</v>
      </c>
      <c r="F39" s="118">
        <v>45765</v>
      </c>
      <c r="G39" s="118">
        <v>46130</v>
      </c>
      <c r="H39" s="118">
        <v>46136</v>
      </c>
      <c r="I39" s="117">
        <v>7197.72</v>
      </c>
      <c r="J39" s="117">
        <v>1821.81</v>
      </c>
      <c r="K39" s="117">
        <v>1791.97</v>
      </c>
      <c r="L39" s="117">
        <v>1791.97</v>
      </c>
      <c r="M39" s="117">
        <v>1791.97</v>
      </c>
      <c r="N39" s="116"/>
      <c r="O39" s="116"/>
    </row>
    <row r="40" spans="1:15">
      <c r="A40" s="116" t="s">
        <v>953</v>
      </c>
      <c r="B40" s="116" t="s">
        <v>1686</v>
      </c>
      <c r="C40" s="116" t="s">
        <v>1500</v>
      </c>
      <c r="D40" s="116" t="s">
        <v>1687</v>
      </c>
      <c r="E40" s="116" t="s">
        <v>1635</v>
      </c>
      <c r="F40" s="118">
        <v>45479</v>
      </c>
      <c r="G40" s="118">
        <v>45844</v>
      </c>
      <c r="H40" s="118">
        <v>46208</v>
      </c>
      <c r="I40" s="117">
        <v>2897.1</v>
      </c>
      <c r="J40" s="117">
        <v>1447.5</v>
      </c>
      <c r="K40" s="117">
        <v>1449.6</v>
      </c>
      <c r="L40" s="116">
        <v>0</v>
      </c>
      <c r="M40" s="116">
        <v>0</v>
      </c>
      <c r="N40" s="116"/>
      <c r="O40" s="116"/>
    </row>
    <row r="41" spans="1:15">
      <c r="A41" s="116" t="s">
        <v>953</v>
      </c>
      <c r="B41" s="116" t="s">
        <v>560</v>
      </c>
      <c r="C41" s="116" t="s">
        <v>1500</v>
      </c>
      <c r="D41" s="116" t="s">
        <v>1404</v>
      </c>
      <c r="E41" s="116" t="s">
        <v>1338</v>
      </c>
      <c r="F41" s="118">
        <v>44988</v>
      </c>
      <c r="G41" s="118">
        <v>45717</v>
      </c>
      <c r="H41" s="118">
        <v>46081</v>
      </c>
      <c r="I41" s="116">
        <v>193.16</v>
      </c>
      <c r="J41" s="116">
        <v>0</v>
      </c>
      <c r="K41" s="116">
        <v>62.6</v>
      </c>
      <c r="L41" s="116">
        <v>67.959999999999994</v>
      </c>
      <c r="M41" s="116">
        <v>62.6</v>
      </c>
      <c r="N41" s="116"/>
      <c r="O41" s="116"/>
    </row>
    <row r="42" spans="1:15">
      <c r="A42" s="116" t="s">
        <v>953</v>
      </c>
      <c r="B42" s="116" t="s">
        <v>1381</v>
      </c>
      <c r="C42" s="116" t="s">
        <v>1500</v>
      </c>
      <c r="D42" s="116" t="s">
        <v>1382</v>
      </c>
      <c r="E42" s="116" t="s">
        <v>1323</v>
      </c>
      <c r="F42" s="118">
        <v>45863</v>
      </c>
      <c r="G42" s="118">
        <v>45863</v>
      </c>
      <c r="H42" s="118">
        <v>46227</v>
      </c>
      <c r="I42" s="116">
        <v>883.02</v>
      </c>
      <c r="J42" s="116">
        <v>0</v>
      </c>
      <c r="K42" s="116">
        <v>62.6</v>
      </c>
      <c r="L42" s="116">
        <v>62.6</v>
      </c>
      <c r="M42" s="116">
        <v>757.82</v>
      </c>
      <c r="N42" s="116"/>
      <c r="O42" s="116"/>
    </row>
    <row r="43" spans="1:15">
      <c r="A43" s="116" t="s">
        <v>953</v>
      </c>
      <c r="B43" s="116" t="s">
        <v>1688</v>
      </c>
      <c r="C43" s="116" t="s">
        <v>1500</v>
      </c>
      <c r="D43" s="116" t="s">
        <v>1689</v>
      </c>
      <c r="E43" s="116" t="s">
        <v>1338</v>
      </c>
      <c r="F43" s="118">
        <v>45252</v>
      </c>
      <c r="G43" s="118">
        <v>45673</v>
      </c>
      <c r="H43" s="118">
        <v>46037</v>
      </c>
      <c r="I43" s="116">
        <v>125.2</v>
      </c>
      <c r="J43" s="116">
        <v>0</v>
      </c>
      <c r="K43" s="116">
        <v>62.6</v>
      </c>
      <c r="L43" s="116">
        <v>62.6</v>
      </c>
      <c r="M43" s="116">
        <v>0</v>
      </c>
      <c r="N43" s="116"/>
      <c r="O43" s="116"/>
    </row>
    <row r="44" spans="1:15">
      <c r="A44" s="116" t="s">
        <v>953</v>
      </c>
      <c r="B44" s="116" t="s">
        <v>1690</v>
      </c>
      <c r="C44" s="116" t="s">
        <v>1500</v>
      </c>
      <c r="D44" s="116" t="s">
        <v>1691</v>
      </c>
      <c r="E44" s="116" t="s">
        <v>1635</v>
      </c>
      <c r="F44" s="118">
        <v>45869</v>
      </c>
      <c r="G44" s="118">
        <v>45869</v>
      </c>
      <c r="H44" s="118">
        <v>46233</v>
      </c>
      <c r="I44" s="117">
        <v>1404.5</v>
      </c>
      <c r="J44" s="117">
        <v>1404.5</v>
      </c>
      <c r="K44" s="116">
        <v>0</v>
      </c>
      <c r="L44" s="116">
        <v>0</v>
      </c>
      <c r="M44" s="116">
        <v>0</v>
      </c>
      <c r="N44" s="116"/>
      <c r="O44" s="116"/>
    </row>
    <row r="45" spans="1:15">
      <c r="A45" s="116" t="s">
        <v>953</v>
      </c>
      <c r="B45" s="116" t="s">
        <v>896</v>
      </c>
      <c r="C45" s="116" t="s">
        <v>1496</v>
      </c>
      <c r="D45" s="116" t="s">
        <v>1692</v>
      </c>
      <c r="E45" s="116" t="s">
        <v>1338</v>
      </c>
      <c r="F45" s="118">
        <v>43855</v>
      </c>
      <c r="G45" s="118">
        <v>46054</v>
      </c>
      <c r="H45" s="118">
        <v>46055</v>
      </c>
      <c r="I45" s="116">
        <v>103.61</v>
      </c>
      <c r="J45" s="116">
        <v>0</v>
      </c>
      <c r="K45" s="116">
        <v>60.87</v>
      </c>
      <c r="L45" s="116">
        <v>42.74</v>
      </c>
      <c r="M45" s="116">
        <v>0</v>
      </c>
      <c r="N45" s="116"/>
      <c r="O45" s="116"/>
    </row>
    <row r="46" spans="1:15">
      <c r="A46" s="116" t="s">
        <v>953</v>
      </c>
      <c r="B46" s="116" t="s">
        <v>1693</v>
      </c>
      <c r="C46" s="116" t="s">
        <v>1496</v>
      </c>
      <c r="D46" s="116" t="s">
        <v>1694</v>
      </c>
      <c r="E46" s="116" t="s">
        <v>1635</v>
      </c>
      <c r="F46" s="118">
        <v>46022</v>
      </c>
      <c r="G46" s="118">
        <v>46022</v>
      </c>
      <c r="H46" s="118">
        <v>46386</v>
      </c>
      <c r="I46" s="116">
        <v>35</v>
      </c>
      <c r="J46" s="116">
        <v>35</v>
      </c>
      <c r="K46" s="116">
        <v>0</v>
      </c>
      <c r="L46" s="116">
        <v>0</v>
      </c>
      <c r="M46" s="116">
        <v>0</v>
      </c>
      <c r="N46" s="116"/>
      <c r="O46" s="116"/>
    </row>
    <row r="47" spans="1:15">
      <c r="A47" s="116" t="s">
        <v>953</v>
      </c>
      <c r="B47" s="116" t="s">
        <v>1695</v>
      </c>
      <c r="C47" s="116" t="s">
        <v>1496</v>
      </c>
      <c r="D47" s="116" t="s">
        <v>1696</v>
      </c>
      <c r="E47" s="116" t="s">
        <v>1647</v>
      </c>
      <c r="F47" s="118">
        <v>44233</v>
      </c>
      <c r="G47" s="118">
        <v>46054</v>
      </c>
      <c r="H47" s="116"/>
      <c r="I47" s="117">
        <v>1153.27</v>
      </c>
      <c r="J47" s="117">
        <v>1153.27</v>
      </c>
      <c r="K47" s="116">
        <v>0</v>
      </c>
      <c r="L47" s="116">
        <v>0</v>
      </c>
      <c r="M47" s="116">
        <v>0</v>
      </c>
      <c r="N47" s="116"/>
      <c r="O47" s="116"/>
    </row>
    <row r="48" spans="1:15">
      <c r="A48" s="116" t="s">
        <v>953</v>
      </c>
      <c r="B48" s="116" t="s">
        <v>1697</v>
      </c>
      <c r="C48" s="116" t="s">
        <v>1496</v>
      </c>
      <c r="D48" s="116" t="s">
        <v>1698</v>
      </c>
      <c r="E48" s="116" t="s">
        <v>1635</v>
      </c>
      <c r="F48" s="118">
        <v>45563</v>
      </c>
      <c r="G48" s="118">
        <v>45989</v>
      </c>
      <c r="H48" s="118">
        <v>46353</v>
      </c>
      <c r="I48" s="117">
        <v>1000.81</v>
      </c>
      <c r="J48" s="117">
        <v>1000.81</v>
      </c>
      <c r="K48" s="116">
        <v>0</v>
      </c>
      <c r="L48" s="116">
        <v>0</v>
      </c>
      <c r="M48" s="116">
        <v>0</v>
      </c>
      <c r="N48" s="116"/>
      <c r="O48" s="116"/>
    </row>
    <row r="49" spans="1:15">
      <c r="A49" s="116" t="s">
        <v>953</v>
      </c>
      <c r="B49" s="116" t="s">
        <v>1699</v>
      </c>
      <c r="C49" s="116" t="s">
        <v>1496</v>
      </c>
      <c r="D49" s="116" t="s">
        <v>1700</v>
      </c>
      <c r="E49" s="116" t="s">
        <v>1323</v>
      </c>
      <c r="F49" s="118">
        <v>45762</v>
      </c>
      <c r="G49" s="118">
        <v>46127</v>
      </c>
      <c r="H49" s="118">
        <v>46491</v>
      </c>
      <c r="I49" s="116">
        <v>900.18</v>
      </c>
      <c r="J49" s="116">
        <v>839.31</v>
      </c>
      <c r="K49" s="116">
        <v>60.87</v>
      </c>
      <c r="L49" s="116">
        <v>0</v>
      </c>
      <c r="M49" s="116">
        <v>0</v>
      </c>
      <c r="N49" s="116"/>
      <c r="O49" s="116"/>
    </row>
    <row r="50" spans="1:15">
      <c r="A50" s="116" t="s">
        <v>953</v>
      </c>
      <c r="B50" s="116" t="s">
        <v>1701</v>
      </c>
      <c r="C50" s="116" t="s">
        <v>1496</v>
      </c>
      <c r="D50" s="116" t="s">
        <v>1702</v>
      </c>
      <c r="E50" s="116" t="s">
        <v>1642</v>
      </c>
      <c r="F50" s="118">
        <v>45995</v>
      </c>
      <c r="G50" s="118">
        <v>45995</v>
      </c>
      <c r="H50" s="118">
        <v>46359</v>
      </c>
      <c r="I50" s="117">
        <v>3728.17</v>
      </c>
      <c r="J50" s="116">
        <v>954.4</v>
      </c>
      <c r="K50" s="116">
        <v>924.59</v>
      </c>
      <c r="L50" s="116">
        <v>924.59</v>
      </c>
      <c r="M50" s="116">
        <v>924.59</v>
      </c>
      <c r="N50" s="116"/>
      <c r="O50" s="116"/>
    </row>
    <row r="51" spans="1:15">
      <c r="A51" s="116" t="s">
        <v>953</v>
      </c>
      <c r="B51" s="116" t="s">
        <v>1142</v>
      </c>
      <c r="C51" s="116" t="s">
        <v>1508</v>
      </c>
      <c r="D51" s="116" t="s">
        <v>1703</v>
      </c>
      <c r="E51" s="116" t="s">
        <v>1635</v>
      </c>
      <c r="F51" s="118">
        <v>46130</v>
      </c>
      <c r="G51" s="118">
        <v>46130</v>
      </c>
      <c r="H51" s="118">
        <v>46494</v>
      </c>
      <c r="I51" s="116">
        <v>64.28</v>
      </c>
      <c r="J51" s="116">
        <v>64.28</v>
      </c>
      <c r="K51" s="116">
        <v>0</v>
      </c>
      <c r="L51" s="116">
        <v>0</v>
      </c>
      <c r="M51" s="116">
        <v>0</v>
      </c>
      <c r="N51" s="116"/>
      <c r="O51" s="116"/>
    </row>
    <row r="52" spans="1:15">
      <c r="A52" s="116" t="s">
        <v>953</v>
      </c>
      <c r="B52" s="116" t="s">
        <v>890</v>
      </c>
      <c r="C52" s="116" t="s">
        <v>1508</v>
      </c>
      <c r="D52" s="116" t="s">
        <v>1704</v>
      </c>
      <c r="E52" s="116" t="s">
        <v>1338</v>
      </c>
      <c r="F52" s="118">
        <v>45292</v>
      </c>
      <c r="G52" s="118">
        <v>45717</v>
      </c>
      <c r="H52" s="118">
        <v>46081</v>
      </c>
      <c r="I52" s="116">
        <v>325</v>
      </c>
      <c r="J52" s="116">
        <v>0</v>
      </c>
      <c r="K52" s="116">
        <v>325</v>
      </c>
      <c r="L52" s="116">
        <v>0</v>
      </c>
      <c r="M52" s="116">
        <v>0</v>
      </c>
      <c r="N52" s="116"/>
      <c r="O52" s="116"/>
    </row>
    <row r="53" spans="1:15">
      <c r="A53" s="116" t="s">
        <v>953</v>
      </c>
      <c r="B53" s="116" t="s">
        <v>1705</v>
      </c>
      <c r="C53" s="116" t="s">
        <v>1508</v>
      </c>
      <c r="D53" s="116" t="s">
        <v>1706</v>
      </c>
      <c r="E53" s="116" t="s">
        <v>1635</v>
      </c>
      <c r="F53" s="118">
        <v>46129</v>
      </c>
      <c r="G53" s="118">
        <v>46129</v>
      </c>
      <c r="H53" s="118">
        <v>46493</v>
      </c>
      <c r="I53" s="116">
        <v>42</v>
      </c>
      <c r="J53" s="116">
        <v>42</v>
      </c>
      <c r="K53" s="116">
        <v>0</v>
      </c>
      <c r="L53" s="116">
        <v>0</v>
      </c>
      <c r="M53" s="116">
        <v>0</v>
      </c>
      <c r="N53" s="116"/>
      <c r="O53" s="116"/>
    </row>
    <row r="54" spans="1:15">
      <c r="A54" s="116" t="s">
        <v>953</v>
      </c>
      <c r="B54" s="116" t="s">
        <v>1707</v>
      </c>
      <c r="C54" s="116" t="s">
        <v>1501</v>
      </c>
      <c r="D54" s="116" t="s">
        <v>1708</v>
      </c>
      <c r="E54" s="116" t="s">
        <v>1635</v>
      </c>
      <c r="F54" s="118">
        <v>45873</v>
      </c>
      <c r="G54" s="118">
        <v>45873</v>
      </c>
      <c r="H54" s="118">
        <v>46237</v>
      </c>
      <c r="I54" s="117">
        <v>3175.34</v>
      </c>
      <c r="J54" s="117">
        <v>1530.75</v>
      </c>
      <c r="K54" s="117">
        <v>1529.67</v>
      </c>
      <c r="L54" s="116">
        <v>114.92</v>
      </c>
      <c r="M54" s="116">
        <v>0</v>
      </c>
      <c r="N54" s="116"/>
      <c r="O54" s="116"/>
    </row>
    <row r="55" spans="1:15">
      <c r="A55" s="116" t="s">
        <v>953</v>
      </c>
      <c r="B55" s="116" t="s">
        <v>567</v>
      </c>
      <c r="C55" s="116" t="s">
        <v>1501</v>
      </c>
      <c r="D55" s="116" t="s">
        <v>1709</v>
      </c>
      <c r="E55" s="116" t="s">
        <v>1635</v>
      </c>
      <c r="F55" s="118">
        <v>46121</v>
      </c>
      <c r="G55" s="118">
        <v>46121</v>
      </c>
      <c r="H55" s="118">
        <v>46485</v>
      </c>
      <c r="I55" s="116">
        <v>103.61</v>
      </c>
      <c r="J55" s="116">
        <v>103.61</v>
      </c>
      <c r="K55" s="116">
        <v>0</v>
      </c>
      <c r="L55" s="116">
        <v>0</v>
      </c>
      <c r="M55" s="116">
        <v>0</v>
      </c>
      <c r="N55" s="116"/>
      <c r="O55" s="116"/>
    </row>
    <row r="56" spans="1:15">
      <c r="A56" s="116" t="s">
        <v>953</v>
      </c>
      <c r="B56" s="116" t="s">
        <v>1149</v>
      </c>
      <c r="C56" s="116" t="s">
        <v>1501</v>
      </c>
      <c r="D56" s="116" t="s">
        <v>1710</v>
      </c>
      <c r="E56" s="116" t="s">
        <v>1325</v>
      </c>
      <c r="F56" s="118">
        <v>45898</v>
      </c>
      <c r="G56" s="118">
        <v>45898</v>
      </c>
      <c r="H56" s="118">
        <v>46262</v>
      </c>
      <c r="I56" s="117">
        <v>10134.23</v>
      </c>
      <c r="J56" s="116">
        <v>0</v>
      </c>
      <c r="K56" s="117">
        <v>4440.62</v>
      </c>
      <c r="L56" s="117">
        <v>1364.67</v>
      </c>
      <c r="M56" s="117">
        <v>4328.9399999999996</v>
      </c>
      <c r="N56" s="116"/>
      <c r="O56" s="116"/>
    </row>
    <row r="57" spans="1:15">
      <c r="A57" s="116" t="s">
        <v>953</v>
      </c>
      <c r="B57" s="116" t="s">
        <v>1711</v>
      </c>
      <c r="C57" s="116" t="s">
        <v>1501</v>
      </c>
      <c r="D57" s="116" t="s">
        <v>1712</v>
      </c>
      <c r="E57" s="116" t="s">
        <v>1635</v>
      </c>
      <c r="F57" s="118">
        <v>45549</v>
      </c>
      <c r="G57" s="118">
        <v>45901</v>
      </c>
      <c r="H57" s="118">
        <v>46265</v>
      </c>
      <c r="I57" s="116">
        <v>176.75</v>
      </c>
      <c r="J57" s="116">
        <v>176.75</v>
      </c>
      <c r="K57" s="116">
        <v>0</v>
      </c>
      <c r="L57" s="116">
        <v>0</v>
      </c>
      <c r="M57" s="116">
        <v>0</v>
      </c>
      <c r="N57" s="116"/>
      <c r="O57" s="116"/>
    </row>
    <row r="58" spans="1:15">
      <c r="A58" s="116" t="s">
        <v>953</v>
      </c>
      <c r="B58" s="116" t="s">
        <v>1713</v>
      </c>
      <c r="C58" s="116" t="s">
        <v>1501</v>
      </c>
      <c r="D58" s="116" t="s">
        <v>1714</v>
      </c>
      <c r="E58" s="116" t="s">
        <v>1343</v>
      </c>
      <c r="F58" s="118">
        <v>45890</v>
      </c>
      <c r="G58" s="118">
        <v>45890</v>
      </c>
      <c r="H58" s="118">
        <v>46254</v>
      </c>
      <c r="I58" s="117">
        <v>11003.35</v>
      </c>
      <c r="J58" s="117">
        <v>1536.75</v>
      </c>
      <c r="K58" s="117">
        <v>1535.67</v>
      </c>
      <c r="L58" s="117">
        <v>1535.67</v>
      </c>
      <c r="M58" s="117">
        <v>6395.26</v>
      </c>
      <c r="N58" s="116"/>
      <c r="O58" s="116"/>
    </row>
    <row r="59" spans="1:15">
      <c r="A59" s="116" t="s">
        <v>953</v>
      </c>
      <c r="B59" s="116" t="s">
        <v>1386</v>
      </c>
      <c r="C59" s="116" t="s">
        <v>1501</v>
      </c>
      <c r="D59" s="116" t="s">
        <v>1387</v>
      </c>
      <c r="E59" s="116" t="s">
        <v>1338</v>
      </c>
      <c r="F59" s="118">
        <v>45583</v>
      </c>
      <c r="G59" s="118">
        <v>45583</v>
      </c>
      <c r="H59" s="118">
        <v>46009</v>
      </c>
      <c r="I59" s="117">
        <v>1290.76</v>
      </c>
      <c r="J59" s="116">
        <v>0</v>
      </c>
      <c r="K59" s="116">
        <v>55.92</v>
      </c>
      <c r="L59" s="116">
        <v>55.92</v>
      </c>
      <c r="M59" s="117">
        <v>1178.92</v>
      </c>
      <c r="N59" s="116"/>
      <c r="O59" s="116"/>
    </row>
    <row r="60" spans="1:15">
      <c r="A60" s="116" t="s">
        <v>953</v>
      </c>
      <c r="B60" s="116" t="s">
        <v>877</v>
      </c>
      <c r="C60" s="116" t="s">
        <v>1501</v>
      </c>
      <c r="D60" s="116" t="s">
        <v>1380</v>
      </c>
      <c r="E60" s="116" t="s">
        <v>1338</v>
      </c>
      <c r="F60" s="118">
        <v>45601</v>
      </c>
      <c r="G60" s="118">
        <v>45601</v>
      </c>
      <c r="H60" s="118">
        <v>46025</v>
      </c>
      <c r="I60" s="117">
        <v>1125.6300000000001</v>
      </c>
      <c r="J60" s="116">
        <v>0</v>
      </c>
      <c r="K60" s="116">
        <v>68.66</v>
      </c>
      <c r="L60" s="116">
        <v>68.66</v>
      </c>
      <c r="M60" s="116">
        <v>988.31</v>
      </c>
      <c r="N60" s="116"/>
      <c r="O60" s="116"/>
    </row>
    <row r="61" spans="1:15">
      <c r="A61" s="116" t="s">
        <v>953</v>
      </c>
      <c r="B61" s="116" t="s">
        <v>1384</v>
      </c>
      <c r="C61" s="116" t="s">
        <v>1501</v>
      </c>
      <c r="D61" s="116" t="s">
        <v>1385</v>
      </c>
      <c r="E61" s="116" t="s">
        <v>1338</v>
      </c>
      <c r="F61" s="118">
        <v>44534</v>
      </c>
      <c r="G61" s="118">
        <v>45839</v>
      </c>
      <c r="H61" s="118">
        <v>46022</v>
      </c>
      <c r="I61" s="117">
        <v>1446.76</v>
      </c>
      <c r="J61" s="116">
        <v>0</v>
      </c>
      <c r="K61" s="116">
        <v>55.92</v>
      </c>
      <c r="L61" s="116">
        <v>55.92</v>
      </c>
      <c r="M61" s="117">
        <v>1334.92</v>
      </c>
      <c r="N61" s="116"/>
      <c r="O61" s="116"/>
    </row>
    <row r="62" spans="1:15">
      <c r="A62" s="116" t="s">
        <v>953</v>
      </c>
      <c r="B62" s="116" t="s">
        <v>1715</v>
      </c>
      <c r="C62" s="116" t="s">
        <v>1501</v>
      </c>
      <c r="D62" s="116" t="s">
        <v>1716</v>
      </c>
      <c r="E62" s="116" t="s">
        <v>1647</v>
      </c>
      <c r="F62" s="118">
        <v>44958</v>
      </c>
      <c r="G62" s="118">
        <v>46054</v>
      </c>
      <c r="H62" s="116"/>
      <c r="I62" s="116">
        <v>7.95</v>
      </c>
      <c r="J62" s="116">
        <v>7.95</v>
      </c>
      <c r="K62" s="116">
        <v>0</v>
      </c>
      <c r="L62" s="116">
        <v>0</v>
      </c>
      <c r="M62" s="116">
        <v>0</v>
      </c>
      <c r="N62" s="116"/>
      <c r="O62" s="116"/>
    </row>
    <row r="63" spans="1:15">
      <c r="A63" s="116" t="s">
        <v>953</v>
      </c>
      <c r="B63" s="116" t="s">
        <v>860</v>
      </c>
      <c r="C63" s="116" t="s">
        <v>1501</v>
      </c>
      <c r="D63" s="116" t="s">
        <v>1717</v>
      </c>
      <c r="E63" s="116" t="s">
        <v>1323</v>
      </c>
      <c r="F63" s="118">
        <v>45108</v>
      </c>
      <c r="G63" s="118">
        <v>45839</v>
      </c>
      <c r="H63" s="118">
        <v>46203</v>
      </c>
      <c r="I63" s="117">
        <v>7752.3</v>
      </c>
      <c r="J63" s="116">
        <v>0</v>
      </c>
      <c r="K63" s="117">
        <v>3253.67</v>
      </c>
      <c r="L63" s="117">
        <v>1498.67</v>
      </c>
      <c r="M63" s="117">
        <v>2999.96</v>
      </c>
      <c r="N63" s="116"/>
      <c r="O63" s="116"/>
    </row>
    <row r="64" spans="1:15">
      <c r="A64" s="116" t="s">
        <v>953</v>
      </c>
      <c r="B64" s="116" t="s">
        <v>1718</v>
      </c>
      <c r="C64" s="116" t="s">
        <v>1498</v>
      </c>
      <c r="D64" s="116" t="s">
        <v>1719</v>
      </c>
      <c r="E64" s="116" t="s">
        <v>1338</v>
      </c>
      <c r="F64" s="118">
        <v>41913</v>
      </c>
      <c r="G64" s="118">
        <v>45658</v>
      </c>
      <c r="H64" s="118">
        <v>46081</v>
      </c>
      <c r="I64" s="116">
        <v>65.53</v>
      </c>
      <c r="J64" s="116">
        <v>0</v>
      </c>
      <c r="K64" s="116">
        <v>65.53</v>
      </c>
      <c r="L64" s="116">
        <v>0</v>
      </c>
      <c r="M64" s="116">
        <v>0</v>
      </c>
      <c r="N64" s="116"/>
      <c r="O64" s="116"/>
    </row>
    <row r="65" spans="1:15">
      <c r="A65" s="116" t="s">
        <v>953</v>
      </c>
      <c r="B65" s="116" t="s">
        <v>1720</v>
      </c>
      <c r="C65" s="116" t="s">
        <v>1498</v>
      </c>
      <c r="D65" s="116" t="s">
        <v>1721</v>
      </c>
      <c r="E65" s="116" t="s">
        <v>1635</v>
      </c>
      <c r="F65" s="118">
        <v>45239</v>
      </c>
      <c r="G65" s="118">
        <v>45870</v>
      </c>
      <c r="H65" s="118">
        <v>46234</v>
      </c>
      <c r="I65" s="117">
        <v>1606.88</v>
      </c>
      <c r="J65" s="117">
        <v>1606.88</v>
      </c>
      <c r="K65" s="116">
        <v>0</v>
      </c>
      <c r="L65" s="116">
        <v>0</v>
      </c>
      <c r="M65" s="116">
        <v>0</v>
      </c>
      <c r="N65" s="116"/>
      <c r="O65" s="116"/>
    </row>
    <row r="66" spans="1:15">
      <c r="A66" s="116" t="s">
        <v>953</v>
      </c>
      <c r="B66" s="116" t="s">
        <v>864</v>
      </c>
      <c r="C66" s="116" t="s">
        <v>1498</v>
      </c>
      <c r="D66" s="116" t="s">
        <v>1373</v>
      </c>
      <c r="E66" s="116" t="s">
        <v>1323</v>
      </c>
      <c r="F66" s="118">
        <v>45721</v>
      </c>
      <c r="G66" s="118">
        <v>45721</v>
      </c>
      <c r="H66" s="118">
        <v>46146</v>
      </c>
      <c r="I66" s="117">
        <v>5976.83</v>
      </c>
      <c r="J66" s="116">
        <v>0</v>
      </c>
      <c r="K66" s="117">
        <v>2161.54</v>
      </c>
      <c r="L66" s="117">
        <v>1189.54</v>
      </c>
      <c r="M66" s="117">
        <v>2625.75</v>
      </c>
      <c r="N66" s="116"/>
      <c r="O66" s="116"/>
    </row>
    <row r="67" spans="1:15">
      <c r="A67" s="116" t="s">
        <v>953</v>
      </c>
      <c r="B67" s="116" t="s">
        <v>1353</v>
      </c>
      <c r="C67" s="116" t="s">
        <v>1498</v>
      </c>
      <c r="D67" s="116" t="s">
        <v>1354</v>
      </c>
      <c r="E67" s="116" t="s">
        <v>1325</v>
      </c>
      <c r="F67" s="118">
        <v>45822</v>
      </c>
      <c r="G67" s="118">
        <v>45822</v>
      </c>
      <c r="H67" s="118">
        <v>46186</v>
      </c>
      <c r="I67" s="117">
        <v>5753.39</v>
      </c>
      <c r="J67" s="116">
        <v>0</v>
      </c>
      <c r="K67" s="116">
        <v>56.54</v>
      </c>
      <c r="L67" s="116">
        <v>56.54</v>
      </c>
      <c r="M67" s="117">
        <v>5640.31</v>
      </c>
      <c r="N67" s="116"/>
      <c r="O67" s="116"/>
    </row>
    <row r="68" spans="1:15">
      <c r="A68" s="116" t="s">
        <v>953</v>
      </c>
      <c r="B68" s="116" t="s">
        <v>1327</v>
      </c>
      <c r="C68" s="116" t="s">
        <v>1498</v>
      </c>
      <c r="D68" s="116" t="s">
        <v>1328</v>
      </c>
      <c r="E68" s="116" t="s">
        <v>1323</v>
      </c>
      <c r="F68" s="118">
        <v>45575</v>
      </c>
      <c r="G68" s="118">
        <v>46001</v>
      </c>
      <c r="H68" s="118">
        <v>46045</v>
      </c>
      <c r="I68" s="117">
        <v>15722.78</v>
      </c>
      <c r="J68" s="116">
        <v>0</v>
      </c>
      <c r="K68" s="116">
        <v>56.54</v>
      </c>
      <c r="L68" s="116">
        <v>56.54</v>
      </c>
      <c r="M68" s="117">
        <v>15609.7</v>
      </c>
      <c r="N68" s="116"/>
      <c r="O68" s="116"/>
    </row>
    <row r="69" spans="1:15">
      <c r="A69" s="116" t="s">
        <v>953</v>
      </c>
      <c r="B69" s="116" t="s">
        <v>1722</v>
      </c>
      <c r="C69" s="116" t="s">
        <v>1507</v>
      </c>
      <c r="D69" s="116" t="s">
        <v>1723</v>
      </c>
      <c r="E69" s="116" t="s">
        <v>1323</v>
      </c>
      <c r="F69" s="118">
        <v>45485</v>
      </c>
      <c r="G69" s="118">
        <v>45912</v>
      </c>
      <c r="H69" s="118">
        <v>46276</v>
      </c>
      <c r="I69" s="117">
        <v>6455.43</v>
      </c>
      <c r="J69" s="117">
        <v>6232.39</v>
      </c>
      <c r="K69" s="116">
        <v>223.04</v>
      </c>
      <c r="L69" s="116">
        <v>0</v>
      </c>
      <c r="M69" s="116">
        <v>0</v>
      </c>
      <c r="N69" s="116"/>
      <c r="O69" s="116"/>
    </row>
    <row r="70" spans="1:15">
      <c r="A70" s="116" t="s">
        <v>953</v>
      </c>
      <c r="B70" s="116" t="s">
        <v>1724</v>
      </c>
      <c r="C70" s="116" t="s">
        <v>1507</v>
      </c>
      <c r="D70" s="116" t="s">
        <v>1725</v>
      </c>
      <c r="E70" s="116" t="s">
        <v>1323</v>
      </c>
      <c r="F70" s="118">
        <v>45387</v>
      </c>
      <c r="G70" s="118">
        <v>45752</v>
      </c>
      <c r="H70" s="118">
        <v>46116</v>
      </c>
      <c r="I70" s="117">
        <v>8402.24</v>
      </c>
      <c r="J70" s="117">
        <v>5618.66</v>
      </c>
      <c r="K70" s="117">
        <v>1783.04</v>
      </c>
      <c r="L70" s="117">
        <v>1000.54</v>
      </c>
      <c r="M70" s="116">
        <v>0</v>
      </c>
      <c r="N70" s="116"/>
      <c r="O70" s="116"/>
    </row>
    <row r="71" spans="1:15">
      <c r="A71" s="116" t="s">
        <v>953</v>
      </c>
      <c r="B71" s="116" t="s">
        <v>881</v>
      </c>
      <c r="C71" s="116" t="s">
        <v>1507</v>
      </c>
      <c r="D71" s="116" t="s">
        <v>1726</v>
      </c>
      <c r="E71" s="116" t="s">
        <v>1338</v>
      </c>
      <c r="F71" s="118">
        <v>45384</v>
      </c>
      <c r="G71" s="118">
        <v>45749</v>
      </c>
      <c r="H71" s="118">
        <v>46113</v>
      </c>
      <c r="I71" s="116">
        <v>308.06</v>
      </c>
      <c r="J71" s="116">
        <v>0</v>
      </c>
      <c r="K71" s="116">
        <v>308.06</v>
      </c>
      <c r="L71" s="116">
        <v>0</v>
      </c>
      <c r="M71" s="116">
        <v>0</v>
      </c>
      <c r="N71" s="116"/>
      <c r="O71" s="116"/>
    </row>
    <row r="72" spans="1:15">
      <c r="A72" s="116" t="s">
        <v>953</v>
      </c>
      <c r="B72" s="116" t="s">
        <v>881</v>
      </c>
      <c r="C72" s="116" t="s">
        <v>1507</v>
      </c>
      <c r="D72" s="116" t="s">
        <v>1727</v>
      </c>
      <c r="E72" s="116" t="s">
        <v>1635</v>
      </c>
      <c r="F72" s="118">
        <v>46111</v>
      </c>
      <c r="G72" s="118">
        <v>46111</v>
      </c>
      <c r="H72" s="118">
        <v>46475</v>
      </c>
      <c r="I72" s="116">
        <v>4.96</v>
      </c>
      <c r="J72" s="116">
        <v>4.96</v>
      </c>
      <c r="K72" s="116">
        <v>0</v>
      </c>
      <c r="L72" s="116">
        <v>0</v>
      </c>
      <c r="M72" s="116">
        <v>0</v>
      </c>
      <c r="N72" s="116"/>
      <c r="O72" s="116"/>
    </row>
    <row r="73" spans="1:15">
      <c r="A73" s="116" t="s">
        <v>953</v>
      </c>
      <c r="B73" s="116" t="s">
        <v>1728</v>
      </c>
      <c r="C73" s="116" t="s">
        <v>1498</v>
      </c>
      <c r="D73" s="116" t="s">
        <v>1729</v>
      </c>
      <c r="E73" s="116" t="s">
        <v>1635</v>
      </c>
      <c r="F73" s="118">
        <v>45512</v>
      </c>
      <c r="G73" s="118">
        <v>45877</v>
      </c>
      <c r="H73" s="118">
        <v>46241</v>
      </c>
      <c r="I73" s="116">
        <v>50</v>
      </c>
      <c r="J73" s="116">
        <v>50</v>
      </c>
      <c r="K73" s="116">
        <v>0</v>
      </c>
      <c r="L73" s="116">
        <v>0</v>
      </c>
      <c r="M73" s="116">
        <v>0</v>
      </c>
      <c r="N73" s="116"/>
      <c r="O73" s="116"/>
    </row>
    <row r="74" spans="1:15">
      <c r="A74" s="116" t="s">
        <v>953</v>
      </c>
      <c r="B74" s="116" t="s">
        <v>1730</v>
      </c>
      <c r="C74" s="116" t="s">
        <v>1498</v>
      </c>
      <c r="D74" s="116" t="s">
        <v>1731</v>
      </c>
      <c r="E74" s="116" t="s">
        <v>1323</v>
      </c>
      <c r="F74" s="118">
        <v>45589</v>
      </c>
      <c r="G74" s="118">
        <v>46015</v>
      </c>
      <c r="H74" s="118">
        <v>46114</v>
      </c>
      <c r="I74" s="117">
        <v>8376.2000000000007</v>
      </c>
      <c r="J74" s="117">
        <v>3505.73</v>
      </c>
      <c r="K74" s="117">
        <v>1152.54</v>
      </c>
      <c r="L74" s="117">
        <v>1152.54</v>
      </c>
      <c r="M74" s="117">
        <v>2565.39</v>
      </c>
      <c r="N74" s="116"/>
      <c r="O74" s="116"/>
    </row>
    <row r="75" spans="1:15">
      <c r="A75" s="116" t="s">
        <v>953</v>
      </c>
      <c r="B75" s="116" t="s">
        <v>897</v>
      </c>
      <c r="C75" s="116" t="s">
        <v>1507</v>
      </c>
      <c r="D75" s="116" t="s">
        <v>1732</v>
      </c>
      <c r="E75" s="116" t="s">
        <v>1338</v>
      </c>
      <c r="F75" s="118">
        <v>44986</v>
      </c>
      <c r="G75" s="118">
        <v>45717</v>
      </c>
      <c r="H75" s="118">
        <v>46081</v>
      </c>
      <c r="I75" s="116">
        <v>93.02</v>
      </c>
      <c r="J75" s="116">
        <v>0</v>
      </c>
      <c r="K75" s="116">
        <v>93.02</v>
      </c>
      <c r="L75" s="116">
        <v>0</v>
      </c>
      <c r="M75" s="116">
        <v>0</v>
      </c>
      <c r="N75" s="116"/>
      <c r="O75" s="116"/>
    </row>
    <row r="76" spans="1:15">
      <c r="A76" s="116" t="s">
        <v>953</v>
      </c>
      <c r="B76" s="116" t="s">
        <v>859</v>
      </c>
      <c r="C76" s="116" t="s">
        <v>1507</v>
      </c>
      <c r="D76" s="116" t="s">
        <v>482</v>
      </c>
      <c r="E76" s="116" t="s">
        <v>1323</v>
      </c>
      <c r="F76" s="118">
        <v>45625</v>
      </c>
      <c r="G76" s="118">
        <v>46051</v>
      </c>
      <c r="H76" s="118">
        <v>46065</v>
      </c>
      <c r="I76" s="117">
        <v>7907.46</v>
      </c>
      <c r="J76" s="116">
        <v>0</v>
      </c>
      <c r="K76" s="116">
        <v>971.29</v>
      </c>
      <c r="L76" s="116">
        <v>953.04</v>
      </c>
      <c r="M76" s="117">
        <v>5983.13</v>
      </c>
      <c r="N76" s="116"/>
      <c r="O76" s="116"/>
    </row>
    <row r="77" spans="1:15">
      <c r="A77" s="116" t="s">
        <v>953</v>
      </c>
      <c r="B77" s="116" t="s">
        <v>1375</v>
      </c>
      <c r="C77" s="116" t="s">
        <v>1503</v>
      </c>
      <c r="D77" s="116" t="s">
        <v>1376</v>
      </c>
      <c r="E77" s="116" t="s">
        <v>1338</v>
      </c>
      <c r="F77" s="118">
        <v>44533</v>
      </c>
      <c r="G77" s="118">
        <v>45627</v>
      </c>
      <c r="H77" s="118">
        <v>46009</v>
      </c>
      <c r="I77" s="117">
        <v>2008.98</v>
      </c>
      <c r="J77" s="116">
        <v>0</v>
      </c>
      <c r="K77" s="116">
        <v>59.26</v>
      </c>
      <c r="L77" s="116">
        <v>59.26</v>
      </c>
      <c r="M77" s="117">
        <v>1890.46</v>
      </c>
      <c r="N77" s="116"/>
      <c r="O77" s="116"/>
    </row>
    <row r="78" spans="1:15">
      <c r="A78" s="116" t="s">
        <v>953</v>
      </c>
      <c r="B78" s="116" t="s">
        <v>1733</v>
      </c>
      <c r="C78" s="116" t="s">
        <v>1503</v>
      </c>
      <c r="D78" s="116" t="s">
        <v>1734</v>
      </c>
      <c r="E78" s="116" t="s">
        <v>1632</v>
      </c>
      <c r="F78" s="118">
        <v>45780</v>
      </c>
      <c r="G78" s="118">
        <v>45780</v>
      </c>
      <c r="H78" s="118">
        <v>46142</v>
      </c>
      <c r="I78" s="116">
        <v>59.67</v>
      </c>
      <c r="J78" s="116">
        <v>0</v>
      </c>
      <c r="K78" s="116">
        <v>59.67</v>
      </c>
      <c r="L78" s="116">
        <v>0</v>
      </c>
      <c r="M78" s="116">
        <v>0</v>
      </c>
      <c r="N78" s="116"/>
      <c r="O78" s="116"/>
    </row>
    <row r="79" spans="1:15">
      <c r="A79" s="116" t="s">
        <v>953</v>
      </c>
      <c r="B79" s="116" t="s">
        <v>1735</v>
      </c>
      <c r="C79" s="116" t="s">
        <v>1503</v>
      </c>
      <c r="D79" s="116" t="s">
        <v>1736</v>
      </c>
      <c r="E79" s="116" t="s">
        <v>1338</v>
      </c>
      <c r="F79" s="118">
        <v>43910</v>
      </c>
      <c r="G79" s="118">
        <v>45748</v>
      </c>
      <c r="H79" s="118">
        <v>46112</v>
      </c>
      <c r="I79" s="117">
        <v>2084.2600000000002</v>
      </c>
      <c r="J79" s="117">
        <v>2084.2600000000002</v>
      </c>
      <c r="K79" s="116">
        <v>0</v>
      </c>
      <c r="L79" s="116">
        <v>0</v>
      </c>
      <c r="M79" s="116">
        <v>0</v>
      </c>
      <c r="N79" s="116"/>
      <c r="O79" s="116"/>
    </row>
    <row r="80" spans="1:15">
      <c r="A80" s="116" t="s">
        <v>953</v>
      </c>
      <c r="B80" s="116" t="s">
        <v>1737</v>
      </c>
      <c r="C80" s="116" t="s">
        <v>1503</v>
      </c>
      <c r="D80" s="116" t="s">
        <v>1738</v>
      </c>
      <c r="E80" s="116" t="s">
        <v>1323</v>
      </c>
      <c r="F80" s="118">
        <v>45751</v>
      </c>
      <c r="G80" s="118">
        <v>46116</v>
      </c>
      <c r="H80" s="118">
        <v>46120</v>
      </c>
      <c r="I80" s="117">
        <v>7167.71</v>
      </c>
      <c r="J80" s="117">
        <v>3917.69</v>
      </c>
      <c r="K80" s="117">
        <v>1500.01</v>
      </c>
      <c r="L80" s="117">
        <v>1550.01</v>
      </c>
      <c r="M80" s="116">
        <v>200</v>
      </c>
      <c r="N80" s="116"/>
      <c r="O80" s="116"/>
    </row>
    <row r="81" spans="1:15">
      <c r="A81" s="116" t="s">
        <v>953</v>
      </c>
      <c r="B81" s="116" t="s">
        <v>1739</v>
      </c>
      <c r="C81" s="116" t="s">
        <v>425</v>
      </c>
      <c r="D81" s="116" t="s">
        <v>479</v>
      </c>
      <c r="E81" s="116" t="s">
        <v>1323</v>
      </c>
      <c r="F81" s="118">
        <v>45727</v>
      </c>
      <c r="G81" s="118">
        <v>45727</v>
      </c>
      <c r="H81" s="118">
        <v>46152</v>
      </c>
      <c r="I81" s="117">
        <v>8354.07</v>
      </c>
      <c r="J81" s="117">
        <v>3538.33</v>
      </c>
      <c r="K81" s="117">
        <v>2429.85</v>
      </c>
      <c r="L81" s="117">
        <v>2385.89</v>
      </c>
      <c r="M81" s="116">
        <v>0</v>
      </c>
      <c r="N81" s="116"/>
      <c r="O81" s="116"/>
    </row>
    <row r="82" spans="1:15">
      <c r="A82" s="116" t="s">
        <v>953</v>
      </c>
      <c r="B82" s="116" t="s">
        <v>1740</v>
      </c>
      <c r="C82" s="116" t="s">
        <v>425</v>
      </c>
      <c r="D82" s="116" t="s">
        <v>1741</v>
      </c>
      <c r="E82" s="116" t="s">
        <v>1635</v>
      </c>
      <c r="F82" s="118">
        <v>45696</v>
      </c>
      <c r="G82" s="118">
        <v>46064</v>
      </c>
      <c r="H82" s="118">
        <v>46428</v>
      </c>
      <c r="I82" s="117">
        <v>1221.0999999999999</v>
      </c>
      <c r="J82" s="117">
        <v>1221.0999999999999</v>
      </c>
      <c r="K82" s="116">
        <v>0</v>
      </c>
      <c r="L82" s="116">
        <v>0</v>
      </c>
      <c r="M82" s="116">
        <v>0</v>
      </c>
      <c r="N82" s="116"/>
      <c r="O82" s="116"/>
    </row>
    <row r="83" spans="1:15">
      <c r="A83" s="116" t="s">
        <v>953</v>
      </c>
      <c r="B83" s="116" t="s">
        <v>1742</v>
      </c>
      <c r="C83" s="116" t="s">
        <v>1497</v>
      </c>
      <c r="D83" s="116" t="s">
        <v>1743</v>
      </c>
      <c r="E83" s="116" t="s">
        <v>1664</v>
      </c>
      <c r="F83" s="118">
        <v>45155</v>
      </c>
      <c r="G83" s="118">
        <v>45870</v>
      </c>
      <c r="H83" s="118">
        <v>46234</v>
      </c>
      <c r="I83" s="116">
        <v>703.78</v>
      </c>
      <c r="J83" s="116">
        <v>703.78</v>
      </c>
      <c r="K83" s="116">
        <v>0</v>
      </c>
      <c r="L83" s="116">
        <v>0</v>
      </c>
      <c r="M83" s="116">
        <v>0</v>
      </c>
      <c r="N83" s="116"/>
      <c r="O83" s="116"/>
    </row>
    <row r="84" spans="1:15">
      <c r="A84" s="116" t="s">
        <v>953</v>
      </c>
      <c r="B84" s="116" t="s">
        <v>1744</v>
      </c>
      <c r="C84" s="116" t="s">
        <v>1497</v>
      </c>
      <c r="D84" s="116" t="s">
        <v>1745</v>
      </c>
      <c r="E84" s="116" t="s">
        <v>1635</v>
      </c>
      <c r="F84" s="118">
        <v>45383</v>
      </c>
      <c r="G84" s="118">
        <v>45807</v>
      </c>
      <c r="H84" s="118">
        <v>46171</v>
      </c>
      <c r="I84" s="117">
        <v>7010.94</v>
      </c>
      <c r="J84" s="117">
        <v>1378.85</v>
      </c>
      <c r="K84" s="117">
        <v>1388.66</v>
      </c>
      <c r="L84" s="117">
        <v>1388.66</v>
      </c>
      <c r="M84" s="117">
        <v>2854.77</v>
      </c>
      <c r="N84" s="116"/>
      <c r="O84" s="116"/>
    </row>
    <row r="85" spans="1:15">
      <c r="A85" s="116" t="s">
        <v>953</v>
      </c>
      <c r="B85" s="116" t="s">
        <v>887</v>
      </c>
      <c r="C85" s="116" t="s">
        <v>1497</v>
      </c>
      <c r="D85" s="116" t="s">
        <v>1405</v>
      </c>
      <c r="E85" s="116" t="s">
        <v>1338</v>
      </c>
      <c r="F85" s="118">
        <v>45670</v>
      </c>
      <c r="G85" s="118">
        <v>45670</v>
      </c>
      <c r="H85" s="118">
        <v>46034</v>
      </c>
      <c r="I85" s="116">
        <v>267.57</v>
      </c>
      <c r="J85" s="116">
        <v>0</v>
      </c>
      <c r="K85" s="116">
        <v>71.19</v>
      </c>
      <c r="L85" s="116">
        <v>156.19</v>
      </c>
      <c r="M85" s="116">
        <v>40.19</v>
      </c>
      <c r="N85" s="116"/>
      <c r="O85" s="116"/>
    </row>
    <row r="86" spans="1:15">
      <c r="A86" s="116" t="s">
        <v>953</v>
      </c>
      <c r="B86" s="116" t="s">
        <v>1746</v>
      </c>
      <c r="C86" s="116" t="s">
        <v>1497</v>
      </c>
      <c r="D86" s="116" t="s">
        <v>1747</v>
      </c>
      <c r="E86" s="116" t="s">
        <v>1323</v>
      </c>
      <c r="F86" s="118">
        <v>45870</v>
      </c>
      <c r="G86" s="118">
        <v>45870</v>
      </c>
      <c r="H86" s="118">
        <v>46234</v>
      </c>
      <c r="I86" s="117">
        <v>10829.9</v>
      </c>
      <c r="J86" s="116">
        <v>0</v>
      </c>
      <c r="K86" s="117">
        <v>3952.89</v>
      </c>
      <c r="L86" s="117">
        <v>1172.19</v>
      </c>
      <c r="M86" s="117">
        <v>5704.82</v>
      </c>
      <c r="N86" s="116"/>
      <c r="O86" s="116"/>
    </row>
    <row r="87" spans="1:15">
      <c r="A87" s="116" t="s">
        <v>953</v>
      </c>
      <c r="B87" s="116" t="s">
        <v>1748</v>
      </c>
      <c r="C87" s="116" t="s">
        <v>1497</v>
      </c>
      <c r="D87" s="116" t="s">
        <v>1749</v>
      </c>
      <c r="E87" s="116" t="s">
        <v>1750</v>
      </c>
      <c r="F87" s="118">
        <v>42877</v>
      </c>
      <c r="G87" s="118">
        <v>46113</v>
      </c>
      <c r="H87" s="118">
        <v>46133</v>
      </c>
      <c r="I87" s="116">
        <v>846.78</v>
      </c>
      <c r="J87" s="116">
        <v>846.78</v>
      </c>
      <c r="K87" s="116">
        <v>0</v>
      </c>
      <c r="L87" s="116">
        <v>0</v>
      </c>
      <c r="M87" s="116">
        <v>0</v>
      </c>
      <c r="N87" s="116"/>
      <c r="O87" s="116"/>
    </row>
    <row r="88" spans="1:15">
      <c r="A88" s="116" t="s">
        <v>953</v>
      </c>
      <c r="B88" s="116" t="s">
        <v>878</v>
      </c>
      <c r="C88" s="116" t="s">
        <v>1497</v>
      </c>
      <c r="D88" s="116" t="s">
        <v>1401</v>
      </c>
      <c r="E88" s="116" t="s">
        <v>1338</v>
      </c>
      <c r="F88" s="118">
        <v>39619</v>
      </c>
      <c r="G88" s="118">
        <v>45870</v>
      </c>
      <c r="H88" s="118">
        <v>46234</v>
      </c>
      <c r="I88" s="117">
        <v>1336.57</v>
      </c>
      <c r="J88" s="116">
        <v>0</v>
      </c>
      <c r="K88" s="116">
        <v>952.19</v>
      </c>
      <c r="L88" s="116">
        <v>225.19</v>
      </c>
      <c r="M88" s="116">
        <v>159.19</v>
      </c>
      <c r="N88" s="116"/>
      <c r="O88" s="116"/>
    </row>
    <row r="89" spans="1:15">
      <c r="A89" s="116" t="s">
        <v>953</v>
      </c>
      <c r="B89" s="116" t="s">
        <v>1751</v>
      </c>
      <c r="C89" s="116" t="s">
        <v>1497</v>
      </c>
      <c r="D89" s="116" t="s">
        <v>1752</v>
      </c>
      <c r="E89" s="116" t="s">
        <v>1635</v>
      </c>
      <c r="F89" s="118">
        <v>44896</v>
      </c>
      <c r="G89" s="118">
        <v>46073</v>
      </c>
      <c r="H89" s="118">
        <v>46437</v>
      </c>
      <c r="I89" s="116">
        <v>71</v>
      </c>
      <c r="J89" s="116">
        <v>71</v>
      </c>
      <c r="K89" s="116">
        <v>0</v>
      </c>
      <c r="L89" s="116">
        <v>0</v>
      </c>
      <c r="M89" s="116">
        <v>0</v>
      </c>
      <c r="N89" s="116"/>
      <c r="O89" s="116"/>
    </row>
    <row r="90" spans="1:15">
      <c r="A90" s="116" t="s">
        <v>953</v>
      </c>
      <c r="B90" s="116" t="s">
        <v>1329</v>
      </c>
      <c r="C90" s="116" t="s">
        <v>1504</v>
      </c>
      <c r="D90" s="116" t="s">
        <v>1330</v>
      </c>
      <c r="E90" s="116" t="s">
        <v>1325</v>
      </c>
      <c r="F90" s="118">
        <v>45643</v>
      </c>
      <c r="G90" s="118">
        <v>45643</v>
      </c>
      <c r="H90" s="118">
        <v>46069</v>
      </c>
      <c r="I90" s="117">
        <v>12713.45</v>
      </c>
      <c r="J90" s="116">
        <v>0</v>
      </c>
      <c r="K90" s="116">
        <v>73.81</v>
      </c>
      <c r="L90" s="116">
        <v>73.81</v>
      </c>
      <c r="M90" s="117">
        <v>12565.83</v>
      </c>
      <c r="N90" s="116"/>
      <c r="O90" s="116"/>
    </row>
    <row r="91" spans="1:15">
      <c r="A91" s="116" t="s">
        <v>953</v>
      </c>
      <c r="B91" s="116" t="s">
        <v>1753</v>
      </c>
      <c r="C91" s="116" t="s">
        <v>1506</v>
      </c>
      <c r="D91" s="116" t="s">
        <v>1754</v>
      </c>
      <c r="E91" s="116" t="s">
        <v>1323</v>
      </c>
      <c r="F91" s="118">
        <v>45838</v>
      </c>
      <c r="G91" s="118">
        <v>45838</v>
      </c>
      <c r="H91" s="118">
        <v>46202</v>
      </c>
      <c r="I91" s="117">
        <v>11292.26</v>
      </c>
      <c r="J91" s="116">
        <v>0</v>
      </c>
      <c r="K91" s="117">
        <v>6087.13</v>
      </c>
      <c r="L91" s="117">
        <v>1699.68</v>
      </c>
      <c r="M91" s="117">
        <v>3505.45</v>
      </c>
      <c r="N91" s="116"/>
      <c r="O91" s="116"/>
    </row>
    <row r="92" spans="1:15">
      <c r="A92" s="116" t="s">
        <v>953</v>
      </c>
      <c r="B92" s="116" t="s">
        <v>1755</v>
      </c>
      <c r="C92" s="116" t="s">
        <v>1506</v>
      </c>
      <c r="D92" s="116" t="s">
        <v>1756</v>
      </c>
      <c r="E92" s="116" t="s">
        <v>1635</v>
      </c>
      <c r="F92" s="118">
        <v>45632</v>
      </c>
      <c r="G92" s="118">
        <v>46073</v>
      </c>
      <c r="H92" s="118">
        <v>46437</v>
      </c>
      <c r="I92" s="117">
        <v>4668</v>
      </c>
      <c r="J92" s="117">
        <v>4668</v>
      </c>
      <c r="K92" s="116">
        <v>0</v>
      </c>
      <c r="L92" s="116">
        <v>0</v>
      </c>
      <c r="M92" s="116">
        <v>0</v>
      </c>
      <c r="N92" s="116"/>
      <c r="O92" s="116"/>
    </row>
    <row r="93" spans="1:15">
      <c r="A93" s="116" t="s">
        <v>953</v>
      </c>
      <c r="B93" s="116" t="s">
        <v>1167</v>
      </c>
      <c r="C93" s="116" t="s">
        <v>1495</v>
      </c>
      <c r="D93" s="116" t="s">
        <v>1346</v>
      </c>
      <c r="E93" s="116" t="s">
        <v>1325</v>
      </c>
      <c r="F93" s="118">
        <v>45803</v>
      </c>
      <c r="G93" s="118">
        <v>45803</v>
      </c>
      <c r="H93" s="118">
        <v>46167</v>
      </c>
      <c r="I93" s="117">
        <v>7291.69</v>
      </c>
      <c r="J93" s="116">
        <v>0</v>
      </c>
      <c r="K93" s="116">
        <v>70.11</v>
      </c>
      <c r="L93" s="116">
        <v>70.11</v>
      </c>
      <c r="M93" s="117">
        <v>7151.47</v>
      </c>
      <c r="N93" s="116"/>
      <c r="O93" s="116"/>
    </row>
    <row r="94" spans="1:15">
      <c r="A94" s="116" t="s">
        <v>953</v>
      </c>
      <c r="B94" s="116" t="s">
        <v>852</v>
      </c>
      <c r="C94" s="116" t="s">
        <v>1504</v>
      </c>
      <c r="D94" s="116" t="s">
        <v>1322</v>
      </c>
      <c r="E94" s="116" t="s">
        <v>1323</v>
      </c>
      <c r="F94" s="118">
        <v>45589</v>
      </c>
      <c r="G94" s="118">
        <v>46015</v>
      </c>
      <c r="H94" s="118">
        <v>46064</v>
      </c>
      <c r="I94" s="117">
        <v>26628.83</v>
      </c>
      <c r="J94" s="116">
        <v>0</v>
      </c>
      <c r="K94" s="117">
        <v>1565.06</v>
      </c>
      <c r="L94" s="116">
        <v>800.81</v>
      </c>
      <c r="M94" s="117">
        <v>24262.959999999999</v>
      </c>
      <c r="N94" s="116"/>
      <c r="O94" s="116"/>
    </row>
    <row r="95" spans="1:15">
      <c r="A95" s="116" t="s">
        <v>953</v>
      </c>
      <c r="B95" s="116" t="s">
        <v>1113</v>
      </c>
      <c r="C95" s="116" t="s">
        <v>1497</v>
      </c>
      <c r="D95" s="116" t="s">
        <v>1365</v>
      </c>
      <c r="E95" s="116" t="s">
        <v>1323</v>
      </c>
      <c r="F95" s="118">
        <v>45652</v>
      </c>
      <c r="G95" s="118">
        <v>46017</v>
      </c>
      <c r="H95" s="118">
        <v>46045</v>
      </c>
      <c r="I95" s="117">
        <v>3913.47</v>
      </c>
      <c r="J95" s="116">
        <v>0</v>
      </c>
      <c r="K95" s="116">
        <v>71.19</v>
      </c>
      <c r="L95" s="116">
        <v>71.19</v>
      </c>
      <c r="M95" s="117">
        <v>3771.09</v>
      </c>
      <c r="N95" s="116"/>
      <c r="O95" s="116"/>
    </row>
    <row r="96" spans="1:15">
      <c r="A96" s="116" t="s">
        <v>953</v>
      </c>
      <c r="B96" s="116" t="s">
        <v>1366</v>
      </c>
      <c r="C96" s="116" t="s">
        <v>1497</v>
      </c>
      <c r="D96" s="116" t="s">
        <v>1367</v>
      </c>
      <c r="E96" s="116" t="s">
        <v>1338</v>
      </c>
      <c r="F96" s="118">
        <v>45868</v>
      </c>
      <c r="G96" s="118">
        <v>45868</v>
      </c>
      <c r="H96" s="118">
        <v>46232</v>
      </c>
      <c r="I96" s="117">
        <v>3846.54</v>
      </c>
      <c r="J96" s="116">
        <v>0</v>
      </c>
      <c r="K96" s="116">
        <v>93.66</v>
      </c>
      <c r="L96" s="116">
        <v>93.66</v>
      </c>
      <c r="M96" s="117">
        <v>3659.22</v>
      </c>
      <c r="N96" s="116"/>
      <c r="O96" s="116"/>
    </row>
    <row r="97" spans="1:15">
      <c r="A97" s="116" t="s">
        <v>953</v>
      </c>
      <c r="B97" s="116" t="s">
        <v>893</v>
      </c>
      <c r="C97" s="116" t="s">
        <v>1497</v>
      </c>
      <c r="D97" s="116" t="s">
        <v>1757</v>
      </c>
      <c r="E97" s="116" t="s">
        <v>1338</v>
      </c>
      <c r="F97" s="118">
        <v>45677</v>
      </c>
      <c r="G97" s="118">
        <v>46042</v>
      </c>
      <c r="H97" s="118">
        <v>46055</v>
      </c>
      <c r="I97" s="116">
        <v>93.66</v>
      </c>
      <c r="J97" s="116">
        <v>0</v>
      </c>
      <c r="K97" s="116">
        <v>93.66</v>
      </c>
      <c r="L97" s="116">
        <v>0</v>
      </c>
      <c r="M97" s="116">
        <v>0</v>
      </c>
      <c r="N97" s="116"/>
      <c r="O97" s="116"/>
    </row>
    <row r="98" spans="1:15">
      <c r="A98" s="116" t="s">
        <v>953</v>
      </c>
      <c r="B98" s="116" t="s">
        <v>1758</v>
      </c>
      <c r="C98" s="116" t="s">
        <v>1497</v>
      </c>
      <c r="D98" s="116" t="s">
        <v>1759</v>
      </c>
      <c r="E98" s="116" t="s">
        <v>1635</v>
      </c>
      <c r="F98" s="118">
        <v>42349</v>
      </c>
      <c r="G98" s="118">
        <v>46113</v>
      </c>
      <c r="H98" s="118">
        <v>46477</v>
      </c>
      <c r="I98" s="116">
        <v>98.78</v>
      </c>
      <c r="J98" s="116">
        <v>98.78</v>
      </c>
      <c r="K98" s="116">
        <v>0</v>
      </c>
      <c r="L98" s="116">
        <v>0</v>
      </c>
      <c r="M98" s="116">
        <v>0</v>
      </c>
      <c r="N98" s="116"/>
      <c r="O98" s="116"/>
    </row>
    <row r="99" spans="1:15">
      <c r="A99" s="116" t="s">
        <v>953</v>
      </c>
      <c r="B99" s="116" t="s">
        <v>1760</v>
      </c>
      <c r="C99" s="116" t="s">
        <v>1497</v>
      </c>
      <c r="D99" s="116" t="s">
        <v>1761</v>
      </c>
      <c r="E99" s="116" t="s">
        <v>1338</v>
      </c>
      <c r="F99" s="118">
        <v>45595</v>
      </c>
      <c r="G99" s="118">
        <v>46021</v>
      </c>
      <c r="H99" s="118">
        <v>46112</v>
      </c>
      <c r="I99" s="117">
        <v>1223.83</v>
      </c>
      <c r="J99" s="117">
        <v>1223.83</v>
      </c>
      <c r="K99" s="116">
        <v>0</v>
      </c>
      <c r="L99" s="116">
        <v>0</v>
      </c>
      <c r="M99" s="116">
        <v>0</v>
      </c>
      <c r="N99" s="116"/>
      <c r="O99" s="116"/>
    </row>
    <row r="100" spans="1:15">
      <c r="A100" s="116" t="s">
        <v>953</v>
      </c>
      <c r="B100" s="116" t="s">
        <v>1762</v>
      </c>
      <c r="C100" s="116" t="s">
        <v>1504</v>
      </c>
      <c r="D100" s="116" t="s">
        <v>1763</v>
      </c>
      <c r="E100" s="116" t="s">
        <v>1635</v>
      </c>
      <c r="F100" s="118">
        <v>46099</v>
      </c>
      <c r="G100" s="118">
        <v>46099</v>
      </c>
      <c r="H100" s="118">
        <v>46462</v>
      </c>
      <c r="I100" s="117">
        <v>1493.9</v>
      </c>
      <c r="J100" s="117">
        <v>1491</v>
      </c>
      <c r="K100" s="116">
        <v>2.9</v>
      </c>
      <c r="L100" s="116">
        <v>0</v>
      </c>
      <c r="M100" s="116">
        <v>0</v>
      </c>
      <c r="N100" s="116"/>
      <c r="O100" s="116"/>
    </row>
    <row r="101" spans="1:15">
      <c r="A101" s="116" t="s">
        <v>953</v>
      </c>
      <c r="B101" s="116" t="s">
        <v>1764</v>
      </c>
      <c r="C101" s="116" t="s">
        <v>419</v>
      </c>
      <c r="D101" s="116" t="s">
        <v>1765</v>
      </c>
      <c r="E101" s="116" t="s">
        <v>1338</v>
      </c>
      <c r="F101" s="118">
        <v>45710</v>
      </c>
      <c r="G101" s="118">
        <v>46075</v>
      </c>
      <c r="H101" s="118">
        <v>46106</v>
      </c>
      <c r="I101" s="117">
        <v>1559.56</v>
      </c>
      <c r="J101" s="116">
        <v>575</v>
      </c>
      <c r="K101" s="116">
        <v>984.56</v>
      </c>
      <c r="L101" s="116">
        <v>0</v>
      </c>
      <c r="M101" s="116">
        <v>0</v>
      </c>
      <c r="N101" s="116"/>
      <c r="O101" s="116"/>
    </row>
    <row r="102" spans="1:15">
      <c r="A102" s="116" t="s">
        <v>953</v>
      </c>
      <c r="B102" s="116" t="s">
        <v>1766</v>
      </c>
      <c r="C102" s="116" t="s">
        <v>419</v>
      </c>
      <c r="D102" s="116" t="s">
        <v>1767</v>
      </c>
      <c r="E102" s="116" t="s">
        <v>1647</v>
      </c>
      <c r="F102" s="118">
        <v>45717</v>
      </c>
      <c r="G102" s="118">
        <v>46113</v>
      </c>
      <c r="H102" s="116"/>
      <c r="I102" s="117">
        <v>3148.38</v>
      </c>
      <c r="J102" s="117">
        <v>1275.26</v>
      </c>
      <c r="K102" s="117">
        <v>1200.56</v>
      </c>
      <c r="L102" s="116">
        <v>469.56</v>
      </c>
      <c r="M102" s="116">
        <v>203</v>
      </c>
      <c r="N102" s="116"/>
      <c r="O102" s="116"/>
    </row>
    <row r="103" spans="1:15">
      <c r="A103" s="116" t="s">
        <v>953</v>
      </c>
      <c r="B103" s="116" t="s">
        <v>895</v>
      </c>
      <c r="C103" s="116" t="s">
        <v>1495</v>
      </c>
      <c r="D103" s="116" t="s">
        <v>1768</v>
      </c>
      <c r="E103" s="116" t="s">
        <v>1338</v>
      </c>
      <c r="F103" s="118">
        <v>45643</v>
      </c>
      <c r="G103" s="118">
        <v>45643</v>
      </c>
      <c r="H103" s="118">
        <v>46069</v>
      </c>
      <c r="I103" s="116">
        <v>70.11</v>
      </c>
      <c r="J103" s="116">
        <v>0</v>
      </c>
      <c r="K103" s="116">
        <v>70.11</v>
      </c>
      <c r="L103" s="116">
        <v>0</v>
      </c>
      <c r="M103" s="116">
        <v>0</v>
      </c>
      <c r="N103" s="116"/>
      <c r="O103" s="116"/>
    </row>
    <row r="104" spans="1:15">
      <c r="A104" s="116" t="s">
        <v>953</v>
      </c>
      <c r="B104" s="116" t="s">
        <v>1358</v>
      </c>
      <c r="C104" s="116" t="s">
        <v>1495</v>
      </c>
      <c r="D104" s="116" t="s">
        <v>1359</v>
      </c>
      <c r="E104" s="116" t="s">
        <v>1343</v>
      </c>
      <c r="F104" s="118">
        <v>45521</v>
      </c>
      <c r="G104" s="118">
        <v>45947</v>
      </c>
      <c r="H104" s="118">
        <v>46311</v>
      </c>
      <c r="I104" s="117">
        <v>9185.4699999999993</v>
      </c>
      <c r="J104" s="117">
        <v>1244.26</v>
      </c>
      <c r="K104" s="117">
        <v>1259.1099999999999</v>
      </c>
      <c r="L104" s="117">
        <v>1259.1099999999999</v>
      </c>
      <c r="M104" s="117">
        <v>5422.99</v>
      </c>
      <c r="N104" s="116"/>
      <c r="O104" s="116"/>
    </row>
    <row r="105" spans="1:15">
      <c r="A105" s="116" t="s">
        <v>953</v>
      </c>
      <c r="B105" s="116" t="s">
        <v>879</v>
      </c>
      <c r="C105" s="116" t="s">
        <v>419</v>
      </c>
      <c r="D105" s="116" t="s">
        <v>1769</v>
      </c>
      <c r="E105" s="116" t="s">
        <v>1338</v>
      </c>
      <c r="F105" s="118">
        <v>45636</v>
      </c>
      <c r="G105" s="118">
        <v>46063</v>
      </c>
      <c r="H105" s="118">
        <v>46084</v>
      </c>
      <c r="I105" s="117">
        <v>1340.57</v>
      </c>
      <c r="J105" s="116">
        <v>0</v>
      </c>
      <c r="K105" s="117">
        <v>1340.57</v>
      </c>
      <c r="L105" s="116">
        <v>0</v>
      </c>
      <c r="M105" s="116">
        <v>0</v>
      </c>
      <c r="N105" s="116"/>
      <c r="O105" s="116"/>
    </row>
    <row r="106" spans="1:15">
      <c r="A106" s="116" t="s">
        <v>953</v>
      </c>
      <c r="B106" s="116" t="s">
        <v>1770</v>
      </c>
      <c r="C106" s="116" t="s">
        <v>419</v>
      </c>
      <c r="D106" s="116" t="s">
        <v>1771</v>
      </c>
      <c r="E106" s="116" t="s">
        <v>1323</v>
      </c>
      <c r="F106" s="118">
        <v>41820</v>
      </c>
      <c r="G106" s="118">
        <v>46054</v>
      </c>
      <c r="H106" s="118">
        <v>46120</v>
      </c>
      <c r="I106" s="117">
        <v>6343.01</v>
      </c>
      <c r="J106" s="117">
        <v>2759.01</v>
      </c>
      <c r="K106" s="116">
        <v>933.03</v>
      </c>
      <c r="L106" s="116">
        <v>933.03</v>
      </c>
      <c r="M106" s="117">
        <v>1717.94</v>
      </c>
      <c r="N106" s="116"/>
      <c r="O106" s="116"/>
    </row>
    <row r="107" spans="1:15">
      <c r="A107" s="116" t="s">
        <v>953</v>
      </c>
      <c r="B107" s="116" t="s">
        <v>1772</v>
      </c>
      <c r="C107" s="116" t="s">
        <v>419</v>
      </c>
      <c r="D107" s="116" t="s">
        <v>1008</v>
      </c>
      <c r="E107" s="116" t="s">
        <v>1338</v>
      </c>
      <c r="F107" s="118">
        <v>45745</v>
      </c>
      <c r="G107" s="118">
        <v>46110</v>
      </c>
      <c r="H107" s="118">
        <v>46113</v>
      </c>
      <c r="I107" s="116">
        <v>35</v>
      </c>
      <c r="J107" s="116">
        <v>35</v>
      </c>
      <c r="K107" s="116">
        <v>0</v>
      </c>
      <c r="L107" s="116">
        <v>0</v>
      </c>
      <c r="M107" s="116">
        <v>0</v>
      </c>
      <c r="N107" s="116"/>
      <c r="O107" s="116"/>
    </row>
    <row r="108" spans="1:15">
      <c r="A108" s="116" t="s">
        <v>953</v>
      </c>
      <c r="B108" s="116" t="s">
        <v>1773</v>
      </c>
      <c r="C108" s="116" t="s">
        <v>1497</v>
      </c>
      <c r="D108" s="116" t="s">
        <v>1774</v>
      </c>
      <c r="E108" s="116" t="s">
        <v>1775</v>
      </c>
      <c r="F108" s="118">
        <v>43964</v>
      </c>
      <c r="G108" s="118">
        <v>45536</v>
      </c>
      <c r="H108" s="116"/>
      <c r="I108" s="117">
        <v>33692.089999999997</v>
      </c>
      <c r="J108" s="117">
        <v>1516.78</v>
      </c>
      <c r="K108" s="117">
        <v>1530.19</v>
      </c>
      <c r="L108" s="117">
        <v>1530.19</v>
      </c>
      <c r="M108" s="117">
        <v>29114.93</v>
      </c>
      <c r="N108" s="116"/>
      <c r="O108" s="116"/>
    </row>
    <row r="109" spans="1:15">
      <c r="A109" s="116" t="s">
        <v>953</v>
      </c>
      <c r="B109" s="116" t="s">
        <v>884</v>
      </c>
      <c r="C109" s="116" t="s">
        <v>1497</v>
      </c>
      <c r="D109" s="116" t="s">
        <v>1776</v>
      </c>
      <c r="E109" s="116" t="s">
        <v>1323</v>
      </c>
      <c r="F109" s="118">
        <v>45654</v>
      </c>
      <c r="G109" s="118">
        <v>46021</v>
      </c>
      <c r="H109" s="118">
        <v>46083</v>
      </c>
      <c r="I109" s="116">
        <v>318.19</v>
      </c>
      <c r="J109" s="116">
        <v>0</v>
      </c>
      <c r="K109" s="116">
        <v>318.19</v>
      </c>
      <c r="L109" s="116">
        <v>0</v>
      </c>
      <c r="M109" s="116">
        <v>0</v>
      </c>
      <c r="N109" s="116"/>
      <c r="O109" s="116"/>
    </row>
    <row r="110" spans="1:15">
      <c r="A110" s="116" t="s">
        <v>953</v>
      </c>
      <c r="B110" s="116" t="s">
        <v>1393</v>
      </c>
      <c r="C110" s="116" t="s">
        <v>1497</v>
      </c>
      <c r="D110" s="116" t="s">
        <v>1394</v>
      </c>
      <c r="E110" s="116" t="s">
        <v>1338</v>
      </c>
      <c r="F110" s="118">
        <v>45674</v>
      </c>
      <c r="G110" s="118">
        <v>45674</v>
      </c>
      <c r="H110" s="118">
        <v>46038</v>
      </c>
      <c r="I110" s="116">
        <v>746.4</v>
      </c>
      <c r="J110" s="116">
        <v>0</v>
      </c>
      <c r="K110" s="116">
        <v>71.19</v>
      </c>
      <c r="L110" s="116">
        <v>71.19</v>
      </c>
      <c r="M110" s="116">
        <v>604.02</v>
      </c>
      <c r="N110" s="116"/>
      <c r="O110" s="116"/>
    </row>
    <row r="111" spans="1:15">
      <c r="A111" s="116" t="s">
        <v>953</v>
      </c>
      <c r="B111" s="116" t="s">
        <v>1777</v>
      </c>
      <c r="C111" s="116" t="s">
        <v>419</v>
      </c>
      <c r="D111" s="116" t="s">
        <v>1778</v>
      </c>
      <c r="E111" s="116" t="s">
        <v>1338</v>
      </c>
      <c r="F111" s="118">
        <v>45596</v>
      </c>
      <c r="G111" s="118">
        <v>46022</v>
      </c>
      <c r="H111" s="118">
        <v>46113</v>
      </c>
      <c r="I111" s="116">
        <v>835.45</v>
      </c>
      <c r="J111" s="116">
        <v>835.45</v>
      </c>
      <c r="K111" s="116">
        <v>0</v>
      </c>
      <c r="L111" s="116">
        <v>0</v>
      </c>
      <c r="M111" s="116">
        <v>0</v>
      </c>
      <c r="N111" s="116"/>
      <c r="O111" s="116"/>
    </row>
    <row r="112" spans="1:15">
      <c r="A112" s="116" t="s">
        <v>953</v>
      </c>
      <c r="B112" s="116" t="s">
        <v>1779</v>
      </c>
      <c r="C112" s="116" t="s">
        <v>1495</v>
      </c>
      <c r="D112" s="116" t="s">
        <v>1780</v>
      </c>
      <c r="E112" s="116" t="s">
        <v>1775</v>
      </c>
      <c r="F112" s="118">
        <v>43204</v>
      </c>
      <c r="G112" s="118">
        <v>46113</v>
      </c>
      <c r="H112" s="116"/>
      <c r="I112" s="117">
        <v>3747.08</v>
      </c>
      <c r="J112" s="117">
        <v>1405.34</v>
      </c>
      <c r="K112" s="117">
        <v>1124.58</v>
      </c>
      <c r="L112" s="117">
        <v>1124.58</v>
      </c>
      <c r="M112" s="116">
        <v>92.58</v>
      </c>
      <c r="N112" s="116"/>
      <c r="O112" s="116"/>
    </row>
    <row r="113" spans="1:15">
      <c r="A113" s="116" t="s">
        <v>953</v>
      </c>
      <c r="B113" s="116" t="s">
        <v>1781</v>
      </c>
      <c r="C113" s="116" t="s">
        <v>1495</v>
      </c>
      <c r="D113" s="116" t="s">
        <v>1782</v>
      </c>
      <c r="E113" s="116" t="s">
        <v>1323</v>
      </c>
      <c r="F113" s="118">
        <v>45485</v>
      </c>
      <c r="G113" s="118">
        <v>45912</v>
      </c>
      <c r="H113" s="118">
        <v>46276</v>
      </c>
      <c r="I113" s="117">
        <v>13430.36</v>
      </c>
      <c r="J113" s="117">
        <v>4358.1499999999996</v>
      </c>
      <c r="K113" s="117">
        <v>1226.1099999999999</v>
      </c>
      <c r="L113" s="117">
        <v>1226.1099999999999</v>
      </c>
      <c r="M113" s="117">
        <v>6619.99</v>
      </c>
      <c r="N113" s="116"/>
      <c r="O113" s="116"/>
    </row>
    <row r="114" spans="1:15">
      <c r="A114" s="116" t="s">
        <v>953</v>
      </c>
      <c r="B114" s="116" t="s">
        <v>872</v>
      </c>
      <c r="C114" s="116" t="s">
        <v>1495</v>
      </c>
      <c r="D114" s="116" t="s">
        <v>1040</v>
      </c>
      <c r="E114" s="116" t="s">
        <v>1635</v>
      </c>
      <c r="F114" s="118">
        <v>46129</v>
      </c>
      <c r="G114" s="118">
        <v>46129</v>
      </c>
      <c r="H114" s="118">
        <v>46493</v>
      </c>
      <c r="I114" s="116">
        <v>30.47</v>
      </c>
      <c r="J114" s="116">
        <v>30.47</v>
      </c>
      <c r="K114" s="116">
        <v>0</v>
      </c>
      <c r="L114" s="116">
        <v>0</v>
      </c>
      <c r="M114" s="116">
        <v>0</v>
      </c>
      <c r="N114" s="116"/>
      <c r="O114" s="116"/>
    </row>
    <row r="115" spans="1:15">
      <c r="A115" s="116" t="s">
        <v>953</v>
      </c>
      <c r="B115" s="116" t="s">
        <v>872</v>
      </c>
      <c r="C115" s="116" t="s">
        <v>1495</v>
      </c>
      <c r="D115" s="116" t="s">
        <v>1783</v>
      </c>
      <c r="E115" s="116" t="s">
        <v>1323</v>
      </c>
      <c r="F115" s="118">
        <v>45703</v>
      </c>
      <c r="G115" s="118">
        <v>45703</v>
      </c>
      <c r="H115" s="118">
        <v>46126</v>
      </c>
      <c r="I115" s="117">
        <v>1682.16</v>
      </c>
      <c r="J115" s="116">
        <v>0</v>
      </c>
      <c r="K115" s="117">
        <v>1666.58</v>
      </c>
      <c r="L115" s="116">
        <v>15.58</v>
      </c>
      <c r="M115" s="116">
        <v>0</v>
      </c>
      <c r="N115" s="116"/>
      <c r="O115" s="116"/>
    </row>
    <row r="116" spans="1:15">
      <c r="A116" s="116" t="s">
        <v>953</v>
      </c>
      <c r="B116" s="116" t="s">
        <v>868</v>
      </c>
      <c r="C116" s="116" t="s">
        <v>419</v>
      </c>
      <c r="D116" s="116" t="s">
        <v>1784</v>
      </c>
      <c r="E116" s="116" t="s">
        <v>1323</v>
      </c>
      <c r="F116" s="118">
        <v>44470</v>
      </c>
      <c r="G116" s="118">
        <v>45931</v>
      </c>
      <c r="H116" s="118">
        <v>46295</v>
      </c>
      <c r="I116" s="117">
        <v>3964.02</v>
      </c>
      <c r="J116" s="116">
        <v>0</v>
      </c>
      <c r="K116" s="117">
        <v>3018.46</v>
      </c>
      <c r="L116" s="116">
        <v>945.56</v>
      </c>
      <c r="M116" s="116">
        <v>0</v>
      </c>
      <c r="N116" s="116"/>
      <c r="O116" s="116"/>
    </row>
    <row r="117" spans="1:15">
      <c r="A117" s="116" t="s">
        <v>953</v>
      </c>
      <c r="B117" s="116" t="s">
        <v>1785</v>
      </c>
      <c r="C117" s="116" t="s">
        <v>419</v>
      </c>
      <c r="D117" s="116" t="s">
        <v>1786</v>
      </c>
      <c r="E117" s="116" t="s">
        <v>1338</v>
      </c>
      <c r="F117" s="118">
        <v>44409</v>
      </c>
      <c r="G117" s="118">
        <v>46054</v>
      </c>
      <c r="H117" s="118">
        <v>46109</v>
      </c>
      <c r="I117" s="117">
        <v>1697.22</v>
      </c>
      <c r="J117" s="117">
        <v>1697.22</v>
      </c>
      <c r="K117" s="116">
        <v>0</v>
      </c>
      <c r="L117" s="116">
        <v>0</v>
      </c>
      <c r="M117" s="116">
        <v>0</v>
      </c>
      <c r="N117" s="116"/>
      <c r="O117" s="116"/>
    </row>
    <row r="118" spans="1:15">
      <c r="A118" s="116" t="s">
        <v>953</v>
      </c>
      <c r="B118" s="116" t="s">
        <v>874</v>
      </c>
      <c r="C118" s="116" t="s">
        <v>419</v>
      </c>
      <c r="D118" s="116" t="s">
        <v>1392</v>
      </c>
      <c r="E118" s="116" t="s">
        <v>1338</v>
      </c>
      <c r="F118" s="118">
        <v>45596</v>
      </c>
      <c r="G118" s="118">
        <v>46022</v>
      </c>
      <c r="H118" s="118">
        <v>46064</v>
      </c>
      <c r="I118" s="117">
        <v>1397.43</v>
      </c>
      <c r="J118" s="116">
        <v>0</v>
      </c>
      <c r="K118" s="116">
        <v>724.81</v>
      </c>
      <c r="L118" s="116">
        <v>501.81</v>
      </c>
      <c r="M118" s="116">
        <v>170.81</v>
      </c>
      <c r="N118" s="116"/>
      <c r="O118" s="116"/>
    </row>
    <row r="119" spans="1:15">
      <c r="A119" s="116" t="s">
        <v>953</v>
      </c>
      <c r="B119" s="116" t="s">
        <v>1351</v>
      </c>
      <c r="C119" s="116" t="s">
        <v>1504</v>
      </c>
      <c r="D119" s="116" t="s">
        <v>1352</v>
      </c>
      <c r="E119" s="116" t="s">
        <v>1325</v>
      </c>
      <c r="F119" s="118">
        <v>45619</v>
      </c>
      <c r="G119" s="118">
        <v>46045</v>
      </c>
      <c r="H119" s="118">
        <v>46045</v>
      </c>
      <c r="I119" s="117">
        <v>5839.16</v>
      </c>
      <c r="J119" s="116">
        <v>0</v>
      </c>
      <c r="K119" s="116">
        <v>96.28</v>
      </c>
      <c r="L119" s="116">
        <v>96.28</v>
      </c>
      <c r="M119" s="117">
        <v>5646.6</v>
      </c>
      <c r="N119" s="116"/>
      <c r="O119" s="116"/>
    </row>
    <row r="120" spans="1:15">
      <c r="A120" s="116" t="s">
        <v>953</v>
      </c>
      <c r="B120" s="116" t="s">
        <v>1787</v>
      </c>
      <c r="C120" s="116" t="s">
        <v>1497</v>
      </c>
      <c r="D120" s="116" t="s">
        <v>1788</v>
      </c>
      <c r="E120" s="116" t="s">
        <v>1679</v>
      </c>
      <c r="F120" s="118">
        <v>45395</v>
      </c>
      <c r="G120" s="118">
        <v>45821</v>
      </c>
      <c r="H120" s="118">
        <v>46185</v>
      </c>
      <c r="I120" s="116">
        <v>237.21</v>
      </c>
      <c r="J120" s="116">
        <v>237.21</v>
      </c>
      <c r="K120" s="116">
        <v>0</v>
      </c>
      <c r="L120" s="116">
        <v>0</v>
      </c>
      <c r="M120" s="116">
        <v>0</v>
      </c>
      <c r="N120" s="116"/>
      <c r="O120" s="116"/>
    </row>
    <row r="121" spans="1:15">
      <c r="A121" s="116" t="s">
        <v>953</v>
      </c>
      <c r="B121" s="116" t="s">
        <v>1789</v>
      </c>
      <c r="C121" s="116" t="s">
        <v>1497</v>
      </c>
      <c r="D121" s="116" t="s">
        <v>1790</v>
      </c>
      <c r="E121" s="116" t="s">
        <v>1647</v>
      </c>
      <c r="F121" s="118">
        <v>44176</v>
      </c>
      <c r="G121" s="118">
        <v>46082</v>
      </c>
      <c r="H121" s="116"/>
      <c r="I121" s="117">
        <v>8468.5499999999993</v>
      </c>
      <c r="J121" s="117">
        <v>1372.85</v>
      </c>
      <c r="K121" s="117">
        <v>1382.66</v>
      </c>
      <c r="L121" s="117">
        <v>1151.6600000000001</v>
      </c>
      <c r="M121" s="117">
        <v>4561.38</v>
      </c>
      <c r="N121" s="116"/>
      <c r="O121" s="116"/>
    </row>
    <row r="122" spans="1:15">
      <c r="A122" s="116" t="s">
        <v>953</v>
      </c>
      <c r="B122" s="116" t="s">
        <v>1791</v>
      </c>
      <c r="C122" s="116" t="s">
        <v>1497</v>
      </c>
      <c r="D122" s="116" t="s">
        <v>1792</v>
      </c>
      <c r="E122" s="116" t="s">
        <v>1647</v>
      </c>
      <c r="F122" s="118">
        <v>45596</v>
      </c>
      <c r="G122" s="118">
        <v>46022</v>
      </c>
      <c r="H122" s="116"/>
      <c r="I122" s="117">
        <v>7142.71</v>
      </c>
      <c r="J122" s="117">
        <v>1148.78</v>
      </c>
      <c r="K122" s="117">
        <v>1162.19</v>
      </c>
      <c r="L122" s="117">
        <v>1162.19</v>
      </c>
      <c r="M122" s="117">
        <v>3669.55</v>
      </c>
      <c r="N122" s="116"/>
      <c r="O122" s="116"/>
    </row>
    <row r="123" spans="1:15">
      <c r="A123" s="116" t="s">
        <v>953</v>
      </c>
      <c r="B123" s="116" t="s">
        <v>1793</v>
      </c>
      <c r="C123" s="116" t="s">
        <v>1497</v>
      </c>
      <c r="D123" s="116" t="s">
        <v>1794</v>
      </c>
      <c r="E123" s="116" t="s">
        <v>1635</v>
      </c>
      <c r="F123" s="118">
        <v>45701</v>
      </c>
      <c r="G123" s="118">
        <v>46125</v>
      </c>
      <c r="H123" s="118">
        <v>46489</v>
      </c>
      <c r="I123" s="117">
        <v>1473.32</v>
      </c>
      <c r="J123" s="117">
        <v>1204.78</v>
      </c>
      <c r="K123" s="116">
        <v>268.54000000000002</v>
      </c>
      <c r="L123" s="116">
        <v>0</v>
      </c>
      <c r="M123" s="116">
        <v>0</v>
      </c>
      <c r="N123" s="116"/>
      <c r="O123" s="116"/>
    </row>
    <row r="124" spans="1:15">
      <c r="A124" s="116" t="s">
        <v>953</v>
      </c>
      <c r="B124" s="116" t="s">
        <v>1362</v>
      </c>
      <c r="C124" s="116" t="s">
        <v>1497</v>
      </c>
      <c r="D124" s="116" t="s">
        <v>1363</v>
      </c>
      <c r="E124" s="116" t="s">
        <v>1323</v>
      </c>
      <c r="F124" s="118">
        <v>44409</v>
      </c>
      <c r="G124" s="118">
        <v>46023</v>
      </c>
      <c r="H124" s="118">
        <v>46045</v>
      </c>
      <c r="I124" s="117">
        <v>4871.8900000000003</v>
      </c>
      <c r="J124" s="116">
        <v>0</v>
      </c>
      <c r="K124" s="116">
        <v>71.19</v>
      </c>
      <c r="L124" s="116">
        <v>71.19</v>
      </c>
      <c r="M124" s="117">
        <v>4729.51</v>
      </c>
      <c r="N124" s="116"/>
      <c r="O124" s="116"/>
    </row>
    <row r="125" spans="1:15">
      <c r="A125" s="116" t="s">
        <v>953</v>
      </c>
      <c r="B125" s="116" t="s">
        <v>1016</v>
      </c>
      <c r="C125" s="116" t="s">
        <v>1497</v>
      </c>
      <c r="D125" s="116" t="s">
        <v>1399</v>
      </c>
      <c r="E125" s="116" t="s">
        <v>1338</v>
      </c>
      <c r="F125" s="118">
        <v>45626</v>
      </c>
      <c r="G125" s="118">
        <v>45748</v>
      </c>
      <c r="H125" s="118">
        <v>46112</v>
      </c>
      <c r="I125" s="116">
        <v>378.57</v>
      </c>
      <c r="J125" s="116">
        <v>0</v>
      </c>
      <c r="K125" s="116">
        <v>71.19</v>
      </c>
      <c r="L125" s="116">
        <v>71.19</v>
      </c>
      <c r="M125" s="116">
        <v>236.19</v>
      </c>
      <c r="N125" s="116"/>
      <c r="O125" s="116"/>
    </row>
    <row r="126" spans="1:15">
      <c r="A126" s="116" t="s">
        <v>953</v>
      </c>
      <c r="B126" s="116" t="s">
        <v>871</v>
      </c>
      <c r="C126" s="116" t="s">
        <v>1504</v>
      </c>
      <c r="D126" s="116" t="s">
        <v>1795</v>
      </c>
      <c r="E126" s="116" t="s">
        <v>1338</v>
      </c>
      <c r="F126" s="118">
        <v>45231</v>
      </c>
      <c r="G126" s="118">
        <v>45658</v>
      </c>
      <c r="H126" s="118">
        <v>46081</v>
      </c>
      <c r="I126" s="117">
        <v>2749.27</v>
      </c>
      <c r="J126" s="116">
        <v>0</v>
      </c>
      <c r="K126" s="117">
        <v>1216.28</v>
      </c>
      <c r="L126" s="117">
        <v>1532.99</v>
      </c>
      <c r="M126" s="116">
        <v>0</v>
      </c>
      <c r="N126" s="116"/>
      <c r="O126" s="116"/>
    </row>
    <row r="127" spans="1:15">
      <c r="A127" s="116" t="s">
        <v>953</v>
      </c>
      <c r="B127" s="116" t="s">
        <v>1796</v>
      </c>
      <c r="C127" s="116" t="s">
        <v>1497</v>
      </c>
      <c r="D127" s="116" t="s">
        <v>1797</v>
      </c>
      <c r="E127" s="116" t="s">
        <v>1635</v>
      </c>
      <c r="F127" s="118">
        <v>45919</v>
      </c>
      <c r="G127" s="118">
        <v>45919</v>
      </c>
      <c r="H127" s="118">
        <v>46283</v>
      </c>
      <c r="I127" s="117">
        <v>2482.9699999999998</v>
      </c>
      <c r="J127" s="117">
        <v>1309.78</v>
      </c>
      <c r="K127" s="117">
        <v>1173.19</v>
      </c>
      <c r="L127" s="116">
        <v>0</v>
      </c>
      <c r="M127" s="116">
        <v>0</v>
      </c>
      <c r="N127" s="116"/>
      <c r="O127" s="116"/>
    </row>
    <row r="128" spans="1:15">
      <c r="A128" s="116" t="s">
        <v>953</v>
      </c>
      <c r="B128" s="116" t="s">
        <v>870</v>
      </c>
      <c r="C128" s="116" t="s">
        <v>1497</v>
      </c>
      <c r="D128" s="116" t="s">
        <v>488</v>
      </c>
      <c r="E128" s="116" t="s">
        <v>1323</v>
      </c>
      <c r="F128" s="118">
        <v>42565</v>
      </c>
      <c r="G128" s="118">
        <v>45870</v>
      </c>
      <c r="H128" s="118">
        <v>46234</v>
      </c>
      <c r="I128" s="117">
        <v>3182.58</v>
      </c>
      <c r="J128" s="116">
        <v>0</v>
      </c>
      <c r="K128" s="117">
        <v>3182.58</v>
      </c>
      <c r="L128" s="116">
        <v>0</v>
      </c>
      <c r="M128" s="116">
        <v>0</v>
      </c>
      <c r="N128" s="116"/>
      <c r="O128" s="116"/>
    </row>
    <row r="129" spans="1:15">
      <c r="A129" s="116" t="s">
        <v>953</v>
      </c>
      <c r="B129" s="116" t="s">
        <v>1798</v>
      </c>
      <c r="C129" s="116" t="s">
        <v>1497</v>
      </c>
      <c r="D129" s="116" t="s">
        <v>1799</v>
      </c>
      <c r="E129" s="116" t="s">
        <v>1775</v>
      </c>
      <c r="F129" s="118">
        <v>45765</v>
      </c>
      <c r="G129" s="118">
        <v>46130</v>
      </c>
      <c r="H129" s="116"/>
      <c r="I129" s="117">
        <v>10105.07</v>
      </c>
      <c r="J129" s="117">
        <v>1268.78</v>
      </c>
      <c r="K129" s="117">
        <v>1183.19</v>
      </c>
      <c r="L129" s="117">
        <v>1183.19</v>
      </c>
      <c r="M129" s="117">
        <v>6469.91</v>
      </c>
      <c r="N129" s="116"/>
      <c r="O129" s="116"/>
    </row>
    <row r="130" spans="1:15">
      <c r="A130" s="116" t="s">
        <v>953</v>
      </c>
      <c r="B130" s="116" t="s">
        <v>1800</v>
      </c>
      <c r="C130" s="116" t="s">
        <v>1497</v>
      </c>
      <c r="D130" s="116" t="s">
        <v>1801</v>
      </c>
      <c r="E130" s="116" t="s">
        <v>1338</v>
      </c>
      <c r="F130" s="118">
        <v>45668</v>
      </c>
      <c r="G130" s="118">
        <v>46092</v>
      </c>
      <c r="H130" s="118">
        <v>46106</v>
      </c>
      <c r="I130" s="117">
        <v>7624.75</v>
      </c>
      <c r="J130" s="117">
        <v>2631.5</v>
      </c>
      <c r="K130" s="117">
        <v>1319.14</v>
      </c>
      <c r="L130" s="117">
        <v>1200.19</v>
      </c>
      <c r="M130" s="117">
        <v>2473.92</v>
      </c>
      <c r="N130" s="116"/>
      <c r="O130" s="116"/>
    </row>
    <row r="131" spans="1:15">
      <c r="A131" s="116" t="s">
        <v>953</v>
      </c>
      <c r="B131" s="116" t="s">
        <v>865</v>
      </c>
      <c r="C131" s="116" t="s">
        <v>1497</v>
      </c>
      <c r="D131" s="116" t="s">
        <v>1802</v>
      </c>
      <c r="E131" s="116" t="s">
        <v>1323</v>
      </c>
      <c r="F131" s="118">
        <v>45413</v>
      </c>
      <c r="G131" s="118">
        <v>45825</v>
      </c>
      <c r="H131" s="118">
        <v>46189</v>
      </c>
      <c r="I131" s="117">
        <v>5729.92</v>
      </c>
      <c r="J131" s="116">
        <v>0</v>
      </c>
      <c r="K131" s="117">
        <v>5132.26</v>
      </c>
      <c r="L131" s="116">
        <v>597.66</v>
      </c>
      <c r="M131" s="116">
        <v>0</v>
      </c>
      <c r="N131" s="116"/>
      <c r="O131" s="116"/>
    </row>
    <row r="132" spans="1:15">
      <c r="A132" s="116" t="s">
        <v>953</v>
      </c>
      <c r="B132" s="116" t="s">
        <v>861</v>
      </c>
      <c r="C132" s="116" t="s">
        <v>1497</v>
      </c>
      <c r="D132" s="116" t="s">
        <v>1803</v>
      </c>
      <c r="E132" s="116" t="s">
        <v>1323</v>
      </c>
      <c r="F132" s="118">
        <v>44805</v>
      </c>
      <c r="G132" s="118">
        <v>45901</v>
      </c>
      <c r="H132" s="118">
        <v>46265</v>
      </c>
      <c r="I132" s="117">
        <v>6563.87</v>
      </c>
      <c r="J132" s="116">
        <v>0</v>
      </c>
      <c r="K132" s="117">
        <v>4095.49</v>
      </c>
      <c r="L132" s="117">
        <v>1234.19</v>
      </c>
      <c r="M132" s="117">
        <v>1234.19</v>
      </c>
      <c r="N132" s="116"/>
      <c r="O132" s="116"/>
    </row>
    <row r="133" spans="1:15">
      <c r="A133" s="116" t="s">
        <v>953</v>
      </c>
      <c r="B133" s="116" t="s">
        <v>1804</v>
      </c>
      <c r="C133" s="116" t="s">
        <v>1497</v>
      </c>
      <c r="D133" s="116" t="s">
        <v>1805</v>
      </c>
      <c r="E133" s="116" t="s">
        <v>1338</v>
      </c>
      <c r="F133" s="118">
        <v>44076</v>
      </c>
      <c r="G133" s="118">
        <v>45870</v>
      </c>
      <c r="H133" s="118">
        <v>46053</v>
      </c>
      <c r="I133" s="116">
        <v>71.19</v>
      </c>
      <c r="J133" s="116">
        <v>0</v>
      </c>
      <c r="K133" s="116">
        <v>71.19</v>
      </c>
      <c r="L133" s="116">
        <v>0</v>
      </c>
      <c r="M133" s="116">
        <v>0</v>
      </c>
      <c r="N133" s="116"/>
      <c r="O133" s="116"/>
    </row>
    <row r="134" spans="1:15">
      <c r="A134" s="116" t="s">
        <v>953</v>
      </c>
      <c r="B134" s="116" t="s">
        <v>1806</v>
      </c>
      <c r="C134" s="116" t="s">
        <v>1506</v>
      </c>
      <c r="D134" s="116" t="s">
        <v>1807</v>
      </c>
      <c r="E134" s="116" t="s">
        <v>1775</v>
      </c>
      <c r="F134" s="118">
        <v>45569</v>
      </c>
      <c r="G134" s="118">
        <v>45995</v>
      </c>
      <c r="H134" s="116"/>
      <c r="I134" s="117">
        <v>31361.23</v>
      </c>
      <c r="J134" s="117">
        <v>1750.14</v>
      </c>
      <c r="K134" s="117">
        <v>3143.75</v>
      </c>
      <c r="L134" s="116">
        <v>74.75</v>
      </c>
      <c r="M134" s="117">
        <v>26392.59</v>
      </c>
      <c r="N134" s="116"/>
      <c r="O134" s="116"/>
    </row>
    <row r="135" spans="1:15">
      <c r="A135" s="116" t="s">
        <v>953</v>
      </c>
      <c r="B135" s="116" t="s">
        <v>862</v>
      </c>
      <c r="C135" s="116" t="s">
        <v>1506</v>
      </c>
      <c r="D135" s="116" t="s">
        <v>1369</v>
      </c>
      <c r="E135" s="116" t="s">
        <v>1323</v>
      </c>
      <c r="F135" s="118">
        <v>45688</v>
      </c>
      <c r="G135" s="118">
        <v>45688</v>
      </c>
      <c r="H135" s="118">
        <v>46111</v>
      </c>
      <c r="I135" s="117">
        <v>6109.29</v>
      </c>
      <c r="J135" s="116">
        <v>0</v>
      </c>
      <c r="K135" s="117">
        <v>1070.68</v>
      </c>
      <c r="L135" s="117">
        <v>1542.68</v>
      </c>
      <c r="M135" s="117">
        <v>3495.93</v>
      </c>
      <c r="N135" s="116"/>
      <c r="O135" s="116"/>
    </row>
    <row r="136" spans="1:15">
      <c r="A136" s="116" t="s">
        <v>953</v>
      </c>
      <c r="B136" s="116" t="s">
        <v>1808</v>
      </c>
      <c r="C136" s="116" t="s">
        <v>1495</v>
      </c>
      <c r="D136" s="116" t="s">
        <v>1809</v>
      </c>
      <c r="E136" s="116" t="s">
        <v>1323</v>
      </c>
      <c r="F136" s="118">
        <v>45709</v>
      </c>
      <c r="G136" s="118">
        <v>46074</v>
      </c>
      <c r="H136" s="118">
        <v>46120</v>
      </c>
      <c r="I136" s="117">
        <v>2519.38</v>
      </c>
      <c r="J136" s="117">
        <v>1368.22</v>
      </c>
      <c r="K136" s="117">
        <v>1061.58</v>
      </c>
      <c r="L136" s="116">
        <v>89.58</v>
      </c>
      <c r="M136" s="116">
        <v>0</v>
      </c>
      <c r="N136" s="116"/>
      <c r="O136" s="116"/>
    </row>
    <row r="137" spans="1:15">
      <c r="A137" s="116" t="s">
        <v>953</v>
      </c>
      <c r="B137" s="116" t="s">
        <v>1810</v>
      </c>
      <c r="C137" s="116" t="s">
        <v>1506</v>
      </c>
      <c r="D137" s="116" t="s">
        <v>494</v>
      </c>
      <c r="E137" s="116" t="s">
        <v>1635</v>
      </c>
      <c r="F137" s="118">
        <v>45570</v>
      </c>
      <c r="G137" s="118">
        <v>46073</v>
      </c>
      <c r="H137" s="118">
        <v>46437</v>
      </c>
      <c r="I137" s="117">
        <v>1633</v>
      </c>
      <c r="J137" s="117">
        <v>1633</v>
      </c>
      <c r="K137" s="116">
        <v>0</v>
      </c>
      <c r="L137" s="116">
        <v>0</v>
      </c>
      <c r="M137" s="116">
        <v>0</v>
      </c>
      <c r="N137" s="116"/>
      <c r="O137" s="116"/>
    </row>
    <row r="138" spans="1:15">
      <c r="A138" s="116" t="s">
        <v>953</v>
      </c>
      <c r="B138" s="116" t="s">
        <v>1811</v>
      </c>
      <c r="C138" s="116" t="s">
        <v>1506</v>
      </c>
      <c r="D138" s="116" t="s">
        <v>1812</v>
      </c>
      <c r="E138" s="116" t="s">
        <v>1635</v>
      </c>
      <c r="F138" s="118">
        <v>45596</v>
      </c>
      <c r="G138" s="118">
        <v>46022</v>
      </c>
      <c r="H138" s="118">
        <v>46386</v>
      </c>
      <c r="I138" s="117">
        <v>1482</v>
      </c>
      <c r="J138" s="117">
        <v>1482</v>
      </c>
      <c r="K138" s="116">
        <v>0</v>
      </c>
      <c r="L138" s="116">
        <v>0</v>
      </c>
      <c r="M138" s="116">
        <v>0</v>
      </c>
      <c r="N138" s="116"/>
      <c r="O138" s="116"/>
    </row>
    <row r="139" spans="1:15">
      <c r="A139" s="116" t="s">
        <v>953</v>
      </c>
      <c r="B139" s="116" t="s">
        <v>875</v>
      </c>
      <c r="C139" s="116" t="s">
        <v>419</v>
      </c>
      <c r="D139" s="116" t="s">
        <v>1391</v>
      </c>
      <c r="E139" s="116" t="s">
        <v>1323</v>
      </c>
      <c r="F139" s="118">
        <v>45596</v>
      </c>
      <c r="G139" s="118">
        <v>46022</v>
      </c>
      <c r="H139" s="118">
        <v>46081</v>
      </c>
      <c r="I139" s="117">
        <v>2118.6799999999998</v>
      </c>
      <c r="J139" s="116">
        <v>0</v>
      </c>
      <c r="K139" s="116">
        <v>67.56</v>
      </c>
      <c r="L139" s="117">
        <v>1053.56</v>
      </c>
      <c r="M139" s="116">
        <v>997.56</v>
      </c>
      <c r="N139" s="116"/>
      <c r="O139" s="116"/>
    </row>
    <row r="140" spans="1:15">
      <c r="A140" s="116" t="s">
        <v>953</v>
      </c>
      <c r="B140" s="116" t="s">
        <v>1813</v>
      </c>
      <c r="C140" s="116" t="s">
        <v>419</v>
      </c>
      <c r="D140" s="116" t="s">
        <v>1814</v>
      </c>
      <c r="E140" s="116" t="s">
        <v>1338</v>
      </c>
      <c r="F140" s="118">
        <v>44194</v>
      </c>
      <c r="G140" s="118">
        <v>45748</v>
      </c>
      <c r="H140" s="118">
        <v>46112</v>
      </c>
      <c r="I140" s="116">
        <v>937.06</v>
      </c>
      <c r="J140" s="116">
        <v>0</v>
      </c>
      <c r="K140" s="116">
        <v>90.03</v>
      </c>
      <c r="L140" s="116">
        <v>847.03</v>
      </c>
      <c r="M140" s="116">
        <v>0</v>
      </c>
      <c r="N140" s="116"/>
      <c r="O140" s="116"/>
    </row>
    <row r="141" spans="1:15">
      <c r="A141" s="116" t="s">
        <v>953</v>
      </c>
      <c r="B141" s="116" t="s">
        <v>867</v>
      </c>
      <c r="C141" s="116" t="s">
        <v>1495</v>
      </c>
      <c r="D141" s="116" t="s">
        <v>1815</v>
      </c>
      <c r="E141" s="116" t="s">
        <v>1323</v>
      </c>
      <c r="F141" s="118">
        <v>45161</v>
      </c>
      <c r="G141" s="118">
        <v>45962</v>
      </c>
      <c r="H141" s="118">
        <v>46326</v>
      </c>
      <c r="I141" s="117">
        <v>4659.16</v>
      </c>
      <c r="J141" s="116">
        <v>0</v>
      </c>
      <c r="K141" s="117">
        <v>4659.16</v>
      </c>
      <c r="L141" s="116">
        <v>0</v>
      </c>
      <c r="M141" s="116">
        <v>0</v>
      </c>
      <c r="N141" s="116"/>
      <c r="O141" s="116"/>
    </row>
    <row r="142" spans="1:15">
      <c r="A142" s="116" t="s">
        <v>953</v>
      </c>
      <c r="B142" s="116" t="s">
        <v>1816</v>
      </c>
      <c r="C142" s="116" t="s">
        <v>419</v>
      </c>
      <c r="D142" s="116" t="s">
        <v>1817</v>
      </c>
      <c r="E142" s="116" t="s">
        <v>1338</v>
      </c>
      <c r="F142" s="118">
        <v>45612</v>
      </c>
      <c r="G142" s="118">
        <v>46038</v>
      </c>
      <c r="H142" s="118">
        <v>46116</v>
      </c>
      <c r="I142" s="116">
        <v>777.49</v>
      </c>
      <c r="J142" s="116">
        <v>777.49</v>
      </c>
      <c r="K142" s="116">
        <v>0</v>
      </c>
      <c r="L142" s="116">
        <v>0</v>
      </c>
      <c r="M142" s="116">
        <v>0</v>
      </c>
      <c r="N142" s="116"/>
      <c r="O142" s="116"/>
    </row>
    <row r="143" spans="1:15">
      <c r="A143" s="116" t="s">
        <v>953</v>
      </c>
      <c r="B143" s="116" t="s">
        <v>1818</v>
      </c>
      <c r="C143" s="116" t="s">
        <v>419</v>
      </c>
      <c r="D143" s="116" t="s">
        <v>1819</v>
      </c>
      <c r="E143" s="116" t="s">
        <v>1635</v>
      </c>
      <c r="F143" s="118">
        <v>42613</v>
      </c>
      <c r="G143" s="118">
        <v>45992</v>
      </c>
      <c r="H143" s="118">
        <v>46356</v>
      </c>
      <c r="I143" s="116">
        <v>17.260000000000002</v>
      </c>
      <c r="J143" s="116">
        <v>17.260000000000002</v>
      </c>
      <c r="K143" s="116">
        <v>0</v>
      </c>
      <c r="L143" s="116">
        <v>0</v>
      </c>
      <c r="M143" s="116">
        <v>0</v>
      </c>
      <c r="N143" s="116"/>
      <c r="O143" s="116"/>
    </row>
    <row r="144" spans="1:15">
      <c r="A144" s="116" t="s">
        <v>953</v>
      </c>
      <c r="B144" s="116" t="s">
        <v>1820</v>
      </c>
      <c r="C144" s="116" t="s">
        <v>419</v>
      </c>
      <c r="D144" s="116" t="s">
        <v>1821</v>
      </c>
      <c r="E144" s="116" t="s">
        <v>1635</v>
      </c>
      <c r="F144" s="118">
        <v>43927</v>
      </c>
      <c r="G144" s="118">
        <v>46113</v>
      </c>
      <c r="H144" s="118">
        <v>46477</v>
      </c>
      <c r="I144" s="117">
        <v>2080.35</v>
      </c>
      <c r="J144" s="117">
        <v>1073.32</v>
      </c>
      <c r="K144" s="117">
        <v>1007.03</v>
      </c>
      <c r="L144" s="116">
        <v>0</v>
      </c>
      <c r="M144" s="116">
        <v>0</v>
      </c>
      <c r="N144" s="116"/>
      <c r="O144" s="116"/>
    </row>
    <row r="145" spans="1:15">
      <c r="A145" s="116" t="s">
        <v>953</v>
      </c>
      <c r="B145" s="116" t="s">
        <v>1822</v>
      </c>
      <c r="C145" s="116" t="s">
        <v>1506</v>
      </c>
      <c r="D145" s="116" t="s">
        <v>1823</v>
      </c>
      <c r="E145" s="116" t="s">
        <v>1323</v>
      </c>
      <c r="F145" s="118">
        <v>44267</v>
      </c>
      <c r="G145" s="118">
        <v>45748</v>
      </c>
      <c r="H145" s="118">
        <v>46112</v>
      </c>
      <c r="I145" s="117">
        <v>11452.32</v>
      </c>
      <c r="J145" s="117">
        <v>7762.66</v>
      </c>
      <c r="K145" s="117">
        <v>1583.22</v>
      </c>
      <c r="L145" s="117">
        <v>1583.22</v>
      </c>
      <c r="M145" s="116">
        <v>523.22</v>
      </c>
      <c r="N145" s="116"/>
      <c r="O145" s="116"/>
    </row>
    <row r="146" spans="1:15">
      <c r="A146" s="116" t="s">
        <v>953</v>
      </c>
      <c r="B146" s="116" t="s">
        <v>885</v>
      </c>
      <c r="C146" s="116" t="s">
        <v>1506</v>
      </c>
      <c r="D146" s="116" t="s">
        <v>1824</v>
      </c>
      <c r="E146" s="116" t="s">
        <v>1323</v>
      </c>
      <c r="F146" s="118">
        <v>45196</v>
      </c>
      <c r="G146" s="118">
        <v>45931</v>
      </c>
      <c r="H146" s="118">
        <v>46295</v>
      </c>
      <c r="I146" s="116">
        <v>401.22</v>
      </c>
      <c r="J146" s="116">
        <v>0</v>
      </c>
      <c r="K146" s="116">
        <v>401.22</v>
      </c>
      <c r="L146" s="116">
        <v>0</v>
      </c>
      <c r="M146" s="116">
        <v>0</v>
      </c>
      <c r="N146" s="116"/>
      <c r="O146" s="116"/>
    </row>
    <row r="147" spans="1:15">
      <c r="A147" s="116" t="s">
        <v>953</v>
      </c>
      <c r="B147" s="116" t="s">
        <v>1825</v>
      </c>
      <c r="C147" s="116" t="s">
        <v>1495</v>
      </c>
      <c r="D147" s="116" t="s">
        <v>1826</v>
      </c>
      <c r="E147" s="116" t="s">
        <v>1323</v>
      </c>
      <c r="F147" s="118">
        <v>44896</v>
      </c>
      <c r="G147" s="118">
        <v>46054</v>
      </c>
      <c r="H147" s="118">
        <v>46120</v>
      </c>
      <c r="I147" s="117">
        <v>6056.26</v>
      </c>
      <c r="J147" s="117">
        <v>2400.52</v>
      </c>
      <c r="K147" s="117">
        <v>1218.58</v>
      </c>
      <c r="L147" s="117">
        <v>1218.58</v>
      </c>
      <c r="M147" s="117">
        <v>1218.58</v>
      </c>
      <c r="N147" s="116"/>
      <c r="O147" s="116"/>
    </row>
    <row r="148" spans="1:15">
      <c r="A148" s="116" t="s">
        <v>953</v>
      </c>
      <c r="B148" s="116" t="s">
        <v>1341</v>
      </c>
      <c r="C148" s="116" t="s">
        <v>1495</v>
      </c>
      <c r="D148" s="116" t="s">
        <v>1342</v>
      </c>
      <c r="E148" s="116" t="s">
        <v>1343</v>
      </c>
      <c r="F148" s="118">
        <v>45807</v>
      </c>
      <c r="G148" s="118">
        <v>45807</v>
      </c>
      <c r="H148" s="118">
        <v>46171</v>
      </c>
      <c r="I148" s="117">
        <v>12383.93</v>
      </c>
      <c r="J148" s="117">
        <v>1173.26</v>
      </c>
      <c r="K148" s="117">
        <v>1188.1099999999999</v>
      </c>
      <c r="L148" s="117">
        <v>2110.11</v>
      </c>
      <c r="M148" s="117">
        <v>7912.45</v>
      </c>
      <c r="N148" s="116"/>
      <c r="O148" s="116"/>
    </row>
    <row r="149" spans="1:15">
      <c r="A149" s="116" t="s">
        <v>953</v>
      </c>
      <c r="B149" s="116" t="s">
        <v>1827</v>
      </c>
      <c r="C149" s="116" t="s">
        <v>1495</v>
      </c>
      <c r="D149" s="116" t="s">
        <v>1828</v>
      </c>
      <c r="E149" s="116" t="s">
        <v>1635</v>
      </c>
      <c r="F149" s="118">
        <v>45899</v>
      </c>
      <c r="G149" s="118">
        <v>45899</v>
      </c>
      <c r="H149" s="118">
        <v>46263</v>
      </c>
      <c r="I149" s="117">
        <v>5446.44</v>
      </c>
      <c r="J149" s="117">
        <v>1039.26</v>
      </c>
      <c r="K149" s="117">
        <v>1054.1099999999999</v>
      </c>
      <c r="L149" s="117">
        <v>1054.1099999999999</v>
      </c>
      <c r="M149" s="117">
        <v>2298.96</v>
      </c>
      <c r="N149" s="116"/>
      <c r="O149" s="116"/>
    </row>
    <row r="150" spans="1:15">
      <c r="A150" s="116" t="s">
        <v>953</v>
      </c>
      <c r="B150" s="116" t="s">
        <v>1360</v>
      </c>
      <c r="C150" s="116" t="s">
        <v>1506</v>
      </c>
      <c r="D150" s="116" t="s">
        <v>1361</v>
      </c>
      <c r="E150" s="116" t="s">
        <v>1323</v>
      </c>
      <c r="F150" s="118">
        <v>45687</v>
      </c>
      <c r="G150" s="118">
        <v>45687</v>
      </c>
      <c r="H150" s="118">
        <v>46109</v>
      </c>
      <c r="I150" s="117">
        <v>4586.82</v>
      </c>
      <c r="J150" s="116">
        <v>0</v>
      </c>
      <c r="K150" s="116">
        <v>97.22</v>
      </c>
      <c r="L150" s="116">
        <v>97.22</v>
      </c>
      <c r="M150" s="117">
        <v>4392.38</v>
      </c>
      <c r="N150" s="116"/>
      <c r="O150" s="116"/>
    </row>
    <row r="151" spans="1:15">
      <c r="A151" s="116" t="s">
        <v>953</v>
      </c>
      <c r="B151" s="116" t="s">
        <v>1336</v>
      </c>
      <c r="C151" s="116" t="s">
        <v>1506</v>
      </c>
      <c r="D151" s="116" t="s">
        <v>1337</v>
      </c>
      <c r="E151" s="116" t="s">
        <v>1338</v>
      </c>
      <c r="F151" s="118">
        <v>45625</v>
      </c>
      <c r="G151" s="118">
        <v>45990</v>
      </c>
      <c r="H151" s="118">
        <v>46037</v>
      </c>
      <c r="I151" s="117">
        <v>8896.5499999999993</v>
      </c>
      <c r="J151" s="116">
        <v>0</v>
      </c>
      <c r="K151" s="116">
        <v>74.75</v>
      </c>
      <c r="L151" s="116">
        <v>74.75</v>
      </c>
      <c r="M151" s="117">
        <v>8747.0499999999993</v>
      </c>
      <c r="N151" s="116"/>
      <c r="O151" s="116"/>
    </row>
    <row r="152" spans="1:15">
      <c r="A152" s="116" t="s">
        <v>953</v>
      </c>
      <c r="B152" s="116" t="s">
        <v>1829</v>
      </c>
      <c r="C152" s="116" t="s">
        <v>1502</v>
      </c>
      <c r="D152" s="116" t="s">
        <v>1830</v>
      </c>
      <c r="E152" s="116" t="s">
        <v>1647</v>
      </c>
      <c r="F152" s="118">
        <v>45747</v>
      </c>
      <c r="G152" s="118">
        <v>46112</v>
      </c>
      <c r="H152" s="116"/>
      <c r="I152" s="117">
        <v>2084.56</v>
      </c>
      <c r="J152" s="117">
        <v>1530.37</v>
      </c>
      <c r="K152" s="116">
        <v>554.19000000000005</v>
      </c>
      <c r="L152" s="116">
        <v>0</v>
      </c>
      <c r="M152" s="116">
        <v>0</v>
      </c>
      <c r="N152" s="116"/>
      <c r="O152" s="116"/>
    </row>
    <row r="153" spans="1:15">
      <c r="A153" s="116" t="s">
        <v>953</v>
      </c>
      <c r="B153" s="116" t="s">
        <v>1831</v>
      </c>
      <c r="C153" s="116" t="s">
        <v>1502</v>
      </c>
      <c r="D153" s="116" t="s">
        <v>1832</v>
      </c>
      <c r="E153" s="116" t="s">
        <v>1323</v>
      </c>
      <c r="F153" s="118">
        <v>44506</v>
      </c>
      <c r="G153" s="118">
        <v>45839</v>
      </c>
      <c r="H153" s="118">
        <v>46203</v>
      </c>
      <c r="I153" s="117">
        <v>2789.06</v>
      </c>
      <c r="J153" s="116">
        <v>0</v>
      </c>
      <c r="K153" s="116">
        <v>73.13</v>
      </c>
      <c r="L153" s="117">
        <v>2715.93</v>
      </c>
      <c r="M153" s="116">
        <v>0</v>
      </c>
      <c r="N153" s="116"/>
      <c r="O153" s="116"/>
    </row>
    <row r="154" spans="1:15">
      <c r="A154" s="116" t="s">
        <v>953</v>
      </c>
      <c r="B154" s="116" t="s">
        <v>1833</v>
      </c>
      <c r="C154" s="116" t="s">
        <v>1502</v>
      </c>
      <c r="D154" s="116" t="s">
        <v>1834</v>
      </c>
      <c r="E154" s="116" t="s">
        <v>1323</v>
      </c>
      <c r="F154" s="118">
        <v>43252</v>
      </c>
      <c r="G154" s="118">
        <v>45809</v>
      </c>
      <c r="H154" s="118">
        <v>46173</v>
      </c>
      <c r="I154" s="117">
        <v>3057.7</v>
      </c>
      <c r="J154" s="117">
        <v>3057.7</v>
      </c>
      <c r="K154" s="116">
        <v>0</v>
      </c>
      <c r="L154" s="116">
        <v>0</v>
      </c>
      <c r="M154" s="116">
        <v>0</v>
      </c>
      <c r="N154" s="116"/>
      <c r="O154" s="116"/>
    </row>
    <row r="155" spans="1:15">
      <c r="A155" s="116" t="s">
        <v>953</v>
      </c>
      <c r="B155" s="116" t="s">
        <v>882</v>
      </c>
      <c r="C155" s="116" t="s">
        <v>1502</v>
      </c>
      <c r="D155" s="116" t="s">
        <v>1835</v>
      </c>
      <c r="E155" s="116" t="s">
        <v>1338</v>
      </c>
      <c r="F155" s="118">
        <v>45230</v>
      </c>
      <c r="G155" s="118">
        <v>46054</v>
      </c>
      <c r="H155" s="118">
        <v>46060</v>
      </c>
      <c r="I155" s="116">
        <v>329.6</v>
      </c>
      <c r="J155" s="116">
        <v>0</v>
      </c>
      <c r="K155" s="116">
        <v>95.05</v>
      </c>
      <c r="L155" s="116">
        <v>234.55</v>
      </c>
      <c r="M155" s="116">
        <v>0</v>
      </c>
      <c r="N155" s="116"/>
      <c r="O155" s="116"/>
    </row>
    <row r="156" spans="1:15">
      <c r="A156" s="116" t="s">
        <v>953</v>
      </c>
      <c r="B156" s="116" t="s">
        <v>1836</v>
      </c>
      <c r="C156" s="116" t="s">
        <v>1502</v>
      </c>
      <c r="D156" s="116" t="s">
        <v>1837</v>
      </c>
      <c r="E156" s="116" t="s">
        <v>1647</v>
      </c>
      <c r="F156" s="118">
        <v>45618</v>
      </c>
      <c r="G156" s="118">
        <v>46044</v>
      </c>
      <c r="H156" s="116"/>
      <c r="I156" s="117">
        <v>5391.76</v>
      </c>
      <c r="J156" s="117">
        <v>1339.37</v>
      </c>
      <c r="K156" s="117">
        <v>1350.13</v>
      </c>
      <c r="L156" s="117">
        <v>1350.13</v>
      </c>
      <c r="M156" s="117">
        <v>1352.13</v>
      </c>
      <c r="N156" s="116"/>
      <c r="O156" s="116"/>
    </row>
    <row r="157" spans="1:15">
      <c r="A157" s="116" t="s">
        <v>953</v>
      </c>
      <c r="B157" s="116" t="s">
        <v>866</v>
      </c>
      <c r="C157" s="116" t="s">
        <v>1502</v>
      </c>
      <c r="D157" s="116" t="s">
        <v>1371</v>
      </c>
      <c r="E157" s="116" t="s">
        <v>1323</v>
      </c>
      <c r="F157" s="118">
        <v>45748</v>
      </c>
      <c r="G157" s="118">
        <v>45748</v>
      </c>
      <c r="H157" s="118">
        <v>46112</v>
      </c>
      <c r="I157" s="117">
        <v>4710.26</v>
      </c>
      <c r="J157" s="116">
        <v>0</v>
      </c>
      <c r="K157" s="116">
        <v>778.13</v>
      </c>
      <c r="L157" s="117">
        <v>1196.1300000000001</v>
      </c>
      <c r="M157" s="117">
        <v>2736</v>
      </c>
      <c r="N157" s="116"/>
      <c r="O157" s="116"/>
    </row>
    <row r="158" spans="1:15">
      <c r="A158" s="116" t="s">
        <v>953</v>
      </c>
      <c r="B158" s="116" t="s">
        <v>1838</v>
      </c>
      <c r="C158" s="116" t="s">
        <v>1502</v>
      </c>
      <c r="D158" s="116" t="s">
        <v>1839</v>
      </c>
      <c r="E158" s="116" t="s">
        <v>1635</v>
      </c>
      <c r="F158" s="118">
        <v>45063</v>
      </c>
      <c r="G158" s="118">
        <v>45809</v>
      </c>
      <c r="H158" s="118">
        <v>46173</v>
      </c>
      <c r="I158" s="117">
        <v>1337.37</v>
      </c>
      <c r="J158" s="117">
        <v>1337.37</v>
      </c>
      <c r="K158" s="116">
        <v>0</v>
      </c>
      <c r="L158" s="116">
        <v>0</v>
      </c>
      <c r="M158" s="116">
        <v>0</v>
      </c>
      <c r="N158" s="116"/>
      <c r="O158" s="116"/>
    </row>
    <row r="159" spans="1:15">
      <c r="A159" s="116" t="s">
        <v>953</v>
      </c>
      <c r="B159" s="116" t="s">
        <v>855</v>
      </c>
      <c r="C159" s="116" t="s">
        <v>1502</v>
      </c>
      <c r="D159" s="116" t="s">
        <v>1840</v>
      </c>
      <c r="E159" s="116" t="s">
        <v>1323</v>
      </c>
      <c r="F159" s="118">
        <v>44477</v>
      </c>
      <c r="G159" s="118">
        <v>45931</v>
      </c>
      <c r="H159" s="118">
        <v>46295</v>
      </c>
      <c r="I159" s="117">
        <v>11265.88</v>
      </c>
      <c r="J159" s="116">
        <v>0</v>
      </c>
      <c r="K159" s="117">
        <v>4192.88</v>
      </c>
      <c r="L159" s="117">
        <v>1349.13</v>
      </c>
      <c r="M159" s="117">
        <v>5723.87</v>
      </c>
      <c r="N159" s="116"/>
      <c r="O159" s="116"/>
    </row>
    <row r="160" spans="1:15">
      <c r="A160" s="116" t="s">
        <v>953</v>
      </c>
      <c r="B160" s="116" t="s">
        <v>1841</v>
      </c>
      <c r="C160" s="116" t="s">
        <v>1502</v>
      </c>
      <c r="D160" s="116" t="s">
        <v>1842</v>
      </c>
      <c r="E160" s="116" t="s">
        <v>1338</v>
      </c>
      <c r="F160" s="118">
        <v>45343</v>
      </c>
      <c r="G160" s="118">
        <v>45952</v>
      </c>
      <c r="H160" s="118">
        <v>46112</v>
      </c>
      <c r="I160" s="116">
        <v>290</v>
      </c>
      <c r="J160" s="116">
        <v>290</v>
      </c>
      <c r="K160" s="116">
        <v>0</v>
      </c>
      <c r="L160" s="116">
        <v>0</v>
      </c>
      <c r="M160" s="116">
        <v>0</v>
      </c>
      <c r="N160" s="116"/>
      <c r="O160" s="116"/>
    </row>
    <row r="161" spans="1:15">
      <c r="A161" s="116" t="s">
        <v>953</v>
      </c>
      <c r="B161" s="116" t="s">
        <v>1165</v>
      </c>
      <c r="C161" s="116" t="s">
        <v>1509</v>
      </c>
      <c r="D161" s="116" t="s">
        <v>1324</v>
      </c>
      <c r="E161" s="116" t="s">
        <v>1325</v>
      </c>
      <c r="F161" s="118">
        <v>45696</v>
      </c>
      <c r="G161" s="118">
        <v>45696</v>
      </c>
      <c r="H161" s="118">
        <v>46060</v>
      </c>
      <c r="I161" s="117">
        <v>16185.1</v>
      </c>
      <c r="J161" s="116">
        <v>0</v>
      </c>
      <c r="K161" s="116">
        <v>76.19</v>
      </c>
      <c r="L161" s="116">
        <v>76.19</v>
      </c>
      <c r="M161" s="117">
        <v>16032.72</v>
      </c>
      <c r="N161" s="116"/>
      <c r="O161" s="116"/>
    </row>
    <row r="162" spans="1:15">
      <c r="A162" s="116" t="s">
        <v>953</v>
      </c>
      <c r="B162" s="116" t="s">
        <v>876</v>
      </c>
      <c r="C162" s="116" t="s">
        <v>1509</v>
      </c>
      <c r="D162" s="116" t="s">
        <v>1843</v>
      </c>
      <c r="E162" s="116" t="s">
        <v>1338</v>
      </c>
      <c r="F162" s="118">
        <v>45226</v>
      </c>
      <c r="G162" s="118">
        <v>46080</v>
      </c>
      <c r="H162" s="118">
        <v>46080</v>
      </c>
      <c r="I162" s="117">
        <v>1255.1099999999999</v>
      </c>
      <c r="J162" s="116">
        <v>0</v>
      </c>
      <c r="K162" s="117">
        <v>1255.1099999999999</v>
      </c>
      <c r="L162" s="116">
        <v>0</v>
      </c>
      <c r="M162" s="116">
        <v>0</v>
      </c>
      <c r="N162" s="116"/>
      <c r="O162" s="116"/>
    </row>
    <row r="163" spans="1:15">
      <c r="A163" s="116" t="s">
        <v>953</v>
      </c>
      <c r="B163" s="116" t="s">
        <v>1844</v>
      </c>
      <c r="C163" s="116" t="s">
        <v>1509</v>
      </c>
      <c r="D163" s="116" t="s">
        <v>1845</v>
      </c>
      <c r="E163" s="116" t="s">
        <v>1635</v>
      </c>
      <c r="F163" s="118">
        <v>45720</v>
      </c>
      <c r="G163" s="118">
        <v>46087</v>
      </c>
      <c r="H163" s="118">
        <v>46451</v>
      </c>
      <c r="I163" s="116">
        <v>254.49</v>
      </c>
      <c r="J163" s="116">
        <v>254.49</v>
      </c>
      <c r="K163" s="116">
        <v>0</v>
      </c>
      <c r="L163" s="116">
        <v>0</v>
      </c>
      <c r="M163" s="116">
        <v>0</v>
      </c>
      <c r="N163" s="116"/>
      <c r="O163" s="116"/>
    </row>
    <row r="164" spans="1:15">
      <c r="A164" s="116" t="s">
        <v>953</v>
      </c>
      <c r="B164" s="116" t="s">
        <v>1846</v>
      </c>
      <c r="C164" s="116" t="s">
        <v>1509</v>
      </c>
      <c r="D164" s="116" t="s">
        <v>1847</v>
      </c>
      <c r="E164" s="116" t="s">
        <v>1343</v>
      </c>
      <c r="F164" s="118">
        <v>45850</v>
      </c>
      <c r="G164" s="118">
        <v>45850</v>
      </c>
      <c r="H164" s="118">
        <v>46214</v>
      </c>
      <c r="I164" s="117">
        <v>15457.29</v>
      </c>
      <c r="J164" s="117">
        <v>1661.27</v>
      </c>
      <c r="K164" s="117">
        <v>1668.19</v>
      </c>
      <c r="L164" s="117">
        <v>1668.19</v>
      </c>
      <c r="M164" s="117">
        <v>10459.64</v>
      </c>
      <c r="N164" s="116"/>
      <c r="O164" s="116"/>
    </row>
    <row r="165" spans="1:15">
      <c r="A165" s="116" t="s">
        <v>953</v>
      </c>
      <c r="B165" s="116" t="s">
        <v>1169</v>
      </c>
      <c r="C165" s="116" t="s">
        <v>1509</v>
      </c>
      <c r="D165" s="116" t="s">
        <v>1355</v>
      </c>
      <c r="E165" s="116" t="s">
        <v>1323</v>
      </c>
      <c r="F165" s="118">
        <v>45827</v>
      </c>
      <c r="G165" s="118">
        <v>45827</v>
      </c>
      <c r="H165" s="118">
        <v>46191</v>
      </c>
      <c r="I165" s="117">
        <v>7430.27</v>
      </c>
      <c r="J165" s="116">
        <v>0</v>
      </c>
      <c r="K165" s="117">
        <v>1271.19</v>
      </c>
      <c r="L165" s="116">
        <v>820.19</v>
      </c>
      <c r="M165" s="117">
        <v>5338.89</v>
      </c>
      <c r="N165" s="116"/>
      <c r="O165" s="116"/>
    </row>
    <row r="166" spans="1:15">
      <c r="A166" s="116" t="s">
        <v>953</v>
      </c>
      <c r="B166" s="116" t="s">
        <v>1171</v>
      </c>
      <c r="C166" s="116" t="s">
        <v>1509</v>
      </c>
      <c r="D166" s="116" t="s">
        <v>1848</v>
      </c>
      <c r="E166" s="116" t="s">
        <v>1338</v>
      </c>
      <c r="F166" s="118">
        <v>44562</v>
      </c>
      <c r="G166" s="118">
        <v>46023</v>
      </c>
      <c r="H166" s="118">
        <v>46027</v>
      </c>
      <c r="I166" s="116">
        <v>152.38</v>
      </c>
      <c r="J166" s="116">
        <v>0</v>
      </c>
      <c r="K166" s="116">
        <v>76.19</v>
      </c>
      <c r="L166" s="116">
        <v>76.19</v>
      </c>
      <c r="M166" s="116">
        <v>0</v>
      </c>
      <c r="N166" s="116"/>
      <c r="O166" s="116"/>
    </row>
    <row r="167" spans="1:15">
      <c r="A167" s="116" t="s">
        <v>953</v>
      </c>
      <c r="B167" s="116" t="s">
        <v>1378</v>
      </c>
      <c r="C167" s="116" t="s">
        <v>1511</v>
      </c>
      <c r="D167" s="116" t="s">
        <v>1379</v>
      </c>
      <c r="E167" s="116" t="s">
        <v>1338</v>
      </c>
      <c r="F167" s="118">
        <v>45597</v>
      </c>
      <c r="G167" s="118">
        <v>45597</v>
      </c>
      <c r="H167" s="118">
        <v>46022</v>
      </c>
      <c r="I167" s="117">
        <v>1983.7</v>
      </c>
      <c r="J167" s="116">
        <v>0</v>
      </c>
      <c r="K167" s="116">
        <v>95.9</v>
      </c>
      <c r="L167" s="116">
        <v>95.9</v>
      </c>
      <c r="M167" s="117">
        <v>1791.9</v>
      </c>
      <c r="N167" s="116"/>
      <c r="O167" s="116"/>
    </row>
    <row r="168" spans="1:15">
      <c r="A168" s="116" t="s">
        <v>953</v>
      </c>
      <c r="B168" s="116" t="s">
        <v>1849</v>
      </c>
      <c r="C168" s="116" t="s">
        <v>1511</v>
      </c>
      <c r="D168" s="116" t="s">
        <v>1850</v>
      </c>
      <c r="E168" s="116" t="s">
        <v>1647</v>
      </c>
      <c r="F168" s="118">
        <v>45658</v>
      </c>
      <c r="G168" s="118">
        <v>46022</v>
      </c>
      <c r="H168" s="116"/>
      <c r="I168" s="116">
        <v>169.53</v>
      </c>
      <c r="J168" s="116">
        <v>169.53</v>
      </c>
      <c r="K168" s="116">
        <v>0</v>
      </c>
      <c r="L168" s="116">
        <v>0</v>
      </c>
      <c r="M168" s="116">
        <v>0</v>
      </c>
      <c r="N168" s="116"/>
      <c r="O168" s="116"/>
    </row>
    <row r="169" spans="1:15">
      <c r="A169" s="116" t="s">
        <v>953</v>
      </c>
      <c r="B169" s="116" t="s">
        <v>891</v>
      </c>
      <c r="C169" s="116" t="s">
        <v>1511</v>
      </c>
      <c r="D169" s="116" t="s">
        <v>1851</v>
      </c>
      <c r="E169" s="116" t="s">
        <v>1338</v>
      </c>
      <c r="F169" s="118">
        <v>45226</v>
      </c>
      <c r="G169" s="118">
        <v>45653</v>
      </c>
      <c r="H169" s="118">
        <v>46079</v>
      </c>
      <c r="I169" s="116">
        <v>99.65</v>
      </c>
      <c r="J169" s="116">
        <v>0</v>
      </c>
      <c r="K169" s="116">
        <v>99.65</v>
      </c>
      <c r="L169" s="116">
        <v>0</v>
      </c>
      <c r="M169" s="116">
        <v>0</v>
      </c>
      <c r="N169" s="116"/>
      <c r="O169" s="116"/>
    </row>
    <row r="170" spans="1:15">
      <c r="A170" s="116" t="s">
        <v>953</v>
      </c>
      <c r="B170" s="116" t="s">
        <v>854</v>
      </c>
      <c r="C170" s="116" t="s">
        <v>1511</v>
      </c>
      <c r="D170" s="116" t="s">
        <v>1331</v>
      </c>
      <c r="E170" s="116" t="s">
        <v>1325</v>
      </c>
      <c r="F170" s="118">
        <v>45706</v>
      </c>
      <c r="G170" s="118">
        <v>45706</v>
      </c>
      <c r="H170" s="118">
        <v>46070</v>
      </c>
      <c r="I170" s="117">
        <v>12763.04</v>
      </c>
      <c r="J170" s="116">
        <v>0</v>
      </c>
      <c r="K170" s="117">
        <v>1201.18</v>
      </c>
      <c r="L170" s="116">
        <v>959.18</v>
      </c>
      <c r="M170" s="117">
        <v>10602.68</v>
      </c>
      <c r="N170" s="116"/>
      <c r="O170" s="116"/>
    </row>
    <row r="171" spans="1:15">
      <c r="A171" s="116" t="s">
        <v>953</v>
      </c>
      <c r="B171" s="116" t="s">
        <v>1852</v>
      </c>
      <c r="C171" s="116" t="s">
        <v>1505</v>
      </c>
      <c r="D171" s="116" t="s">
        <v>1853</v>
      </c>
      <c r="E171" s="116" t="s">
        <v>1343</v>
      </c>
      <c r="F171" s="118">
        <v>45818</v>
      </c>
      <c r="G171" s="118">
        <v>45818</v>
      </c>
      <c r="H171" s="118">
        <v>46182</v>
      </c>
      <c r="I171" s="117">
        <v>13628.68</v>
      </c>
      <c r="J171" s="117">
        <v>1727.83</v>
      </c>
      <c r="K171" s="117">
        <v>1736.66</v>
      </c>
      <c r="L171" s="117">
        <v>1736.66</v>
      </c>
      <c r="M171" s="117">
        <v>8427.5300000000007</v>
      </c>
      <c r="N171" s="116"/>
      <c r="O171" s="116"/>
    </row>
    <row r="172" spans="1:15">
      <c r="A172" s="116" t="s">
        <v>953</v>
      </c>
      <c r="B172" s="116" t="s">
        <v>1332</v>
      </c>
      <c r="C172" s="116" t="s">
        <v>1505</v>
      </c>
      <c r="D172" s="116" t="s">
        <v>1333</v>
      </c>
      <c r="E172" s="116" t="s">
        <v>1323</v>
      </c>
      <c r="F172" s="118">
        <v>45820</v>
      </c>
      <c r="G172" s="118">
        <v>45820</v>
      </c>
      <c r="H172" s="118">
        <v>46184</v>
      </c>
      <c r="I172" s="117">
        <v>12041.62</v>
      </c>
      <c r="J172" s="116">
        <v>0</v>
      </c>
      <c r="K172" s="116">
        <v>574.66</v>
      </c>
      <c r="L172" s="116">
        <v>907.66</v>
      </c>
      <c r="M172" s="117">
        <v>10559.3</v>
      </c>
      <c r="N172" s="116"/>
      <c r="O172" s="116"/>
    </row>
    <row r="173" spans="1:15">
      <c r="A173" s="116" t="s">
        <v>953</v>
      </c>
      <c r="B173" s="116" t="s">
        <v>1138</v>
      </c>
      <c r="C173" s="116" t="s">
        <v>1505</v>
      </c>
      <c r="D173" s="116" t="s">
        <v>1854</v>
      </c>
      <c r="E173" s="116" t="s">
        <v>1635</v>
      </c>
      <c r="F173" s="118">
        <v>46127</v>
      </c>
      <c r="G173" s="118">
        <v>46127</v>
      </c>
      <c r="H173" s="118">
        <v>46491</v>
      </c>
      <c r="I173" s="116">
        <v>2.4700000000000002</v>
      </c>
      <c r="J173" s="116">
        <v>2.4700000000000002</v>
      </c>
      <c r="K173" s="116">
        <v>0</v>
      </c>
      <c r="L173" s="116">
        <v>0</v>
      </c>
      <c r="M173" s="116">
        <v>0</v>
      </c>
      <c r="N173" s="116"/>
      <c r="O173" s="116"/>
    </row>
    <row r="174" spans="1:15">
      <c r="A174" s="116" t="s">
        <v>953</v>
      </c>
      <c r="B174" s="116" t="s">
        <v>1855</v>
      </c>
      <c r="C174" s="116" t="s">
        <v>1505</v>
      </c>
      <c r="D174" s="116" t="s">
        <v>477</v>
      </c>
      <c r="E174" s="116" t="s">
        <v>1343</v>
      </c>
      <c r="F174" s="118">
        <v>45848</v>
      </c>
      <c r="G174" s="118">
        <v>45848</v>
      </c>
      <c r="H174" s="118">
        <v>46212</v>
      </c>
      <c r="I174" s="117">
        <v>15031.72</v>
      </c>
      <c r="J174" s="117">
        <v>1613.83</v>
      </c>
      <c r="K174" s="117">
        <v>1622.66</v>
      </c>
      <c r="L174" s="117">
        <v>1622.66</v>
      </c>
      <c r="M174" s="117">
        <v>10172.57</v>
      </c>
      <c r="N174" s="116"/>
      <c r="O174" s="116"/>
    </row>
    <row r="175" spans="1:15">
      <c r="A175" s="116" t="s">
        <v>953</v>
      </c>
      <c r="B175" s="116" t="s">
        <v>1856</v>
      </c>
      <c r="C175" s="116" t="s">
        <v>1494</v>
      </c>
      <c r="D175" s="116" t="s">
        <v>1857</v>
      </c>
      <c r="E175" s="116" t="s">
        <v>1635</v>
      </c>
      <c r="F175" s="118">
        <v>45625</v>
      </c>
      <c r="G175" s="118">
        <v>46077</v>
      </c>
      <c r="H175" s="118">
        <v>46441</v>
      </c>
      <c r="I175" s="116">
        <v>66</v>
      </c>
      <c r="J175" s="116">
        <v>66</v>
      </c>
      <c r="K175" s="116">
        <v>0</v>
      </c>
      <c r="L175" s="116">
        <v>0</v>
      </c>
      <c r="M175" s="116">
        <v>0</v>
      </c>
      <c r="N175" s="116"/>
      <c r="O175" s="116"/>
    </row>
    <row r="176" spans="1:15">
      <c r="A176" s="116" t="s">
        <v>953</v>
      </c>
      <c r="B176" s="116" t="s">
        <v>1858</v>
      </c>
      <c r="C176" s="116" t="s">
        <v>1494</v>
      </c>
      <c r="D176" s="116" t="s">
        <v>1859</v>
      </c>
      <c r="E176" s="116" t="s">
        <v>1635</v>
      </c>
      <c r="F176" s="118">
        <v>44107</v>
      </c>
      <c r="G176" s="118">
        <v>45931</v>
      </c>
      <c r="H176" s="118">
        <v>46295</v>
      </c>
      <c r="I176" s="116">
        <v>97</v>
      </c>
      <c r="J176" s="116">
        <v>97</v>
      </c>
      <c r="K176" s="116">
        <v>0</v>
      </c>
      <c r="L176" s="116">
        <v>0</v>
      </c>
      <c r="M176" s="116">
        <v>0</v>
      </c>
      <c r="N176" s="116"/>
      <c r="O176" s="116"/>
    </row>
    <row r="177" spans="1:15">
      <c r="A177" s="116" t="s">
        <v>953</v>
      </c>
      <c r="B177" s="116" t="s">
        <v>1860</v>
      </c>
      <c r="C177" s="116" t="s">
        <v>1494</v>
      </c>
      <c r="D177" s="116" t="s">
        <v>1861</v>
      </c>
      <c r="E177" s="116" t="s">
        <v>1635</v>
      </c>
      <c r="F177" s="118">
        <v>45856</v>
      </c>
      <c r="G177" s="118">
        <v>45856</v>
      </c>
      <c r="H177" s="118">
        <v>46220</v>
      </c>
      <c r="I177" s="117">
        <v>2037.45</v>
      </c>
      <c r="J177" s="117">
        <v>1117.0899999999999</v>
      </c>
      <c r="K177" s="116">
        <v>920.36</v>
      </c>
      <c r="L177" s="116">
        <v>0</v>
      </c>
      <c r="M177" s="116">
        <v>0</v>
      </c>
      <c r="N177" s="116"/>
      <c r="O177" s="116"/>
    </row>
    <row r="178" spans="1:15">
      <c r="A178" s="116" t="s">
        <v>953</v>
      </c>
      <c r="B178" s="116" t="s">
        <v>1862</v>
      </c>
      <c r="C178" s="116" t="s">
        <v>1494</v>
      </c>
      <c r="D178" s="116" t="s">
        <v>1863</v>
      </c>
      <c r="E178" s="116" t="s">
        <v>1323</v>
      </c>
      <c r="F178" s="118">
        <v>44681</v>
      </c>
      <c r="G178" s="118">
        <v>45962</v>
      </c>
      <c r="H178" s="118">
        <v>46326</v>
      </c>
      <c r="I178" s="116">
        <v>994.13</v>
      </c>
      <c r="J178" s="116">
        <v>994.13</v>
      </c>
      <c r="K178" s="116">
        <v>0</v>
      </c>
      <c r="L178" s="116">
        <v>0</v>
      </c>
      <c r="M178" s="116">
        <v>0</v>
      </c>
      <c r="N178" s="116"/>
      <c r="O178" s="116"/>
    </row>
    <row r="179" spans="1:15">
      <c r="A179" s="116" t="s">
        <v>953</v>
      </c>
      <c r="B179" s="116" t="s">
        <v>873</v>
      </c>
      <c r="C179" s="116" t="s">
        <v>1494</v>
      </c>
      <c r="D179" s="116" t="s">
        <v>491</v>
      </c>
      <c r="E179" s="116" t="s">
        <v>1338</v>
      </c>
      <c r="F179" s="118">
        <v>45201</v>
      </c>
      <c r="G179" s="118">
        <v>46054</v>
      </c>
      <c r="H179" s="118">
        <v>46076</v>
      </c>
      <c r="I179" s="117">
        <v>1557.35</v>
      </c>
      <c r="J179" s="116">
        <v>0</v>
      </c>
      <c r="K179" s="117">
        <v>1139.45</v>
      </c>
      <c r="L179" s="116">
        <v>348.45</v>
      </c>
      <c r="M179" s="116">
        <v>69.45</v>
      </c>
      <c r="N179" s="116"/>
      <c r="O179" s="116"/>
    </row>
    <row r="180" spans="1:15">
      <c r="A180" s="116" t="s">
        <v>953</v>
      </c>
      <c r="B180" s="116" t="s">
        <v>1864</v>
      </c>
      <c r="C180" s="116" t="s">
        <v>1505</v>
      </c>
      <c r="D180" s="116" t="s">
        <v>1865</v>
      </c>
      <c r="E180" s="116" t="s">
        <v>1635</v>
      </c>
      <c r="F180" s="118">
        <v>45955</v>
      </c>
      <c r="G180" s="118">
        <v>45955</v>
      </c>
      <c r="H180" s="118">
        <v>46319</v>
      </c>
      <c r="I180" s="117">
        <v>4077.81</v>
      </c>
      <c r="J180" s="117">
        <v>1506.83</v>
      </c>
      <c r="K180" s="117">
        <v>1515.66</v>
      </c>
      <c r="L180" s="117">
        <v>1055.32</v>
      </c>
      <c r="M180" s="116">
        <v>0</v>
      </c>
      <c r="N180" s="116"/>
      <c r="O180" s="116"/>
    </row>
    <row r="181" spans="1:15">
      <c r="A181" s="116" t="s">
        <v>953</v>
      </c>
      <c r="B181" s="116" t="s">
        <v>1866</v>
      </c>
      <c r="C181" s="116" t="s">
        <v>1499</v>
      </c>
      <c r="D181" s="116" t="s">
        <v>1867</v>
      </c>
      <c r="E181" s="116" t="s">
        <v>1635</v>
      </c>
      <c r="F181" s="118">
        <v>45552</v>
      </c>
      <c r="G181" s="118">
        <v>45978</v>
      </c>
      <c r="H181" s="118">
        <v>46342</v>
      </c>
      <c r="I181" s="117">
        <v>2722.51</v>
      </c>
      <c r="J181" s="117">
        <v>1354.92</v>
      </c>
      <c r="K181" s="117">
        <v>1367.59</v>
      </c>
      <c r="L181" s="116">
        <v>0</v>
      </c>
      <c r="M181" s="116">
        <v>0</v>
      </c>
      <c r="N181" s="116"/>
      <c r="O181" s="116"/>
    </row>
    <row r="182" spans="1:15">
      <c r="A182" s="116" t="s">
        <v>953</v>
      </c>
      <c r="B182" s="116" t="s">
        <v>1347</v>
      </c>
      <c r="C182" s="116" t="s">
        <v>1499</v>
      </c>
      <c r="D182" s="116" t="s">
        <v>1348</v>
      </c>
      <c r="E182" s="116" t="s">
        <v>1338</v>
      </c>
      <c r="F182" s="118">
        <v>45611</v>
      </c>
      <c r="G182" s="118">
        <v>46037</v>
      </c>
      <c r="H182" s="118">
        <v>46045</v>
      </c>
      <c r="I182" s="117">
        <v>6367.71</v>
      </c>
      <c r="J182" s="116">
        <v>0</v>
      </c>
      <c r="K182" s="116">
        <v>71.59</v>
      </c>
      <c r="L182" s="116">
        <v>71.59</v>
      </c>
      <c r="M182" s="117">
        <v>6224.53</v>
      </c>
      <c r="N182" s="116"/>
      <c r="O182" s="116"/>
    </row>
    <row r="183" spans="1:15">
      <c r="A183" s="116" t="s">
        <v>953</v>
      </c>
      <c r="B183" s="116" t="s">
        <v>1868</v>
      </c>
      <c r="C183" s="116" t="s">
        <v>1499</v>
      </c>
      <c r="D183" s="116" t="s">
        <v>1869</v>
      </c>
      <c r="E183" s="116" t="s">
        <v>1647</v>
      </c>
      <c r="F183" s="118">
        <v>45224</v>
      </c>
      <c r="G183" s="118">
        <v>46054</v>
      </c>
      <c r="H183" s="116"/>
      <c r="I183" s="117">
        <v>7379.74</v>
      </c>
      <c r="J183" s="117">
        <v>1450</v>
      </c>
      <c r="K183" s="117">
        <v>1458.51</v>
      </c>
      <c r="L183" s="117">
        <v>1458.51</v>
      </c>
      <c r="M183" s="117">
        <v>3012.72</v>
      </c>
      <c r="N183" s="116"/>
      <c r="O183" s="116"/>
    </row>
    <row r="184" spans="1:15">
      <c r="A184" s="116" t="s">
        <v>953</v>
      </c>
      <c r="B184" s="116" t="s">
        <v>1870</v>
      </c>
      <c r="C184" s="116" t="s">
        <v>1499</v>
      </c>
      <c r="D184" s="116" t="s">
        <v>1871</v>
      </c>
      <c r="E184" s="116" t="s">
        <v>1323</v>
      </c>
      <c r="F184" s="118">
        <v>45821</v>
      </c>
      <c r="G184" s="118">
        <v>45821</v>
      </c>
      <c r="H184" s="118">
        <v>46185</v>
      </c>
      <c r="I184" s="117">
        <v>2927.83</v>
      </c>
      <c r="J184" s="116">
        <v>0</v>
      </c>
      <c r="K184" s="116">
        <v>511.59</v>
      </c>
      <c r="L184" s="117">
        <v>1139.5899999999999</v>
      </c>
      <c r="M184" s="117">
        <v>1276.6500000000001</v>
      </c>
      <c r="N184" s="116"/>
      <c r="O184" s="116"/>
    </row>
    <row r="185" spans="1:15">
      <c r="A185" s="116" t="s">
        <v>953</v>
      </c>
      <c r="B185" s="116" t="s">
        <v>888</v>
      </c>
      <c r="C185" s="116" t="s">
        <v>1499</v>
      </c>
      <c r="D185" s="116" t="s">
        <v>1872</v>
      </c>
      <c r="E185" s="116" t="s">
        <v>1338</v>
      </c>
      <c r="F185" s="118">
        <v>44946</v>
      </c>
      <c r="G185" s="118">
        <v>46054</v>
      </c>
      <c r="H185" s="118">
        <v>46092</v>
      </c>
      <c r="I185" s="116">
        <v>347.59</v>
      </c>
      <c r="J185" s="116">
        <v>50</v>
      </c>
      <c r="K185" s="116">
        <v>297.58999999999997</v>
      </c>
      <c r="L185" s="116">
        <v>0</v>
      </c>
      <c r="M185" s="116">
        <v>0</v>
      </c>
      <c r="N185" s="116"/>
      <c r="O185" s="116"/>
    </row>
    <row r="186" spans="1:15">
      <c r="A186" s="116" t="s">
        <v>953</v>
      </c>
      <c r="B186" s="116" t="s">
        <v>1356</v>
      </c>
      <c r="C186" s="116" t="s">
        <v>1502</v>
      </c>
      <c r="D186" s="116" t="s">
        <v>1357</v>
      </c>
      <c r="E186" s="116" t="s">
        <v>1323</v>
      </c>
      <c r="F186" s="118">
        <v>45367</v>
      </c>
      <c r="G186" s="118">
        <v>45793</v>
      </c>
      <c r="H186" s="118">
        <v>46157</v>
      </c>
      <c r="I186" s="117">
        <v>5341.76</v>
      </c>
      <c r="J186" s="116">
        <v>0</v>
      </c>
      <c r="K186" s="116">
        <v>73.13</v>
      </c>
      <c r="L186" s="116">
        <v>73.13</v>
      </c>
      <c r="M186" s="117">
        <v>5195.5</v>
      </c>
      <c r="N186" s="116"/>
      <c r="O186" s="116"/>
    </row>
    <row r="187" spans="1:15">
      <c r="A187" s="116" t="s">
        <v>953</v>
      </c>
      <c r="B187" s="116" t="s">
        <v>1873</v>
      </c>
      <c r="C187" s="116" t="s">
        <v>1502</v>
      </c>
      <c r="D187" s="116" t="s">
        <v>1874</v>
      </c>
      <c r="E187" s="116" t="s">
        <v>1338</v>
      </c>
      <c r="F187" s="118">
        <v>45334</v>
      </c>
      <c r="G187" s="118">
        <v>45759</v>
      </c>
      <c r="H187" s="118">
        <v>46123</v>
      </c>
      <c r="I187" s="116">
        <v>437.21</v>
      </c>
      <c r="J187" s="116">
        <v>437.21</v>
      </c>
      <c r="K187" s="116">
        <v>0</v>
      </c>
      <c r="L187" s="116">
        <v>0</v>
      </c>
      <c r="M187" s="116">
        <v>0</v>
      </c>
      <c r="N187" s="116"/>
      <c r="O187" s="116"/>
    </row>
    <row r="188" spans="1:15">
      <c r="A188" s="116" t="s">
        <v>953</v>
      </c>
      <c r="B188" s="116" t="s">
        <v>1875</v>
      </c>
      <c r="C188" s="116" t="s">
        <v>1502</v>
      </c>
      <c r="D188" s="116" t="s">
        <v>1876</v>
      </c>
      <c r="E188" s="116" t="s">
        <v>1775</v>
      </c>
      <c r="F188" s="118">
        <v>45590</v>
      </c>
      <c r="G188" s="118">
        <v>46016</v>
      </c>
      <c r="H188" s="116"/>
      <c r="I188" s="117">
        <v>16796.77</v>
      </c>
      <c r="J188" s="117">
        <v>1290.3699999999999</v>
      </c>
      <c r="K188" s="117">
        <v>1301.1300000000001</v>
      </c>
      <c r="L188" s="117">
        <v>1301.1300000000001</v>
      </c>
      <c r="M188" s="117">
        <v>12904.14</v>
      </c>
      <c r="N188" s="116"/>
      <c r="O188" s="116"/>
    </row>
    <row r="189" spans="1:15">
      <c r="A189" s="116" t="s">
        <v>953</v>
      </c>
      <c r="B189" s="116" t="s">
        <v>1877</v>
      </c>
      <c r="C189" s="116" t="s">
        <v>1499</v>
      </c>
      <c r="D189" s="116" t="s">
        <v>990</v>
      </c>
      <c r="E189" s="116" t="s">
        <v>1338</v>
      </c>
      <c r="F189" s="118">
        <v>45698</v>
      </c>
      <c r="G189" s="118">
        <v>46122</v>
      </c>
      <c r="H189" s="118">
        <v>46125</v>
      </c>
      <c r="I189" s="117">
        <v>1079.67</v>
      </c>
      <c r="J189" s="117">
        <v>1079.67</v>
      </c>
      <c r="K189" s="116">
        <v>0</v>
      </c>
      <c r="L189" s="116">
        <v>0</v>
      </c>
      <c r="M189" s="116">
        <v>0</v>
      </c>
      <c r="N189" s="116"/>
      <c r="O189" s="116"/>
    </row>
    <row r="190" spans="1:15">
      <c r="A190" s="116" t="s">
        <v>953</v>
      </c>
      <c r="B190" s="116" t="s">
        <v>1339</v>
      </c>
      <c r="C190" s="116" t="s">
        <v>1499</v>
      </c>
      <c r="D190" s="116" t="s">
        <v>1340</v>
      </c>
      <c r="E190" s="116" t="s">
        <v>1325</v>
      </c>
      <c r="F190" s="118">
        <v>45589</v>
      </c>
      <c r="G190" s="118">
        <v>45954</v>
      </c>
      <c r="H190" s="118">
        <v>46045</v>
      </c>
      <c r="I190" s="117">
        <v>8598.17</v>
      </c>
      <c r="J190" s="116">
        <v>0</v>
      </c>
      <c r="K190" s="116">
        <v>71.59</v>
      </c>
      <c r="L190" s="116">
        <v>71.59</v>
      </c>
      <c r="M190" s="117">
        <v>8454.99</v>
      </c>
      <c r="N190" s="116"/>
      <c r="O190" s="116"/>
    </row>
    <row r="191" spans="1:15">
      <c r="A191" s="116" t="s">
        <v>953</v>
      </c>
      <c r="B191" s="116" t="s">
        <v>1173</v>
      </c>
      <c r="C191" s="116" t="s">
        <v>1511</v>
      </c>
      <c r="D191" s="116" t="s">
        <v>485</v>
      </c>
      <c r="E191" s="116" t="s">
        <v>1325</v>
      </c>
      <c r="F191" s="118">
        <v>45814</v>
      </c>
      <c r="G191" s="118">
        <v>45814</v>
      </c>
      <c r="H191" s="118">
        <v>46178</v>
      </c>
      <c r="I191" s="117">
        <v>3215.01</v>
      </c>
      <c r="J191" s="117">
        <v>1731.26</v>
      </c>
      <c r="K191" s="117">
        <v>1483.75</v>
      </c>
      <c r="L191" s="116">
        <v>0</v>
      </c>
      <c r="M191" s="116">
        <v>0</v>
      </c>
      <c r="N191" s="116"/>
      <c r="O191" s="116"/>
    </row>
    <row r="192" spans="1:15">
      <c r="A192" s="116" t="s">
        <v>953</v>
      </c>
      <c r="B192" s="116" t="s">
        <v>1878</v>
      </c>
      <c r="C192" s="116" t="s">
        <v>1499</v>
      </c>
      <c r="D192" s="116" t="s">
        <v>1879</v>
      </c>
      <c r="E192" s="116" t="s">
        <v>1635</v>
      </c>
      <c r="F192" s="118">
        <v>44470</v>
      </c>
      <c r="G192" s="118">
        <v>46073</v>
      </c>
      <c r="H192" s="118">
        <v>46437</v>
      </c>
      <c r="I192" s="116">
        <v>60</v>
      </c>
      <c r="J192" s="116">
        <v>60</v>
      </c>
      <c r="K192" s="116">
        <v>0</v>
      </c>
      <c r="L192" s="116">
        <v>0</v>
      </c>
      <c r="M192" s="116">
        <v>0</v>
      </c>
      <c r="N192" s="116"/>
      <c r="O192" s="116"/>
    </row>
    <row r="193" spans="1:15">
      <c r="A193" s="116" t="s">
        <v>953</v>
      </c>
      <c r="B193" s="116" t="s">
        <v>1880</v>
      </c>
      <c r="C193" s="116" t="s">
        <v>1509</v>
      </c>
      <c r="D193" s="116" t="s">
        <v>1881</v>
      </c>
      <c r="E193" s="116" t="s">
        <v>1642</v>
      </c>
      <c r="F193" s="118">
        <v>45859</v>
      </c>
      <c r="G193" s="118">
        <v>45859</v>
      </c>
      <c r="H193" s="118">
        <v>46223</v>
      </c>
      <c r="I193" s="117">
        <v>15452.24</v>
      </c>
      <c r="J193" s="117">
        <v>1667.27</v>
      </c>
      <c r="K193" s="117">
        <v>1674.19</v>
      </c>
      <c r="L193" s="117">
        <v>1674.19</v>
      </c>
      <c r="M193" s="117">
        <v>10436.59</v>
      </c>
      <c r="N193" s="116"/>
      <c r="O193" s="116"/>
    </row>
    <row r="194" spans="1:15">
      <c r="A194" s="116" t="s">
        <v>953</v>
      </c>
      <c r="B194" s="116" t="s">
        <v>886</v>
      </c>
      <c r="C194" s="116" t="s">
        <v>1509</v>
      </c>
      <c r="D194" s="116" t="s">
        <v>1882</v>
      </c>
      <c r="E194" s="116" t="s">
        <v>1323</v>
      </c>
      <c r="F194" s="118">
        <v>41132</v>
      </c>
      <c r="G194" s="118">
        <v>46023</v>
      </c>
      <c r="H194" s="118">
        <v>46081</v>
      </c>
      <c r="I194" s="116">
        <v>370.03</v>
      </c>
      <c r="J194" s="116">
        <v>0</v>
      </c>
      <c r="K194" s="116">
        <v>370.03</v>
      </c>
      <c r="L194" s="116">
        <v>0</v>
      </c>
      <c r="M194" s="116">
        <v>0</v>
      </c>
      <c r="N194" s="116"/>
      <c r="O194" s="116"/>
    </row>
    <row r="195" spans="1:15">
      <c r="A195" s="116"/>
      <c r="B195" s="116"/>
      <c r="C195" s="116"/>
      <c r="D195" s="116"/>
      <c r="E195" s="116"/>
      <c r="F195" s="118"/>
      <c r="G195" s="118"/>
      <c r="H195" s="116"/>
      <c r="I195" s="117"/>
      <c r="J195" s="117"/>
      <c r="K195" s="117"/>
      <c r="L195" s="117"/>
      <c r="M195" s="117"/>
      <c r="N195" s="116"/>
      <c r="O195" s="116"/>
    </row>
    <row r="196" spans="1:15">
      <c r="A196" s="116"/>
      <c r="B196" s="116"/>
      <c r="C196" s="116"/>
      <c r="D196" s="116"/>
      <c r="E196" s="116"/>
      <c r="F196" s="118"/>
      <c r="G196" s="118"/>
      <c r="H196" s="118"/>
      <c r="I196" s="117"/>
      <c r="J196" s="116"/>
      <c r="K196" s="116"/>
      <c r="L196" s="117"/>
      <c r="M196" s="117"/>
      <c r="N196" s="116"/>
      <c r="O196" s="116"/>
    </row>
    <row r="197" spans="1:15">
      <c r="A197" s="116"/>
      <c r="B197" s="116"/>
      <c r="C197" s="116"/>
      <c r="D197" s="116"/>
      <c r="E197" s="116"/>
      <c r="F197" s="118"/>
      <c r="G197" s="118"/>
      <c r="H197" s="118"/>
      <c r="I197" s="116"/>
      <c r="J197" s="116"/>
      <c r="K197" s="116"/>
      <c r="L197" s="116"/>
      <c r="M197" s="116"/>
      <c r="N197" s="116"/>
      <c r="O197" s="116"/>
    </row>
    <row r="198" spans="1:15">
      <c r="A198" s="116"/>
      <c r="B198" s="116"/>
      <c r="C198" s="116"/>
      <c r="D198" s="116"/>
      <c r="E198" s="116"/>
      <c r="F198" s="118"/>
      <c r="G198" s="118"/>
      <c r="H198" s="118"/>
      <c r="I198" s="117"/>
      <c r="J198" s="116"/>
      <c r="K198" s="116"/>
      <c r="L198" s="116"/>
      <c r="M198" s="117"/>
      <c r="N198" s="116"/>
      <c r="O198" s="116"/>
    </row>
    <row r="199" spans="1:15">
      <c r="A199" s="116"/>
      <c r="B199" s="116"/>
      <c r="C199" s="116"/>
      <c r="D199" s="116"/>
      <c r="E199" s="116"/>
      <c r="F199" s="118"/>
      <c r="G199" s="118"/>
      <c r="H199" s="116"/>
      <c r="I199" s="117"/>
      <c r="J199" s="117"/>
      <c r="K199" s="117"/>
      <c r="L199" s="117"/>
      <c r="M199" s="117"/>
      <c r="N199" s="116"/>
      <c r="O199" s="116"/>
    </row>
    <row r="200" spans="1:15">
      <c r="A200" s="116"/>
      <c r="B200" s="116"/>
      <c r="C200" s="116"/>
      <c r="D200" s="116"/>
      <c r="E200" s="116"/>
      <c r="F200" s="118"/>
      <c r="G200" s="118"/>
      <c r="H200" s="118"/>
      <c r="I200" s="117"/>
      <c r="J200" s="117"/>
      <c r="K200" s="116"/>
      <c r="L200" s="116"/>
      <c r="M200" s="116"/>
      <c r="N200" s="116"/>
      <c r="O200" s="116"/>
    </row>
    <row r="201" spans="1:15">
      <c r="A201" s="116"/>
      <c r="B201" s="116"/>
      <c r="C201" s="116"/>
      <c r="D201" s="116"/>
      <c r="E201" s="116"/>
      <c r="F201" s="118"/>
      <c r="G201" s="118"/>
      <c r="H201" s="118"/>
      <c r="I201" s="116"/>
      <c r="J201" s="116"/>
      <c r="K201" s="116"/>
      <c r="L201" s="116"/>
      <c r="M201" s="116"/>
      <c r="N201" s="116"/>
      <c r="O201" s="116"/>
    </row>
    <row r="202" spans="1:15">
      <c r="A202" s="116"/>
      <c r="B202" s="116"/>
      <c r="C202" s="116"/>
      <c r="D202" s="116"/>
      <c r="E202" s="116"/>
      <c r="F202" s="118"/>
      <c r="G202" s="118"/>
      <c r="H202" s="118"/>
      <c r="I202" s="117"/>
      <c r="J202" s="116"/>
      <c r="K202" s="116"/>
      <c r="L202" s="116"/>
      <c r="M202" s="117"/>
      <c r="N202" s="116"/>
      <c r="O202" s="116"/>
    </row>
    <row r="203" spans="1:15">
      <c r="A203" s="116"/>
      <c r="B203" s="116"/>
      <c r="C203" s="116"/>
      <c r="D203" s="116"/>
      <c r="E203" s="116"/>
      <c r="F203" s="118"/>
      <c r="G203" s="118"/>
      <c r="H203" s="118"/>
      <c r="I203" s="117"/>
      <c r="J203" s="117"/>
      <c r="K203" s="117"/>
      <c r="L203" s="116"/>
      <c r="M203" s="116"/>
      <c r="N203" s="116"/>
      <c r="O203" s="116"/>
    </row>
    <row r="204" spans="1:15">
      <c r="A204" s="116"/>
      <c r="B204" s="116"/>
      <c r="C204" s="116"/>
      <c r="D204" s="116"/>
      <c r="E204" s="116"/>
      <c r="F204" s="118"/>
      <c r="G204" s="118"/>
      <c r="H204" s="118"/>
      <c r="I204" s="116"/>
      <c r="J204" s="116"/>
      <c r="K204" s="116"/>
      <c r="L204" s="116"/>
      <c r="M204" s="116"/>
      <c r="N204" s="116"/>
      <c r="O204" s="116"/>
    </row>
    <row r="205" spans="1:15">
      <c r="A205" s="116"/>
      <c r="B205" s="116"/>
      <c r="C205" s="116"/>
      <c r="D205" s="116"/>
      <c r="E205" s="116"/>
      <c r="F205" s="118"/>
      <c r="G205" s="118"/>
      <c r="H205" s="118"/>
      <c r="I205" s="116"/>
      <c r="J205" s="116"/>
      <c r="K205" s="116"/>
      <c r="L205" s="116"/>
      <c r="M205" s="116"/>
      <c r="N205" s="116"/>
      <c r="O205" s="116"/>
    </row>
    <row r="206" spans="1:15">
      <c r="A206" s="116"/>
      <c r="B206" s="116"/>
      <c r="C206" s="116"/>
      <c r="D206" s="116"/>
      <c r="E206" s="116"/>
      <c r="F206" s="118"/>
      <c r="G206" s="118"/>
      <c r="H206" s="118"/>
      <c r="I206" s="117"/>
      <c r="J206" s="117"/>
      <c r="K206" s="117"/>
      <c r="L206" s="117"/>
      <c r="M206" s="117"/>
      <c r="N206" s="116"/>
      <c r="O206" s="116"/>
    </row>
    <row r="207" spans="1:15">
      <c r="A207" s="116"/>
      <c r="B207" s="116"/>
      <c r="C207" s="116"/>
      <c r="D207" s="116"/>
      <c r="E207" s="116"/>
      <c r="F207" s="118"/>
      <c r="G207" s="118"/>
      <c r="H207" s="118"/>
      <c r="I207" s="116"/>
      <c r="J207" s="116"/>
      <c r="K207" s="116"/>
      <c r="L207" s="116"/>
      <c r="M207" s="116"/>
      <c r="N207" s="116"/>
      <c r="O207" s="116"/>
    </row>
    <row r="208" spans="1:15">
      <c r="A208" s="116"/>
      <c r="B208" s="116"/>
      <c r="C208" s="116"/>
      <c r="D208" s="116"/>
      <c r="E208" s="116"/>
      <c r="F208" s="118"/>
      <c r="G208" s="118"/>
      <c r="H208" s="118"/>
      <c r="I208" s="116"/>
      <c r="J208" s="116"/>
      <c r="K208" s="116"/>
      <c r="L208" s="116"/>
      <c r="M208" s="116"/>
      <c r="N208" s="116"/>
      <c r="O208" s="116"/>
    </row>
    <row r="209" spans="1:15">
      <c r="A209" s="116"/>
      <c r="B209" s="116"/>
      <c r="C209" s="116"/>
      <c r="D209" s="116"/>
      <c r="E209" s="116"/>
      <c r="F209" s="118"/>
      <c r="G209" s="118"/>
      <c r="H209" s="118"/>
      <c r="I209" s="117"/>
      <c r="J209" s="116"/>
      <c r="K209" s="116"/>
      <c r="L209" s="116"/>
      <c r="M209" s="117"/>
      <c r="N209" s="116"/>
      <c r="O209" s="116"/>
    </row>
    <row r="210" spans="1:15">
      <c r="A210" s="116"/>
      <c r="B210" s="116"/>
      <c r="C210" s="116"/>
      <c r="D210" s="116"/>
      <c r="E210" s="116"/>
      <c r="F210" s="118"/>
      <c r="G210" s="118"/>
      <c r="H210" s="116"/>
      <c r="I210" s="117"/>
      <c r="J210" s="117"/>
      <c r="K210" s="117"/>
      <c r="L210" s="117"/>
      <c r="M210" s="117"/>
      <c r="N210" s="116"/>
      <c r="O210" s="116"/>
    </row>
    <row r="211" spans="1:15">
      <c r="A211" s="116"/>
      <c r="B211" s="116"/>
      <c r="C211" s="116"/>
      <c r="D211" s="116"/>
      <c r="E211" s="116"/>
      <c r="F211" s="118"/>
      <c r="G211" s="118"/>
      <c r="H211" s="118"/>
      <c r="I211" s="117"/>
      <c r="J211" s="117"/>
      <c r="K211" s="116"/>
      <c r="L211" s="116"/>
      <c r="M211" s="116"/>
      <c r="N211" s="116"/>
      <c r="O211" s="116"/>
    </row>
    <row r="212" spans="1:15">
      <c r="A212" s="116"/>
      <c r="B212" s="116"/>
      <c r="C212" s="116"/>
      <c r="D212" s="116"/>
      <c r="E212" s="116"/>
      <c r="F212" s="118"/>
      <c r="G212" s="118"/>
      <c r="H212" s="118"/>
      <c r="I212" s="116"/>
      <c r="J212" s="116"/>
      <c r="K212" s="116"/>
      <c r="L212" s="116"/>
      <c r="M212" s="116"/>
      <c r="N212" s="116"/>
      <c r="O212" s="116"/>
    </row>
    <row r="213" spans="1:15">
      <c r="A213" s="116"/>
      <c r="B213" s="116"/>
      <c r="C213" s="116"/>
      <c r="D213" s="116"/>
      <c r="E213" s="116"/>
      <c r="F213" s="118"/>
      <c r="G213" s="118"/>
      <c r="H213" s="118"/>
      <c r="I213" s="117"/>
      <c r="J213" s="116"/>
      <c r="K213" s="116"/>
      <c r="L213" s="116"/>
      <c r="M213" s="117"/>
      <c r="N213" s="116"/>
      <c r="O213" s="116"/>
    </row>
    <row r="214" spans="1:15">
      <c r="A214" s="116"/>
      <c r="B214" s="116"/>
      <c r="C214" s="116"/>
      <c r="D214" s="116"/>
      <c r="E214" s="116"/>
      <c r="F214" s="118"/>
      <c r="G214" s="118"/>
      <c r="H214" s="118"/>
      <c r="I214" s="117"/>
      <c r="J214" s="117"/>
      <c r="K214" s="117"/>
      <c r="L214" s="116"/>
      <c r="M214" s="116"/>
      <c r="N214" s="116"/>
      <c r="O214" s="116"/>
    </row>
    <row r="215" spans="1:15">
      <c r="A215" s="116"/>
      <c r="B215" s="116"/>
      <c r="C215" s="116"/>
      <c r="D215" s="116"/>
      <c r="E215" s="116"/>
      <c r="F215" s="118"/>
      <c r="G215" s="118"/>
      <c r="H215" s="118"/>
      <c r="I215" s="116"/>
      <c r="J215" s="116"/>
      <c r="K215" s="116"/>
      <c r="L215" s="116"/>
      <c r="M215" s="116"/>
      <c r="N215" s="116"/>
      <c r="O215" s="116"/>
    </row>
    <row r="216" spans="1:15">
      <c r="A216" s="116"/>
      <c r="B216" s="116"/>
      <c r="C216" s="116"/>
      <c r="D216" s="116"/>
      <c r="E216" s="116"/>
      <c r="F216" s="118"/>
      <c r="G216" s="118"/>
      <c r="H216" s="118"/>
      <c r="I216" s="116"/>
      <c r="J216" s="116"/>
      <c r="K216" s="116"/>
      <c r="L216" s="116"/>
      <c r="M216" s="116"/>
      <c r="N216" s="116"/>
      <c r="O216" s="116"/>
    </row>
    <row r="217" spans="1:15">
      <c r="A217" s="116"/>
      <c r="B217" s="116"/>
      <c r="C217" s="116"/>
      <c r="D217" s="116"/>
      <c r="E217" s="116"/>
      <c r="F217" s="118"/>
      <c r="G217" s="118"/>
      <c r="H217" s="118"/>
      <c r="I217" s="116"/>
      <c r="J217" s="116"/>
      <c r="K217" s="116"/>
      <c r="L217" s="116"/>
      <c r="M217" s="116"/>
      <c r="N217" s="116"/>
      <c r="O217" s="116"/>
    </row>
    <row r="218" spans="1:15">
      <c r="A218" s="116"/>
      <c r="B218" s="116"/>
      <c r="C218" s="116"/>
      <c r="D218" s="116"/>
      <c r="E218" s="116"/>
      <c r="F218" s="118"/>
      <c r="G218" s="118"/>
      <c r="H218" s="118"/>
      <c r="I218" s="117"/>
      <c r="J218" s="117"/>
      <c r="K218" s="117"/>
      <c r="L218" s="117"/>
      <c r="M218" s="117"/>
      <c r="N218" s="116"/>
      <c r="O218" s="116"/>
    </row>
    <row r="219" spans="1:15">
      <c r="A219" s="116"/>
      <c r="B219" s="116"/>
      <c r="C219" s="116"/>
      <c r="D219" s="116"/>
      <c r="E219" s="116"/>
      <c r="F219" s="118"/>
      <c r="G219" s="118"/>
      <c r="H219" s="118"/>
      <c r="I219" s="116"/>
      <c r="J219" s="116"/>
      <c r="K219" s="116"/>
      <c r="L219" s="116"/>
      <c r="M219" s="116"/>
      <c r="N219" s="116"/>
      <c r="O219" s="116"/>
    </row>
    <row r="220" spans="1:15">
      <c r="A220" s="116"/>
      <c r="B220" s="116"/>
      <c r="C220" s="116"/>
      <c r="D220" s="116"/>
      <c r="E220" s="116"/>
      <c r="F220" s="118"/>
      <c r="G220" s="118"/>
      <c r="H220" s="118"/>
      <c r="I220" s="117"/>
      <c r="J220" s="117"/>
      <c r="K220" s="116"/>
      <c r="L220" s="116"/>
      <c r="M220" s="116"/>
      <c r="N220" s="116"/>
      <c r="O220" s="116"/>
    </row>
    <row r="221" spans="1:15">
      <c r="A221" s="116"/>
      <c r="B221" s="116"/>
      <c r="C221" s="116"/>
      <c r="D221" s="116"/>
      <c r="E221" s="116"/>
      <c r="F221" s="118"/>
      <c r="G221" s="118"/>
      <c r="H221" s="118"/>
      <c r="I221" s="116"/>
      <c r="J221" s="116"/>
      <c r="K221" s="116"/>
      <c r="L221" s="116"/>
      <c r="M221" s="116"/>
      <c r="N221" s="116"/>
      <c r="O221" s="116"/>
    </row>
    <row r="222" spans="1:15">
      <c r="A222" s="116"/>
      <c r="B222" s="116"/>
      <c r="C222" s="116"/>
      <c r="D222" s="116"/>
      <c r="E222" s="116"/>
      <c r="F222" s="118"/>
      <c r="G222" s="118"/>
      <c r="H222" s="118"/>
      <c r="I222" s="117"/>
      <c r="J222" s="116"/>
      <c r="K222" s="116"/>
      <c r="L222" s="116"/>
      <c r="M222" s="117"/>
      <c r="N222" s="116"/>
      <c r="O222" s="116"/>
    </row>
    <row r="223" spans="1:15">
      <c r="A223" s="116"/>
      <c r="B223" s="116"/>
      <c r="C223" s="116"/>
      <c r="D223" s="116"/>
      <c r="E223" s="116"/>
      <c r="F223" s="118"/>
      <c r="G223" s="118"/>
      <c r="H223" s="118"/>
      <c r="I223" s="117"/>
      <c r="J223" s="117"/>
      <c r="K223" s="117"/>
      <c r="L223" s="116"/>
      <c r="M223" s="116"/>
      <c r="N223" s="116"/>
      <c r="O223" s="116"/>
    </row>
    <row r="224" spans="1:15">
      <c r="A224" s="116"/>
      <c r="B224" s="116"/>
      <c r="C224" s="116"/>
      <c r="D224" s="116"/>
      <c r="E224" s="116"/>
      <c r="F224" s="118"/>
      <c r="G224" s="118"/>
      <c r="H224" s="118"/>
      <c r="I224" s="116"/>
      <c r="J224" s="116"/>
      <c r="K224" s="116"/>
      <c r="L224" s="116"/>
      <c r="M224" s="116"/>
      <c r="N224" s="116"/>
      <c r="O224" s="116"/>
    </row>
    <row r="225" spans="1:15">
      <c r="A225" s="116"/>
      <c r="B225" s="116"/>
      <c r="C225" s="116"/>
      <c r="D225" s="116"/>
      <c r="E225" s="116"/>
      <c r="F225" s="118"/>
      <c r="G225" s="118"/>
      <c r="H225" s="116"/>
      <c r="I225" s="116"/>
      <c r="J225" s="116"/>
      <c r="K225" s="116"/>
      <c r="L225" s="116"/>
      <c r="M225" s="116"/>
      <c r="N225" s="116"/>
      <c r="O225" s="116"/>
    </row>
    <row r="226" spans="1:15">
      <c r="A226" s="116"/>
      <c r="B226" s="116"/>
      <c r="C226" s="116"/>
      <c r="D226" s="116"/>
      <c r="E226" s="116"/>
      <c r="F226" s="118"/>
      <c r="G226" s="118"/>
      <c r="H226" s="118"/>
      <c r="I226" s="116"/>
      <c r="J226" s="116"/>
      <c r="K226" s="116"/>
      <c r="L226" s="116"/>
      <c r="M226" s="116"/>
      <c r="N226" s="116"/>
      <c r="O226" s="116"/>
    </row>
    <row r="227" spans="1:15">
      <c r="A227" s="116"/>
      <c r="B227" s="116"/>
      <c r="C227" s="116"/>
      <c r="D227" s="116"/>
      <c r="E227" s="116"/>
      <c r="F227" s="118"/>
      <c r="G227" s="118"/>
      <c r="H227" s="118"/>
      <c r="I227" s="116"/>
      <c r="J227" s="116"/>
      <c r="K227" s="116"/>
      <c r="L227" s="116"/>
      <c r="M227" s="116"/>
      <c r="N227" s="116"/>
      <c r="O227" s="116"/>
    </row>
    <row r="228" spans="1:15">
      <c r="A228" s="116"/>
      <c r="B228" s="116"/>
      <c r="C228" s="116"/>
      <c r="D228" s="116"/>
      <c r="E228" s="116"/>
      <c r="F228" s="118"/>
      <c r="G228" s="118"/>
      <c r="H228" s="118"/>
      <c r="I228" s="117"/>
      <c r="J228" s="117"/>
      <c r="K228" s="117"/>
      <c r="L228" s="117"/>
      <c r="M228" s="117"/>
      <c r="N228" s="116"/>
      <c r="O228" s="116"/>
    </row>
    <row r="229" spans="1:15">
      <c r="A229" s="116"/>
      <c r="B229" s="116"/>
      <c r="C229" s="116"/>
      <c r="D229" s="116"/>
      <c r="E229" s="116"/>
      <c r="F229" s="118"/>
      <c r="G229" s="118"/>
      <c r="H229" s="118"/>
      <c r="I229" s="116"/>
      <c r="J229" s="116"/>
      <c r="K229" s="116"/>
      <c r="L229" s="116"/>
      <c r="M229" s="116"/>
      <c r="N229" s="116"/>
      <c r="O229" s="116"/>
    </row>
    <row r="230" spans="1:15">
      <c r="A230" s="517"/>
      <c r="B230" s="517"/>
      <c r="C230" s="517"/>
      <c r="D230" s="517"/>
      <c r="E230" s="517"/>
      <c r="F230" s="956"/>
      <c r="G230" s="956"/>
      <c r="H230" s="517"/>
      <c r="I230" s="517"/>
      <c r="J230" s="517"/>
      <c r="K230" s="517"/>
      <c r="L230" s="517"/>
      <c r="M230" s="517"/>
      <c r="N230" s="116"/>
      <c r="O230" s="116"/>
    </row>
    <row r="231" spans="1:15">
      <c r="A231" s="517"/>
      <c r="B231" s="517"/>
      <c r="C231" s="517"/>
      <c r="D231" s="517"/>
      <c r="E231" s="517"/>
      <c r="F231" s="956"/>
      <c r="G231" s="956"/>
      <c r="H231" s="956"/>
      <c r="I231" s="963"/>
      <c r="J231" s="963"/>
      <c r="K231" s="963"/>
      <c r="L231" s="963"/>
      <c r="M231" s="963"/>
      <c r="N231" s="116"/>
      <c r="O231" s="116"/>
    </row>
    <row r="232" spans="1:15">
      <c r="A232" s="517"/>
      <c r="B232" s="517"/>
      <c r="C232" s="517"/>
      <c r="D232" s="517"/>
      <c r="E232" s="517"/>
      <c r="F232" s="956"/>
      <c r="G232" s="956"/>
      <c r="H232" s="956"/>
      <c r="I232" s="963"/>
      <c r="J232" s="963"/>
      <c r="K232" s="517"/>
      <c r="L232" s="963"/>
      <c r="M232" s="963"/>
      <c r="N232" s="116"/>
      <c r="O232" s="116"/>
    </row>
    <row r="233" spans="1:15">
      <c r="A233" s="517"/>
      <c r="B233" s="517"/>
      <c r="C233" s="517"/>
      <c r="D233" s="517"/>
      <c r="E233" s="517"/>
      <c r="F233" s="956"/>
      <c r="G233" s="956"/>
      <c r="H233" s="956"/>
      <c r="I233" s="517"/>
      <c r="J233" s="517"/>
      <c r="K233" s="517"/>
      <c r="L233" s="517"/>
      <c r="M233" s="517"/>
      <c r="N233" s="116"/>
      <c r="O233" s="116"/>
    </row>
    <row r="234" spans="1:15">
      <c r="A234" s="517"/>
      <c r="B234" s="517"/>
      <c r="C234" s="517"/>
      <c r="D234" s="517"/>
      <c r="E234" s="517"/>
      <c r="F234" s="956"/>
      <c r="G234" s="956"/>
      <c r="H234" s="956"/>
      <c r="I234" s="963"/>
      <c r="J234" s="517"/>
      <c r="K234" s="517"/>
      <c r="L234" s="963"/>
      <c r="M234" s="517"/>
      <c r="N234" s="116"/>
      <c r="O234" s="116"/>
    </row>
    <row r="235" spans="1:15">
      <c r="A235" s="517"/>
      <c r="B235" s="517"/>
      <c r="C235" s="517"/>
      <c r="D235" s="517"/>
      <c r="E235" s="517"/>
      <c r="F235" s="956"/>
      <c r="G235" s="956"/>
      <c r="H235" s="517"/>
      <c r="I235" s="517"/>
      <c r="J235" s="517"/>
      <c r="K235" s="517"/>
      <c r="L235" s="517"/>
      <c r="M235" s="517"/>
      <c r="N235" s="116"/>
      <c r="O235" s="116"/>
    </row>
    <row r="236" spans="1:15">
      <c r="A236" s="517"/>
      <c r="B236" s="517"/>
      <c r="C236" s="517"/>
      <c r="D236" s="517"/>
      <c r="E236" s="517"/>
      <c r="F236" s="956"/>
      <c r="G236" s="956"/>
      <c r="H236" s="956"/>
      <c r="I236" s="517"/>
      <c r="J236" s="517"/>
      <c r="K236" s="517"/>
      <c r="L236" s="517"/>
      <c r="M236" s="517"/>
      <c r="N236" s="116"/>
      <c r="O236" s="116"/>
    </row>
    <row r="237" spans="1:15">
      <c r="A237" s="517"/>
      <c r="B237" s="517"/>
      <c r="C237" s="517"/>
      <c r="D237" s="517"/>
      <c r="E237" s="517"/>
      <c r="F237" s="956"/>
      <c r="G237" s="956"/>
      <c r="H237" s="956"/>
      <c r="I237" s="963"/>
      <c r="J237" s="963"/>
      <c r="K237" s="517"/>
      <c r="L237" s="963"/>
      <c r="M237" s="963"/>
      <c r="N237" s="116"/>
      <c r="O237" s="116"/>
    </row>
    <row r="238" spans="1:15">
      <c r="A238" s="517"/>
      <c r="B238" s="517"/>
      <c r="C238" s="517"/>
      <c r="D238" s="517"/>
      <c r="E238" s="517"/>
      <c r="F238" s="956"/>
      <c r="G238" s="956"/>
      <c r="H238" s="956"/>
      <c r="I238" s="963"/>
      <c r="J238" s="963"/>
      <c r="K238" s="963"/>
      <c r="L238" s="963"/>
      <c r="M238" s="963"/>
      <c r="N238" s="116"/>
      <c r="O238" s="116"/>
    </row>
    <row r="239" spans="1:15">
      <c r="A239" s="517"/>
      <c r="B239" s="517"/>
      <c r="C239" s="517"/>
      <c r="D239" s="517"/>
      <c r="E239" s="517"/>
      <c r="F239" s="956"/>
      <c r="G239" s="956"/>
      <c r="H239" s="956"/>
      <c r="I239" s="963"/>
      <c r="J239" s="517"/>
      <c r="K239" s="517"/>
      <c r="L239" s="963"/>
      <c r="M239" s="963"/>
      <c r="N239" s="116"/>
      <c r="O239" s="116"/>
    </row>
    <row r="240" spans="1:15">
      <c r="A240" s="517"/>
      <c r="B240" s="517"/>
      <c r="C240" s="517"/>
      <c r="D240" s="517"/>
      <c r="E240" s="517"/>
      <c r="F240" s="956"/>
      <c r="G240" s="956"/>
      <c r="H240" s="956"/>
      <c r="I240" s="963"/>
      <c r="J240" s="963"/>
      <c r="K240" s="963"/>
      <c r="L240" s="963"/>
      <c r="M240" s="963"/>
      <c r="N240" s="116"/>
      <c r="O240" s="116"/>
    </row>
    <row r="241" spans="1:15">
      <c r="A241" s="517"/>
      <c r="B241" s="517"/>
      <c r="C241" s="517"/>
      <c r="D241" s="517"/>
      <c r="E241" s="517"/>
      <c r="F241" s="956"/>
      <c r="G241" s="956"/>
      <c r="H241" s="956"/>
      <c r="I241" s="517"/>
      <c r="J241" s="517"/>
      <c r="K241" s="517"/>
      <c r="L241" s="517"/>
      <c r="M241" s="517"/>
      <c r="N241" s="116"/>
      <c r="O241" s="116"/>
    </row>
    <row r="242" spans="1:15">
      <c r="A242" s="517"/>
      <c r="B242" s="517"/>
      <c r="C242" s="517"/>
      <c r="D242" s="517"/>
      <c r="E242" s="517"/>
      <c r="F242" s="956"/>
      <c r="G242" s="956"/>
      <c r="H242" s="956"/>
      <c r="I242" s="517"/>
      <c r="J242" s="517"/>
      <c r="K242" s="517"/>
      <c r="L242" s="517"/>
      <c r="M242" s="517"/>
      <c r="N242" s="116"/>
      <c r="O242" s="116"/>
    </row>
    <row r="243" spans="1:15">
      <c r="A243" s="517"/>
      <c r="B243" s="517"/>
      <c r="C243" s="517"/>
      <c r="D243" s="517"/>
      <c r="E243" s="517"/>
      <c r="F243" s="956"/>
      <c r="G243" s="956"/>
      <c r="H243" s="956"/>
      <c r="I243" s="963"/>
      <c r="J243" s="963"/>
      <c r="K243" s="963"/>
      <c r="L243" s="517"/>
      <c r="M243" s="517"/>
      <c r="N243" s="116"/>
      <c r="O243" s="116"/>
    </row>
    <row r="244" spans="1:15">
      <c r="A244" s="517"/>
      <c r="B244" s="517"/>
      <c r="C244" s="517"/>
      <c r="D244" s="517"/>
      <c r="E244" s="517"/>
      <c r="F244" s="956"/>
      <c r="G244" s="956"/>
      <c r="H244" s="956"/>
      <c r="I244" s="963"/>
      <c r="J244" s="963"/>
      <c r="K244" s="963"/>
      <c r="L244" s="517"/>
      <c r="M244" s="517"/>
      <c r="N244" s="116"/>
      <c r="O244" s="116"/>
    </row>
    <row r="245" spans="1:15">
      <c r="A245" s="517"/>
      <c r="B245" s="517"/>
      <c r="C245" s="517"/>
      <c r="D245" s="517"/>
      <c r="E245" s="517"/>
      <c r="F245" s="956"/>
      <c r="G245" s="956"/>
      <c r="H245" s="517"/>
      <c r="I245" s="517"/>
      <c r="J245" s="517"/>
      <c r="K245" s="517"/>
      <c r="L245" s="517"/>
      <c r="M245" s="517"/>
      <c r="N245" s="116"/>
      <c r="O245" s="116"/>
    </row>
    <row r="246" spans="1:15">
      <c r="A246" s="517"/>
      <c r="B246" s="517"/>
      <c r="C246" s="517"/>
      <c r="D246" s="517"/>
      <c r="E246" s="517"/>
      <c r="F246" s="956"/>
      <c r="G246" s="956"/>
      <c r="H246" s="956"/>
      <c r="I246" s="963"/>
      <c r="J246" s="963"/>
      <c r="K246" s="963"/>
      <c r="L246" s="963"/>
      <c r="M246" s="517"/>
      <c r="N246" s="116"/>
      <c r="O246" s="116"/>
    </row>
    <row r="247" spans="1:15">
      <c r="A247" s="517"/>
      <c r="B247" s="517"/>
      <c r="C247" s="517"/>
      <c r="D247" s="517"/>
      <c r="E247" s="517"/>
      <c r="F247" s="956"/>
      <c r="G247" s="956"/>
      <c r="H247" s="956"/>
      <c r="I247" s="963"/>
      <c r="J247" s="517"/>
      <c r="K247" s="517"/>
      <c r="L247" s="517"/>
      <c r="M247" s="963"/>
      <c r="N247" s="116"/>
      <c r="O247" s="116"/>
    </row>
    <row r="248" spans="1:15">
      <c r="A248" s="517"/>
      <c r="B248" s="517"/>
      <c r="C248" s="517"/>
      <c r="D248" s="517"/>
      <c r="E248" s="517"/>
      <c r="F248" s="956"/>
      <c r="G248" s="956"/>
      <c r="H248" s="517"/>
      <c r="I248" s="963"/>
      <c r="J248" s="963"/>
      <c r="K248" s="963"/>
      <c r="L248" s="963"/>
      <c r="M248" s="963"/>
      <c r="N248" s="116"/>
      <c r="O248" s="116"/>
    </row>
    <row r="249" spans="1:15">
      <c r="A249" s="517"/>
      <c r="B249" s="517"/>
      <c r="C249" s="517"/>
      <c r="D249" s="517"/>
      <c r="E249" s="517"/>
      <c r="F249" s="956"/>
      <c r="G249" s="956"/>
      <c r="H249" s="956"/>
      <c r="I249" s="963"/>
      <c r="J249" s="963"/>
      <c r="K249" s="517"/>
      <c r="L249" s="517"/>
      <c r="M249" s="517"/>
      <c r="N249" s="116"/>
      <c r="O249" s="116"/>
    </row>
    <row r="250" spans="1:15">
      <c r="A250" s="517"/>
      <c r="B250" s="517"/>
      <c r="C250" s="517"/>
      <c r="D250" s="517"/>
      <c r="E250" s="517"/>
      <c r="F250" s="956"/>
      <c r="G250" s="956"/>
      <c r="H250" s="956"/>
      <c r="I250" s="963"/>
      <c r="J250" s="963"/>
      <c r="K250" s="963"/>
      <c r="L250" s="963"/>
      <c r="M250" s="517"/>
      <c r="N250" s="116"/>
      <c r="O250" s="116"/>
    </row>
    <row r="251" spans="1:15">
      <c r="A251" s="517"/>
      <c r="B251" s="517"/>
      <c r="C251" s="517"/>
      <c r="D251" s="517"/>
      <c r="E251" s="517"/>
      <c r="F251" s="956"/>
      <c r="G251" s="956"/>
      <c r="H251" s="517"/>
      <c r="I251" s="963"/>
      <c r="J251" s="963"/>
      <c r="K251" s="517"/>
      <c r="L251" s="517"/>
      <c r="M251" s="517"/>
      <c r="N251" s="116"/>
      <c r="O251" s="116"/>
    </row>
    <row r="252" spans="1:15">
      <c r="A252" s="517"/>
      <c r="B252" s="517"/>
      <c r="C252" s="517"/>
      <c r="D252" s="517"/>
      <c r="E252" s="517"/>
      <c r="F252" s="956"/>
      <c r="G252" s="956"/>
      <c r="H252" s="956"/>
      <c r="I252" s="963"/>
      <c r="J252" s="517"/>
      <c r="K252" s="517"/>
      <c r="L252" s="963"/>
      <c r="M252" s="963"/>
      <c r="N252" s="116"/>
      <c r="O252" s="116"/>
    </row>
    <row r="253" spans="1:15">
      <c r="A253" s="517"/>
      <c r="B253" s="517"/>
      <c r="C253" s="517"/>
      <c r="D253" s="517"/>
      <c r="E253" s="517"/>
      <c r="F253" s="956"/>
      <c r="G253" s="956"/>
      <c r="H253" s="956"/>
      <c r="I253" s="517"/>
      <c r="J253" s="517"/>
      <c r="K253" s="517"/>
      <c r="L253" s="517"/>
      <c r="M253" s="517"/>
      <c r="N253" s="116"/>
      <c r="O253" s="116"/>
    </row>
    <row r="254" spans="1:15">
      <c r="A254" s="517"/>
      <c r="B254" s="517"/>
      <c r="C254" s="517"/>
      <c r="D254" s="517"/>
      <c r="E254" s="517"/>
      <c r="F254" s="956"/>
      <c r="G254" s="956"/>
      <c r="H254" s="956"/>
      <c r="I254" s="517"/>
      <c r="J254" s="517"/>
      <c r="K254" s="517"/>
      <c r="L254" s="517"/>
      <c r="M254" s="517"/>
      <c r="N254" s="116"/>
      <c r="O254" s="116"/>
    </row>
    <row r="255" spans="1:15">
      <c r="A255" s="517"/>
      <c r="B255" s="517"/>
      <c r="C255" s="517"/>
      <c r="D255" s="517"/>
      <c r="E255" s="517"/>
      <c r="F255" s="956"/>
      <c r="G255" s="956"/>
      <c r="H255" s="517"/>
      <c r="I255" s="963"/>
      <c r="J255" s="963"/>
      <c r="K255" s="963"/>
      <c r="L255" s="963"/>
      <c r="M255" s="963"/>
      <c r="N255" s="116"/>
      <c r="O255" s="116"/>
    </row>
    <row r="256" spans="1:15">
      <c r="A256" s="517"/>
      <c r="B256" s="517"/>
      <c r="C256" s="517"/>
      <c r="D256" s="517"/>
      <c r="E256" s="517"/>
      <c r="F256" s="956"/>
      <c r="G256" s="956"/>
      <c r="H256" s="956"/>
      <c r="I256" s="517"/>
      <c r="J256" s="517"/>
      <c r="K256" s="517"/>
      <c r="L256" s="517"/>
      <c r="M256" s="517"/>
      <c r="N256" s="116"/>
      <c r="O256" s="116"/>
    </row>
    <row r="257" spans="1:15">
      <c r="A257" s="517"/>
      <c r="B257" s="517"/>
      <c r="C257" s="517"/>
      <c r="D257" s="517"/>
      <c r="E257" s="517"/>
      <c r="F257" s="956"/>
      <c r="G257" s="956"/>
      <c r="H257" s="956"/>
      <c r="I257" s="963"/>
      <c r="J257" s="517"/>
      <c r="K257" s="517"/>
      <c r="L257" s="963"/>
      <c r="M257" s="963"/>
      <c r="N257" s="116"/>
      <c r="O257" s="116"/>
    </row>
    <row r="258" spans="1:15">
      <c r="A258" s="517"/>
      <c r="B258" s="517"/>
      <c r="C258" s="517"/>
      <c r="D258" s="517"/>
      <c r="E258" s="517"/>
      <c r="F258" s="956"/>
      <c r="G258" s="956"/>
      <c r="H258" s="956"/>
      <c r="I258" s="517"/>
      <c r="J258" s="517"/>
      <c r="K258" s="517"/>
      <c r="L258" s="517"/>
      <c r="M258" s="517"/>
      <c r="N258" s="116"/>
      <c r="O258" s="116"/>
    </row>
    <row r="259" spans="1:15">
      <c r="A259" s="517"/>
      <c r="B259" s="517"/>
      <c r="C259" s="517"/>
      <c r="D259" s="517"/>
      <c r="E259" s="517"/>
      <c r="F259" s="956"/>
      <c r="G259" s="956"/>
      <c r="H259" s="956"/>
      <c r="I259" s="517"/>
      <c r="J259" s="517"/>
      <c r="K259" s="517"/>
      <c r="L259" s="517"/>
      <c r="M259" s="517"/>
      <c r="N259" s="116"/>
      <c r="O259" s="116"/>
    </row>
    <row r="260" spans="1:15">
      <c r="A260" s="517"/>
      <c r="B260" s="517"/>
      <c r="C260" s="517"/>
      <c r="D260" s="517"/>
      <c r="E260" s="517"/>
      <c r="F260" s="956"/>
      <c r="G260" s="956"/>
      <c r="H260" s="956"/>
      <c r="I260" s="517"/>
      <c r="J260" s="517"/>
      <c r="K260" s="517"/>
      <c r="L260" s="517"/>
      <c r="M260" s="517"/>
      <c r="N260" s="116"/>
      <c r="O260" s="116"/>
    </row>
    <row r="261" spans="1:15">
      <c r="A261" s="517"/>
      <c r="B261" s="517"/>
      <c r="C261" s="517"/>
      <c r="D261" s="517"/>
      <c r="E261" s="517"/>
      <c r="F261" s="956"/>
      <c r="G261" s="956"/>
      <c r="H261" s="956"/>
      <c r="I261" s="963"/>
      <c r="J261" s="963"/>
      <c r="K261" s="517"/>
      <c r="L261" s="517"/>
      <c r="M261" s="517"/>
      <c r="N261" s="116"/>
      <c r="O261" s="116"/>
    </row>
    <row r="262" spans="1:15">
      <c r="A262" s="517"/>
      <c r="B262" s="517"/>
      <c r="C262" s="517"/>
      <c r="D262" s="517"/>
      <c r="E262" s="517"/>
      <c r="F262" s="956"/>
      <c r="G262" s="956"/>
      <c r="H262" s="956"/>
      <c r="I262" s="517"/>
      <c r="J262" s="517"/>
      <c r="K262" s="517"/>
      <c r="L262" s="517"/>
      <c r="M262" s="517"/>
      <c r="N262" s="116"/>
      <c r="O262" s="116"/>
    </row>
    <row r="263" spans="1:15">
      <c r="A263" s="517"/>
      <c r="B263" s="517"/>
      <c r="C263" s="517"/>
      <c r="D263" s="517"/>
      <c r="E263" s="517"/>
      <c r="F263" s="956"/>
      <c r="G263" s="956"/>
      <c r="H263" s="956"/>
      <c r="I263" s="517"/>
      <c r="J263" s="517"/>
      <c r="K263" s="517"/>
      <c r="L263" s="517"/>
      <c r="M263" s="517"/>
    </row>
    <row r="264" spans="1:15">
      <c r="A264" s="517"/>
      <c r="B264" s="517"/>
      <c r="C264" s="517"/>
      <c r="D264" s="517"/>
      <c r="E264" s="517"/>
      <c r="F264" s="956"/>
      <c r="G264" s="956"/>
      <c r="H264" s="956"/>
      <c r="I264" s="517"/>
      <c r="J264" s="517"/>
      <c r="K264" s="517"/>
      <c r="L264" s="517"/>
      <c r="M264" s="517"/>
      <c r="N264" s="116"/>
      <c r="O264" s="116"/>
    </row>
    <row r="265" spans="1:15">
      <c r="A265" s="517"/>
      <c r="B265" s="517"/>
      <c r="C265" s="517"/>
      <c r="D265" s="517"/>
      <c r="E265" s="517"/>
      <c r="F265" s="956"/>
      <c r="G265" s="956"/>
      <c r="H265" s="956"/>
      <c r="I265" s="517"/>
      <c r="J265" s="517"/>
      <c r="K265" s="517"/>
      <c r="L265" s="517"/>
      <c r="M265" s="517"/>
      <c r="N265" s="116"/>
      <c r="O265" s="116"/>
    </row>
    <row r="266" spans="1:15">
      <c r="A266" s="517"/>
      <c r="B266" s="517"/>
      <c r="C266" s="517"/>
      <c r="D266" s="517"/>
      <c r="E266" s="517"/>
      <c r="F266" s="956"/>
      <c r="G266" s="956"/>
      <c r="H266" s="517"/>
      <c r="I266" s="517"/>
      <c r="J266" s="517"/>
      <c r="K266" s="517"/>
      <c r="L266" s="517"/>
      <c r="M266" s="517"/>
      <c r="N266" s="116"/>
      <c r="O266" s="116"/>
    </row>
    <row r="267" spans="1:15">
      <c r="A267" s="517"/>
      <c r="B267" s="517"/>
      <c r="C267" s="517"/>
      <c r="D267" s="517"/>
      <c r="E267" s="517"/>
      <c r="F267" s="956"/>
      <c r="G267" s="956"/>
      <c r="H267" s="956"/>
      <c r="I267" s="963"/>
      <c r="J267" s="963"/>
      <c r="K267" s="963"/>
      <c r="L267" s="963"/>
      <c r="M267" s="963"/>
      <c r="N267" s="116"/>
      <c r="O267" s="116"/>
    </row>
    <row r="268" spans="1:15">
      <c r="A268" s="517"/>
      <c r="B268" s="517"/>
      <c r="C268" s="517"/>
      <c r="D268" s="517"/>
      <c r="E268" s="517"/>
      <c r="F268" s="956"/>
      <c r="G268" s="956"/>
      <c r="H268" s="517"/>
      <c r="I268" s="517"/>
      <c r="J268" s="517"/>
      <c r="K268" s="517"/>
      <c r="L268" s="517"/>
      <c r="M268" s="517"/>
      <c r="N268" s="116"/>
      <c r="O268" s="116"/>
    </row>
    <row r="269" spans="1:15">
      <c r="A269" s="517"/>
      <c r="B269" s="517"/>
      <c r="C269" s="517"/>
      <c r="D269" s="517"/>
      <c r="E269" s="517"/>
      <c r="F269" s="956"/>
      <c r="G269" s="956"/>
      <c r="H269" s="956"/>
      <c r="I269" s="517"/>
      <c r="J269" s="517"/>
      <c r="K269" s="517"/>
      <c r="L269" s="517"/>
      <c r="M269" s="517"/>
      <c r="N269" s="116"/>
      <c r="O269" s="116"/>
    </row>
    <row r="270" spans="1:15">
      <c r="A270" s="116"/>
      <c r="B270" s="116"/>
      <c r="C270" s="116"/>
      <c r="D270" s="116"/>
      <c r="E270" s="116"/>
      <c r="F270" s="118"/>
      <c r="G270" s="118"/>
      <c r="H270" s="118"/>
      <c r="I270" s="117"/>
      <c r="J270" s="117"/>
      <c r="K270" s="116"/>
      <c r="L270" s="116"/>
      <c r="M270" s="116"/>
      <c r="N270" s="116"/>
      <c r="O270" s="116"/>
    </row>
    <row r="271" spans="1:15">
      <c r="A271" s="116"/>
      <c r="B271" s="116"/>
      <c r="C271" s="116"/>
      <c r="D271" s="116"/>
      <c r="E271" s="116"/>
      <c r="F271" s="118"/>
      <c r="G271" s="118"/>
      <c r="H271" s="118"/>
      <c r="I271" s="117"/>
      <c r="J271" s="117"/>
      <c r="K271" s="116"/>
      <c r="L271" s="116"/>
      <c r="M271" s="116"/>
      <c r="N271" s="116"/>
      <c r="O271" s="116"/>
    </row>
    <row r="272" spans="1:15">
      <c r="A272" s="116"/>
      <c r="B272" s="116"/>
      <c r="C272" s="116"/>
      <c r="D272" s="116"/>
      <c r="E272" s="116"/>
      <c r="F272" s="118"/>
      <c r="G272" s="118"/>
      <c r="H272" s="118"/>
      <c r="I272" s="117"/>
      <c r="J272" s="117"/>
      <c r="K272" s="116"/>
      <c r="L272" s="116"/>
      <c r="M272" s="116"/>
      <c r="N272" s="116"/>
      <c r="O272" s="116"/>
    </row>
    <row r="273" spans="1:15">
      <c r="A273" s="116"/>
      <c r="B273" s="116"/>
      <c r="C273" s="116"/>
      <c r="D273" s="116"/>
      <c r="E273" s="116"/>
      <c r="F273" s="118"/>
      <c r="G273" s="118"/>
      <c r="H273" s="118"/>
      <c r="I273" s="117"/>
      <c r="J273" s="117"/>
      <c r="K273" s="116"/>
      <c r="L273" s="116"/>
      <c r="M273" s="116"/>
      <c r="N273" s="116"/>
      <c r="O273" s="116"/>
    </row>
    <row r="274" spans="1:15">
      <c r="A274" s="116"/>
      <c r="B274" s="116"/>
      <c r="C274" s="116"/>
      <c r="D274" s="116"/>
      <c r="E274" s="116"/>
      <c r="F274" s="118"/>
      <c r="G274" s="118"/>
      <c r="H274" s="118"/>
      <c r="I274" s="117"/>
      <c r="J274" s="117"/>
      <c r="K274" s="116"/>
      <c r="L274" s="116"/>
      <c r="M274" s="116"/>
      <c r="N274" s="116"/>
      <c r="O274" s="116"/>
    </row>
    <row r="275" spans="1:15">
      <c r="A275" s="116"/>
      <c r="B275" s="116"/>
      <c r="C275" s="116"/>
      <c r="D275" s="116"/>
      <c r="E275" s="116"/>
      <c r="F275" s="118"/>
      <c r="G275" s="118"/>
      <c r="H275" s="118"/>
      <c r="I275" s="117"/>
      <c r="J275" s="117"/>
      <c r="K275" s="116"/>
      <c r="L275" s="116"/>
      <c r="M275" s="116"/>
      <c r="N275" s="116"/>
      <c r="O275" s="116"/>
    </row>
    <row r="276" spans="1:15">
      <c r="A276" s="116"/>
      <c r="B276" s="116"/>
      <c r="C276" s="116"/>
      <c r="D276" s="116"/>
      <c r="E276" s="116"/>
      <c r="F276" s="118"/>
      <c r="G276" s="118"/>
      <c r="H276" s="118"/>
      <c r="I276" s="117"/>
      <c r="J276" s="116"/>
      <c r="K276" s="116"/>
      <c r="L276" s="117"/>
      <c r="M276" s="117"/>
      <c r="N276" s="116"/>
      <c r="O276" s="116"/>
    </row>
    <row r="277" spans="1:15">
      <c r="A277" s="116"/>
      <c r="B277" s="116"/>
      <c r="C277" s="116"/>
      <c r="D277" s="116"/>
      <c r="E277" s="116"/>
      <c r="F277" s="118"/>
      <c r="G277" s="118"/>
      <c r="H277" s="118"/>
      <c r="I277" s="117"/>
      <c r="J277" s="116"/>
      <c r="K277" s="116"/>
      <c r="L277" s="116"/>
      <c r="M277" s="117"/>
      <c r="N277" s="116"/>
      <c r="O277" s="116"/>
    </row>
    <row r="278" spans="1:15">
      <c r="A278" s="116"/>
      <c r="B278" s="116"/>
      <c r="C278" s="116"/>
      <c r="D278" s="116"/>
      <c r="E278" s="116"/>
      <c r="F278" s="118"/>
      <c r="G278" s="118"/>
      <c r="H278" s="118"/>
      <c r="I278" s="117"/>
      <c r="J278" s="117"/>
      <c r="K278" s="116"/>
      <c r="L278" s="116"/>
      <c r="M278" s="116"/>
      <c r="N278" s="116"/>
      <c r="O278" s="116"/>
    </row>
    <row r="279" spans="1:15">
      <c r="A279" s="116"/>
      <c r="B279" s="116"/>
      <c r="C279" s="116"/>
      <c r="D279" s="116"/>
      <c r="E279" s="116"/>
      <c r="F279" s="118"/>
      <c r="G279" s="118"/>
      <c r="H279" s="118"/>
      <c r="I279" s="116"/>
      <c r="J279" s="116"/>
      <c r="K279" s="116"/>
      <c r="L279" s="116"/>
      <c r="M279" s="116"/>
      <c r="N279" s="116"/>
      <c r="O279" s="116"/>
    </row>
    <row r="280" spans="1:15">
      <c r="A280" s="116"/>
      <c r="B280" s="116"/>
      <c r="C280" s="116"/>
      <c r="D280" s="116"/>
      <c r="E280" s="116"/>
      <c r="F280" s="118"/>
      <c r="G280" s="118"/>
      <c r="H280" s="118"/>
      <c r="I280" s="117"/>
      <c r="J280" s="116"/>
      <c r="K280" s="116"/>
      <c r="L280" s="116"/>
      <c r="M280" s="117"/>
      <c r="N280" s="116"/>
      <c r="O280" s="116"/>
    </row>
    <row r="281" spans="1:15">
      <c r="A281" s="116"/>
      <c r="B281" s="116"/>
      <c r="C281" s="116"/>
      <c r="D281" s="116"/>
      <c r="E281" s="116"/>
      <c r="F281" s="118"/>
      <c r="G281" s="118"/>
      <c r="H281" s="118"/>
      <c r="I281" s="117"/>
      <c r="J281" s="117"/>
      <c r="K281" s="116"/>
      <c r="L281" s="116"/>
      <c r="M281" s="116"/>
      <c r="N281" s="116"/>
      <c r="O281" s="116"/>
    </row>
    <row r="282" spans="1:15">
      <c r="A282" s="116"/>
      <c r="B282" s="116"/>
      <c r="C282" s="116"/>
      <c r="D282" s="116"/>
      <c r="E282" s="116"/>
      <c r="F282" s="118"/>
      <c r="G282" s="118"/>
      <c r="H282" s="118"/>
      <c r="I282" s="117"/>
      <c r="J282" s="117"/>
      <c r="K282" s="116"/>
      <c r="L282" s="116"/>
      <c r="M282" s="116"/>
      <c r="N282" s="116"/>
      <c r="O282" s="116"/>
    </row>
    <row r="283" spans="1:15">
      <c r="A283" s="116"/>
      <c r="B283" s="116"/>
      <c r="C283" s="116"/>
      <c r="D283" s="116"/>
      <c r="E283" s="116"/>
      <c r="F283" s="118"/>
      <c r="G283" s="118"/>
      <c r="H283" s="118"/>
      <c r="I283" s="117"/>
      <c r="J283" s="116"/>
      <c r="K283" s="116"/>
      <c r="L283" s="116"/>
      <c r="M283" s="116"/>
      <c r="N283" s="116"/>
      <c r="O283" s="116"/>
    </row>
    <row r="284" spans="1:15">
      <c r="A284" s="116"/>
      <c r="B284" s="116"/>
      <c r="C284" s="116"/>
      <c r="D284" s="116"/>
      <c r="E284" s="116"/>
      <c r="F284" s="118"/>
      <c r="G284" s="118"/>
      <c r="H284" s="116"/>
      <c r="I284" s="117"/>
      <c r="J284" s="117"/>
      <c r="K284" s="116"/>
      <c r="L284" s="116"/>
      <c r="M284" s="116"/>
      <c r="N284" s="116"/>
      <c r="O284" s="116"/>
    </row>
    <row r="285" spans="1:15">
      <c r="A285" s="116"/>
      <c r="B285" s="116"/>
      <c r="C285" s="116"/>
      <c r="D285" s="116"/>
      <c r="E285" s="116"/>
      <c r="F285" s="118"/>
      <c r="G285" s="118"/>
      <c r="H285" s="118"/>
      <c r="I285" s="116"/>
      <c r="J285" s="116"/>
      <c r="K285" s="116"/>
      <c r="L285" s="116"/>
      <c r="M285" s="116"/>
      <c r="N285" s="116"/>
      <c r="O285" s="116"/>
    </row>
    <row r="286" spans="1:15">
      <c r="A286" s="116"/>
      <c r="B286" s="116"/>
      <c r="C286" s="116"/>
      <c r="D286" s="116"/>
      <c r="E286" s="116"/>
      <c r="F286" s="118"/>
      <c r="G286" s="118"/>
      <c r="H286" s="116"/>
      <c r="I286" s="116"/>
      <c r="J286" s="116"/>
      <c r="K286" s="116"/>
      <c r="L286" s="116"/>
      <c r="M286" s="116"/>
      <c r="N286" s="116"/>
      <c r="O286" s="116"/>
    </row>
    <row r="287" spans="1:15">
      <c r="A287" s="116"/>
      <c r="B287" s="116"/>
      <c r="C287" s="116"/>
      <c r="D287" s="116"/>
      <c r="E287" s="116"/>
      <c r="F287" s="118"/>
      <c r="G287" s="118"/>
      <c r="H287" s="118"/>
      <c r="I287" s="117"/>
      <c r="J287" s="117"/>
      <c r="K287" s="116"/>
      <c r="L287" s="116"/>
      <c r="M287" s="116"/>
      <c r="N287" s="116"/>
      <c r="O287" s="116"/>
    </row>
    <row r="288" spans="1:15">
      <c r="A288" s="116"/>
      <c r="B288" s="116"/>
      <c r="C288" s="116"/>
      <c r="D288" s="116"/>
      <c r="E288" s="116"/>
      <c r="F288" s="118"/>
      <c r="G288" s="118"/>
      <c r="H288" s="118"/>
      <c r="I288" s="116"/>
      <c r="J288" s="116"/>
      <c r="K288" s="116"/>
      <c r="L288" s="116"/>
      <c r="M288" s="116"/>
      <c r="N288" s="116"/>
      <c r="O288" s="116"/>
    </row>
    <row r="289" spans="1:15">
      <c r="A289" s="116"/>
      <c r="B289" s="116"/>
      <c r="C289" s="116"/>
      <c r="D289" s="116"/>
      <c r="E289" s="116"/>
      <c r="F289" s="118"/>
      <c r="G289" s="118"/>
      <c r="H289" s="118"/>
      <c r="I289" s="116"/>
      <c r="J289" s="116"/>
      <c r="K289" s="116"/>
      <c r="L289" s="116"/>
      <c r="M289" s="116"/>
      <c r="N289" s="116"/>
      <c r="O289" s="116"/>
    </row>
    <row r="290" spans="1:15">
      <c r="A290" s="116"/>
      <c r="B290" s="116"/>
      <c r="C290" s="116"/>
      <c r="D290" s="116"/>
      <c r="E290" s="116"/>
      <c r="F290" s="118"/>
      <c r="G290" s="118"/>
      <c r="H290" s="118"/>
      <c r="I290" s="116"/>
      <c r="J290" s="116"/>
      <c r="K290" s="116"/>
      <c r="L290" s="116"/>
      <c r="M290" s="116"/>
      <c r="N290" s="116"/>
      <c r="O290" s="116"/>
    </row>
    <row r="291" spans="1:15">
      <c r="A291" s="116"/>
      <c r="B291" s="116"/>
      <c r="C291" s="116"/>
      <c r="D291" s="116"/>
      <c r="E291" s="116"/>
      <c r="F291" s="118"/>
      <c r="G291" s="118"/>
      <c r="H291" s="118"/>
      <c r="I291" s="117"/>
      <c r="J291" s="117"/>
      <c r="K291" s="116"/>
      <c r="L291" s="116"/>
      <c r="M291" s="116"/>
      <c r="N291" s="116"/>
      <c r="O291" s="116"/>
    </row>
    <row r="292" spans="1:15">
      <c r="A292" s="116"/>
      <c r="B292" s="116"/>
      <c r="C292" s="116"/>
      <c r="D292" s="116"/>
      <c r="E292" s="116"/>
      <c r="F292" s="118"/>
      <c r="G292" s="118"/>
      <c r="H292" s="118"/>
      <c r="I292" s="116"/>
      <c r="J292" s="116"/>
      <c r="K292" s="116"/>
      <c r="L292" s="116"/>
      <c r="M292" s="116"/>
      <c r="N292" s="116"/>
      <c r="O292" s="116"/>
    </row>
    <row r="293" spans="1:15">
      <c r="A293" s="116"/>
      <c r="B293" s="116"/>
      <c r="C293" s="116"/>
      <c r="D293" s="116"/>
      <c r="E293" s="116"/>
      <c r="F293" s="118"/>
      <c r="G293" s="118"/>
      <c r="H293" s="118"/>
      <c r="I293" s="117"/>
      <c r="J293" s="117"/>
      <c r="K293" s="117"/>
      <c r="L293" s="117"/>
      <c r="M293" s="117"/>
      <c r="N293" s="116"/>
      <c r="O293" s="116"/>
    </row>
    <row r="294" spans="1:15">
      <c r="A294" s="116"/>
      <c r="B294" s="116"/>
      <c r="C294" s="116"/>
      <c r="D294" s="116"/>
      <c r="E294" s="116"/>
      <c r="F294" s="118"/>
      <c r="G294" s="118"/>
      <c r="H294" s="116"/>
      <c r="I294" s="116"/>
      <c r="J294" s="116"/>
      <c r="K294" s="116"/>
      <c r="L294" s="116"/>
      <c r="M294" s="116"/>
      <c r="N294" s="116"/>
      <c r="O294" s="116"/>
    </row>
    <row r="295" spans="1:15">
      <c r="A295" s="116"/>
      <c r="B295" s="116"/>
      <c r="C295" s="116"/>
      <c r="D295" s="116"/>
      <c r="E295" s="116"/>
      <c r="F295" s="118"/>
      <c r="G295" s="118"/>
      <c r="H295" s="116"/>
      <c r="I295" s="117"/>
      <c r="J295" s="116"/>
      <c r="K295" s="116"/>
      <c r="L295" s="116"/>
      <c r="M295" s="116"/>
      <c r="N295" s="116"/>
      <c r="O295" s="116"/>
    </row>
    <row r="296" spans="1:15">
      <c r="A296" s="116"/>
      <c r="B296" s="116"/>
      <c r="C296" s="116"/>
      <c r="D296" s="116"/>
      <c r="E296" s="116"/>
      <c r="F296" s="118"/>
      <c r="G296" s="118"/>
      <c r="H296" s="118"/>
      <c r="I296" s="117"/>
      <c r="J296" s="117"/>
      <c r="K296" s="116"/>
      <c r="L296" s="116"/>
      <c r="M296" s="116"/>
      <c r="N296" s="116"/>
      <c r="O296" s="116"/>
    </row>
    <row r="297" spans="1:15">
      <c r="A297" s="116"/>
      <c r="B297" s="116"/>
      <c r="C297" s="116"/>
      <c r="D297" s="116"/>
      <c r="E297" s="116"/>
      <c r="F297" s="118"/>
      <c r="G297" s="118"/>
      <c r="H297" s="118"/>
      <c r="I297" s="116"/>
      <c r="J297" s="116"/>
      <c r="K297" s="116"/>
      <c r="L297" s="116"/>
      <c r="M297" s="116"/>
      <c r="N297" s="116"/>
      <c r="O297" s="116"/>
    </row>
    <row r="298" spans="1:15">
      <c r="A298" s="116"/>
      <c r="B298" s="116"/>
      <c r="C298" s="116"/>
      <c r="D298" s="116"/>
      <c r="E298" s="116"/>
      <c r="F298" s="118"/>
      <c r="G298" s="118"/>
      <c r="H298" s="116"/>
      <c r="I298" s="117"/>
      <c r="J298" s="117"/>
      <c r="K298" s="116"/>
      <c r="L298" s="116"/>
      <c r="M298" s="116"/>
      <c r="N298" s="116"/>
      <c r="O298" s="116"/>
    </row>
    <row r="299" spans="1:15">
      <c r="A299" s="116"/>
      <c r="B299" s="116"/>
      <c r="C299" s="116"/>
      <c r="D299" s="116"/>
      <c r="E299" s="116"/>
      <c r="F299" s="118"/>
      <c r="G299" s="118"/>
      <c r="H299" s="116"/>
      <c r="I299" s="117"/>
      <c r="J299" s="117"/>
      <c r="K299" s="117"/>
      <c r="L299" s="117"/>
      <c r="M299" s="117"/>
      <c r="N299" s="116"/>
      <c r="O299" s="116"/>
    </row>
    <row r="300" spans="1:15">
      <c r="A300" s="116"/>
      <c r="B300" s="116"/>
      <c r="C300" s="116"/>
      <c r="D300" s="116"/>
      <c r="E300" s="116"/>
      <c r="F300" s="118"/>
      <c r="G300" s="118"/>
      <c r="H300" s="118"/>
      <c r="I300" s="117"/>
      <c r="J300" s="117"/>
      <c r="K300" s="116"/>
      <c r="L300" s="116"/>
      <c r="M300" s="116"/>
      <c r="N300" s="116"/>
      <c r="O300" s="116"/>
    </row>
    <row r="301" spans="1:15">
      <c r="A301" s="116"/>
      <c r="B301" s="116"/>
      <c r="C301" s="116"/>
      <c r="D301" s="116"/>
      <c r="E301" s="116"/>
      <c r="F301" s="118"/>
      <c r="G301" s="118"/>
      <c r="H301" s="118"/>
      <c r="I301" s="116"/>
      <c r="J301" s="116"/>
      <c r="K301" s="116"/>
      <c r="L301" s="116"/>
      <c r="M301" s="116"/>
      <c r="N301" s="116"/>
      <c r="O301" s="116"/>
    </row>
    <row r="302" spans="1:15">
      <c r="A302" s="116"/>
      <c r="B302" s="116"/>
      <c r="C302" s="116"/>
      <c r="D302" s="116"/>
      <c r="E302" s="116"/>
      <c r="F302" s="118"/>
      <c r="G302" s="118"/>
      <c r="H302" s="116"/>
      <c r="I302" s="116"/>
      <c r="J302" s="116"/>
      <c r="K302" s="116"/>
      <c r="L302" s="116"/>
      <c r="M302" s="116"/>
      <c r="N302" s="116"/>
      <c r="O302" s="116"/>
    </row>
    <row r="303" spans="1:15">
      <c r="A303" s="116"/>
      <c r="B303" s="116"/>
      <c r="C303" s="116"/>
      <c r="D303" s="116"/>
      <c r="E303" s="116"/>
      <c r="F303" s="118"/>
      <c r="G303" s="118"/>
      <c r="H303" s="118"/>
      <c r="I303" s="117"/>
      <c r="J303" s="117"/>
      <c r="K303" s="116"/>
      <c r="L303" s="116"/>
      <c r="M303" s="116"/>
      <c r="N303" s="116"/>
      <c r="O303" s="116"/>
    </row>
    <row r="304" spans="1:15">
      <c r="A304" s="116"/>
      <c r="B304" s="116"/>
      <c r="C304" s="116"/>
      <c r="D304" s="116"/>
      <c r="E304" s="116"/>
      <c r="F304" s="118"/>
      <c r="G304" s="118"/>
      <c r="H304" s="118"/>
      <c r="I304" s="116"/>
      <c r="J304" s="116"/>
      <c r="K304" s="116"/>
      <c r="L304" s="116"/>
      <c r="M304" s="116"/>
      <c r="N304" s="116"/>
      <c r="O304" s="116"/>
    </row>
    <row r="305" spans="1:15">
      <c r="A305" s="116"/>
      <c r="B305" s="116"/>
      <c r="C305" s="116"/>
      <c r="D305" s="116"/>
      <c r="E305" s="116"/>
      <c r="F305" s="118"/>
      <c r="G305" s="118"/>
      <c r="H305" s="118"/>
      <c r="I305" s="117"/>
      <c r="J305" s="117"/>
      <c r="K305" s="116"/>
      <c r="L305" s="116"/>
      <c r="M305" s="116"/>
      <c r="N305" s="116"/>
      <c r="O305" s="116"/>
    </row>
    <row r="306" spans="1:15">
      <c r="A306" s="116"/>
      <c r="B306" s="116"/>
      <c r="C306" s="116"/>
      <c r="D306" s="116"/>
      <c r="E306" s="116"/>
      <c r="F306" s="118"/>
      <c r="G306" s="118"/>
      <c r="H306" s="116"/>
      <c r="I306" s="116"/>
      <c r="J306" s="116"/>
      <c r="K306" s="116"/>
      <c r="L306" s="116"/>
      <c r="M306" s="116"/>
      <c r="N306" s="116"/>
      <c r="O306" s="116"/>
    </row>
    <row r="307" spans="1:15">
      <c r="A307" s="116"/>
      <c r="B307" s="116"/>
      <c r="C307" s="116"/>
      <c r="D307" s="116"/>
      <c r="E307" s="116"/>
      <c r="F307" s="118"/>
      <c r="G307" s="118"/>
      <c r="H307" s="118"/>
      <c r="I307" s="116"/>
      <c r="J307" s="116"/>
      <c r="K307" s="116"/>
      <c r="L307" s="116"/>
      <c r="M307" s="116"/>
      <c r="N307" s="116"/>
      <c r="O307" s="116"/>
    </row>
    <row r="308" spans="1:15">
      <c r="A308" s="116"/>
      <c r="B308" s="116"/>
      <c r="C308" s="116"/>
      <c r="D308" s="116"/>
      <c r="E308" s="116"/>
      <c r="F308" s="118"/>
      <c r="G308" s="118"/>
      <c r="H308" s="116"/>
      <c r="I308" s="116"/>
      <c r="J308" s="116"/>
      <c r="K308" s="116"/>
      <c r="L308" s="116"/>
      <c r="M308" s="116"/>
      <c r="N308" s="116"/>
      <c r="O308" s="116"/>
    </row>
    <row r="309" spans="1:15">
      <c r="A309" s="116"/>
      <c r="B309" s="116"/>
      <c r="C309" s="116"/>
      <c r="D309" s="116"/>
      <c r="E309" s="116"/>
      <c r="F309" s="118"/>
      <c r="G309" s="118"/>
      <c r="H309" s="116"/>
      <c r="I309" s="117"/>
      <c r="J309" s="117"/>
      <c r="K309" s="116"/>
      <c r="L309" s="116"/>
      <c r="M309" s="116"/>
      <c r="N309" s="116"/>
      <c r="O309" s="116"/>
    </row>
    <row r="310" spans="1:15">
      <c r="A310" s="116"/>
      <c r="B310" s="116"/>
      <c r="C310" s="116"/>
      <c r="D310" s="116"/>
      <c r="E310" s="116"/>
      <c r="F310" s="118"/>
      <c r="G310" s="118"/>
      <c r="H310" s="118"/>
      <c r="I310" s="117"/>
      <c r="J310" s="116"/>
      <c r="K310" s="117"/>
      <c r="L310" s="116"/>
      <c r="M310" s="116"/>
      <c r="N310" s="116"/>
      <c r="O310" s="116"/>
    </row>
    <row r="311" spans="1:15">
      <c r="A311" s="116"/>
      <c r="B311" s="116"/>
      <c r="C311" s="116"/>
      <c r="D311" s="116"/>
      <c r="E311" s="116"/>
      <c r="F311" s="118"/>
      <c r="G311" s="118"/>
      <c r="H311" s="118"/>
      <c r="I311" s="117"/>
      <c r="J311" s="117"/>
      <c r="K311" s="116"/>
      <c r="L311" s="116"/>
      <c r="M311" s="116"/>
      <c r="N311" s="116"/>
      <c r="O311" s="116"/>
    </row>
    <row r="312" spans="1:15">
      <c r="A312" s="116"/>
      <c r="B312" s="116"/>
      <c r="C312" s="116"/>
      <c r="D312" s="116"/>
      <c r="E312" s="116"/>
      <c r="F312" s="118"/>
      <c r="G312" s="118"/>
      <c r="H312" s="116"/>
      <c r="I312" s="117"/>
      <c r="J312" s="117"/>
      <c r="K312" s="116"/>
      <c r="L312" s="116"/>
      <c r="M312" s="116"/>
      <c r="N312" s="116"/>
      <c r="O312" s="116"/>
    </row>
    <row r="313" spans="1:15">
      <c r="A313" s="116"/>
      <c r="B313" s="116"/>
      <c r="C313" s="116"/>
      <c r="D313" s="116"/>
      <c r="E313" s="116"/>
      <c r="F313" s="118"/>
      <c r="G313" s="118"/>
      <c r="H313" s="118"/>
      <c r="I313" s="117"/>
      <c r="J313" s="117"/>
      <c r="K313" s="117"/>
      <c r="L313" s="117"/>
      <c r="M313" s="117"/>
      <c r="N313" s="116"/>
      <c r="O313" s="116"/>
    </row>
    <row r="314" spans="1:15">
      <c r="A314" s="116"/>
      <c r="B314" s="116"/>
      <c r="C314" s="116"/>
      <c r="D314" s="116"/>
      <c r="E314" s="116"/>
      <c r="F314" s="118"/>
      <c r="G314" s="118"/>
      <c r="H314" s="118"/>
      <c r="I314" s="117"/>
      <c r="J314" s="117"/>
      <c r="K314" s="116"/>
      <c r="L314" s="116"/>
      <c r="M314" s="116"/>
      <c r="N314" s="116"/>
      <c r="O314" s="116"/>
    </row>
    <row r="315" spans="1:15">
      <c r="A315" s="116"/>
      <c r="B315" s="116"/>
      <c r="C315" s="116"/>
      <c r="D315" s="116"/>
      <c r="E315" s="116"/>
      <c r="F315" s="118"/>
      <c r="G315" s="118"/>
      <c r="H315" s="118"/>
      <c r="I315" s="117"/>
      <c r="J315" s="116"/>
      <c r="K315" s="117"/>
      <c r="L315" s="116"/>
      <c r="M315" s="116"/>
      <c r="N315" s="117"/>
      <c r="O315" s="117"/>
    </row>
    <row r="316" spans="1:15">
      <c r="A316" s="116"/>
      <c r="B316" s="116"/>
      <c r="C316" s="116"/>
      <c r="D316" s="116"/>
      <c r="E316" s="116"/>
      <c r="F316" s="118"/>
      <c r="G316" s="118"/>
      <c r="H316" s="118"/>
      <c r="I316" s="116"/>
      <c r="J316" s="116"/>
      <c r="K316" s="116"/>
      <c r="L316" s="116"/>
      <c r="M316" s="116"/>
      <c r="N316" s="117"/>
      <c r="O316" s="117"/>
    </row>
    <row r="317" spans="1:15">
      <c r="A317" s="116"/>
      <c r="B317" s="116"/>
      <c r="C317" s="116"/>
      <c r="D317" s="116"/>
      <c r="E317" s="116"/>
      <c r="F317" s="118"/>
      <c r="G317" s="118"/>
      <c r="H317" s="118"/>
      <c r="I317" s="117"/>
      <c r="J317" s="116"/>
      <c r="K317" s="116"/>
      <c r="L317" s="116"/>
      <c r="M317" s="116"/>
      <c r="N317" s="117"/>
      <c r="O317" s="117"/>
    </row>
    <row r="318" spans="1:15">
      <c r="A318" s="116"/>
      <c r="B318" s="116"/>
      <c r="C318" s="116"/>
      <c r="D318" s="116"/>
      <c r="E318" s="116"/>
      <c r="F318" s="118"/>
      <c r="G318" s="118"/>
      <c r="H318" s="116"/>
      <c r="I318" s="116"/>
      <c r="J318" s="116"/>
      <c r="K318" s="116"/>
      <c r="L318" s="116"/>
      <c r="M318" s="116"/>
      <c r="N318" s="117"/>
      <c r="O318" s="117"/>
    </row>
    <row r="319" spans="1:15">
      <c r="A319" s="116"/>
      <c r="B319" s="116"/>
      <c r="C319" s="116"/>
      <c r="D319" s="116"/>
      <c r="E319" s="116"/>
      <c r="F319" s="118"/>
      <c r="G319" s="118"/>
      <c r="H319" s="118"/>
      <c r="I319" s="117"/>
      <c r="J319" s="116"/>
      <c r="K319" s="116"/>
      <c r="L319" s="116"/>
      <c r="M319" s="116"/>
      <c r="N319" s="117"/>
      <c r="O319" s="117"/>
    </row>
    <row r="320" spans="1:15">
      <c r="A320" s="116"/>
      <c r="B320" s="116"/>
      <c r="C320" s="116"/>
      <c r="D320" s="116"/>
      <c r="E320" s="116"/>
      <c r="F320" s="118"/>
      <c r="G320" s="118"/>
      <c r="H320" s="118"/>
      <c r="I320" s="117"/>
      <c r="J320" s="117"/>
      <c r="K320" s="116"/>
      <c r="L320" s="116"/>
      <c r="M320" s="116"/>
      <c r="N320" s="117"/>
      <c r="O320" s="117"/>
    </row>
    <row r="321" spans="1:15">
      <c r="A321" s="116"/>
      <c r="B321" s="116"/>
      <c r="C321" s="116"/>
      <c r="D321" s="116"/>
      <c r="E321" s="116"/>
      <c r="F321" s="118"/>
      <c r="G321" s="118"/>
      <c r="H321" s="118"/>
      <c r="I321" s="117"/>
      <c r="J321" s="116"/>
      <c r="K321" s="116"/>
      <c r="L321" s="117"/>
      <c r="M321" s="117"/>
      <c r="N321" s="117"/>
      <c r="O321" s="117"/>
    </row>
    <row r="322" spans="1:15">
      <c r="A322" s="116"/>
      <c r="B322" s="116"/>
      <c r="C322" s="116"/>
      <c r="D322" s="116"/>
      <c r="E322" s="116"/>
      <c r="F322" s="118"/>
      <c r="G322" s="118"/>
      <c r="H322" s="118"/>
      <c r="I322" s="117"/>
      <c r="J322" s="117"/>
      <c r="K322" s="116"/>
      <c r="L322" s="116"/>
      <c r="M322" s="116"/>
      <c r="N322" s="117"/>
      <c r="O322" s="117"/>
    </row>
    <row r="323" spans="1:15">
      <c r="A323" s="116"/>
      <c r="B323" s="116"/>
      <c r="C323" s="116"/>
      <c r="D323" s="116"/>
      <c r="E323" s="116"/>
      <c r="F323" s="118"/>
      <c r="G323" s="118"/>
      <c r="H323" s="118"/>
      <c r="I323" s="116"/>
      <c r="J323" s="116"/>
      <c r="K323" s="116"/>
      <c r="L323" s="116"/>
      <c r="M323" s="116"/>
      <c r="N323" s="117"/>
      <c r="O323" s="117"/>
    </row>
    <row r="324" spans="1:15">
      <c r="A324" s="116"/>
      <c r="B324" s="116"/>
      <c r="C324" s="116"/>
      <c r="D324" s="116"/>
      <c r="E324" s="116"/>
      <c r="F324" s="118"/>
      <c r="G324" s="118"/>
      <c r="H324" s="116"/>
      <c r="I324" s="117"/>
      <c r="J324" s="117"/>
      <c r="K324" s="117"/>
      <c r="L324" s="117"/>
      <c r="M324" s="117"/>
      <c r="N324" s="117"/>
      <c r="O324" s="117"/>
    </row>
    <row r="325" spans="1:15">
      <c r="A325" s="116"/>
      <c r="B325" s="116"/>
      <c r="C325" s="116"/>
      <c r="D325" s="116"/>
      <c r="E325" s="116"/>
      <c r="F325" s="118"/>
      <c r="G325" s="118"/>
      <c r="H325" s="116"/>
      <c r="I325" s="117"/>
      <c r="J325" s="116"/>
      <c r="K325" s="117"/>
      <c r="L325" s="117"/>
      <c r="M325" s="117"/>
      <c r="N325" s="117"/>
      <c r="O325" s="117"/>
    </row>
    <row r="326" spans="1:15">
      <c r="A326" s="116"/>
      <c r="B326" s="116"/>
      <c r="C326" s="116"/>
      <c r="D326" s="116"/>
      <c r="E326" s="116"/>
      <c r="F326" s="118"/>
      <c r="G326" s="118"/>
      <c r="H326" s="118"/>
      <c r="I326" s="117"/>
      <c r="J326" s="116"/>
      <c r="K326" s="116"/>
      <c r="L326" s="116"/>
      <c r="M326" s="116"/>
      <c r="N326" s="117"/>
      <c r="O326" s="117"/>
    </row>
    <row r="327" spans="1:15">
      <c r="A327" s="116"/>
      <c r="B327" s="116"/>
      <c r="C327" s="116"/>
      <c r="D327" s="116"/>
      <c r="E327" s="116"/>
      <c r="F327" s="118"/>
      <c r="G327" s="118"/>
      <c r="H327" s="118"/>
      <c r="I327" s="117"/>
      <c r="J327" s="117"/>
      <c r="K327" s="116"/>
      <c r="L327" s="116"/>
      <c r="M327" s="116"/>
      <c r="N327" s="117"/>
      <c r="O327" s="117"/>
    </row>
    <row r="328" spans="1:15">
      <c r="A328" s="116"/>
      <c r="B328" s="116"/>
      <c r="C328" s="116"/>
      <c r="D328" s="116"/>
      <c r="E328" s="116"/>
      <c r="F328" s="118"/>
      <c r="G328" s="118"/>
      <c r="H328" s="118"/>
      <c r="I328" s="117"/>
      <c r="J328" s="117"/>
      <c r="K328" s="116"/>
      <c r="L328" s="116"/>
      <c r="M328" s="116"/>
      <c r="N328" s="117"/>
      <c r="O328" s="117"/>
    </row>
    <row r="329" spans="1:15">
      <c r="A329" s="116"/>
      <c r="B329" s="116"/>
      <c r="C329" s="116"/>
      <c r="D329" s="116"/>
      <c r="E329" s="116"/>
      <c r="F329" s="118"/>
      <c r="G329" s="118"/>
      <c r="H329" s="118"/>
      <c r="I329" s="117"/>
      <c r="J329" s="117"/>
      <c r="K329" s="116"/>
      <c r="L329" s="116"/>
      <c r="M329" s="116"/>
      <c r="N329" s="117"/>
      <c r="O329" s="117"/>
    </row>
    <row r="330" spans="1:15">
      <c r="A330" s="116"/>
      <c r="B330" s="116"/>
      <c r="C330" s="116"/>
      <c r="D330" s="116"/>
      <c r="E330" s="116"/>
      <c r="F330" s="118"/>
      <c r="G330" s="118"/>
      <c r="H330" s="118"/>
      <c r="I330" s="117"/>
      <c r="J330" s="117"/>
      <c r="K330" s="116"/>
      <c r="L330" s="116"/>
      <c r="M330" s="116"/>
      <c r="N330" s="117"/>
      <c r="O330" s="117"/>
    </row>
    <row r="331" spans="1:15">
      <c r="A331" s="116"/>
      <c r="B331" s="116"/>
      <c r="C331" s="116"/>
      <c r="D331" s="116"/>
      <c r="E331" s="116"/>
      <c r="F331" s="118"/>
      <c r="G331" s="118"/>
      <c r="H331" s="118"/>
      <c r="I331" s="117"/>
      <c r="J331" s="116"/>
      <c r="K331" s="116"/>
      <c r="L331" s="116"/>
      <c r="M331" s="117"/>
      <c r="N331" s="117"/>
      <c r="O331" s="117"/>
    </row>
    <row r="332" spans="1:15">
      <c r="A332" s="116"/>
      <c r="B332" s="116"/>
      <c r="C332" s="116"/>
      <c r="D332" s="116"/>
      <c r="E332" s="116"/>
      <c r="F332" s="118"/>
      <c r="G332" s="118"/>
      <c r="H332" s="118"/>
      <c r="I332" s="116"/>
      <c r="J332" s="116"/>
      <c r="K332" s="116"/>
      <c r="L332" s="116"/>
      <c r="M332" s="116"/>
      <c r="N332" s="117"/>
      <c r="O332" s="117"/>
    </row>
    <row r="333" spans="1:15">
      <c r="A333" s="116"/>
      <c r="B333" s="116"/>
      <c r="C333" s="116"/>
      <c r="D333" s="116"/>
      <c r="E333" s="116"/>
      <c r="F333" s="118"/>
      <c r="G333" s="118"/>
      <c r="H333" s="118"/>
      <c r="I333" s="116"/>
      <c r="J333" s="116"/>
      <c r="K333" s="116"/>
      <c r="L333" s="116"/>
      <c r="M333" s="116"/>
      <c r="N333" s="117"/>
      <c r="O333" s="117"/>
    </row>
    <row r="334" spans="1:15">
      <c r="A334" s="116"/>
      <c r="B334" s="116"/>
      <c r="C334" s="116"/>
      <c r="D334" s="116"/>
      <c r="E334" s="116"/>
      <c r="F334" s="118"/>
      <c r="G334" s="118"/>
      <c r="H334" s="118"/>
      <c r="I334" s="116"/>
      <c r="J334" s="116"/>
      <c r="K334" s="116"/>
      <c r="L334" s="116"/>
      <c r="M334" s="116"/>
      <c r="N334" s="117"/>
      <c r="O334" s="117"/>
    </row>
    <row r="335" spans="1:15">
      <c r="A335" s="116"/>
      <c r="B335" s="116"/>
      <c r="C335" s="116"/>
      <c r="D335" s="116"/>
      <c r="E335" s="116"/>
      <c r="F335" s="118"/>
      <c r="G335" s="118"/>
      <c r="H335" s="118"/>
      <c r="I335" s="117"/>
      <c r="J335" s="117"/>
      <c r="K335" s="116"/>
      <c r="L335" s="116"/>
      <c r="M335" s="116"/>
      <c r="N335" s="117"/>
      <c r="O335" s="117"/>
    </row>
    <row r="336" spans="1:15">
      <c r="A336" s="116"/>
      <c r="B336" s="116"/>
      <c r="C336" s="116"/>
      <c r="D336" s="116"/>
      <c r="E336" s="116"/>
      <c r="F336" s="118"/>
      <c r="G336" s="118"/>
      <c r="H336" s="118"/>
      <c r="I336" s="117"/>
      <c r="J336" s="117"/>
      <c r="K336" s="117"/>
      <c r="L336" s="116"/>
      <c r="M336" s="116"/>
      <c r="N336" s="117"/>
      <c r="O336" s="117"/>
    </row>
    <row r="337" spans="1:15">
      <c r="A337" s="116"/>
      <c r="B337" s="116"/>
      <c r="C337" s="116"/>
      <c r="D337" s="116"/>
      <c r="E337" s="116"/>
      <c r="F337" s="118"/>
      <c r="G337" s="118"/>
      <c r="H337" s="118"/>
      <c r="I337" s="117"/>
      <c r="J337" s="117"/>
      <c r="K337" s="116"/>
      <c r="L337" s="116"/>
      <c r="M337" s="116"/>
      <c r="N337" s="117"/>
      <c r="O337" s="117"/>
    </row>
    <row r="338" spans="1:15">
      <c r="A338" s="116"/>
      <c r="B338" s="116"/>
      <c r="C338" s="116"/>
      <c r="D338" s="116"/>
      <c r="E338" s="116"/>
      <c r="F338" s="118"/>
      <c r="G338" s="118"/>
      <c r="H338" s="118"/>
      <c r="I338" s="116"/>
      <c r="J338" s="116"/>
      <c r="K338" s="116"/>
      <c r="L338" s="116"/>
      <c r="M338" s="116"/>
      <c r="N338" s="117"/>
      <c r="O338" s="117"/>
    </row>
    <row r="339" spans="1:15">
      <c r="A339" s="116"/>
      <c r="B339" s="116"/>
      <c r="C339" s="116"/>
      <c r="D339" s="116"/>
      <c r="E339" s="116"/>
      <c r="F339" s="118"/>
      <c r="G339" s="118"/>
      <c r="H339" s="118"/>
      <c r="I339" s="117"/>
      <c r="J339" s="117"/>
      <c r="K339" s="117"/>
      <c r="L339" s="116"/>
      <c r="M339" s="116"/>
      <c r="N339" s="117"/>
      <c r="O339" s="117"/>
    </row>
    <row r="340" spans="1:15">
      <c r="A340" s="116"/>
      <c r="B340" s="116"/>
      <c r="C340" s="116"/>
      <c r="D340" s="116"/>
      <c r="E340" s="116"/>
      <c r="F340" s="118"/>
      <c r="G340" s="118"/>
      <c r="H340" s="118"/>
      <c r="I340" s="117"/>
      <c r="J340" s="117"/>
      <c r="K340" s="116"/>
      <c r="L340" s="116"/>
      <c r="M340" s="116"/>
      <c r="N340" s="117"/>
      <c r="O340" s="117"/>
    </row>
    <row r="341" spans="1:15">
      <c r="A341" s="116"/>
      <c r="B341" s="116"/>
      <c r="C341" s="116"/>
      <c r="D341" s="116"/>
      <c r="E341" s="116"/>
      <c r="F341" s="118"/>
      <c r="G341" s="118"/>
      <c r="H341" s="118"/>
      <c r="I341" s="117"/>
      <c r="J341" s="117"/>
      <c r="K341" s="116"/>
      <c r="L341" s="116"/>
      <c r="M341" s="116"/>
      <c r="N341" s="117"/>
      <c r="O341" s="117"/>
    </row>
    <row r="342" spans="1:15">
      <c r="A342" s="116"/>
      <c r="B342" s="116"/>
      <c r="C342" s="116"/>
      <c r="D342" s="116"/>
      <c r="E342" s="116"/>
      <c r="F342" s="118"/>
      <c r="G342" s="118"/>
      <c r="H342" s="118"/>
      <c r="I342" s="117"/>
      <c r="J342" s="117"/>
      <c r="K342" s="116"/>
      <c r="L342" s="116"/>
      <c r="M342" s="116"/>
      <c r="N342" s="117"/>
      <c r="O342" s="117"/>
    </row>
    <row r="343" spans="1:15">
      <c r="A343" s="116"/>
      <c r="B343" s="116"/>
      <c r="C343" s="116"/>
      <c r="D343" s="116"/>
      <c r="E343" s="116"/>
      <c r="F343" s="118"/>
      <c r="G343" s="118"/>
      <c r="H343" s="118"/>
      <c r="I343" s="117"/>
      <c r="J343" s="117"/>
      <c r="K343" s="116"/>
      <c r="L343" s="116"/>
      <c r="M343" s="116"/>
      <c r="N343" s="117"/>
      <c r="O343" s="117"/>
    </row>
    <row r="344" spans="1:15">
      <c r="A344" s="116"/>
      <c r="B344" s="116"/>
      <c r="C344" s="116"/>
      <c r="D344" s="116"/>
      <c r="E344" s="116"/>
      <c r="F344" s="118"/>
      <c r="G344" s="118"/>
      <c r="H344" s="118"/>
      <c r="I344" s="117"/>
      <c r="J344" s="117"/>
      <c r="K344" s="116"/>
      <c r="L344" s="116"/>
      <c r="M344" s="116"/>
      <c r="N344" s="117"/>
      <c r="O344" s="117"/>
    </row>
    <row r="345" spans="1:15">
      <c r="A345" s="116"/>
      <c r="B345" s="116"/>
      <c r="C345" s="116"/>
      <c r="D345" s="116"/>
      <c r="E345" s="116"/>
      <c r="F345" s="118"/>
      <c r="G345" s="118"/>
      <c r="H345" s="118"/>
      <c r="I345" s="117"/>
      <c r="J345" s="117"/>
      <c r="K345" s="116"/>
      <c r="L345" s="116"/>
      <c r="M345" s="116"/>
      <c r="N345" s="117"/>
      <c r="O345" s="117"/>
    </row>
    <row r="346" spans="1:15">
      <c r="A346" s="116"/>
      <c r="B346" s="116"/>
      <c r="C346" s="116"/>
      <c r="D346" s="116"/>
      <c r="E346" s="116"/>
      <c r="F346" s="118"/>
      <c r="G346" s="118"/>
      <c r="H346" s="118"/>
      <c r="I346" s="116"/>
      <c r="J346" s="116"/>
      <c r="K346" s="116"/>
      <c r="L346" s="116"/>
      <c r="M346" s="116"/>
      <c r="N346" s="117"/>
      <c r="O346" s="117"/>
    </row>
    <row r="347" spans="1:15">
      <c r="A347" s="116"/>
      <c r="B347" s="116"/>
      <c r="C347" s="116"/>
      <c r="D347" s="116"/>
      <c r="E347" s="116"/>
      <c r="F347" s="118"/>
      <c r="G347" s="118"/>
      <c r="H347" s="118"/>
      <c r="I347" s="117"/>
      <c r="J347" s="117"/>
      <c r="K347" s="116"/>
      <c r="L347" s="116"/>
      <c r="M347" s="116"/>
      <c r="N347" s="117"/>
      <c r="O347" s="117"/>
    </row>
    <row r="348" spans="1:15">
      <c r="A348" s="116"/>
      <c r="B348" s="116"/>
      <c r="C348" s="116"/>
      <c r="D348" s="116"/>
      <c r="E348" s="116"/>
      <c r="F348" s="118"/>
      <c r="G348" s="118"/>
      <c r="H348" s="118"/>
      <c r="I348" s="117"/>
      <c r="J348" s="117"/>
      <c r="K348" s="117"/>
      <c r="L348" s="117"/>
      <c r="M348" s="117"/>
      <c r="N348" s="117"/>
      <c r="O348" s="117"/>
    </row>
    <row r="349" spans="1:15">
      <c r="A349" s="116"/>
      <c r="B349" s="116"/>
      <c r="C349" s="116"/>
      <c r="D349" s="116"/>
      <c r="E349" s="116"/>
      <c r="F349" s="118"/>
      <c r="G349" s="118"/>
      <c r="H349" s="118"/>
      <c r="I349" s="117"/>
      <c r="J349" s="117"/>
      <c r="K349" s="117"/>
      <c r="L349" s="117"/>
      <c r="M349" s="117"/>
      <c r="N349" s="117"/>
      <c r="O349" s="117"/>
    </row>
    <row r="350" spans="1:15">
      <c r="A350" s="116"/>
      <c r="B350" s="116"/>
      <c r="C350" s="116"/>
      <c r="D350" s="116"/>
      <c r="E350" s="116"/>
      <c r="F350" s="118"/>
      <c r="G350" s="118"/>
      <c r="H350" s="118"/>
      <c r="I350" s="117"/>
      <c r="J350" s="117"/>
      <c r="K350" s="117"/>
      <c r="L350" s="116"/>
      <c r="M350" s="116"/>
      <c r="N350" s="117"/>
      <c r="O350" s="117"/>
    </row>
    <row r="351" spans="1:15">
      <c r="A351" s="116"/>
      <c r="B351" s="116"/>
      <c r="C351" s="116"/>
      <c r="D351" s="116"/>
      <c r="E351" s="116"/>
      <c r="F351" s="118"/>
      <c r="G351" s="118"/>
      <c r="H351" s="118"/>
      <c r="I351" s="117"/>
      <c r="J351" s="117"/>
      <c r="K351" s="117"/>
      <c r="L351" s="117"/>
      <c r="M351" s="116"/>
      <c r="N351" s="117"/>
      <c r="O351" s="117"/>
    </row>
    <row r="352" spans="1:15">
      <c r="A352" s="116"/>
      <c r="B352" s="116"/>
      <c r="C352" s="116"/>
      <c r="D352" s="116"/>
      <c r="E352" s="116"/>
      <c r="F352" s="118"/>
      <c r="G352" s="118"/>
      <c r="H352" s="118"/>
      <c r="I352" s="117"/>
      <c r="J352" s="117"/>
      <c r="K352" s="116"/>
      <c r="L352" s="116"/>
      <c r="M352" s="116"/>
      <c r="N352" s="117"/>
      <c r="O352" s="117"/>
    </row>
    <row r="353" spans="1:15">
      <c r="A353" s="116"/>
      <c r="B353" s="116"/>
      <c r="C353" s="116"/>
      <c r="D353" s="116"/>
      <c r="E353" s="116"/>
      <c r="F353" s="118"/>
      <c r="G353" s="118"/>
      <c r="H353" s="118"/>
      <c r="I353" s="117"/>
      <c r="J353" s="117"/>
      <c r="K353" s="116"/>
      <c r="L353" s="116"/>
      <c r="M353" s="116"/>
      <c r="N353" s="117"/>
      <c r="O353" s="117"/>
    </row>
    <row r="354" spans="1:15">
      <c r="A354" s="116"/>
      <c r="B354" s="116"/>
      <c r="C354" s="116"/>
      <c r="D354" s="116"/>
      <c r="E354" s="116"/>
      <c r="F354" s="118"/>
      <c r="G354" s="118"/>
      <c r="H354" s="118"/>
      <c r="I354" s="116"/>
      <c r="J354" s="116"/>
      <c r="K354" s="116"/>
      <c r="L354" s="116"/>
      <c r="M354" s="116"/>
      <c r="N354" s="117"/>
      <c r="O354" s="117"/>
    </row>
    <row r="355" spans="1:15">
      <c r="A355" s="116"/>
      <c r="B355" s="116"/>
      <c r="C355" s="116"/>
      <c r="D355" s="116"/>
      <c r="E355" s="116"/>
      <c r="F355" s="118"/>
      <c r="G355" s="118"/>
      <c r="H355" s="118"/>
      <c r="I355" s="116"/>
      <c r="J355" s="116"/>
      <c r="K355" s="116"/>
      <c r="L355" s="116"/>
      <c r="M355" s="116"/>
      <c r="N355" s="117"/>
      <c r="O355" s="117"/>
    </row>
    <row r="356" spans="1:15">
      <c r="A356" s="116"/>
      <c r="B356" s="116"/>
      <c r="C356" s="116"/>
      <c r="D356" s="116"/>
      <c r="E356" s="116"/>
      <c r="F356" s="118"/>
      <c r="G356" s="118"/>
      <c r="H356" s="118"/>
      <c r="I356" s="117"/>
      <c r="J356" s="117"/>
      <c r="K356" s="116"/>
      <c r="L356" s="116"/>
      <c r="M356" s="116"/>
      <c r="N356" s="117"/>
      <c r="O356" s="117"/>
    </row>
    <row r="357" spans="1:15">
      <c r="A357" s="116"/>
      <c r="B357" s="116"/>
      <c r="C357" s="116"/>
      <c r="D357" s="116"/>
      <c r="E357" s="116"/>
      <c r="F357" s="118"/>
      <c r="G357" s="118"/>
      <c r="H357" s="116"/>
      <c r="I357" s="117"/>
      <c r="J357" s="116"/>
      <c r="K357" s="116"/>
      <c r="L357" s="117"/>
      <c r="M357" s="117"/>
      <c r="N357" s="117"/>
      <c r="O357" s="117"/>
    </row>
    <row r="358" spans="1:15">
      <c r="A358" s="116"/>
      <c r="B358" s="116"/>
      <c r="C358" s="116"/>
      <c r="D358" s="116"/>
      <c r="E358" s="116"/>
      <c r="F358" s="118"/>
      <c r="G358" s="118"/>
      <c r="H358" s="118"/>
      <c r="I358" s="117"/>
      <c r="J358" s="117"/>
      <c r="K358" s="116"/>
      <c r="L358" s="116"/>
      <c r="M358" s="116"/>
      <c r="N358" s="117"/>
      <c r="O358" s="117"/>
    </row>
    <row r="359" spans="1:15">
      <c r="A359" s="116"/>
      <c r="B359" s="116"/>
      <c r="C359" s="116"/>
      <c r="D359" s="116"/>
      <c r="E359" s="116"/>
      <c r="F359" s="118"/>
      <c r="G359" s="118"/>
      <c r="H359" s="118"/>
      <c r="I359" s="117"/>
      <c r="J359" s="117"/>
      <c r="K359" s="116"/>
      <c r="L359" s="116"/>
      <c r="M359" s="116"/>
      <c r="N359" s="117"/>
      <c r="O359" s="117"/>
    </row>
    <row r="360" spans="1:15">
      <c r="A360" s="116"/>
      <c r="B360" s="116"/>
      <c r="C360" s="116"/>
      <c r="D360" s="116"/>
      <c r="E360" s="116"/>
      <c r="F360" s="118"/>
      <c r="G360" s="118"/>
      <c r="H360" s="118"/>
      <c r="I360" s="117"/>
      <c r="J360" s="116"/>
      <c r="K360" s="117"/>
      <c r="L360" s="117"/>
      <c r="M360" s="117"/>
      <c r="N360" s="117"/>
      <c r="O360" s="117"/>
    </row>
    <row r="361" spans="1:15">
      <c r="A361" s="116"/>
      <c r="B361" s="116"/>
      <c r="C361" s="116"/>
      <c r="D361" s="116"/>
      <c r="E361" s="116"/>
      <c r="F361" s="118"/>
      <c r="G361" s="118"/>
      <c r="H361" s="118"/>
      <c r="I361" s="116"/>
      <c r="J361" s="116"/>
      <c r="K361" s="116"/>
      <c r="L361" s="116"/>
      <c r="M361" s="116"/>
      <c r="N361" s="117"/>
      <c r="O361" s="117"/>
    </row>
    <row r="362" spans="1:15">
      <c r="A362" s="116"/>
      <c r="B362" s="116"/>
      <c r="C362" s="116"/>
      <c r="D362" s="116"/>
      <c r="E362" s="116"/>
      <c r="F362" s="118"/>
      <c r="G362" s="118"/>
      <c r="H362" s="116"/>
      <c r="I362" s="117"/>
      <c r="J362" s="117"/>
      <c r="K362" s="116"/>
      <c r="L362" s="116"/>
      <c r="M362" s="116"/>
      <c r="N362" s="117"/>
      <c r="O362" s="117"/>
    </row>
    <row r="363" spans="1:15">
      <c r="A363" s="116"/>
      <c r="B363" s="116"/>
      <c r="C363" s="116"/>
      <c r="D363" s="116"/>
      <c r="E363" s="116"/>
      <c r="F363" s="118"/>
      <c r="G363" s="118"/>
      <c r="H363" s="116"/>
      <c r="I363" s="116"/>
      <c r="J363" s="116"/>
      <c r="K363" s="116"/>
      <c r="L363" s="116"/>
      <c r="M363" s="116"/>
      <c r="N363" s="117"/>
      <c r="O363" s="117"/>
    </row>
    <row r="364" spans="1:15">
      <c r="A364" s="116"/>
      <c r="B364" s="116"/>
      <c r="C364" s="116"/>
      <c r="D364" s="116"/>
      <c r="E364" s="116"/>
      <c r="F364" s="118"/>
      <c r="G364" s="118"/>
      <c r="H364" s="118"/>
      <c r="I364" s="117"/>
      <c r="J364" s="117"/>
      <c r="K364" s="116"/>
      <c r="L364" s="116"/>
      <c r="M364" s="116"/>
      <c r="N364" s="116"/>
      <c r="O364" s="116"/>
    </row>
    <row r="365" spans="1:15">
      <c r="A365" s="116"/>
      <c r="B365" s="116"/>
      <c r="C365" s="116"/>
      <c r="D365" s="116"/>
      <c r="E365" s="116"/>
      <c r="F365" s="118"/>
      <c r="G365" s="118"/>
      <c r="H365" s="118"/>
      <c r="I365" s="116"/>
      <c r="J365" s="116"/>
      <c r="K365" s="116"/>
      <c r="L365" s="116"/>
      <c r="M365" s="116"/>
      <c r="N365" s="116"/>
      <c r="O365" s="116"/>
    </row>
    <row r="366" spans="1:15">
      <c r="A366" s="116"/>
      <c r="B366" s="116"/>
      <c r="C366" s="116"/>
      <c r="D366" s="116"/>
      <c r="E366" s="116"/>
      <c r="F366" s="118"/>
      <c r="G366" s="118"/>
      <c r="H366" s="118"/>
      <c r="I366" s="116"/>
      <c r="J366" s="116"/>
      <c r="K366" s="116"/>
      <c r="L366" s="116"/>
      <c r="M366" s="116"/>
      <c r="N366" s="116"/>
      <c r="O366" s="116"/>
    </row>
    <row r="367" spans="1:15">
      <c r="A367" s="116"/>
      <c r="B367" s="116"/>
      <c r="C367" s="116"/>
      <c r="D367" s="116"/>
      <c r="E367" s="116"/>
      <c r="F367" s="118"/>
      <c r="G367" s="118"/>
      <c r="H367" s="118"/>
      <c r="I367" s="117"/>
      <c r="J367" s="117"/>
      <c r="K367" s="116"/>
      <c r="L367" s="116"/>
      <c r="M367" s="116"/>
      <c r="N367" s="116"/>
      <c r="O367" s="116"/>
    </row>
    <row r="368" spans="1:15">
      <c r="A368" s="116"/>
      <c r="B368" s="116"/>
      <c r="C368" s="116"/>
      <c r="D368" s="116"/>
      <c r="E368" s="116"/>
      <c r="F368" s="118"/>
      <c r="G368" s="118"/>
      <c r="H368" s="118"/>
      <c r="I368" s="116"/>
      <c r="J368" s="116"/>
      <c r="K368" s="116"/>
      <c r="L368" s="116"/>
      <c r="M368" s="116"/>
      <c r="N368" s="116"/>
      <c r="O368" s="116"/>
    </row>
    <row r="369" spans="1:15">
      <c r="A369" s="116"/>
      <c r="B369" s="116"/>
      <c r="C369" s="116"/>
      <c r="D369" s="116"/>
      <c r="E369" s="116"/>
      <c r="F369" s="118"/>
      <c r="G369" s="118"/>
      <c r="H369" s="118"/>
      <c r="I369" s="117"/>
      <c r="J369" s="117"/>
      <c r="K369" s="116"/>
      <c r="L369" s="116"/>
      <c r="M369" s="116"/>
      <c r="N369" s="116"/>
      <c r="O369" s="116"/>
    </row>
    <row r="370" spans="1:15">
      <c r="A370" s="116"/>
      <c r="B370" s="116"/>
      <c r="C370" s="116"/>
      <c r="D370" s="116"/>
      <c r="E370" s="116"/>
      <c r="F370" s="118"/>
      <c r="G370" s="118"/>
      <c r="H370" s="118"/>
      <c r="I370" s="117"/>
      <c r="J370" s="117"/>
      <c r="K370" s="116"/>
      <c r="L370" s="116"/>
      <c r="M370" s="116"/>
      <c r="N370" s="116"/>
      <c r="O370" s="116"/>
    </row>
    <row r="371" spans="1:15">
      <c r="A371" s="116"/>
      <c r="B371" s="116"/>
      <c r="C371" s="116"/>
      <c r="D371" s="116"/>
      <c r="E371" s="116"/>
      <c r="F371" s="118"/>
      <c r="G371" s="118"/>
      <c r="H371" s="118"/>
      <c r="I371" s="117"/>
      <c r="J371" s="117"/>
      <c r="K371" s="116"/>
      <c r="L371" s="116"/>
      <c r="M371" s="116"/>
      <c r="N371" s="116"/>
      <c r="O371" s="116"/>
    </row>
    <row r="372" spans="1:15">
      <c r="A372" s="116"/>
      <c r="B372" s="116"/>
      <c r="C372" s="116"/>
      <c r="D372" s="116"/>
      <c r="E372" s="116"/>
      <c r="F372" s="118"/>
      <c r="G372" s="118"/>
      <c r="H372" s="118"/>
      <c r="I372" s="117"/>
      <c r="J372" s="117"/>
      <c r="K372" s="116"/>
      <c r="L372" s="116"/>
      <c r="M372" s="116"/>
      <c r="N372" s="116"/>
      <c r="O372" s="116"/>
    </row>
    <row r="373" spans="1:15">
      <c r="A373" s="116"/>
      <c r="B373" s="116"/>
      <c r="C373" s="116"/>
      <c r="D373" s="116"/>
      <c r="E373" s="116"/>
      <c r="F373" s="118"/>
      <c r="G373" s="118"/>
      <c r="H373" s="116"/>
      <c r="I373" s="117"/>
      <c r="J373" s="116"/>
      <c r="K373" s="117"/>
      <c r="L373" s="116"/>
      <c r="M373" s="116"/>
      <c r="N373" s="116"/>
      <c r="O373" s="116"/>
    </row>
    <row r="374" spans="1:15">
      <c r="A374" s="116"/>
      <c r="B374" s="116"/>
      <c r="C374" s="116"/>
      <c r="D374" s="116"/>
      <c r="E374" s="116"/>
      <c r="F374" s="118"/>
      <c r="G374" s="118"/>
      <c r="H374" s="118"/>
      <c r="I374" s="116"/>
      <c r="J374" s="116"/>
      <c r="K374" s="116"/>
      <c r="L374" s="116"/>
      <c r="M374" s="116"/>
      <c r="N374" s="116"/>
      <c r="O374" s="116"/>
    </row>
    <row r="375" spans="1:15">
      <c r="A375" s="116"/>
      <c r="B375" s="116"/>
      <c r="C375" s="116"/>
      <c r="D375" s="116"/>
      <c r="E375" s="116"/>
      <c r="F375" s="118"/>
      <c r="G375" s="118"/>
      <c r="H375" s="118"/>
      <c r="I375" s="117"/>
      <c r="J375" s="117"/>
      <c r="K375" s="116"/>
      <c r="L375" s="116"/>
      <c r="M375" s="116"/>
      <c r="N375" s="116"/>
      <c r="O375" s="116"/>
    </row>
    <row r="376" spans="1:15">
      <c r="A376" s="116"/>
      <c r="B376" s="116"/>
      <c r="C376" s="116"/>
      <c r="D376" s="116"/>
      <c r="E376" s="116"/>
      <c r="F376" s="118"/>
      <c r="G376" s="118"/>
      <c r="H376" s="118"/>
      <c r="I376" s="117"/>
      <c r="J376" s="117"/>
      <c r="K376" s="116"/>
      <c r="L376" s="116"/>
      <c r="M376" s="116"/>
      <c r="N376" s="116"/>
      <c r="O376" s="116"/>
    </row>
    <row r="377" spans="1:15">
      <c r="A377" s="116"/>
      <c r="B377" s="116"/>
      <c r="C377" s="116"/>
      <c r="D377" s="116"/>
      <c r="E377" s="116"/>
      <c r="F377" s="118"/>
      <c r="G377" s="118"/>
      <c r="H377" s="118"/>
      <c r="I377" s="117"/>
      <c r="J377" s="117"/>
      <c r="K377" s="116"/>
      <c r="L377" s="116"/>
      <c r="M377" s="116"/>
      <c r="N377" s="116"/>
      <c r="O377" s="116"/>
    </row>
    <row r="378" spans="1:15">
      <c r="A378" s="116"/>
      <c r="B378" s="116"/>
      <c r="C378" s="116"/>
      <c r="D378" s="116"/>
      <c r="E378" s="116"/>
      <c r="F378" s="118"/>
      <c r="G378" s="118"/>
      <c r="H378" s="118"/>
      <c r="I378" s="116"/>
      <c r="J378" s="116"/>
      <c r="K378" s="116"/>
      <c r="L378" s="116"/>
      <c r="M378" s="116"/>
      <c r="N378" s="116"/>
      <c r="O378" s="116"/>
    </row>
    <row r="379" spans="1:15">
      <c r="A379" s="116"/>
      <c r="B379" s="116"/>
      <c r="C379" s="116"/>
      <c r="D379" s="116"/>
      <c r="E379" s="116"/>
      <c r="F379" s="118"/>
      <c r="G379" s="118"/>
      <c r="H379" s="118"/>
      <c r="I379" s="117"/>
      <c r="J379" s="117"/>
      <c r="K379" s="116"/>
      <c r="L379" s="116"/>
      <c r="M379" s="116"/>
      <c r="N379" s="116"/>
      <c r="O379" s="116"/>
    </row>
    <row r="380" spans="1:15">
      <c r="A380" s="116"/>
      <c r="B380" s="116"/>
      <c r="C380" s="116"/>
      <c r="D380" s="116"/>
      <c r="E380" s="116"/>
      <c r="F380" s="118"/>
      <c r="G380" s="118"/>
      <c r="H380" s="118"/>
      <c r="I380" s="116"/>
      <c r="J380" s="116"/>
      <c r="K380" s="116"/>
      <c r="L380" s="116"/>
      <c r="M380" s="116"/>
    </row>
    <row r="381" spans="1:15">
      <c r="A381" s="116"/>
      <c r="B381" s="116"/>
      <c r="C381" s="116"/>
      <c r="D381" s="116"/>
      <c r="E381" s="116"/>
      <c r="F381" s="118"/>
      <c r="G381" s="118"/>
      <c r="H381" s="118"/>
      <c r="I381" s="116"/>
      <c r="J381" s="116"/>
      <c r="K381" s="116"/>
      <c r="L381" s="116"/>
      <c r="M381" s="116"/>
    </row>
    <row r="382" spans="1:15">
      <c r="A382" s="116"/>
      <c r="B382" s="116"/>
      <c r="C382" s="116"/>
      <c r="D382" s="116"/>
      <c r="E382" s="116"/>
      <c r="F382" s="118"/>
      <c r="G382" s="118"/>
      <c r="H382" s="116"/>
      <c r="I382" s="117"/>
      <c r="J382" s="117"/>
      <c r="K382" s="116"/>
      <c r="L382" s="116"/>
      <c r="M382" s="116"/>
    </row>
    <row r="383" spans="1:15">
      <c r="A383" s="116"/>
      <c r="B383" s="116"/>
      <c r="C383" s="116"/>
      <c r="D383" s="116"/>
      <c r="E383" s="116"/>
      <c r="F383" s="118"/>
      <c r="G383" s="118"/>
      <c r="H383" s="118"/>
      <c r="I383" s="116"/>
      <c r="J383" s="116"/>
      <c r="K383" s="116"/>
      <c r="L383" s="116"/>
      <c r="M383" s="116"/>
    </row>
    <row r="384" spans="1:15">
      <c r="A384" s="116"/>
      <c r="B384" s="116"/>
      <c r="C384" s="116"/>
      <c r="D384" s="116"/>
      <c r="E384" s="116"/>
      <c r="F384" s="118"/>
      <c r="G384" s="118"/>
      <c r="H384" s="118"/>
      <c r="I384" s="116"/>
      <c r="J384" s="116"/>
      <c r="K384" s="116"/>
      <c r="L384" s="116"/>
      <c r="M384" s="116"/>
    </row>
    <row r="385" spans="1:13">
      <c r="A385" s="116"/>
      <c r="B385" s="116"/>
      <c r="C385" s="116"/>
      <c r="D385" s="116"/>
      <c r="E385" s="116"/>
      <c r="F385" s="118"/>
      <c r="G385" s="118"/>
      <c r="H385" s="118"/>
      <c r="I385" s="116"/>
      <c r="J385" s="116"/>
      <c r="K385" s="116"/>
      <c r="L385" s="116"/>
      <c r="M385" s="116"/>
    </row>
    <row r="386" spans="1:13">
      <c r="A386" s="116"/>
      <c r="B386" s="116"/>
      <c r="C386" s="116"/>
      <c r="D386" s="116"/>
      <c r="E386" s="116"/>
      <c r="F386" s="118"/>
      <c r="G386" s="118"/>
      <c r="H386" s="118"/>
      <c r="I386" s="116"/>
      <c r="J386" s="116"/>
      <c r="K386" s="116"/>
      <c r="L386" s="116"/>
      <c r="M386" s="116"/>
    </row>
    <row r="387" spans="1:13">
      <c r="A387" s="116"/>
      <c r="B387" s="116"/>
      <c r="C387" s="116"/>
      <c r="D387" s="116"/>
      <c r="E387" s="116"/>
      <c r="F387" s="118"/>
      <c r="G387" s="118"/>
      <c r="H387" s="118"/>
      <c r="I387" s="117"/>
      <c r="J387" s="117"/>
      <c r="K387" s="117"/>
      <c r="L387" s="116"/>
      <c r="M387" s="116"/>
    </row>
    <row r="388" spans="1:13">
      <c r="A388" s="116"/>
      <c r="B388" s="116"/>
      <c r="C388" s="116"/>
      <c r="D388" s="116"/>
      <c r="E388" s="116"/>
      <c r="F388" s="118"/>
      <c r="G388" s="118"/>
      <c r="H388" s="118"/>
      <c r="I388" s="117"/>
      <c r="J388" s="117"/>
      <c r="K388" s="116"/>
      <c r="L388" s="116"/>
      <c r="M388" s="116"/>
    </row>
    <row r="389" spans="1:13">
      <c r="A389" s="116"/>
      <c r="B389" s="116"/>
      <c r="C389" s="116"/>
      <c r="D389" s="116"/>
      <c r="E389" s="116"/>
      <c r="F389" s="118"/>
      <c r="G389" s="118"/>
      <c r="H389" s="118"/>
      <c r="I389" s="117"/>
      <c r="J389" s="117"/>
      <c r="K389" s="116"/>
      <c r="L389" s="116"/>
      <c r="M389" s="116"/>
    </row>
    <row r="390" spans="1:13">
      <c r="A390" s="116"/>
      <c r="B390" s="116"/>
      <c r="C390" s="116"/>
      <c r="D390" s="116"/>
      <c r="E390" s="116"/>
      <c r="F390" s="118"/>
      <c r="G390" s="118"/>
      <c r="H390" s="116"/>
      <c r="I390" s="117"/>
      <c r="J390" s="117"/>
      <c r="K390" s="116"/>
      <c r="L390" s="116"/>
      <c r="M390" s="116"/>
    </row>
    <row r="391" spans="1:13">
      <c r="A391" s="116"/>
      <c r="B391" s="116"/>
      <c r="C391" s="116"/>
      <c r="D391" s="116"/>
      <c r="E391" s="116"/>
      <c r="F391" s="118"/>
      <c r="G391" s="118"/>
      <c r="H391" s="118"/>
      <c r="I391" s="117"/>
      <c r="J391" s="117"/>
      <c r="K391" s="116"/>
      <c r="L391" s="116"/>
      <c r="M391" s="116"/>
    </row>
    <row r="392" spans="1:13">
      <c r="A392" s="116"/>
      <c r="B392" s="116"/>
      <c r="C392" s="116"/>
      <c r="D392" s="116"/>
      <c r="E392" s="116"/>
      <c r="F392" s="118"/>
      <c r="G392" s="118"/>
      <c r="H392" s="118"/>
      <c r="I392" s="117"/>
      <c r="J392" s="117"/>
      <c r="K392" s="116"/>
      <c r="L392" s="116"/>
      <c r="M392" s="116"/>
    </row>
    <row r="393" spans="1:13">
      <c r="A393" s="116"/>
      <c r="B393" s="116"/>
      <c r="C393" s="116"/>
      <c r="D393" s="116"/>
      <c r="E393" s="116"/>
      <c r="F393" s="118"/>
      <c r="G393" s="118"/>
      <c r="H393" s="118"/>
      <c r="I393" s="116"/>
      <c r="J393" s="116"/>
      <c r="K393" s="116"/>
      <c r="L393" s="116"/>
      <c r="M393" s="116"/>
    </row>
    <row r="394" spans="1:13">
      <c r="A394" s="116"/>
      <c r="B394" s="116"/>
      <c r="C394" s="116"/>
      <c r="D394" s="116"/>
      <c r="E394" s="116"/>
      <c r="F394" s="118"/>
      <c r="G394" s="118"/>
      <c r="H394" s="116"/>
      <c r="I394" s="117"/>
      <c r="J394" s="117"/>
      <c r="K394" s="117"/>
      <c r="L394" s="117"/>
      <c r="M394" s="116"/>
    </row>
    <row r="395" spans="1:13">
      <c r="A395" s="116"/>
      <c r="B395" s="116"/>
      <c r="C395" s="116"/>
      <c r="D395" s="116"/>
      <c r="E395" s="116"/>
      <c r="F395" s="118"/>
      <c r="G395" s="118"/>
      <c r="H395" s="118"/>
      <c r="I395" s="116"/>
      <c r="J395" s="116"/>
      <c r="K395" s="116"/>
      <c r="L395" s="116"/>
      <c r="M395" s="116"/>
    </row>
    <row r="396" spans="1:13">
      <c r="A396" s="116"/>
      <c r="B396" s="116"/>
      <c r="C396" s="116"/>
      <c r="D396" s="116"/>
      <c r="E396" s="116"/>
      <c r="F396" s="118"/>
      <c r="G396" s="118"/>
      <c r="H396" s="118"/>
      <c r="I396" s="116"/>
      <c r="J396" s="116"/>
      <c r="K396" s="116"/>
      <c r="L396" s="116"/>
      <c r="M396" s="116"/>
    </row>
    <row r="397" spans="1:13">
      <c r="A397" s="116"/>
      <c r="B397" s="116"/>
      <c r="C397" s="116"/>
      <c r="D397" s="116"/>
      <c r="E397" s="116"/>
      <c r="F397" s="118"/>
      <c r="G397" s="118"/>
      <c r="H397" s="118"/>
      <c r="I397" s="117"/>
      <c r="J397" s="117"/>
      <c r="K397" s="116"/>
      <c r="L397" s="116"/>
      <c r="M397" s="116"/>
    </row>
    <row r="398" spans="1:13">
      <c r="A398" s="116"/>
      <c r="B398" s="116"/>
      <c r="C398" s="116"/>
      <c r="D398" s="116"/>
      <c r="E398" s="116"/>
      <c r="F398" s="118"/>
      <c r="G398" s="118"/>
      <c r="H398" s="118"/>
      <c r="I398" s="117"/>
      <c r="J398" s="117"/>
      <c r="K398" s="117"/>
      <c r="L398" s="116"/>
      <c r="M398" s="117"/>
    </row>
    <row r="399" spans="1:13">
      <c r="A399" s="116"/>
      <c r="B399" s="116"/>
      <c r="C399" s="116"/>
      <c r="D399" s="116"/>
      <c r="E399" s="116"/>
      <c r="F399" s="118"/>
      <c r="G399" s="118"/>
      <c r="H399" s="118"/>
      <c r="I399" s="117"/>
      <c r="J399" s="116"/>
      <c r="K399" s="117"/>
      <c r="L399" s="117"/>
      <c r="M399" s="117"/>
    </row>
    <row r="400" spans="1:13">
      <c r="A400" s="116"/>
      <c r="B400" s="116"/>
      <c r="C400" s="116"/>
      <c r="D400" s="116"/>
      <c r="E400" s="116"/>
      <c r="F400" s="118"/>
      <c r="G400" s="118"/>
      <c r="H400" s="118"/>
      <c r="I400" s="117"/>
      <c r="J400" s="117"/>
      <c r="K400" s="116"/>
      <c r="L400" s="116"/>
      <c r="M400" s="116"/>
    </row>
    <row r="401" spans="1:13">
      <c r="A401" s="116"/>
      <c r="B401" s="116"/>
      <c r="C401" s="116"/>
      <c r="D401" s="116"/>
      <c r="E401" s="116"/>
      <c r="F401" s="118"/>
      <c r="G401" s="118"/>
      <c r="H401" s="118"/>
      <c r="I401" s="117"/>
      <c r="J401" s="117"/>
      <c r="K401" s="116"/>
      <c r="L401" s="116"/>
      <c r="M401" s="116"/>
    </row>
    <row r="402" spans="1:13">
      <c r="A402" s="116"/>
      <c r="B402" s="116"/>
      <c r="C402" s="116"/>
      <c r="D402" s="116"/>
      <c r="E402" s="116"/>
      <c r="F402" s="118"/>
      <c r="G402" s="118"/>
      <c r="H402" s="118"/>
      <c r="I402" s="117"/>
      <c r="J402" s="117"/>
      <c r="K402" s="116"/>
      <c r="L402" s="116"/>
      <c r="M402" s="116"/>
    </row>
    <row r="403" spans="1:13">
      <c r="A403" s="116"/>
      <c r="B403" s="116"/>
      <c r="C403" s="116"/>
      <c r="D403" s="116"/>
      <c r="E403" s="116"/>
      <c r="F403" s="118"/>
      <c r="G403" s="118"/>
      <c r="H403" s="118"/>
      <c r="I403" s="117"/>
      <c r="J403" s="116"/>
      <c r="K403" s="116"/>
      <c r="L403" s="117"/>
      <c r="M403" s="117"/>
    </row>
    <row r="404" spans="1:13">
      <c r="A404" s="116"/>
      <c r="B404" s="116"/>
      <c r="C404" s="116"/>
      <c r="D404" s="116"/>
      <c r="E404" s="116"/>
      <c r="F404" s="118"/>
      <c r="G404" s="118"/>
      <c r="H404" s="118"/>
      <c r="I404" s="117"/>
      <c r="J404" s="116"/>
      <c r="K404" s="116"/>
      <c r="L404" s="116"/>
      <c r="M404" s="117"/>
    </row>
    <row r="405" spans="1:13">
      <c r="A405" s="116"/>
      <c r="B405" s="116"/>
      <c r="C405" s="116"/>
      <c r="D405" s="116"/>
      <c r="E405" s="116"/>
      <c r="F405" s="118"/>
      <c r="G405" s="118"/>
      <c r="H405" s="118"/>
      <c r="I405" s="117"/>
      <c r="J405" s="117"/>
      <c r="K405" s="116"/>
      <c r="L405" s="116"/>
      <c r="M405" s="116"/>
    </row>
    <row r="406" spans="1:13">
      <c r="A406" s="116"/>
      <c r="B406" s="116"/>
      <c r="C406" s="116"/>
      <c r="D406" s="116"/>
      <c r="E406" s="116"/>
      <c r="F406" s="118"/>
      <c r="G406" s="118"/>
      <c r="H406" s="118"/>
      <c r="I406" s="117"/>
      <c r="J406" s="117"/>
      <c r="K406" s="116"/>
      <c r="L406" s="116"/>
      <c r="M406" s="116"/>
    </row>
    <row r="407" spans="1:13">
      <c r="A407" s="116"/>
      <c r="B407" s="116"/>
      <c r="C407" s="116"/>
      <c r="D407" s="116"/>
      <c r="E407" s="116"/>
      <c r="F407" s="118"/>
      <c r="G407" s="118"/>
      <c r="H407" s="116"/>
      <c r="I407" s="117"/>
      <c r="J407" s="117"/>
      <c r="K407" s="116"/>
      <c r="L407" s="116"/>
      <c r="M407" s="116"/>
    </row>
    <row r="408" spans="1:13">
      <c r="A408" s="116"/>
      <c r="B408" s="116"/>
      <c r="C408" s="116"/>
      <c r="D408" s="116"/>
      <c r="E408" s="116"/>
      <c r="F408" s="118"/>
      <c r="G408" s="118"/>
      <c r="H408" s="118"/>
      <c r="I408" s="117"/>
      <c r="J408" s="117"/>
      <c r="K408" s="116"/>
      <c r="L408" s="116"/>
      <c r="M408" s="116"/>
    </row>
    <row r="409" spans="1:13">
      <c r="A409" s="116"/>
      <c r="B409" s="116"/>
      <c r="C409" s="116"/>
      <c r="D409" s="116"/>
      <c r="E409" s="116"/>
      <c r="F409" s="118"/>
      <c r="G409" s="118"/>
      <c r="H409" s="118"/>
      <c r="I409" s="117"/>
      <c r="J409" s="117"/>
      <c r="K409" s="116"/>
      <c r="L409" s="116"/>
      <c r="M409" s="116"/>
    </row>
    <row r="410" spans="1:13">
      <c r="A410" s="116"/>
      <c r="B410" s="116"/>
      <c r="C410" s="116"/>
      <c r="D410" s="116"/>
      <c r="E410" s="116"/>
      <c r="F410" s="118"/>
      <c r="G410" s="118"/>
      <c r="H410" s="118"/>
      <c r="I410" s="117"/>
      <c r="J410" s="117"/>
      <c r="K410" s="116"/>
      <c r="L410" s="116"/>
      <c r="M410" s="116"/>
    </row>
    <row r="411" spans="1:13">
      <c r="A411" s="116"/>
      <c r="B411" s="116"/>
      <c r="C411" s="116"/>
      <c r="D411" s="116"/>
      <c r="E411" s="116"/>
      <c r="F411" s="118"/>
      <c r="G411" s="118"/>
      <c r="H411" s="118"/>
      <c r="I411" s="117"/>
      <c r="J411" s="116"/>
      <c r="K411" s="117"/>
      <c r="L411" s="116"/>
      <c r="M411" s="116"/>
    </row>
    <row r="412" spans="1:13">
      <c r="A412" s="116"/>
      <c r="B412" s="116"/>
      <c r="C412" s="116"/>
      <c r="D412" s="116"/>
      <c r="E412" s="116"/>
      <c r="F412" s="118"/>
      <c r="G412" s="118"/>
      <c r="H412" s="118"/>
      <c r="I412" s="117"/>
      <c r="J412" s="117"/>
      <c r="K412" s="116"/>
      <c r="L412" s="116"/>
      <c r="M412" s="116"/>
    </row>
    <row r="413" spans="1:13">
      <c r="A413" s="116"/>
      <c r="B413" s="116"/>
      <c r="C413" s="116"/>
      <c r="D413" s="116"/>
      <c r="E413" s="116"/>
      <c r="F413" s="118"/>
      <c r="G413" s="118"/>
      <c r="H413" s="118"/>
      <c r="I413" s="116"/>
      <c r="J413" s="116"/>
      <c r="K413" s="116"/>
      <c r="L413" s="116"/>
      <c r="M413" s="116"/>
    </row>
    <row r="414" spans="1:13">
      <c r="A414" s="116"/>
      <c r="B414" s="116"/>
      <c r="C414" s="116"/>
      <c r="D414" s="116"/>
      <c r="E414" s="116"/>
      <c r="F414" s="118"/>
      <c r="G414" s="118"/>
      <c r="H414" s="118"/>
      <c r="I414" s="117"/>
      <c r="J414" s="117"/>
      <c r="K414" s="116"/>
      <c r="L414" s="116"/>
      <c r="M414" s="116"/>
    </row>
    <row r="415" spans="1:13">
      <c r="A415" s="116"/>
      <c r="B415" s="116"/>
      <c r="C415" s="116"/>
      <c r="D415" s="116"/>
      <c r="E415" s="116"/>
      <c r="F415" s="118"/>
      <c r="G415" s="118"/>
      <c r="H415" s="116"/>
      <c r="I415" s="117"/>
      <c r="J415" s="117"/>
      <c r="K415" s="117"/>
      <c r="L415" s="117"/>
      <c r="M415" s="116"/>
    </row>
    <row r="416" spans="1:13">
      <c r="A416" s="116"/>
      <c r="B416" s="116"/>
      <c r="C416" s="116"/>
      <c r="D416" s="116"/>
      <c r="E416" s="116"/>
      <c r="F416" s="118"/>
      <c r="G416" s="118"/>
      <c r="H416" s="118"/>
      <c r="I416" s="117"/>
      <c r="J416" s="116"/>
      <c r="K416" s="117"/>
      <c r="L416" s="117"/>
      <c r="M416" s="117"/>
    </row>
    <row r="417" spans="1:13">
      <c r="A417" s="116"/>
      <c r="B417" s="116"/>
      <c r="C417" s="116"/>
      <c r="D417" s="116"/>
      <c r="E417" s="116"/>
      <c r="F417" s="118"/>
      <c r="G417" s="118"/>
      <c r="H417" s="118"/>
      <c r="I417" s="117"/>
      <c r="J417" s="117"/>
      <c r="K417" s="116"/>
      <c r="L417" s="116"/>
      <c r="M417" s="116"/>
    </row>
    <row r="418" spans="1:13">
      <c r="A418" s="116"/>
      <c r="B418" s="116"/>
      <c r="C418" s="116"/>
      <c r="D418" s="116"/>
      <c r="E418" s="116"/>
      <c r="F418" s="118"/>
      <c r="G418" s="118"/>
      <c r="H418" s="118"/>
      <c r="I418" s="117"/>
      <c r="J418" s="117"/>
      <c r="K418" s="117"/>
      <c r="L418" s="116"/>
      <c r="M418" s="116"/>
    </row>
    <row r="419" spans="1:13">
      <c r="A419" s="116"/>
      <c r="B419" s="116"/>
      <c r="C419" s="116"/>
      <c r="D419" s="116"/>
      <c r="E419" s="116"/>
      <c r="F419" s="118"/>
      <c r="G419" s="118"/>
      <c r="H419" s="118"/>
      <c r="I419" s="117"/>
      <c r="J419" s="117"/>
      <c r="K419" s="117"/>
      <c r="L419" s="117"/>
      <c r="M419" s="117"/>
    </row>
    <row r="420" spans="1:13">
      <c r="A420" s="116"/>
      <c r="B420" s="116"/>
      <c r="C420" s="116"/>
      <c r="D420" s="116"/>
      <c r="E420" s="116"/>
      <c r="F420" s="118"/>
      <c r="G420" s="118"/>
      <c r="H420" s="116"/>
      <c r="I420" s="117"/>
      <c r="J420" s="117"/>
      <c r="K420" s="116"/>
      <c r="L420" s="116"/>
      <c r="M420" s="116"/>
    </row>
    <row r="421" spans="1:13">
      <c r="A421" s="116"/>
      <c r="B421" s="116"/>
      <c r="C421" s="116"/>
      <c r="D421" s="116"/>
      <c r="E421" s="116"/>
      <c r="F421" s="118"/>
      <c r="G421" s="118"/>
      <c r="H421" s="118"/>
      <c r="I421" s="117"/>
      <c r="J421" s="117"/>
      <c r="K421" s="116"/>
      <c r="L421" s="116"/>
      <c r="M421" s="116"/>
    </row>
    <row r="422" spans="1:13">
      <c r="A422" s="116"/>
      <c r="B422" s="116"/>
      <c r="C422" s="116"/>
      <c r="D422" s="116"/>
      <c r="E422" s="116"/>
      <c r="F422" s="118"/>
      <c r="G422" s="118"/>
      <c r="H422" s="118"/>
      <c r="I422" s="116"/>
      <c r="J422" s="116"/>
      <c r="K422" s="116"/>
      <c r="L422" s="116"/>
      <c r="M422" s="116"/>
    </row>
    <row r="423" spans="1:13">
      <c r="A423" s="116"/>
      <c r="B423" s="116"/>
      <c r="C423" s="116"/>
      <c r="D423" s="116"/>
      <c r="E423" s="116"/>
      <c r="F423" s="118"/>
      <c r="G423" s="118"/>
      <c r="H423" s="118"/>
      <c r="I423" s="117"/>
      <c r="J423" s="117"/>
      <c r="K423" s="116"/>
      <c r="L423" s="116"/>
      <c r="M423" s="116"/>
    </row>
    <row r="424" spans="1:13">
      <c r="A424" s="116"/>
      <c r="B424" s="116"/>
      <c r="C424" s="116"/>
      <c r="D424" s="116"/>
      <c r="E424" s="116"/>
      <c r="F424" s="118"/>
      <c r="G424" s="118"/>
      <c r="H424" s="118"/>
      <c r="I424" s="117"/>
      <c r="J424" s="117"/>
      <c r="K424" s="116"/>
      <c r="L424" s="116"/>
      <c r="M424" s="116"/>
    </row>
    <row r="425" spans="1:13">
      <c r="A425" s="116"/>
      <c r="B425" s="116"/>
      <c r="C425" s="116"/>
      <c r="D425" s="116"/>
      <c r="E425" s="116"/>
      <c r="F425" s="118"/>
      <c r="G425" s="118"/>
      <c r="H425" s="118"/>
      <c r="I425" s="117"/>
      <c r="J425" s="116"/>
      <c r="K425" s="116"/>
      <c r="L425" s="117"/>
      <c r="M425" s="117"/>
    </row>
    <row r="426" spans="1:13">
      <c r="A426" s="116"/>
      <c r="B426" s="116"/>
      <c r="C426" s="116"/>
      <c r="D426" s="116"/>
      <c r="E426" s="116"/>
      <c r="F426" s="118"/>
      <c r="G426" s="118"/>
      <c r="H426" s="118"/>
      <c r="I426" s="117"/>
      <c r="J426" s="117"/>
      <c r="K426" s="116"/>
      <c r="L426" s="116"/>
      <c r="M426" s="116"/>
    </row>
    <row r="427" spans="1:13">
      <c r="A427" s="116"/>
      <c r="B427" s="116"/>
      <c r="C427" s="116"/>
      <c r="D427" s="116"/>
      <c r="E427" s="116"/>
      <c r="F427" s="118"/>
      <c r="G427" s="118"/>
      <c r="H427" s="118"/>
      <c r="I427" s="117"/>
      <c r="J427" s="117"/>
      <c r="K427" s="116"/>
      <c r="L427" s="116"/>
      <c r="M427" s="116"/>
    </row>
    <row r="428" spans="1:13">
      <c r="A428" s="116"/>
      <c r="B428" s="116"/>
      <c r="C428" s="116"/>
      <c r="D428" s="116"/>
      <c r="E428" s="116"/>
      <c r="F428" s="118"/>
      <c r="G428" s="118"/>
      <c r="H428" s="118"/>
      <c r="I428" s="117"/>
      <c r="J428" s="117"/>
      <c r="K428" s="116"/>
      <c r="L428" s="116"/>
      <c r="M428" s="116"/>
    </row>
    <row r="429" spans="1:13">
      <c r="A429" s="116"/>
      <c r="B429" s="116"/>
      <c r="C429" s="116"/>
      <c r="D429" s="116"/>
      <c r="E429" s="116"/>
      <c r="F429" s="118"/>
      <c r="G429" s="118"/>
      <c r="H429" s="118"/>
      <c r="I429" s="117"/>
      <c r="J429" s="117"/>
      <c r="K429" s="117"/>
      <c r="L429" s="117"/>
      <c r="M429" s="117"/>
    </row>
    <row r="430" spans="1:13">
      <c r="A430" s="116"/>
      <c r="B430" s="116"/>
      <c r="C430" s="116"/>
      <c r="D430" s="116"/>
      <c r="E430" s="116"/>
      <c r="F430" s="118"/>
      <c r="G430" s="118"/>
      <c r="H430" s="116"/>
      <c r="I430" s="117"/>
      <c r="J430" s="117"/>
      <c r="K430" s="116"/>
      <c r="L430" s="116"/>
      <c r="M430" s="116"/>
    </row>
    <row r="431" spans="1:13">
      <c r="A431" s="116"/>
      <c r="B431" s="116"/>
      <c r="C431" s="116"/>
      <c r="D431" s="116"/>
      <c r="E431" s="116"/>
      <c r="F431" s="118"/>
      <c r="G431" s="118"/>
      <c r="H431" s="118"/>
      <c r="I431" s="117"/>
      <c r="J431" s="116"/>
      <c r="K431" s="116"/>
      <c r="L431" s="117"/>
      <c r="M431" s="117"/>
    </row>
    <row r="432" spans="1:13">
      <c r="A432" s="116"/>
      <c r="B432" s="116"/>
      <c r="C432" s="116"/>
      <c r="D432" s="116"/>
      <c r="E432" s="116"/>
      <c r="F432" s="118"/>
      <c r="G432" s="118"/>
      <c r="H432" s="118"/>
      <c r="I432" s="117"/>
      <c r="J432" s="117"/>
      <c r="K432" s="116"/>
      <c r="L432" s="116"/>
      <c r="M432" s="116"/>
    </row>
    <row r="433" spans="1:13">
      <c r="A433" s="116"/>
      <c r="B433" s="116"/>
      <c r="C433" s="116"/>
      <c r="D433" s="116"/>
      <c r="E433" s="116"/>
      <c r="F433" s="118"/>
      <c r="G433" s="118"/>
      <c r="H433" s="118"/>
      <c r="I433" s="117"/>
      <c r="J433" s="117"/>
      <c r="K433" s="116"/>
      <c r="L433" s="116"/>
      <c r="M433" s="116"/>
    </row>
    <row r="434" spans="1:13">
      <c r="A434" s="116"/>
      <c r="B434" s="116"/>
      <c r="C434" s="116"/>
      <c r="D434" s="116"/>
      <c r="E434" s="116"/>
      <c r="F434" s="118"/>
      <c r="G434" s="118"/>
      <c r="H434" s="118"/>
      <c r="I434" s="116"/>
      <c r="J434" s="116"/>
      <c r="K434" s="116"/>
      <c r="L434" s="116"/>
      <c r="M434" s="116"/>
    </row>
    <row r="435" spans="1:13">
      <c r="A435" s="116"/>
      <c r="B435" s="116"/>
      <c r="C435" s="116"/>
      <c r="D435" s="116"/>
      <c r="E435" s="116"/>
      <c r="F435" s="118"/>
      <c r="G435" s="118"/>
      <c r="H435" s="118"/>
      <c r="I435" s="117"/>
      <c r="J435" s="117"/>
      <c r="K435" s="116"/>
      <c r="L435" s="116"/>
      <c r="M435" s="116"/>
    </row>
    <row r="436" spans="1:13">
      <c r="A436" s="116"/>
      <c r="B436" s="116"/>
      <c r="C436" s="116"/>
      <c r="D436" s="116"/>
      <c r="E436" s="116"/>
      <c r="F436" s="118"/>
      <c r="G436" s="118"/>
      <c r="H436" s="118"/>
      <c r="I436" s="117"/>
      <c r="J436" s="116"/>
      <c r="K436" s="116"/>
      <c r="L436" s="117"/>
      <c r="M436" s="116"/>
    </row>
    <row r="437" spans="1:13">
      <c r="A437" s="116"/>
      <c r="B437" s="116"/>
      <c r="C437" s="116"/>
      <c r="D437" s="116"/>
      <c r="E437" s="116"/>
      <c r="F437" s="118"/>
      <c r="G437" s="118"/>
      <c r="H437" s="116"/>
      <c r="I437" s="117"/>
      <c r="J437" s="117"/>
      <c r="K437" s="116"/>
      <c r="L437" s="116"/>
      <c r="M437" s="116"/>
    </row>
    <row r="438" spans="1:13">
      <c r="A438" s="116"/>
      <c r="B438" s="116"/>
      <c r="C438" s="116"/>
      <c r="D438" s="116"/>
      <c r="E438" s="116"/>
      <c r="F438" s="118"/>
      <c r="G438" s="118"/>
      <c r="H438" s="118"/>
      <c r="I438" s="117"/>
      <c r="J438" s="117"/>
      <c r="K438" s="116"/>
      <c r="L438" s="116"/>
      <c r="M438" s="116"/>
    </row>
    <row r="439" spans="1:13">
      <c r="A439" s="116"/>
      <c r="B439" s="116"/>
      <c r="C439" s="116"/>
      <c r="D439" s="116"/>
      <c r="E439" s="116"/>
      <c r="F439" s="118"/>
      <c r="G439" s="118"/>
      <c r="H439" s="118"/>
      <c r="I439" s="117"/>
      <c r="J439" s="116"/>
      <c r="K439" s="116"/>
      <c r="L439" s="117"/>
      <c r="M439" s="117"/>
    </row>
    <row r="440" spans="1:13">
      <c r="A440" s="116"/>
      <c r="B440" s="116"/>
      <c r="C440" s="116"/>
      <c r="D440" s="116"/>
      <c r="E440" s="116"/>
      <c r="F440" s="118"/>
      <c r="G440" s="118"/>
      <c r="H440" s="118"/>
      <c r="I440" s="117"/>
      <c r="J440" s="117"/>
      <c r="K440" s="116"/>
      <c r="L440" s="116"/>
      <c r="M440" s="116"/>
    </row>
    <row r="441" spans="1:13">
      <c r="A441" s="116"/>
      <c r="B441" s="116"/>
      <c r="C441" s="116"/>
      <c r="D441" s="116"/>
      <c r="E441" s="116"/>
      <c r="F441" s="118"/>
      <c r="G441" s="118"/>
      <c r="H441" s="116"/>
      <c r="I441" s="117"/>
      <c r="J441" s="117"/>
      <c r="K441" s="116"/>
      <c r="L441" s="116"/>
      <c r="M441" s="116"/>
    </row>
    <row r="442" spans="1:13">
      <c r="A442" s="116"/>
      <c r="B442" s="116"/>
      <c r="C442" s="116"/>
      <c r="D442" s="116"/>
      <c r="E442" s="116"/>
      <c r="F442" s="118"/>
      <c r="G442" s="118"/>
      <c r="H442" s="118"/>
      <c r="I442" s="117"/>
      <c r="J442" s="117"/>
      <c r="K442" s="116"/>
      <c r="L442" s="116"/>
      <c r="M442" s="116"/>
    </row>
    <row r="443" spans="1:13">
      <c r="A443" s="116"/>
      <c r="B443" s="116"/>
      <c r="C443" s="116"/>
      <c r="D443" s="116"/>
      <c r="E443" s="116"/>
      <c r="F443" s="118"/>
      <c r="G443" s="118"/>
      <c r="H443" s="118"/>
      <c r="I443" s="117"/>
      <c r="J443" s="117"/>
      <c r="K443" s="117"/>
      <c r="L443" s="117"/>
      <c r="M443" s="117"/>
    </row>
    <row r="444" spans="1:13">
      <c r="A444" s="116"/>
      <c r="B444" s="116"/>
      <c r="C444" s="116"/>
      <c r="D444" s="116"/>
      <c r="E444" s="116"/>
      <c r="F444" s="118"/>
      <c r="G444" s="118"/>
      <c r="H444" s="118"/>
      <c r="I444" s="116"/>
      <c r="J444" s="116"/>
      <c r="K444" s="116"/>
      <c r="L444" s="116"/>
      <c r="M444" s="116"/>
    </row>
    <row r="445" spans="1:13">
      <c r="A445" s="116"/>
      <c r="B445" s="116"/>
      <c r="C445" s="116"/>
      <c r="D445" s="116"/>
      <c r="E445" s="116"/>
      <c r="F445" s="118"/>
      <c r="G445" s="118"/>
      <c r="H445" s="118"/>
      <c r="I445" s="117"/>
      <c r="J445" s="117"/>
      <c r="K445" s="116"/>
      <c r="L445" s="116"/>
      <c r="M445" s="116"/>
    </row>
    <row r="446" spans="1:13">
      <c r="A446" s="116"/>
      <c r="B446" s="116"/>
      <c r="C446" s="116"/>
      <c r="D446" s="116"/>
      <c r="E446" s="116"/>
      <c r="F446" s="118"/>
      <c r="G446" s="118"/>
      <c r="H446" s="118"/>
      <c r="I446" s="117"/>
      <c r="J446" s="117"/>
      <c r="K446" s="116"/>
      <c r="L446" s="116"/>
      <c r="M446" s="116"/>
    </row>
    <row r="447" spans="1:13">
      <c r="A447" s="116"/>
      <c r="B447" s="116"/>
      <c r="C447" s="116"/>
      <c r="D447" s="116"/>
      <c r="E447" s="116"/>
      <c r="F447" s="118"/>
      <c r="G447" s="118"/>
      <c r="H447" s="118"/>
      <c r="I447" s="117"/>
      <c r="J447" s="116"/>
      <c r="K447" s="116"/>
      <c r="L447" s="117"/>
      <c r="M447" s="117"/>
    </row>
    <row r="448" spans="1:13">
      <c r="A448" s="116"/>
      <c r="B448" s="116"/>
      <c r="C448" s="116"/>
      <c r="D448" s="116"/>
      <c r="E448" s="116"/>
      <c r="F448" s="118"/>
      <c r="G448" s="118"/>
      <c r="H448" s="118"/>
      <c r="I448" s="117"/>
      <c r="J448" s="117"/>
      <c r="K448" s="117"/>
      <c r="L448" s="117"/>
      <c r="M448" s="117"/>
    </row>
    <row r="449" spans="1:13">
      <c r="A449" s="116"/>
      <c r="B449" s="116"/>
      <c r="C449" s="116"/>
      <c r="D449" s="116"/>
      <c r="E449" s="116"/>
      <c r="F449" s="118"/>
      <c r="G449" s="118"/>
      <c r="H449" s="118"/>
      <c r="I449" s="117"/>
      <c r="J449" s="117"/>
      <c r="K449" s="116"/>
      <c r="L449" s="116"/>
      <c r="M449" s="116"/>
    </row>
    <row r="450" spans="1:13">
      <c r="A450" s="116"/>
      <c r="B450" s="116"/>
      <c r="C450" s="116"/>
      <c r="D450" s="116"/>
      <c r="E450" s="116"/>
      <c r="F450" s="118"/>
      <c r="G450" s="118"/>
      <c r="H450" s="118"/>
      <c r="I450" s="116"/>
      <c r="J450" s="116"/>
      <c r="K450" s="116"/>
      <c r="L450" s="116"/>
      <c r="M450" s="116"/>
    </row>
    <row r="451" spans="1:13">
      <c r="A451" s="116"/>
      <c r="B451" s="116"/>
      <c r="C451" s="116"/>
      <c r="D451" s="116"/>
      <c r="E451" s="116"/>
      <c r="F451" s="118"/>
      <c r="G451" s="118"/>
      <c r="H451" s="118"/>
      <c r="I451" s="117"/>
      <c r="J451" s="117"/>
      <c r="K451" s="116"/>
      <c r="L451" s="116"/>
      <c r="M451" s="116"/>
    </row>
    <row r="452" spans="1:13">
      <c r="A452" s="116"/>
      <c r="B452" s="116"/>
      <c r="C452" s="116"/>
      <c r="D452" s="116"/>
      <c r="E452" s="116"/>
      <c r="F452" s="118"/>
      <c r="G452" s="118"/>
      <c r="H452" s="116"/>
      <c r="I452" s="116"/>
      <c r="J452" s="116"/>
      <c r="K452" s="116"/>
      <c r="L452" s="116"/>
      <c r="M452" s="116"/>
    </row>
    <row r="453" spans="1:13">
      <c r="A453" s="116"/>
      <c r="B453" s="116"/>
      <c r="C453" s="116"/>
      <c r="D453" s="116"/>
      <c r="E453" s="116"/>
      <c r="F453" s="118"/>
      <c r="G453" s="118"/>
      <c r="H453" s="118"/>
      <c r="I453" s="116"/>
      <c r="J453" s="116"/>
      <c r="K453" s="116"/>
      <c r="L453" s="116"/>
      <c r="M453" s="116"/>
    </row>
    <row r="454" spans="1:13">
      <c r="A454" s="116"/>
      <c r="B454" s="116"/>
      <c r="C454" s="116"/>
      <c r="D454" s="116"/>
      <c r="E454" s="116"/>
      <c r="F454" s="118"/>
      <c r="G454" s="118"/>
      <c r="H454" s="118"/>
      <c r="I454" s="116"/>
      <c r="J454" s="116"/>
      <c r="K454" s="116"/>
      <c r="L454" s="116"/>
      <c r="M454" s="116"/>
    </row>
    <row r="455" spans="1:13">
      <c r="A455" s="116"/>
      <c r="B455" s="116"/>
      <c r="C455" s="116"/>
      <c r="D455" s="116"/>
      <c r="E455" s="116"/>
      <c r="F455" s="118"/>
      <c r="G455" s="118"/>
      <c r="H455" s="118"/>
      <c r="I455" s="117"/>
      <c r="J455" s="116"/>
      <c r="K455" s="117"/>
      <c r="L455" s="116"/>
      <c r="M455" s="116"/>
    </row>
    <row r="456" spans="1:13">
      <c r="A456" s="116"/>
      <c r="B456" s="116"/>
      <c r="C456" s="116"/>
      <c r="D456" s="116"/>
      <c r="E456" s="116"/>
      <c r="F456" s="118"/>
      <c r="G456" s="118"/>
      <c r="H456" s="118"/>
      <c r="I456" s="116"/>
      <c r="J456" s="116"/>
      <c r="K456" s="116"/>
      <c r="L456" s="116"/>
      <c r="M456" s="116"/>
    </row>
    <row r="457" spans="1:13">
      <c r="A457" s="116"/>
      <c r="B457" s="116"/>
      <c r="C457" s="116"/>
      <c r="D457" s="116"/>
      <c r="E457" s="116"/>
      <c r="F457" s="118"/>
      <c r="G457" s="118"/>
      <c r="H457" s="118"/>
      <c r="I457" s="117"/>
      <c r="J457" s="117"/>
      <c r="K457" s="116"/>
      <c r="L457" s="116"/>
      <c r="M457" s="116"/>
    </row>
    <row r="458" spans="1:13">
      <c r="A458" s="116"/>
      <c r="B458" s="116"/>
      <c r="C458" s="116"/>
      <c r="D458" s="116"/>
      <c r="E458" s="116"/>
      <c r="F458" s="118"/>
      <c r="G458" s="118"/>
      <c r="H458" s="118"/>
      <c r="I458" s="117"/>
      <c r="J458" s="116"/>
      <c r="K458" s="117"/>
      <c r="L458" s="116"/>
      <c r="M458" s="116"/>
    </row>
    <row r="459" spans="1:13">
      <c r="A459" s="116"/>
      <c r="B459" s="116"/>
      <c r="C459" s="116"/>
      <c r="D459" s="116"/>
      <c r="E459" s="116"/>
      <c r="F459" s="118"/>
      <c r="G459" s="118"/>
      <c r="H459" s="116"/>
      <c r="I459" s="117"/>
      <c r="J459" s="117"/>
      <c r="K459" s="116"/>
      <c r="L459" s="116"/>
      <c r="M459" s="116"/>
    </row>
    <row r="460" spans="1:13">
      <c r="A460" s="116"/>
      <c r="B460" s="116"/>
      <c r="C460" s="116"/>
      <c r="D460" s="116"/>
      <c r="E460" s="116"/>
      <c r="F460" s="118"/>
      <c r="G460" s="118"/>
      <c r="H460" s="116"/>
      <c r="I460" s="117"/>
      <c r="J460" s="117"/>
      <c r="K460" s="116"/>
      <c r="L460" s="116"/>
      <c r="M460" s="116"/>
    </row>
    <row r="461" spans="1:13">
      <c r="A461" s="116"/>
      <c r="B461" s="116"/>
      <c r="C461" s="116"/>
      <c r="D461" s="116"/>
      <c r="E461" s="116"/>
      <c r="F461" s="118"/>
      <c r="G461" s="118"/>
      <c r="H461" s="118"/>
      <c r="I461" s="117"/>
      <c r="J461" s="117"/>
      <c r="K461" s="117"/>
      <c r="L461" s="116"/>
      <c r="M461" s="116"/>
    </row>
    <row r="462" spans="1:13">
      <c r="A462" s="116"/>
      <c r="B462" s="116"/>
      <c r="C462" s="116"/>
      <c r="D462" s="116"/>
      <c r="E462" s="116"/>
      <c r="F462" s="118"/>
      <c r="G462" s="118"/>
      <c r="H462" s="116"/>
      <c r="I462" s="117"/>
      <c r="J462" s="117"/>
      <c r="K462" s="116"/>
      <c r="L462" s="116"/>
      <c r="M462" s="116"/>
    </row>
    <row r="463" spans="1:13">
      <c r="A463" s="116"/>
      <c r="B463" s="116"/>
      <c r="C463" s="116"/>
      <c r="D463" s="116"/>
      <c r="E463" s="116"/>
      <c r="F463" s="118"/>
      <c r="G463" s="118"/>
      <c r="H463" s="118"/>
      <c r="I463" s="117"/>
      <c r="J463" s="117"/>
      <c r="K463" s="116"/>
      <c r="L463" s="116"/>
      <c r="M463" s="116"/>
    </row>
    <row r="464" spans="1:13">
      <c r="A464" s="116"/>
      <c r="B464" s="116"/>
      <c r="C464" s="116"/>
      <c r="D464" s="116"/>
      <c r="E464" s="116"/>
      <c r="F464" s="118"/>
      <c r="G464" s="118"/>
      <c r="H464" s="118"/>
      <c r="I464" s="117"/>
      <c r="J464" s="117"/>
      <c r="K464" s="117"/>
      <c r="L464" s="117"/>
      <c r="M464" s="116"/>
    </row>
    <row r="465" spans="1:13">
      <c r="A465" s="116"/>
      <c r="B465" s="116"/>
      <c r="C465" s="116"/>
      <c r="D465" s="116"/>
      <c r="E465" s="116"/>
      <c r="F465" s="118"/>
      <c r="G465" s="118"/>
      <c r="H465" s="118"/>
      <c r="I465" s="116"/>
      <c r="J465" s="116"/>
      <c r="K465" s="116"/>
      <c r="L465" s="116"/>
      <c r="M465" s="116"/>
    </row>
    <row r="466" spans="1:13">
      <c r="A466" s="116"/>
      <c r="B466" s="116"/>
      <c r="C466" s="116"/>
      <c r="D466" s="116"/>
      <c r="E466" s="116"/>
      <c r="F466" s="118"/>
      <c r="G466" s="118"/>
      <c r="H466" s="118"/>
      <c r="I466" s="117"/>
      <c r="J466" s="116"/>
      <c r="K466" s="116"/>
      <c r="L466" s="116"/>
      <c r="M466" s="117"/>
    </row>
    <row r="467" spans="1:13">
      <c r="A467" s="116"/>
      <c r="B467" s="116"/>
      <c r="C467" s="116"/>
      <c r="D467" s="116"/>
      <c r="E467" s="116"/>
      <c r="F467" s="118"/>
      <c r="G467" s="118"/>
      <c r="H467" s="118"/>
      <c r="I467" s="116"/>
      <c r="J467" s="116"/>
      <c r="K467" s="116"/>
      <c r="L467" s="116"/>
      <c r="M467" s="116"/>
    </row>
    <row r="468" spans="1:13">
      <c r="A468" s="116"/>
      <c r="B468" s="116"/>
      <c r="C468" s="116"/>
      <c r="D468" s="116"/>
      <c r="E468" s="116"/>
      <c r="F468" s="118"/>
      <c r="G468" s="118"/>
      <c r="H468" s="116"/>
      <c r="I468" s="117"/>
      <c r="J468" s="117"/>
      <c r="K468" s="117"/>
      <c r="L468" s="117"/>
      <c r="M468" s="117"/>
    </row>
    <row r="469" spans="1:13">
      <c r="A469" s="116"/>
      <c r="B469" s="116"/>
      <c r="C469" s="116"/>
      <c r="D469" s="116"/>
      <c r="E469" s="116"/>
      <c r="F469" s="118"/>
      <c r="G469" s="118"/>
      <c r="H469" s="118"/>
      <c r="I469" s="117"/>
      <c r="J469" s="117"/>
      <c r="K469" s="116"/>
      <c r="L469" s="116"/>
      <c r="M469" s="116"/>
    </row>
    <row r="470" spans="1:13">
      <c r="A470" s="116"/>
      <c r="B470" s="116"/>
      <c r="C470" s="116"/>
      <c r="D470" s="116"/>
      <c r="E470" s="116"/>
      <c r="F470" s="118"/>
      <c r="G470" s="118"/>
      <c r="H470" s="118"/>
      <c r="I470" s="117"/>
      <c r="J470" s="116"/>
      <c r="K470" s="117"/>
      <c r="L470" s="117"/>
      <c r="M470" s="116"/>
    </row>
    <row r="471" spans="1:13">
      <c r="A471" s="116"/>
      <c r="B471" s="116"/>
      <c r="C471" s="116"/>
      <c r="D471" s="116"/>
      <c r="E471" s="116"/>
      <c r="F471" s="118"/>
      <c r="G471" s="118"/>
      <c r="H471" s="116"/>
      <c r="I471" s="117"/>
      <c r="J471" s="117"/>
      <c r="K471" s="116"/>
      <c r="L471" s="116"/>
      <c r="M471" s="116"/>
    </row>
    <row r="472" spans="1:13">
      <c r="A472" s="116"/>
      <c r="B472" s="116"/>
      <c r="C472" s="116"/>
      <c r="D472" s="116"/>
      <c r="E472" s="116"/>
      <c r="F472" s="118"/>
      <c r="G472" s="118"/>
      <c r="H472" s="118"/>
      <c r="I472" s="117"/>
      <c r="J472" s="116"/>
      <c r="K472" s="116"/>
      <c r="L472" s="117"/>
      <c r="M472" s="117"/>
    </row>
    <row r="473" spans="1:13">
      <c r="A473" s="116"/>
      <c r="B473" s="116"/>
      <c r="C473" s="116"/>
      <c r="D473" s="116"/>
      <c r="E473" s="116"/>
      <c r="F473" s="118"/>
      <c r="G473" s="118"/>
      <c r="H473" s="118"/>
      <c r="I473" s="117"/>
      <c r="J473" s="117"/>
      <c r="K473" s="116"/>
      <c r="L473" s="116"/>
      <c r="M473" s="116"/>
    </row>
    <row r="474" spans="1:13">
      <c r="A474" s="116"/>
      <c r="B474" s="116"/>
      <c r="C474" s="116"/>
      <c r="D474" s="116"/>
      <c r="E474" s="116"/>
      <c r="F474" s="118"/>
      <c r="G474" s="118"/>
      <c r="H474" s="118"/>
      <c r="I474" s="117"/>
      <c r="J474" s="117"/>
      <c r="K474" s="116"/>
      <c r="L474" s="116"/>
      <c r="M474" s="116"/>
    </row>
    <row r="475" spans="1:13">
      <c r="A475" s="116"/>
      <c r="B475" s="116"/>
      <c r="C475" s="116"/>
      <c r="D475" s="116"/>
      <c r="E475" s="116"/>
      <c r="F475" s="118"/>
      <c r="G475" s="118"/>
      <c r="H475" s="118"/>
      <c r="I475" s="117"/>
      <c r="J475" s="117"/>
      <c r="K475" s="116"/>
      <c r="L475" s="116"/>
      <c r="M475" s="116"/>
    </row>
    <row r="476" spans="1:13">
      <c r="A476" s="116"/>
      <c r="B476" s="116"/>
      <c r="C476" s="116"/>
      <c r="D476" s="116"/>
      <c r="E476" s="116"/>
      <c r="F476" s="118"/>
      <c r="G476" s="118"/>
      <c r="H476" s="116"/>
      <c r="I476" s="117"/>
      <c r="J476" s="117"/>
      <c r="K476" s="116"/>
      <c r="L476" s="116"/>
      <c r="M476" s="116"/>
    </row>
    <row r="477" spans="1:13">
      <c r="A477" s="116"/>
      <c r="B477" s="116"/>
      <c r="C477" s="116"/>
      <c r="D477" s="116"/>
      <c r="E477" s="116"/>
      <c r="F477" s="118"/>
      <c r="G477" s="118"/>
      <c r="H477" s="118"/>
      <c r="I477" s="117"/>
      <c r="J477" s="117"/>
      <c r="K477" s="116"/>
      <c r="L477" s="116"/>
      <c r="M477" s="116"/>
    </row>
    <row r="478" spans="1:13">
      <c r="A478" s="116"/>
      <c r="B478" s="116"/>
      <c r="C478" s="116"/>
      <c r="D478" s="116"/>
      <c r="E478" s="116"/>
      <c r="F478" s="118"/>
      <c r="G478" s="118"/>
      <c r="H478" s="118"/>
      <c r="I478" s="117"/>
      <c r="J478" s="117"/>
      <c r="K478" s="116"/>
      <c r="L478" s="116"/>
      <c r="M478" s="116"/>
    </row>
    <row r="479" spans="1:13">
      <c r="A479" s="116"/>
      <c r="B479" s="116"/>
      <c r="C479" s="116"/>
      <c r="D479" s="116"/>
      <c r="E479" s="116"/>
      <c r="F479" s="118"/>
      <c r="G479" s="118"/>
      <c r="H479" s="118"/>
      <c r="I479" s="117"/>
      <c r="J479" s="117"/>
      <c r="K479" s="116"/>
      <c r="L479" s="116"/>
      <c r="M479" s="116"/>
    </row>
    <row r="480" spans="1:13">
      <c r="A480" s="116"/>
      <c r="B480" s="116"/>
      <c r="C480" s="116"/>
      <c r="D480" s="116"/>
      <c r="E480" s="116"/>
      <c r="F480" s="118"/>
      <c r="G480" s="118"/>
      <c r="H480" s="118"/>
      <c r="I480" s="117"/>
      <c r="J480" s="117"/>
      <c r="K480" s="116"/>
      <c r="L480" s="116"/>
      <c r="M480" s="116"/>
    </row>
    <row r="481" spans="1:13">
      <c r="A481" s="116"/>
      <c r="B481" s="116"/>
      <c r="C481" s="116"/>
      <c r="D481" s="116"/>
      <c r="E481" s="116"/>
      <c r="F481" s="118"/>
      <c r="G481" s="118"/>
      <c r="H481" s="116"/>
      <c r="I481" s="117"/>
      <c r="J481" s="117"/>
      <c r="K481" s="117"/>
      <c r="L481" s="117"/>
      <c r="M481" s="117"/>
    </row>
    <row r="482" spans="1:13">
      <c r="A482" s="116"/>
      <c r="B482" s="116"/>
      <c r="C482" s="116"/>
      <c r="D482" s="116"/>
      <c r="E482" s="116"/>
      <c r="F482" s="118"/>
      <c r="G482" s="118"/>
      <c r="H482" s="118"/>
      <c r="I482" s="117"/>
      <c r="J482" s="117"/>
      <c r="K482" s="116"/>
      <c r="L482" s="116"/>
      <c r="M482" s="116"/>
    </row>
    <row r="483" spans="1:13">
      <c r="A483" s="116"/>
      <c r="B483" s="116"/>
      <c r="C483" s="116"/>
      <c r="D483" s="116"/>
      <c r="E483" s="116"/>
      <c r="F483" s="118"/>
      <c r="G483" s="118"/>
      <c r="H483" s="118"/>
      <c r="I483" s="117"/>
      <c r="J483" s="117"/>
      <c r="K483" s="116"/>
      <c r="L483" s="116"/>
      <c r="M483" s="116"/>
    </row>
    <row r="484" spans="1:13">
      <c r="A484" s="116"/>
      <c r="B484" s="116"/>
      <c r="C484" s="116"/>
      <c r="D484" s="116"/>
      <c r="E484" s="116"/>
      <c r="F484" s="118"/>
      <c r="G484" s="118"/>
      <c r="H484" s="118"/>
      <c r="I484" s="117"/>
      <c r="J484" s="117"/>
      <c r="K484" s="116"/>
      <c r="L484" s="116"/>
      <c r="M484" s="116"/>
    </row>
    <row r="485" spans="1:13">
      <c r="A485" s="116"/>
      <c r="B485" s="116"/>
      <c r="C485" s="116"/>
      <c r="D485" s="116"/>
      <c r="E485" s="116"/>
      <c r="F485" s="118"/>
      <c r="G485" s="118"/>
      <c r="H485" s="118"/>
      <c r="I485" s="117"/>
      <c r="J485" s="117"/>
      <c r="K485" s="116"/>
      <c r="L485" s="116"/>
      <c r="M485" s="116"/>
    </row>
    <row r="486" spans="1:13">
      <c r="A486" s="116"/>
      <c r="B486" s="116"/>
      <c r="C486" s="116"/>
      <c r="D486" s="116"/>
      <c r="E486" s="116"/>
      <c r="F486" s="118"/>
      <c r="G486" s="118"/>
      <c r="H486" s="118"/>
      <c r="I486" s="117"/>
      <c r="J486" s="116"/>
      <c r="K486" s="116"/>
      <c r="L486" s="117"/>
      <c r="M486" s="117"/>
    </row>
    <row r="487" spans="1:13">
      <c r="A487" s="116"/>
      <c r="B487" s="116"/>
      <c r="C487" s="116"/>
      <c r="D487" s="116"/>
      <c r="E487" s="116"/>
      <c r="F487" s="118"/>
      <c r="G487" s="118"/>
      <c r="H487" s="116"/>
      <c r="I487" s="117"/>
      <c r="J487" s="117"/>
      <c r="K487" s="116"/>
      <c r="L487" s="116"/>
      <c r="M487" s="116"/>
    </row>
    <row r="488" spans="1:13">
      <c r="A488" s="116"/>
      <c r="B488" s="116"/>
      <c r="C488" s="116"/>
      <c r="D488" s="116"/>
      <c r="E488" s="116"/>
      <c r="F488" s="118"/>
      <c r="G488" s="118"/>
      <c r="H488" s="118"/>
      <c r="I488" s="117"/>
      <c r="J488" s="117"/>
      <c r="K488" s="116"/>
      <c r="L488" s="116"/>
      <c r="M488" s="116"/>
    </row>
    <row r="489" spans="1:13">
      <c r="A489" s="116"/>
      <c r="B489" s="116"/>
      <c r="C489" s="116"/>
      <c r="D489" s="116"/>
      <c r="E489" s="116"/>
      <c r="F489" s="118"/>
      <c r="G489" s="118"/>
      <c r="H489" s="118"/>
      <c r="I489" s="117"/>
      <c r="J489" s="117"/>
      <c r="K489" s="116"/>
      <c r="L489" s="116"/>
      <c r="M489" s="116"/>
    </row>
    <row r="490" spans="1:13">
      <c r="A490" s="116"/>
      <c r="B490" s="116"/>
      <c r="C490" s="116"/>
      <c r="D490" s="116"/>
      <c r="E490" s="116"/>
      <c r="F490" s="118"/>
      <c r="G490" s="118"/>
      <c r="H490" s="118"/>
      <c r="I490" s="117"/>
      <c r="J490" s="117"/>
      <c r="K490" s="116"/>
      <c r="L490" s="116"/>
      <c r="M490" s="116"/>
    </row>
    <row r="491" spans="1:13">
      <c r="A491" s="116"/>
      <c r="B491" s="116"/>
      <c r="C491" s="116"/>
      <c r="D491" s="116"/>
      <c r="E491" s="116"/>
      <c r="F491" s="118"/>
      <c r="G491" s="118"/>
      <c r="H491" s="116"/>
      <c r="I491" s="117"/>
      <c r="J491" s="117"/>
      <c r="K491" s="116"/>
      <c r="L491" s="116"/>
      <c r="M491" s="116"/>
    </row>
    <row r="492" spans="1:13">
      <c r="A492" s="116"/>
      <c r="B492" s="116"/>
      <c r="C492" s="116"/>
      <c r="D492" s="116"/>
      <c r="E492" s="116"/>
      <c r="F492" s="118"/>
      <c r="G492" s="118"/>
      <c r="H492" s="118"/>
      <c r="I492" s="117"/>
      <c r="J492" s="117"/>
      <c r="K492" s="116"/>
      <c r="L492" s="116"/>
      <c r="M492" s="116"/>
    </row>
    <row r="493" spans="1:13">
      <c r="A493" s="116"/>
      <c r="B493" s="116"/>
      <c r="C493" s="116"/>
      <c r="D493" s="116"/>
      <c r="E493" s="116"/>
      <c r="F493" s="118"/>
      <c r="G493" s="118"/>
      <c r="H493" s="118"/>
      <c r="I493" s="117"/>
      <c r="J493" s="117"/>
      <c r="K493" s="116"/>
      <c r="L493" s="116"/>
      <c r="M493" s="116"/>
    </row>
    <row r="494" spans="1:13">
      <c r="A494" s="116"/>
      <c r="B494" s="116"/>
      <c r="C494" s="116"/>
      <c r="D494" s="116"/>
      <c r="E494" s="116"/>
      <c r="F494" s="118"/>
      <c r="G494" s="118"/>
      <c r="H494" s="118"/>
      <c r="I494" s="116"/>
      <c r="J494" s="116"/>
      <c r="K494" s="116"/>
      <c r="L494" s="116"/>
      <c r="M494" s="116"/>
    </row>
    <row r="495" spans="1:13">
      <c r="A495" s="116"/>
      <c r="B495" s="116"/>
      <c r="C495" s="116"/>
      <c r="D495" s="116"/>
      <c r="E495" s="116"/>
      <c r="F495" s="118"/>
      <c r="G495" s="118"/>
      <c r="H495" s="118"/>
      <c r="I495" s="117"/>
      <c r="J495" s="117"/>
      <c r="K495" s="116"/>
      <c r="L495" s="116"/>
      <c r="M495" s="116"/>
    </row>
    <row r="496" spans="1:13">
      <c r="A496" s="116"/>
      <c r="B496" s="116"/>
      <c r="C496" s="116"/>
      <c r="D496" s="116"/>
      <c r="E496" s="116"/>
      <c r="F496" s="118"/>
      <c r="G496" s="118"/>
      <c r="H496" s="118"/>
      <c r="I496" s="116"/>
      <c r="J496" s="116"/>
      <c r="K496" s="116"/>
      <c r="L496" s="116"/>
      <c r="M496" s="116"/>
    </row>
    <row r="497" spans="1:13">
      <c r="A497" s="116"/>
      <c r="B497" s="116"/>
      <c r="C497" s="116"/>
      <c r="D497" s="116"/>
      <c r="E497" s="116"/>
      <c r="F497" s="118"/>
      <c r="G497" s="118"/>
      <c r="H497" s="118"/>
      <c r="I497" s="116"/>
      <c r="J497" s="116"/>
      <c r="K497" s="116"/>
      <c r="L497" s="116"/>
      <c r="M497" s="116"/>
    </row>
    <row r="498" spans="1:13">
      <c r="A498" s="116"/>
      <c r="B498" s="116"/>
      <c r="C498" s="116"/>
      <c r="D498" s="116"/>
      <c r="E498" s="116"/>
      <c r="F498" s="118"/>
      <c r="G498" s="118"/>
      <c r="H498" s="118"/>
      <c r="I498" s="117"/>
      <c r="J498" s="117"/>
      <c r="K498" s="116"/>
      <c r="L498" s="116"/>
      <c r="M498" s="116"/>
    </row>
    <row r="499" spans="1:13">
      <c r="A499" s="116"/>
      <c r="B499" s="116"/>
      <c r="C499" s="116"/>
      <c r="D499" s="116"/>
      <c r="E499" s="116"/>
      <c r="F499" s="118"/>
      <c r="G499" s="118"/>
      <c r="H499" s="118"/>
      <c r="I499" s="116"/>
      <c r="J499" s="116"/>
      <c r="K499" s="116"/>
      <c r="L499" s="116"/>
      <c r="M499" s="116"/>
    </row>
    <row r="500" spans="1:13">
      <c r="A500" s="116"/>
      <c r="B500" s="116"/>
      <c r="C500" s="116"/>
      <c r="D500" s="116"/>
      <c r="E500" s="116"/>
      <c r="F500" s="118"/>
      <c r="G500" s="118"/>
      <c r="H500" s="118"/>
      <c r="I500" s="116"/>
      <c r="J500" s="116"/>
      <c r="K500" s="116"/>
      <c r="L500" s="116"/>
      <c r="M500" s="116"/>
    </row>
    <row r="501" spans="1:13">
      <c r="A501" s="116"/>
      <c r="B501" s="116"/>
      <c r="C501" s="116"/>
      <c r="D501" s="116"/>
      <c r="E501" s="116"/>
      <c r="F501" s="118"/>
      <c r="G501" s="118"/>
      <c r="H501" s="118"/>
      <c r="I501" s="116"/>
      <c r="J501" s="116"/>
      <c r="K501" s="116"/>
      <c r="L501" s="116"/>
      <c r="M501" s="116"/>
    </row>
    <row r="502" spans="1:13">
      <c r="A502" s="116"/>
      <c r="B502" s="116"/>
      <c r="C502" s="116"/>
      <c r="D502" s="116"/>
      <c r="E502" s="116"/>
      <c r="F502" s="118"/>
      <c r="G502" s="118"/>
      <c r="H502" s="116"/>
      <c r="I502" s="117"/>
      <c r="J502" s="117"/>
      <c r="K502" s="116"/>
      <c r="L502" s="116"/>
      <c r="M502" s="116"/>
    </row>
    <row r="503" spans="1:13">
      <c r="A503" s="116"/>
      <c r="B503" s="116"/>
      <c r="C503" s="116"/>
      <c r="D503" s="116"/>
      <c r="E503" s="116"/>
      <c r="F503" s="118"/>
      <c r="G503" s="118"/>
      <c r="H503" s="118"/>
      <c r="I503" s="117"/>
      <c r="J503" s="117"/>
      <c r="K503" s="116"/>
      <c r="L503" s="116"/>
      <c r="M503" s="116"/>
    </row>
    <row r="504" spans="1:13">
      <c r="A504" s="116"/>
      <c r="B504" s="116"/>
      <c r="C504" s="116"/>
      <c r="D504" s="116"/>
      <c r="E504" s="116"/>
      <c r="F504" s="118"/>
      <c r="G504" s="118"/>
      <c r="H504" s="116"/>
      <c r="I504" s="117"/>
      <c r="J504" s="117"/>
      <c r="K504" s="116"/>
      <c r="L504" s="116"/>
      <c r="M504" s="116"/>
    </row>
    <row r="505" spans="1:13">
      <c r="A505" s="116"/>
      <c r="B505" s="116"/>
      <c r="C505" s="116"/>
      <c r="D505" s="116"/>
      <c r="E505" s="116"/>
      <c r="F505" s="118"/>
      <c r="G505" s="118"/>
      <c r="H505" s="118"/>
      <c r="I505" s="116"/>
      <c r="J505" s="116"/>
      <c r="K505" s="116"/>
      <c r="L505" s="116"/>
      <c r="M505" s="116"/>
    </row>
    <row r="506" spans="1:13">
      <c r="A506" s="116"/>
      <c r="B506" s="116"/>
      <c r="C506" s="116"/>
      <c r="D506" s="116"/>
      <c r="E506" s="116"/>
      <c r="F506" s="118"/>
      <c r="G506" s="118"/>
      <c r="H506" s="118"/>
      <c r="I506" s="117"/>
      <c r="J506" s="117"/>
      <c r="K506" s="117"/>
      <c r="L506" s="117"/>
      <c r="M506" s="117"/>
    </row>
    <row r="507" spans="1:13">
      <c r="A507" s="116"/>
      <c r="B507" s="116"/>
      <c r="C507" s="116"/>
      <c r="D507" s="116"/>
      <c r="E507" s="116"/>
      <c r="F507" s="118"/>
      <c r="G507" s="118"/>
      <c r="H507" s="118"/>
      <c r="I507" s="117"/>
      <c r="J507" s="117"/>
      <c r="K507" s="116"/>
      <c r="L507" s="116"/>
      <c r="M507" s="116"/>
    </row>
    <row r="508" spans="1:13">
      <c r="A508" s="116"/>
      <c r="B508" s="116"/>
      <c r="C508" s="116"/>
      <c r="D508" s="116"/>
      <c r="E508" s="116"/>
      <c r="F508" s="118"/>
      <c r="G508" s="118"/>
      <c r="H508" s="116"/>
      <c r="I508" s="117"/>
      <c r="J508" s="117"/>
      <c r="K508" s="116"/>
      <c r="L508" s="116"/>
      <c r="M508" s="116"/>
    </row>
    <row r="509" spans="1:13">
      <c r="A509" s="116"/>
      <c r="B509" s="116"/>
      <c r="C509" s="116"/>
      <c r="D509" s="116"/>
      <c r="E509" s="116"/>
      <c r="F509" s="118"/>
      <c r="G509" s="118"/>
      <c r="H509" s="118"/>
      <c r="I509" s="117"/>
      <c r="J509" s="117"/>
      <c r="K509" s="116"/>
      <c r="L509" s="116"/>
      <c r="M509" s="116"/>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36C4-6556-4C0A-9020-4F9DE0198F55}">
  <sheetPr codeName="Sheet15">
    <tabColor theme="4" tint="0.59999389629810485"/>
  </sheetPr>
  <dimension ref="A1:U6"/>
  <sheetViews>
    <sheetView workbookViewId="0">
      <selection activeCell="L20" sqref="L20"/>
    </sheetView>
  </sheetViews>
  <sheetFormatPr defaultRowHeight="14.5"/>
  <cols>
    <col min="3" max="3" width="15" customWidth="1"/>
    <col min="4" max="4" width="17.1796875" customWidth="1"/>
    <col min="5" max="5" width="13.1796875" customWidth="1"/>
    <col min="14" max="14" width="28.7265625" bestFit="1" customWidth="1"/>
    <col min="15" max="15" width="13.26953125" bestFit="1" customWidth="1"/>
    <col min="16" max="20" width="12.54296875" customWidth="1"/>
  </cols>
  <sheetData>
    <row r="1" spans="1:21">
      <c r="A1" s="116" t="s">
        <v>1536</v>
      </c>
      <c r="B1" s="116" t="s">
        <v>1461</v>
      </c>
      <c r="C1" s="116" t="s">
        <v>1883</v>
      </c>
      <c r="D1" s="116" t="s">
        <v>1884</v>
      </c>
      <c r="E1" s="116" t="s">
        <v>618</v>
      </c>
      <c r="F1" s="517"/>
      <c r="M1" s="116" t="s">
        <v>1536</v>
      </c>
      <c r="N1" s="116" t="s">
        <v>1885</v>
      </c>
      <c r="O1" s="116" t="s">
        <v>340</v>
      </c>
      <c r="P1" s="116" t="s">
        <v>418</v>
      </c>
      <c r="Q1" s="116" t="s">
        <v>712</v>
      </c>
      <c r="R1" s="116" t="s">
        <v>1886</v>
      </c>
      <c r="S1" s="116" t="s">
        <v>1887</v>
      </c>
      <c r="T1" s="517"/>
      <c r="U1" s="116"/>
    </row>
    <row r="2" spans="1:21">
      <c r="A2" s="116" t="s">
        <v>953</v>
      </c>
      <c r="B2" s="116">
        <v>123</v>
      </c>
      <c r="C2" s="116">
        <v>1</v>
      </c>
      <c r="D2" s="116">
        <v>103</v>
      </c>
      <c r="E2" s="116">
        <v>101</v>
      </c>
      <c r="F2" s="517"/>
      <c r="M2" s="116" t="s">
        <v>953</v>
      </c>
      <c r="N2" s="116" t="s">
        <v>1888</v>
      </c>
      <c r="O2" s="116" t="s">
        <v>528</v>
      </c>
      <c r="P2" s="116">
        <v>880</v>
      </c>
      <c r="Q2" s="116">
        <v>1</v>
      </c>
      <c r="R2" s="116">
        <v>0.2</v>
      </c>
      <c r="S2" s="116">
        <v>4.7</v>
      </c>
      <c r="T2" s="116"/>
      <c r="U2" s="116"/>
    </row>
    <row r="3" spans="1:21">
      <c r="A3" s="517"/>
      <c r="B3" s="517"/>
      <c r="C3" s="517"/>
      <c r="D3" s="517"/>
      <c r="E3" s="517"/>
      <c r="F3" s="517"/>
      <c r="M3" s="116" t="s">
        <v>953</v>
      </c>
      <c r="N3" s="116" t="s">
        <v>1888</v>
      </c>
      <c r="O3" s="116" t="s">
        <v>1889</v>
      </c>
      <c r="P3" s="116">
        <v>880</v>
      </c>
      <c r="Q3" s="116">
        <v>2</v>
      </c>
      <c r="R3" s="116">
        <v>4.59</v>
      </c>
      <c r="S3" s="116">
        <v>110.17</v>
      </c>
      <c r="T3" s="116"/>
      <c r="U3" s="116"/>
    </row>
    <row r="4" spans="1:21">
      <c r="M4" s="116" t="s">
        <v>953</v>
      </c>
      <c r="N4" s="116" t="s">
        <v>1888</v>
      </c>
      <c r="O4" s="116" t="s">
        <v>706</v>
      </c>
      <c r="P4" s="116">
        <v>880</v>
      </c>
      <c r="Q4" s="116">
        <v>47</v>
      </c>
      <c r="R4" s="116">
        <v>1.7</v>
      </c>
      <c r="S4" s="116">
        <v>40.869999999999997</v>
      </c>
      <c r="T4" s="116"/>
      <c r="U4" s="116"/>
    </row>
    <row r="5" spans="1:21">
      <c r="M5" s="116" t="s">
        <v>953</v>
      </c>
      <c r="N5" s="116" t="s">
        <v>1888</v>
      </c>
      <c r="O5" s="116" t="s">
        <v>1462</v>
      </c>
      <c r="P5" s="116">
        <v>880</v>
      </c>
      <c r="Q5" s="116">
        <v>73</v>
      </c>
      <c r="R5" s="116">
        <v>0.53</v>
      </c>
      <c r="S5" s="116">
        <v>12.67</v>
      </c>
      <c r="T5" s="116"/>
    </row>
    <row r="6" spans="1:21">
      <c r="M6" s="116"/>
      <c r="N6" s="116"/>
      <c r="O6" s="116"/>
      <c r="P6" s="116"/>
      <c r="Q6" s="116"/>
      <c r="R6" s="116"/>
      <c r="S6" s="116"/>
      <c r="T6" s="116"/>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029B-1899-4BB3-9487-E897E2951308}">
  <sheetPr codeName="Sheet16">
    <tabColor theme="4" tint="0.59999389629810485"/>
  </sheetPr>
  <dimension ref="A1:G235"/>
  <sheetViews>
    <sheetView workbookViewId="0">
      <selection activeCell="C109" sqref="C109"/>
    </sheetView>
  </sheetViews>
  <sheetFormatPr defaultRowHeight="14.5"/>
  <cols>
    <col min="1" max="1" width="33.453125" bestFit="1" customWidth="1"/>
    <col min="2" max="2" width="43.453125" bestFit="1" customWidth="1"/>
    <col min="3" max="3" width="43.453125" customWidth="1"/>
    <col min="4" max="4" width="28" customWidth="1"/>
    <col min="5" max="5" width="33" customWidth="1"/>
    <col min="6" max="6" width="30.54296875" customWidth="1"/>
    <col min="7" max="7" width="34.1796875" customWidth="1"/>
  </cols>
  <sheetData>
    <row r="1" spans="1:7" ht="15.5">
      <c r="A1" s="37" t="s">
        <v>1890</v>
      </c>
    </row>
    <row r="2" spans="1:7">
      <c r="A2" s="38" t="s">
        <v>953</v>
      </c>
    </row>
    <row r="3" spans="1:7">
      <c r="A3" s="38" t="s">
        <v>1891</v>
      </c>
    </row>
    <row r="4" spans="1:7">
      <c r="A4" s="38" t="s">
        <v>1892</v>
      </c>
    </row>
    <row r="7" spans="1:7">
      <c r="D7" s="39" t="s">
        <v>1893</v>
      </c>
      <c r="E7" s="39"/>
    </row>
    <row r="8" spans="1:7">
      <c r="A8" s="40" t="s">
        <v>1894</v>
      </c>
      <c r="C8" s="134" t="s">
        <v>1271</v>
      </c>
      <c r="D8" s="134" t="s">
        <v>1281</v>
      </c>
      <c r="E8" s="135">
        <v>46054</v>
      </c>
      <c r="F8" s="135">
        <v>46082</v>
      </c>
      <c r="G8" s="135">
        <v>46113</v>
      </c>
    </row>
    <row r="9" spans="1:7">
      <c r="A9" s="41" t="s">
        <v>1894</v>
      </c>
      <c r="C9" s="136" t="s">
        <v>336</v>
      </c>
      <c r="D9" s="136" t="s">
        <v>336</v>
      </c>
      <c r="E9" s="136" t="s">
        <v>336</v>
      </c>
      <c r="F9" s="136" t="s">
        <v>336</v>
      </c>
      <c r="G9" s="136" t="s">
        <v>336</v>
      </c>
    </row>
    <row r="10" spans="1:7">
      <c r="A10" s="41"/>
      <c r="D10" s="42"/>
      <c r="E10" s="42"/>
      <c r="F10" s="42"/>
      <c r="G10" s="42"/>
    </row>
    <row r="11" spans="1:7">
      <c r="A11" s="43"/>
      <c r="B11" s="43" t="s">
        <v>342</v>
      </c>
      <c r="C11" s="44">
        <f>1+(C33+C32+C31)/C24</f>
        <v>0.78529947289971169</v>
      </c>
      <c r="D11" s="44">
        <f>1+(D33+D32+D31)/D24</f>
        <v>0.77321282921619838</v>
      </c>
      <c r="E11" s="44">
        <f>1+(E33+E32+E31)/E24</f>
        <v>0.74534286004122374</v>
      </c>
      <c r="F11" s="44">
        <f>1+(F33+F32+F31)/F24</f>
        <v>0.72677580902709193</v>
      </c>
      <c r="G11" s="44">
        <f>1+(G33+G32+G31)/G24</f>
        <v>0.71852176113184929</v>
      </c>
    </row>
    <row r="12" spans="1:7">
      <c r="A12" s="45"/>
      <c r="B12" s="45" t="s">
        <v>1895</v>
      </c>
      <c r="C12" s="46">
        <f>C11*880</f>
        <v>691.06353615174623</v>
      </c>
      <c r="D12" s="46">
        <f>D11*880</f>
        <v>680.42728971025463</v>
      </c>
      <c r="E12" s="46">
        <f>E11*880</f>
        <v>655.90171683627693</v>
      </c>
      <c r="F12" s="46">
        <f>F11*880</f>
        <v>639.5627119438409</v>
      </c>
      <c r="G12" s="46">
        <f>G11*880</f>
        <v>632.29914979602734</v>
      </c>
    </row>
    <row r="13" spans="1:7">
      <c r="A13" s="45"/>
      <c r="B13" s="45" t="s">
        <v>1896</v>
      </c>
      <c r="C13" s="47">
        <f>SUM(C24)/880</f>
        <v>1091.4992045454546</v>
      </c>
      <c r="D13" s="47">
        <f>SUM(D24)/880</f>
        <v>1133.2443181818182</v>
      </c>
      <c r="E13" s="47">
        <f>SUM(E24)/880</f>
        <v>1019.3829545454546</v>
      </c>
      <c r="F13" s="47">
        <f>SUM(F24)/880</f>
        <v>1018.3738636363636</v>
      </c>
      <c r="G13" s="47">
        <f>SUM(G24)/880</f>
        <v>983.58749999999998</v>
      </c>
    </row>
    <row r="14" spans="1:7">
      <c r="A14" s="45"/>
      <c r="B14" s="45" t="s">
        <v>1897</v>
      </c>
      <c r="C14" s="48">
        <f>SUM(C26+C35+C34+C36)/C12</f>
        <v>31.301752832246205</v>
      </c>
      <c r="D14" s="48">
        <f>SUM(D26+D35+D34+D36)/D12</f>
        <v>17.483396359757606</v>
      </c>
      <c r="E14" s="48">
        <f>SUM(E26+E35+E34+E36)/E12</f>
        <v>105.12887560745938</v>
      </c>
      <c r="F14" s="48">
        <f>SUM(F26+F35+F34+F36)/F12</f>
        <v>100.0793961321816</v>
      </c>
      <c r="G14" s="48">
        <f>SUM(G26+G35+G34+G36)/G12</f>
        <v>135.68333917209236</v>
      </c>
    </row>
    <row r="15" spans="1:7">
      <c r="A15" s="49"/>
      <c r="B15" s="49" t="s">
        <v>1898</v>
      </c>
      <c r="C15" s="50">
        <f>SUM(C13:C14)</f>
        <v>1122.8009573777008</v>
      </c>
      <c r="D15" s="50">
        <f>SUM(D13:D14)</f>
        <v>1150.7277145415758</v>
      </c>
      <c r="E15" s="50">
        <f>SUM(E13:E14)</f>
        <v>1124.5118301529139</v>
      </c>
      <c r="F15" s="50">
        <f>SUM(F13:F14)</f>
        <v>1118.4532597685452</v>
      </c>
      <c r="G15" s="50">
        <f>SUM(G13:G14)</f>
        <v>1119.2708391720923</v>
      </c>
    </row>
    <row r="16" spans="1:7">
      <c r="A16" s="45"/>
      <c r="B16" s="45" t="s">
        <v>1899</v>
      </c>
      <c r="C16" s="51">
        <f>-C14/C13</f>
        <v>-2.8677760553459632E-2</v>
      </c>
      <c r="D16" s="51">
        <f>-D14/D13</f>
        <v>-1.5427737937224373E-2</v>
      </c>
      <c r="E16" s="51">
        <f>-E14/E13</f>
        <v>-0.10312991318786237</v>
      </c>
      <c r="F16" s="51">
        <f>-F14/F13</f>
        <v>-9.8273728053882486E-2</v>
      </c>
      <c r="G16" s="51">
        <f>-G14/G13</f>
        <v>-0.13794740088918614</v>
      </c>
    </row>
    <row r="17" spans="1:7">
      <c r="A17" s="45"/>
      <c r="B17" s="45" t="s">
        <v>1900</v>
      </c>
      <c r="C17" s="51">
        <f>-C30/(SUM(C24+C26)+SUM(C31+C35+C34+C33+C32))</f>
        <v>6.5204276977792755E-2</v>
      </c>
      <c r="D17" s="51">
        <f>-D30/(SUM(D24+D26)+SUM(D31+D35+D34+D33+D32))</f>
        <v>6.6373115012463485E-2</v>
      </c>
      <c r="E17" s="51">
        <f>-E30/(SUM(E24+E26)+SUM(E31+E35+E34+E33+E32))</f>
        <v>5.0115188537384378E-2</v>
      </c>
      <c r="F17" s="51">
        <f>-F30/(SUM(F24+F26)+SUM(F31+F35+F34+F33+F32))</f>
        <v>9.1431047996808956E-2</v>
      </c>
      <c r="G17" s="51">
        <f>-G30/(SUM(G24+G26)+SUM(G31+G35+G34+G33+G32))</f>
        <v>1.0090972392542914E-4</v>
      </c>
    </row>
    <row r="18" spans="1:7">
      <c r="A18" s="43"/>
      <c r="B18" s="43" t="s">
        <v>1901</v>
      </c>
      <c r="C18" s="52">
        <f>C39/C27</f>
        <v>0.7205711050273248</v>
      </c>
      <c r="D18" s="52">
        <f t="shared" ref="D18:F18" si="0">D39/D27</f>
        <v>0.71942514641179967</v>
      </c>
      <c r="E18" s="52">
        <f t="shared" si="0"/>
        <v>0.72109739192104083</v>
      </c>
      <c r="F18" s="52">
        <f t="shared" si="0"/>
        <v>0.66557509305680984</v>
      </c>
      <c r="G18" s="52">
        <f>G39/G27</f>
        <v>0.7268066260670365</v>
      </c>
    </row>
    <row r="21" spans="1:7">
      <c r="A21" s="362" t="s">
        <v>1416</v>
      </c>
      <c r="B21" s="362" t="s">
        <v>1902</v>
      </c>
      <c r="C21" s="366">
        <v>45992</v>
      </c>
      <c r="D21" s="366">
        <v>46023</v>
      </c>
      <c r="E21" s="366">
        <v>46054</v>
      </c>
      <c r="F21" s="366">
        <v>46082</v>
      </c>
      <c r="G21" s="366">
        <v>46113</v>
      </c>
    </row>
    <row r="22" spans="1:7">
      <c r="A22" s="367" t="s">
        <v>1903</v>
      </c>
      <c r="B22" s="365"/>
      <c r="C22" s="365"/>
      <c r="D22" s="365"/>
      <c r="E22" s="365"/>
      <c r="F22" s="365"/>
    </row>
    <row r="23" spans="1:7">
      <c r="A23" s="367" t="s">
        <v>1904</v>
      </c>
      <c r="B23" s="365"/>
      <c r="C23" s="365"/>
      <c r="D23" s="365"/>
      <c r="E23" s="365"/>
      <c r="F23" s="365"/>
    </row>
    <row r="24" spans="1:7">
      <c r="A24" s="364">
        <v>5001</v>
      </c>
      <c r="B24" s="364" t="s">
        <v>1905</v>
      </c>
      <c r="C24" s="363">
        <v>960519.3</v>
      </c>
      <c r="D24" s="363">
        <v>997255</v>
      </c>
      <c r="E24" s="959">
        <v>897057</v>
      </c>
      <c r="F24" s="363">
        <v>896169</v>
      </c>
      <c r="G24" s="1100">
        <v>865557</v>
      </c>
    </row>
    <row r="25" spans="1:7">
      <c r="A25" s="364"/>
      <c r="B25" s="364"/>
      <c r="C25" s="363"/>
      <c r="D25" s="363"/>
      <c r="E25" s="959"/>
      <c r="F25" s="363"/>
      <c r="G25" s="1098">
        <v>35</v>
      </c>
    </row>
    <row r="26" spans="1:7">
      <c r="A26" s="364">
        <v>5002</v>
      </c>
      <c r="B26" s="364" t="s">
        <v>1906</v>
      </c>
      <c r="C26" s="363">
        <v>45835</v>
      </c>
      <c r="D26" s="363">
        <v>18568.18</v>
      </c>
      <c r="E26" s="959">
        <v>74436.210000000006</v>
      </c>
      <c r="F26" s="363">
        <v>80076.05</v>
      </c>
      <c r="G26" s="1100">
        <v>108088.46</v>
      </c>
    </row>
    <row r="27" spans="1:7">
      <c r="A27" s="365"/>
      <c r="B27" s="367" t="s">
        <v>1904</v>
      </c>
      <c r="C27" s="368">
        <v>1006354.3</v>
      </c>
      <c r="D27" s="368">
        <v>1015823.18</v>
      </c>
      <c r="E27" s="368">
        <v>971493.21</v>
      </c>
      <c r="F27" s="368">
        <v>976245.05</v>
      </c>
      <c r="G27" s="1103">
        <v>973680.46</v>
      </c>
    </row>
    <row r="28" spans="1:7">
      <c r="A28" s="365"/>
      <c r="B28" s="364"/>
      <c r="C28" s="364"/>
      <c r="D28" s="364"/>
      <c r="E28" s="361"/>
      <c r="F28" s="361"/>
      <c r="G28" s="364"/>
    </row>
    <row r="29" spans="1:7">
      <c r="A29" s="367" t="s">
        <v>1907</v>
      </c>
      <c r="B29" s="369"/>
      <c r="C29" s="364"/>
      <c r="D29" s="364"/>
      <c r="E29" s="361"/>
      <c r="F29" s="361"/>
      <c r="G29" s="364"/>
    </row>
    <row r="30" spans="1:7">
      <c r="A30" s="364">
        <v>5102</v>
      </c>
      <c r="B30" s="364" t="s">
        <v>1908</v>
      </c>
      <c r="C30" s="363">
        <v>-50776.97</v>
      </c>
      <c r="D30" s="363">
        <v>-52177.8</v>
      </c>
      <c r="E30" s="959">
        <v>-37028.019999999997</v>
      </c>
      <c r="F30" s="363">
        <v>-65556.61</v>
      </c>
      <c r="G30" s="1098">
        <v>-71.59</v>
      </c>
    </row>
    <row r="31" spans="1:7">
      <c r="A31" s="364">
        <v>5104</v>
      </c>
      <c r="B31" s="364" t="s">
        <v>1909</v>
      </c>
      <c r="C31" s="363">
        <v>-201128</v>
      </c>
      <c r="D31" s="363">
        <v>-216971.64</v>
      </c>
      <c r="E31" s="959">
        <v>-221774.97</v>
      </c>
      <c r="F31" s="363">
        <v>-236116.05</v>
      </c>
      <c r="G31" s="1100">
        <v>-241563.46</v>
      </c>
    </row>
    <row r="32" spans="1:7">
      <c r="A32" s="364">
        <v>5109</v>
      </c>
      <c r="B32" s="364" t="s">
        <v>1910</v>
      </c>
      <c r="C32" s="363">
        <v>-2479</v>
      </c>
      <c r="D32" s="363">
        <v>-2534</v>
      </c>
      <c r="E32" s="959">
        <v>-2072</v>
      </c>
      <c r="F32" s="363">
        <v>-2072</v>
      </c>
      <c r="G32" s="1100">
        <v>-2072</v>
      </c>
    </row>
    <row r="33" spans="1:7">
      <c r="A33" s="364">
        <v>5112</v>
      </c>
      <c r="B33" s="364" t="s">
        <v>1911</v>
      </c>
      <c r="C33" s="363">
        <v>-2617</v>
      </c>
      <c r="D33" s="363">
        <v>-6659</v>
      </c>
      <c r="E33" s="959">
        <v>-4595</v>
      </c>
      <c r="F33" s="363">
        <v>-6667</v>
      </c>
      <c r="G33" s="1098">
        <v>0</v>
      </c>
    </row>
    <row r="34" spans="1:7">
      <c r="A34" s="364">
        <v>5103</v>
      </c>
      <c r="B34" s="364" t="s">
        <v>1912</v>
      </c>
      <c r="C34" s="363">
        <v>-20393.5</v>
      </c>
      <c r="D34" s="363">
        <v>-3530</v>
      </c>
      <c r="E34" s="959">
        <v>-4193</v>
      </c>
      <c r="F34" s="363">
        <v>-14384</v>
      </c>
      <c r="G34" s="1100">
        <v>-19564</v>
      </c>
    </row>
    <row r="35" spans="1:7">
      <c r="A35" s="364">
        <v>5105</v>
      </c>
      <c r="B35" s="364" t="s">
        <v>1913</v>
      </c>
      <c r="C35" s="363">
        <v>-1000</v>
      </c>
      <c r="D35" s="364">
        <v>0</v>
      </c>
      <c r="E35" s="361">
        <v>0</v>
      </c>
      <c r="F35" s="364">
        <v>0</v>
      </c>
      <c r="G35" s="1100">
        <v>-1000</v>
      </c>
    </row>
    <row r="36" spans="1:7">
      <c r="A36" s="364">
        <v>5107</v>
      </c>
      <c r="B36" s="364" t="s">
        <v>1914</v>
      </c>
      <c r="C36" s="363">
        <v>-2810</v>
      </c>
      <c r="D36" s="363">
        <v>-3142</v>
      </c>
      <c r="E36" s="959">
        <v>-1289</v>
      </c>
      <c r="F36" s="363">
        <v>-1685</v>
      </c>
      <c r="G36" s="1100">
        <v>-1732</v>
      </c>
    </row>
    <row r="37" spans="1:7">
      <c r="A37" s="365"/>
      <c r="B37" s="367" t="s">
        <v>1907</v>
      </c>
      <c r="C37" s="368">
        <v>-281204.46999999997</v>
      </c>
      <c r="D37" s="368">
        <v>-285014.44</v>
      </c>
      <c r="E37" s="368">
        <v>-270951.99</v>
      </c>
      <c r="F37" s="368">
        <v>-326480.65999999997</v>
      </c>
      <c r="G37" s="1103">
        <v>-266003.05</v>
      </c>
    </row>
    <row r="38" spans="1:7">
      <c r="A38" s="365"/>
      <c r="B38" s="364"/>
      <c r="C38" s="364"/>
      <c r="D38" s="364"/>
      <c r="E38" s="361"/>
      <c r="F38" s="361"/>
      <c r="G38" s="364"/>
    </row>
    <row r="39" spans="1:7">
      <c r="A39" s="365"/>
      <c r="B39" s="367" t="s">
        <v>1915</v>
      </c>
      <c r="C39" s="368">
        <v>725149.83</v>
      </c>
      <c r="D39" s="368">
        <v>730808.74</v>
      </c>
      <c r="E39" s="368">
        <v>700541.22</v>
      </c>
      <c r="F39" s="368">
        <v>649764.39</v>
      </c>
      <c r="G39" s="1103">
        <v>707677.41</v>
      </c>
    </row>
    <row r="40" spans="1:7">
      <c r="A40" s="365"/>
      <c r="B40" s="364"/>
      <c r="C40" s="364"/>
      <c r="D40" s="364"/>
      <c r="E40" s="364"/>
      <c r="F40" s="361"/>
      <c r="G40" s="364"/>
    </row>
    <row r="41" spans="1:7">
      <c r="A41" s="369" t="s">
        <v>1916</v>
      </c>
      <c r="B41" s="361"/>
      <c r="C41" s="361"/>
      <c r="D41" s="361"/>
      <c r="E41" s="361"/>
      <c r="F41" s="361"/>
      <c r="G41" s="364"/>
    </row>
    <row r="42" spans="1:7">
      <c r="A42" s="361">
        <v>5211</v>
      </c>
      <c r="B42" s="361" t="s">
        <v>1917</v>
      </c>
      <c r="C42" s="959">
        <v>64112.28</v>
      </c>
      <c r="D42" s="959">
        <v>32930.160000000003</v>
      </c>
      <c r="E42" s="959">
        <v>32930.160000000003</v>
      </c>
      <c r="F42" s="363">
        <v>27158.13</v>
      </c>
      <c r="G42" s="1100">
        <v>34269.230000000003</v>
      </c>
    </row>
    <row r="43" spans="1:7">
      <c r="A43" s="361">
        <v>5210</v>
      </c>
      <c r="B43" s="361" t="s">
        <v>1918</v>
      </c>
      <c r="C43" s="361">
        <v>0</v>
      </c>
      <c r="D43" s="959">
        <v>23253.08</v>
      </c>
      <c r="E43" s="959">
        <v>23253.08</v>
      </c>
      <c r="F43" s="363">
        <v>23183.759999999998</v>
      </c>
      <c r="G43" s="1098"/>
    </row>
    <row r="44" spans="1:7">
      <c r="A44" s="361">
        <v>5212</v>
      </c>
      <c r="B44" s="361" t="s">
        <v>1919</v>
      </c>
      <c r="C44" s="361">
        <v>1</v>
      </c>
      <c r="D44" s="959">
        <v>8279.61</v>
      </c>
      <c r="E44" s="959">
        <v>8279.61</v>
      </c>
      <c r="F44" s="363">
        <v>8243.61</v>
      </c>
      <c r="G44" s="1098">
        <v>38</v>
      </c>
    </row>
    <row r="45" spans="1:7">
      <c r="A45" s="361">
        <v>5213</v>
      </c>
      <c r="B45" s="361" t="s">
        <v>1920</v>
      </c>
      <c r="C45" s="361">
        <v>0</v>
      </c>
      <c r="D45" s="959">
        <v>8491.44</v>
      </c>
      <c r="E45" s="959">
        <v>8491.44</v>
      </c>
      <c r="F45" s="363">
        <v>8616.09</v>
      </c>
      <c r="G45" s="1100">
        <v>13256.44</v>
      </c>
    </row>
    <row r="46" spans="1:7">
      <c r="A46" s="361">
        <v>5202</v>
      </c>
      <c r="B46" s="361" t="s">
        <v>1921</v>
      </c>
      <c r="C46" s="361">
        <v>0</v>
      </c>
      <c r="D46" s="361">
        <v>0</v>
      </c>
      <c r="E46" s="361">
        <v>0</v>
      </c>
      <c r="F46" s="364">
        <v>0</v>
      </c>
      <c r="G46" s="1098">
        <v>0</v>
      </c>
    </row>
    <row r="47" spans="1:7">
      <c r="A47" s="361">
        <v>5220</v>
      </c>
      <c r="B47" s="361" t="s">
        <v>1922</v>
      </c>
      <c r="C47" s="361">
        <v>1</v>
      </c>
      <c r="D47" s="959">
        <v>2837.26</v>
      </c>
      <c r="E47" s="959">
        <v>2946.26</v>
      </c>
      <c r="F47" s="363">
        <v>3564.26</v>
      </c>
      <c r="G47" s="1100">
        <v>1547</v>
      </c>
    </row>
    <row r="48" spans="1:7">
      <c r="A48" s="361">
        <v>5225</v>
      </c>
      <c r="B48" s="361" t="s">
        <v>1923</v>
      </c>
      <c r="C48" s="959">
        <v>1134.1199999999999</v>
      </c>
      <c r="D48" s="959">
        <v>1226.97</v>
      </c>
      <c r="E48" s="959">
        <v>1202</v>
      </c>
      <c r="F48" s="363">
        <v>1502</v>
      </c>
      <c r="G48" s="1100">
        <v>1760</v>
      </c>
    </row>
    <row r="49" spans="1:7">
      <c r="A49" s="361">
        <v>5810</v>
      </c>
      <c r="B49" s="361" t="s">
        <v>1924</v>
      </c>
      <c r="C49" s="361">
        <v>0</v>
      </c>
      <c r="D49" s="361">
        <v>0</v>
      </c>
      <c r="E49" s="361">
        <v>0</v>
      </c>
      <c r="F49" s="364">
        <v>0</v>
      </c>
      <c r="G49" s="1098">
        <v>0</v>
      </c>
    </row>
    <row r="50" spans="1:7">
      <c r="A50" s="361">
        <v>5007</v>
      </c>
      <c r="B50" s="361" t="s">
        <v>1925</v>
      </c>
      <c r="C50" s="361">
        <v>807</v>
      </c>
      <c r="D50" s="361">
        <v>750</v>
      </c>
      <c r="E50" s="361">
        <v>727</v>
      </c>
      <c r="F50" s="364">
        <v>590</v>
      </c>
      <c r="G50" s="1098">
        <v>662</v>
      </c>
    </row>
    <row r="51" spans="1:7">
      <c r="A51" s="361">
        <v>5008</v>
      </c>
      <c r="B51" s="361" t="s">
        <v>1926</v>
      </c>
      <c r="C51" s="361">
        <v>0</v>
      </c>
      <c r="D51" s="361">
        <v>900</v>
      </c>
      <c r="E51" s="361">
        <v>0</v>
      </c>
      <c r="F51" s="364">
        <v>704</v>
      </c>
      <c r="G51" s="1098">
        <v>700</v>
      </c>
    </row>
    <row r="52" spans="1:7">
      <c r="A52" s="361">
        <v>5009</v>
      </c>
      <c r="B52" s="361" t="s">
        <v>1927</v>
      </c>
      <c r="C52" s="361">
        <v>900</v>
      </c>
      <c r="D52" s="361">
        <v>0</v>
      </c>
      <c r="E52" s="361">
        <v>800</v>
      </c>
      <c r="F52" s="364">
        <v>0</v>
      </c>
      <c r="G52" s="1098">
        <v>0</v>
      </c>
    </row>
    <row r="53" spans="1:7">
      <c r="A53" s="361">
        <v>5013</v>
      </c>
      <c r="B53" s="361" t="s">
        <v>1928</v>
      </c>
      <c r="C53" s="361">
        <v>2</v>
      </c>
      <c r="D53" s="361">
        <v>179</v>
      </c>
      <c r="E53" s="361">
        <v>498</v>
      </c>
      <c r="F53" s="363">
        <v>2228</v>
      </c>
      <c r="G53" s="1100">
        <v>3679</v>
      </c>
    </row>
    <row r="54" spans="1:7">
      <c r="A54" s="361">
        <v>5205</v>
      </c>
      <c r="B54" s="361" t="s">
        <v>1929</v>
      </c>
      <c r="C54" s="361">
        <v>0</v>
      </c>
      <c r="D54" s="959">
        <v>2500</v>
      </c>
      <c r="E54" s="959">
        <v>4000</v>
      </c>
      <c r="F54" s="363">
        <v>9000</v>
      </c>
      <c r="G54" s="1100">
        <v>7500</v>
      </c>
    </row>
    <row r="55" spans="1:7">
      <c r="A55" s="361">
        <v>5896</v>
      </c>
      <c r="B55" s="361" t="s">
        <v>1930</v>
      </c>
      <c r="C55" s="959">
        <v>4450</v>
      </c>
      <c r="D55" s="959">
        <v>1775</v>
      </c>
      <c r="E55" s="361">
        <v>0</v>
      </c>
      <c r="F55" s="363">
        <v>3549</v>
      </c>
      <c r="G55" s="1100">
        <v>5523</v>
      </c>
    </row>
    <row r="56" spans="1:7">
      <c r="A56" s="361">
        <v>5899</v>
      </c>
      <c r="B56" s="361" t="s">
        <v>1931</v>
      </c>
      <c r="C56" s="959">
        <v>3450</v>
      </c>
      <c r="D56" s="959">
        <v>2574</v>
      </c>
      <c r="E56" s="361">
        <v>0</v>
      </c>
      <c r="F56" s="364">
        <v>962</v>
      </c>
      <c r="G56" s="1100">
        <v>1734</v>
      </c>
    </row>
    <row r="57" spans="1:7">
      <c r="A57" s="361">
        <v>5204</v>
      </c>
      <c r="B57" s="361" t="s">
        <v>1932</v>
      </c>
      <c r="C57" s="959">
        <v>9040.5</v>
      </c>
      <c r="D57" s="959">
        <v>9656</v>
      </c>
      <c r="E57" s="959">
        <v>9114</v>
      </c>
      <c r="F57" s="363">
        <v>9057</v>
      </c>
      <c r="G57" s="1100">
        <v>9059</v>
      </c>
    </row>
    <row r="58" spans="1:7">
      <c r="A58" s="361">
        <v>5861</v>
      </c>
      <c r="B58" s="361" t="s">
        <v>1933</v>
      </c>
      <c r="C58" s="959">
        <v>13080.75</v>
      </c>
      <c r="D58" s="959">
        <v>13362</v>
      </c>
      <c r="E58" s="959">
        <v>12563</v>
      </c>
      <c r="F58" s="363">
        <v>12529</v>
      </c>
      <c r="G58" s="1100">
        <v>12547</v>
      </c>
    </row>
    <row r="59" spans="1:7">
      <c r="A59" s="361">
        <v>5860</v>
      </c>
      <c r="B59" s="361" t="s">
        <v>1934</v>
      </c>
      <c r="C59" s="361">
        <v>0</v>
      </c>
      <c r="D59" s="361">
        <v>52</v>
      </c>
      <c r="E59" s="361">
        <v>188</v>
      </c>
      <c r="F59" s="364">
        <v>887</v>
      </c>
      <c r="G59" s="1100">
        <v>1663</v>
      </c>
    </row>
    <row r="60" spans="1:7">
      <c r="A60" s="361">
        <v>5890</v>
      </c>
      <c r="B60" s="361" t="s">
        <v>1935</v>
      </c>
      <c r="C60" s="959">
        <v>1279.5</v>
      </c>
      <c r="D60" s="361">
        <v>0</v>
      </c>
      <c r="E60" s="361">
        <v>0</v>
      </c>
      <c r="F60" s="364">
        <v>662.61</v>
      </c>
      <c r="G60" s="1100">
        <v>1017.65</v>
      </c>
    </row>
    <row r="61" spans="1:7">
      <c r="A61" s="361">
        <v>5892</v>
      </c>
      <c r="B61" s="361" t="s">
        <v>1936</v>
      </c>
      <c r="C61" s="361">
        <v>200</v>
      </c>
      <c r="D61" s="361">
        <v>250</v>
      </c>
      <c r="E61" s="959">
        <v>1051</v>
      </c>
      <c r="F61" s="364">
        <v>650</v>
      </c>
      <c r="G61" s="1098">
        <v>650</v>
      </c>
    </row>
    <row r="62" spans="1:7">
      <c r="A62" s="361">
        <v>5805</v>
      </c>
      <c r="B62" s="361" t="s">
        <v>1937</v>
      </c>
      <c r="C62" s="959">
        <v>12599.25</v>
      </c>
      <c r="D62" s="959">
        <v>16486.95</v>
      </c>
      <c r="E62" s="959">
        <v>9760.2900000000009</v>
      </c>
      <c r="F62" s="363">
        <v>9371.7800000000007</v>
      </c>
      <c r="G62" s="1100">
        <v>12394</v>
      </c>
    </row>
    <row r="63" spans="1:7">
      <c r="A63" s="361">
        <v>5893</v>
      </c>
      <c r="B63" s="361" t="s">
        <v>1938</v>
      </c>
      <c r="C63" s="959">
        <v>5956.78</v>
      </c>
      <c r="D63" s="361">
        <v>556.11</v>
      </c>
      <c r="E63" s="959">
        <v>1594</v>
      </c>
      <c r="F63" s="363">
        <v>1220.8900000000001</v>
      </c>
      <c r="G63" s="1100">
        <v>30961.75</v>
      </c>
    </row>
    <row r="64" spans="1:7">
      <c r="A64" s="361">
        <v>5898</v>
      </c>
      <c r="B64" s="361" t="s">
        <v>1939</v>
      </c>
      <c r="C64" s="361">
        <v>0</v>
      </c>
      <c r="D64" s="361">
        <v>0</v>
      </c>
      <c r="E64" s="959">
        <v>3304.91</v>
      </c>
      <c r="F64" s="364">
        <v>389.43</v>
      </c>
      <c r="G64" s="1100">
        <v>32738.23</v>
      </c>
    </row>
    <row r="65" spans="1:7">
      <c r="A65" s="361">
        <v>5891</v>
      </c>
      <c r="B65" s="361" t="s">
        <v>1940</v>
      </c>
      <c r="C65" s="361">
        <v>300</v>
      </c>
      <c r="D65" s="361">
        <v>725</v>
      </c>
      <c r="E65" s="361">
        <v>650</v>
      </c>
      <c r="F65" s="364">
        <v>800</v>
      </c>
      <c r="G65" s="1098">
        <v>350</v>
      </c>
    </row>
    <row r="66" spans="1:7">
      <c r="A66" s="361">
        <v>5889</v>
      </c>
      <c r="B66" s="361" t="s">
        <v>1941</v>
      </c>
      <c r="C66" s="959">
        <v>-2307.36</v>
      </c>
      <c r="D66" s="361">
        <v>0</v>
      </c>
      <c r="E66" s="361">
        <v>0</v>
      </c>
      <c r="F66" s="364">
        <v>0</v>
      </c>
      <c r="G66" s="1098">
        <v>0</v>
      </c>
    </row>
    <row r="67" spans="1:7">
      <c r="A67" s="361">
        <v>5951</v>
      </c>
      <c r="B67" s="361" t="s">
        <v>1942</v>
      </c>
      <c r="C67" s="361">
        <v>0</v>
      </c>
      <c r="D67" s="361">
        <v>635.33000000000004</v>
      </c>
      <c r="E67" s="959">
        <v>1663.55</v>
      </c>
      <c r="F67" s="363">
        <v>1869.36</v>
      </c>
      <c r="G67" s="1098">
        <v>0</v>
      </c>
    </row>
    <row r="68" spans="1:7">
      <c r="A68" s="133"/>
      <c r="B68" s="369" t="s">
        <v>1916</v>
      </c>
      <c r="C68" s="368">
        <v>115006.82</v>
      </c>
      <c r="D68" s="368">
        <v>127419.91</v>
      </c>
      <c r="E68" s="368">
        <v>123016.3</v>
      </c>
      <c r="F68" s="368">
        <v>126737.92</v>
      </c>
      <c r="G68" s="368">
        <v>172049.3</v>
      </c>
    </row>
    <row r="69" spans="1:7">
      <c r="A69" s="133"/>
      <c r="B69" s="361"/>
      <c r="C69" s="361"/>
      <c r="D69" s="361"/>
      <c r="E69" s="361"/>
      <c r="F69" s="361"/>
      <c r="G69" s="364"/>
    </row>
    <row r="70" spans="1:7">
      <c r="A70" s="133"/>
      <c r="B70" s="369" t="s">
        <v>1903</v>
      </c>
      <c r="C70" s="368">
        <v>840156.65</v>
      </c>
      <c r="D70" s="368">
        <v>858228.65</v>
      </c>
      <c r="E70" s="368">
        <v>823557.52</v>
      </c>
      <c r="F70" s="368">
        <v>776502.31</v>
      </c>
      <c r="G70" s="1103">
        <v>879726.71</v>
      </c>
    </row>
    <row r="71" spans="1:7">
      <c r="A71" s="133"/>
      <c r="B71" s="361"/>
      <c r="C71" s="361"/>
      <c r="D71" s="361"/>
      <c r="E71" s="361"/>
      <c r="F71" s="361"/>
      <c r="G71" s="364"/>
    </row>
    <row r="72" spans="1:7">
      <c r="A72" s="369" t="s">
        <v>1943</v>
      </c>
      <c r="B72" s="361"/>
      <c r="C72" s="361"/>
      <c r="D72" s="361"/>
      <c r="E72" s="361"/>
      <c r="F72" s="361"/>
      <c r="G72" s="364"/>
    </row>
    <row r="73" spans="1:7">
      <c r="A73" s="369" t="s">
        <v>1944</v>
      </c>
      <c r="B73" s="361"/>
      <c r="C73" s="361"/>
      <c r="D73" s="361"/>
      <c r="E73" s="361"/>
      <c r="F73" s="361"/>
      <c r="G73" s="364"/>
    </row>
    <row r="74" spans="1:7">
      <c r="A74" s="369" t="s">
        <v>1945</v>
      </c>
      <c r="B74" s="361"/>
      <c r="C74" s="361"/>
      <c r="D74" s="361"/>
      <c r="E74" s="361"/>
      <c r="F74" s="361"/>
      <c r="G74" s="364"/>
    </row>
    <row r="75" spans="1:7">
      <c r="A75" s="361">
        <v>7008</v>
      </c>
      <c r="B75" s="361" t="s">
        <v>1946</v>
      </c>
      <c r="C75" s="959">
        <v>8942.14</v>
      </c>
      <c r="D75" s="959">
        <v>10649.96</v>
      </c>
      <c r="E75" s="959">
        <v>6657.74</v>
      </c>
      <c r="F75" s="363">
        <v>6923.08</v>
      </c>
      <c r="G75" s="364">
        <v>0</v>
      </c>
    </row>
    <row r="76" spans="1:7">
      <c r="A76" s="361">
        <v>7012</v>
      </c>
      <c r="B76" s="361" t="s">
        <v>1947</v>
      </c>
      <c r="C76" s="959">
        <v>6831.52</v>
      </c>
      <c r="D76" s="959">
        <v>5822</v>
      </c>
      <c r="E76" s="959">
        <v>9194.64</v>
      </c>
      <c r="F76" s="363">
        <v>6725.98</v>
      </c>
      <c r="G76" s="364">
        <v>0</v>
      </c>
    </row>
    <row r="77" spans="1:7">
      <c r="A77" s="361">
        <v>7013</v>
      </c>
      <c r="B77" s="361" t="s">
        <v>1948</v>
      </c>
      <c r="C77" s="959">
        <v>21777.79</v>
      </c>
      <c r="D77" s="959">
        <v>24910.25</v>
      </c>
      <c r="E77" s="959">
        <v>10715.76</v>
      </c>
      <c r="F77" s="363">
        <v>23336.83</v>
      </c>
      <c r="G77" s="364">
        <v>0</v>
      </c>
    </row>
    <row r="78" spans="1:7">
      <c r="A78" s="361">
        <v>7016</v>
      </c>
      <c r="B78" s="361" t="s">
        <v>1949</v>
      </c>
      <c r="C78" s="959">
        <v>3444.83</v>
      </c>
      <c r="D78" s="959">
        <v>17200.3</v>
      </c>
      <c r="E78" s="959">
        <v>11603.69</v>
      </c>
      <c r="F78" s="363">
        <v>12796.53</v>
      </c>
      <c r="G78" s="364">
        <v>0</v>
      </c>
    </row>
    <row r="79" spans="1:7">
      <c r="A79" s="361">
        <v>7020</v>
      </c>
      <c r="B79" s="361" t="s">
        <v>1950</v>
      </c>
      <c r="C79" s="959">
        <v>31401.33</v>
      </c>
      <c r="D79" s="959">
        <v>23045.54</v>
      </c>
      <c r="E79" s="959">
        <v>34433.61</v>
      </c>
      <c r="F79" s="363">
        <v>29487.59</v>
      </c>
      <c r="G79" s="1100">
        <v>2040.51</v>
      </c>
    </row>
    <row r="80" spans="1:7">
      <c r="A80" s="361">
        <v>7024</v>
      </c>
      <c r="B80" s="361" t="s">
        <v>1951</v>
      </c>
      <c r="C80" s="361">
        <v>0</v>
      </c>
      <c r="D80" s="959">
        <v>10942.22</v>
      </c>
      <c r="E80" s="959">
        <v>3007.77</v>
      </c>
      <c r="F80" s="364">
        <v>0</v>
      </c>
      <c r="G80" s="364">
        <v>0</v>
      </c>
    </row>
    <row r="81" spans="1:7">
      <c r="A81" s="361">
        <v>7028</v>
      </c>
      <c r="B81" s="361" t="s">
        <v>1952</v>
      </c>
      <c r="C81" s="959">
        <v>4393.1400000000003</v>
      </c>
      <c r="D81" s="959">
        <v>8585.73</v>
      </c>
      <c r="E81" s="959">
        <v>5215.42</v>
      </c>
      <c r="F81" s="363">
        <v>5721.62</v>
      </c>
      <c r="G81" s="364">
        <v>0</v>
      </c>
    </row>
    <row r="82" spans="1:7">
      <c r="A82" s="361">
        <v>7036</v>
      </c>
      <c r="B82" s="361" t="s">
        <v>1953</v>
      </c>
      <c r="C82" s="361">
        <v>0</v>
      </c>
      <c r="D82" s="959">
        <v>6455.76</v>
      </c>
      <c r="E82" s="959">
        <v>3062.98</v>
      </c>
      <c r="F82" s="363">
        <v>6810.23</v>
      </c>
      <c r="G82" s="364">
        <v>0</v>
      </c>
    </row>
    <row r="83" spans="1:7">
      <c r="A83" s="133"/>
      <c r="B83" s="369" t="s">
        <v>1945</v>
      </c>
      <c r="C83" s="368">
        <v>76790.75</v>
      </c>
      <c r="D83" s="368">
        <v>107611.76</v>
      </c>
      <c r="E83" s="368">
        <v>83891.61</v>
      </c>
      <c r="F83" s="368">
        <v>91801.86</v>
      </c>
      <c r="G83" s="368">
        <v>2040.51</v>
      </c>
    </row>
    <row r="84" spans="1:7">
      <c r="A84" s="133"/>
      <c r="B84" s="361"/>
      <c r="C84" s="361"/>
      <c r="D84" s="361"/>
      <c r="E84" s="361"/>
      <c r="F84" s="364"/>
      <c r="G84" s="364"/>
    </row>
    <row r="85" spans="1:7">
      <c r="A85" s="369" t="s">
        <v>1954</v>
      </c>
      <c r="B85" s="361"/>
      <c r="C85" s="361"/>
      <c r="D85" s="361"/>
      <c r="E85" s="361"/>
      <c r="F85" s="364"/>
      <c r="G85" s="364"/>
    </row>
    <row r="86" spans="1:7">
      <c r="A86" s="361">
        <v>7101</v>
      </c>
      <c r="B86" s="361" t="s">
        <v>1955</v>
      </c>
      <c r="C86" s="959">
        <v>11954.49</v>
      </c>
      <c r="D86" s="959">
        <v>9608.48</v>
      </c>
      <c r="E86" s="959">
        <v>9515.14</v>
      </c>
      <c r="F86" s="363">
        <v>7703.62</v>
      </c>
      <c r="G86" s="364">
        <v>0</v>
      </c>
    </row>
    <row r="87" spans="1:7">
      <c r="A87" s="361">
        <v>7104</v>
      </c>
      <c r="B87" s="361" t="s">
        <v>1956</v>
      </c>
      <c r="C87" s="959">
        <v>3983.66</v>
      </c>
      <c r="D87" s="959">
        <v>2507.36</v>
      </c>
      <c r="E87" s="959">
        <v>5288</v>
      </c>
      <c r="F87" s="363">
        <v>5185.82</v>
      </c>
      <c r="G87" s="364">
        <v>0</v>
      </c>
    </row>
    <row r="88" spans="1:7">
      <c r="A88" s="361">
        <v>7108</v>
      </c>
      <c r="B88" s="361" t="s">
        <v>1957</v>
      </c>
      <c r="C88" s="361">
        <v>0</v>
      </c>
      <c r="D88" s="959">
        <v>1055.31</v>
      </c>
      <c r="E88" s="959">
        <v>9208.32</v>
      </c>
      <c r="F88" s="363">
        <v>9063.41</v>
      </c>
      <c r="G88" s="364">
        <v>126.84</v>
      </c>
    </row>
    <row r="89" spans="1:7">
      <c r="A89" s="361">
        <v>7112</v>
      </c>
      <c r="B89" s="361" t="s">
        <v>1958</v>
      </c>
      <c r="C89" s="361">
        <v>0</v>
      </c>
      <c r="D89" s="361">
        <v>820.34</v>
      </c>
      <c r="E89" s="959">
        <v>1455.92</v>
      </c>
      <c r="F89" s="363">
        <v>1455.92</v>
      </c>
      <c r="G89" s="364">
        <v>464.17</v>
      </c>
    </row>
    <row r="90" spans="1:7">
      <c r="A90" s="361">
        <v>7113</v>
      </c>
      <c r="B90" s="361" t="s">
        <v>1959</v>
      </c>
      <c r="C90" s="361">
        <v>0</v>
      </c>
      <c r="D90" s="361">
        <v>510.4</v>
      </c>
      <c r="E90" s="361">
        <v>510.4</v>
      </c>
      <c r="F90" s="364">
        <v>510.4</v>
      </c>
      <c r="G90" s="364">
        <v>0</v>
      </c>
    </row>
    <row r="91" spans="1:7">
      <c r="A91" s="133"/>
      <c r="B91" s="369" t="s">
        <v>1954</v>
      </c>
      <c r="C91" s="368">
        <v>15938.15</v>
      </c>
      <c r="D91" s="368">
        <v>14501.89</v>
      </c>
      <c r="E91" s="368">
        <v>25977.78</v>
      </c>
      <c r="F91" s="368">
        <v>23919.17</v>
      </c>
      <c r="G91" s="964">
        <v>591.01</v>
      </c>
    </row>
    <row r="92" spans="1:7">
      <c r="A92" s="133"/>
      <c r="B92" s="361"/>
      <c r="C92" s="361"/>
      <c r="D92" s="361"/>
      <c r="E92" s="361"/>
      <c r="F92" s="361"/>
      <c r="G92" s="364"/>
    </row>
    <row r="93" spans="1:7">
      <c r="A93" s="133"/>
      <c r="B93" s="369" t="s">
        <v>1944</v>
      </c>
      <c r="C93" s="368">
        <v>92728.9</v>
      </c>
      <c r="D93" s="368">
        <v>122113.65</v>
      </c>
      <c r="E93" s="368">
        <v>109869.39</v>
      </c>
      <c r="F93" s="368">
        <v>115721.03</v>
      </c>
      <c r="G93" s="368">
        <v>2631.52</v>
      </c>
    </row>
    <row r="94" spans="1:7">
      <c r="A94" s="133"/>
      <c r="B94" s="361"/>
      <c r="C94" s="361"/>
      <c r="D94" s="361"/>
      <c r="E94" s="361"/>
      <c r="F94" s="364"/>
      <c r="G94" s="364"/>
    </row>
    <row r="95" spans="1:7">
      <c r="A95" s="369" t="s">
        <v>1960</v>
      </c>
      <c r="B95" s="361"/>
      <c r="C95" s="361"/>
      <c r="D95" s="361"/>
      <c r="E95" s="361"/>
      <c r="F95" s="364"/>
      <c r="G95" s="364"/>
    </row>
    <row r="96" spans="1:7">
      <c r="A96" s="361">
        <v>7247</v>
      </c>
      <c r="B96" s="361" t="s">
        <v>1961</v>
      </c>
      <c r="C96" s="361">
        <v>0</v>
      </c>
      <c r="D96" s="361">
        <v>64.95</v>
      </c>
      <c r="E96" s="361">
        <v>64.95</v>
      </c>
      <c r="F96" s="364">
        <v>64.95</v>
      </c>
      <c r="G96" s="364">
        <v>0</v>
      </c>
    </row>
    <row r="97" spans="1:7">
      <c r="A97" s="361">
        <v>7251</v>
      </c>
      <c r="B97" s="361" t="s">
        <v>1962</v>
      </c>
      <c r="C97" s="959">
        <v>10175.5</v>
      </c>
      <c r="D97" s="959">
        <v>10175.5</v>
      </c>
      <c r="E97" s="959">
        <v>10175.5</v>
      </c>
      <c r="F97" s="363">
        <v>10175.5</v>
      </c>
      <c r="G97" s="1100">
        <v>10175.5</v>
      </c>
    </row>
    <row r="98" spans="1:7">
      <c r="A98" s="361">
        <v>7255</v>
      </c>
      <c r="B98" s="361" t="s">
        <v>1963</v>
      </c>
      <c r="C98" s="959">
        <v>4330</v>
      </c>
      <c r="D98" s="959">
        <v>4330</v>
      </c>
      <c r="E98" s="959">
        <v>4330</v>
      </c>
      <c r="F98" s="363">
        <v>6425.16</v>
      </c>
      <c r="G98" s="364">
        <v>0</v>
      </c>
    </row>
    <row r="99" spans="1:7">
      <c r="A99" s="361">
        <v>7256</v>
      </c>
      <c r="B99" s="361" t="s">
        <v>1964</v>
      </c>
      <c r="C99" s="959">
        <v>1101.23</v>
      </c>
      <c r="D99" s="959">
        <v>1072.73</v>
      </c>
      <c r="E99" s="959">
        <v>1072.73</v>
      </c>
      <c r="F99" s="363">
        <v>1072.23</v>
      </c>
      <c r="G99" s="1100">
        <v>-2144.96</v>
      </c>
    </row>
    <row r="100" spans="1:7">
      <c r="A100" s="361">
        <v>7258</v>
      </c>
      <c r="B100" s="361" t="s">
        <v>1965</v>
      </c>
      <c r="C100" s="959">
        <v>4500</v>
      </c>
      <c r="D100" s="361">
        <v>0</v>
      </c>
      <c r="E100" s="361">
        <v>0</v>
      </c>
      <c r="F100" s="364">
        <v>0</v>
      </c>
      <c r="G100" s="364">
        <v>0</v>
      </c>
    </row>
    <row r="101" spans="1:7">
      <c r="A101" s="361">
        <v>7259</v>
      </c>
      <c r="B101" s="361" t="s">
        <v>1966</v>
      </c>
      <c r="C101" s="959">
        <v>3708.93</v>
      </c>
      <c r="D101" s="959">
        <v>2149</v>
      </c>
      <c r="E101" s="361">
        <v>0</v>
      </c>
      <c r="F101" s="364">
        <v>0</v>
      </c>
      <c r="G101" s="364">
        <v>0</v>
      </c>
    </row>
    <row r="102" spans="1:7">
      <c r="A102" s="133"/>
      <c r="B102" s="369" t="s">
        <v>1960</v>
      </c>
      <c r="C102" s="368">
        <v>23815.66</v>
      </c>
      <c r="D102" s="368">
        <v>17792.18</v>
      </c>
      <c r="E102" s="368">
        <v>15643.18</v>
      </c>
      <c r="F102" s="368">
        <v>17737.84</v>
      </c>
      <c r="G102" s="1103">
        <v>8030.54</v>
      </c>
    </row>
    <row r="103" spans="1:7">
      <c r="A103" s="133"/>
      <c r="B103" s="361"/>
      <c r="C103" s="361"/>
      <c r="D103" s="361"/>
      <c r="E103" s="361"/>
      <c r="F103" s="361"/>
      <c r="G103" s="364"/>
    </row>
    <row r="104" spans="1:7">
      <c r="A104" s="369" t="s">
        <v>1967</v>
      </c>
      <c r="B104" s="361"/>
      <c r="C104" s="361"/>
      <c r="D104" s="361"/>
      <c r="E104" s="361"/>
      <c r="F104" s="361"/>
      <c r="G104" s="364"/>
    </row>
    <row r="105" spans="1:7">
      <c r="A105" s="361">
        <v>7308</v>
      </c>
      <c r="B105" s="361" t="s">
        <v>1968</v>
      </c>
      <c r="C105" s="959">
        <v>46575.42</v>
      </c>
      <c r="D105" s="959">
        <v>65365.41</v>
      </c>
      <c r="E105" s="959">
        <v>39434.31</v>
      </c>
      <c r="F105" s="363">
        <v>38964.47</v>
      </c>
      <c r="G105" s="1100">
        <v>58480.75</v>
      </c>
    </row>
    <row r="106" spans="1:7">
      <c r="A106" s="361">
        <v>7309</v>
      </c>
      <c r="B106" s="361" t="s">
        <v>1969</v>
      </c>
      <c r="C106" s="361">
        <v>0</v>
      </c>
      <c r="D106" s="361">
        <v>0</v>
      </c>
      <c r="E106" s="361">
        <v>0</v>
      </c>
      <c r="F106" s="364">
        <v>0</v>
      </c>
      <c r="G106" s="1100">
        <v>1708.89</v>
      </c>
    </row>
    <row r="107" spans="1:7">
      <c r="A107" s="361">
        <v>7312</v>
      </c>
      <c r="B107" s="361" t="s">
        <v>1970</v>
      </c>
      <c r="C107" s="959">
        <v>6821.63</v>
      </c>
      <c r="D107" s="959">
        <v>7000</v>
      </c>
      <c r="E107" s="959">
        <v>7000</v>
      </c>
      <c r="F107" s="363">
        <v>35773.760000000002</v>
      </c>
      <c r="G107" s="1100">
        <v>11236.74</v>
      </c>
    </row>
    <row r="108" spans="1:7">
      <c r="A108" s="361">
        <v>7315</v>
      </c>
      <c r="B108" s="361" t="s">
        <v>1971</v>
      </c>
      <c r="C108" s="959">
        <v>40101.26</v>
      </c>
      <c r="D108" s="959">
        <v>6111.91</v>
      </c>
      <c r="E108" s="959">
        <v>106511.19</v>
      </c>
      <c r="F108" s="363">
        <v>42209.62</v>
      </c>
      <c r="G108" s="1100">
        <v>41863.69</v>
      </c>
    </row>
    <row r="109" spans="1:7">
      <c r="A109" s="361">
        <v>7320</v>
      </c>
      <c r="B109" s="361" t="s">
        <v>1972</v>
      </c>
      <c r="C109" s="959">
        <v>16473.490000000002</v>
      </c>
      <c r="D109" s="959">
        <v>20000</v>
      </c>
      <c r="E109" s="959">
        <v>37907.620000000003</v>
      </c>
      <c r="F109" s="363">
        <v>17425.04</v>
      </c>
      <c r="G109" s="1098">
        <v>0</v>
      </c>
    </row>
    <row r="110" spans="1:7">
      <c r="A110" s="361">
        <v>7335</v>
      </c>
      <c r="B110" s="361" t="s">
        <v>1973</v>
      </c>
      <c r="C110" s="361">
        <v>0</v>
      </c>
      <c r="D110" s="361">
        <v>0</v>
      </c>
      <c r="E110" s="361">
        <v>0</v>
      </c>
      <c r="F110" s="364">
        <v>0</v>
      </c>
      <c r="G110" s="1100">
        <v>2574.39</v>
      </c>
    </row>
    <row r="111" spans="1:7">
      <c r="A111" s="133"/>
      <c r="B111" s="369" t="s">
        <v>1967</v>
      </c>
      <c r="C111" s="368">
        <v>109971.8</v>
      </c>
      <c r="D111" s="368">
        <v>98477.32</v>
      </c>
      <c r="E111" s="368">
        <v>190853.12</v>
      </c>
      <c r="F111" s="368">
        <v>134372.89000000001</v>
      </c>
      <c r="G111" s="1103">
        <v>115864.46</v>
      </c>
    </row>
    <row r="112" spans="1:7">
      <c r="A112" s="133"/>
      <c r="B112" s="361"/>
      <c r="C112" s="361"/>
      <c r="D112" s="361"/>
      <c r="E112" s="361"/>
      <c r="F112" s="361"/>
      <c r="G112" s="364"/>
    </row>
    <row r="113" spans="1:7">
      <c r="A113" s="369" t="s">
        <v>1974</v>
      </c>
      <c r="B113" s="361"/>
      <c r="C113" s="361"/>
      <c r="D113" s="361"/>
      <c r="E113" s="361"/>
      <c r="F113" s="361"/>
      <c r="G113" s="364"/>
    </row>
    <row r="114" spans="1:7">
      <c r="A114" s="361">
        <v>7441</v>
      </c>
      <c r="B114" s="361" t="s">
        <v>1975</v>
      </c>
      <c r="C114" s="361">
        <v>774.54</v>
      </c>
      <c r="D114" s="361">
        <v>0</v>
      </c>
      <c r="E114" s="361">
        <v>0</v>
      </c>
      <c r="F114" s="364">
        <v>0</v>
      </c>
      <c r="G114" s="364">
        <v>0</v>
      </c>
    </row>
    <row r="115" spans="1:7">
      <c r="A115" s="361">
        <v>7443</v>
      </c>
      <c r="B115" s="361" t="s">
        <v>1976</v>
      </c>
      <c r="C115" s="959">
        <v>3152.57</v>
      </c>
      <c r="D115" s="361">
        <v>873.15</v>
      </c>
      <c r="E115" s="959">
        <v>1328.91</v>
      </c>
      <c r="F115" s="363">
        <v>1162.3699999999999</v>
      </c>
      <c r="G115" s="1098">
        <v>136.54</v>
      </c>
    </row>
    <row r="116" spans="1:7">
      <c r="A116" s="361">
        <v>7444</v>
      </c>
      <c r="B116" s="361" t="s">
        <v>1977</v>
      </c>
      <c r="C116" s="361">
        <v>0</v>
      </c>
      <c r="D116" s="959">
        <v>1671.75</v>
      </c>
      <c r="E116" s="959">
        <v>17614.419999999998</v>
      </c>
      <c r="F116" s="363">
        <v>34155.199999999997</v>
      </c>
      <c r="G116" s="1100">
        <v>9579.9599999999991</v>
      </c>
    </row>
    <row r="117" spans="1:7">
      <c r="A117" s="361">
        <v>7445</v>
      </c>
      <c r="B117" s="361" t="s">
        <v>1978</v>
      </c>
      <c r="C117" s="959">
        <v>-21959.5</v>
      </c>
      <c r="D117" s="361">
        <v>0</v>
      </c>
      <c r="E117" s="361">
        <v>0</v>
      </c>
      <c r="F117" s="364">
        <v>0</v>
      </c>
      <c r="G117" s="1098">
        <v>0</v>
      </c>
    </row>
    <row r="118" spans="1:7">
      <c r="A118" s="361">
        <v>7450</v>
      </c>
      <c r="B118" s="361" t="s">
        <v>1979</v>
      </c>
      <c r="C118" s="361">
        <v>0</v>
      </c>
      <c r="D118" s="361">
        <v>478.66</v>
      </c>
      <c r="E118" s="959">
        <v>2056.83</v>
      </c>
      <c r="F118" s="363">
        <v>2337.23</v>
      </c>
      <c r="G118" s="1100">
        <v>1055.99</v>
      </c>
    </row>
    <row r="119" spans="1:7">
      <c r="A119" s="361">
        <v>7451</v>
      </c>
      <c r="B119" s="361" t="s">
        <v>1980</v>
      </c>
      <c r="C119" s="361">
        <v>0</v>
      </c>
      <c r="D119" s="959">
        <v>2092.9899999999998</v>
      </c>
      <c r="E119" s="959">
        <v>6471.43</v>
      </c>
      <c r="F119" s="363">
        <v>4943.8500000000004</v>
      </c>
      <c r="G119" s="1100">
        <v>1028.58</v>
      </c>
    </row>
    <row r="120" spans="1:7">
      <c r="A120" s="361">
        <v>7452</v>
      </c>
      <c r="B120" s="361" t="s">
        <v>1981</v>
      </c>
      <c r="C120" s="361">
        <v>0</v>
      </c>
      <c r="D120" s="361">
        <v>595.38</v>
      </c>
      <c r="E120" s="361">
        <v>0</v>
      </c>
      <c r="F120" s="364">
        <v>0</v>
      </c>
      <c r="G120" s="1098">
        <v>519.6</v>
      </c>
    </row>
    <row r="121" spans="1:7">
      <c r="A121" s="361">
        <v>7453</v>
      </c>
      <c r="B121" s="361" t="s">
        <v>1982</v>
      </c>
      <c r="C121" s="361">
        <v>0</v>
      </c>
      <c r="D121" s="959">
        <v>1861.9</v>
      </c>
      <c r="E121" s="959">
        <v>2294.92</v>
      </c>
      <c r="F121" s="363">
        <v>2024.3</v>
      </c>
      <c r="G121" s="1098">
        <v>0</v>
      </c>
    </row>
    <row r="122" spans="1:7">
      <c r="A122" s="361">
        <v>7454</v>
      </c>
      <c r="B122" s="361" t="s">
        <v>1983</v>
      </c>
      <c r="C122" s="361">
        <v>0</v>
      </c>
      <c r="D122" s="959">
        <v>1020</v>
      </c>
      <c r="E122" s="959">
        <v>2386</v>
      </c>
      <c r="F122" s="363">
        <v>5834</v>
      </c>
      <c r="G122" s="1100">
        <v>-1170</v>
      </c>
    </row>
    <row r="123" spans="1:7">
      <c r="A123" s="133"/>
      <c r="B123" s="369" t="s">
        <v>1974</v>
      </c>
      <c r="C123" s="368">
        <v>-18032.39</v>
      </c>
      <c r="D123" s="368">
        <v>8593.83</v>
      </c>
      <c r="E123" s="368">
        <v>32152.51</v>
      </c>
      <c r="F123" s="368">
        <v>50456.95</v>
      </c>
      <c r="G123" s="1103">
        <v>11150.67</v>
      </c>
    </row>
    <row r="124" spans="1:7">
      <c r="A124" s="133"/>
      <c r="B124" s="361"/>
      <c r="C124" s="361"/>
      <c r="D124" s="361"/>
      <c r="E124" s="361"/>
      <c r="F124" s="361"/>
      <c r="G124" s="364"/>
    </row>
    <row r="125" spans="1:7">
      <c r="A125" s="369" t="s">
        <v>1984</v>
      </c>
      <c r="B125" s="361"/>
      <c r="C125" s="361"/>
      <c r="D125" s="361"/>
      <c r="E125" s="361"/>
      <c r="F125" s="361"/>
      <c r="G125" s="364"/>
    </row>
    <row r="126" spans="1:7">
      <c r="A126" s="361">
        <v>7503</v>
      </c>
      <c r="B126" s="361" t="s">
        <v>1985</v>
      </c>
      <c r="C126" s="361">
        <v>0</v>
      </c>
      <c r="D126" s="361">
        <v>0</v>
      </c>
      <c r="E126" s="361">
        <v>0</v>
      </c>
      <c r="F126" s="364">
        <v>0</v>
      </c>
      <c r="G126" s="364">
        <v>0</v>
      </c>
    </row>
    <row r="127" spans="1:7">
      <c r="A127" s="361">
        <v>7504</v>
      </c>
      <c r="B127" s="361" t="s">
        <v>1986</v>
      </c>
      <c r="C127" s="959">
        <v>-101460.78</v>
      </c>
      <c r="D127" s="959">
        <v>7242.74</v>
      </c>
      <c r="E127" s="959">
        <v>6236.07</v>
      </c>
      <c r="F127" s="363">
        <v>8584.65</v>
      </c>
      <c r="G127" s="1100">
        <v>1729.77</v>
      </c>
    </row>
    <row r="128" spans="1:7">
      <c r="A128" s="361">
        <v>7506</v>
      </c>
      <c r="B128" s="361" t="s">
        <v>1987</v>
      </c>
      <c r="C128" s="361">
        <v>0</v>
      </c>
      <c r="D128" s="361">
        <v>462.3</v>
      </c>
      <c r="E128" s="361">
        <v>388.72</v>
      </c>
      <c r="F128" s="364">
        <v>817.71</v>
      </c>
      <c r="G128" s="1098">
        <v>535.61</v>
      </c>
    </row>
    <row r="129" spans="1:7">
      <c r="A129" s="361">
        <v>7508</v>
      </c>
      <c r="B129" s="361" t="s">
        <v>1988</v>
      </c>
      <c r="C129" s="959">
        <v>-34550.35</v>
      </c>
      <c r="D129" s="959">
        <v>1069.49</v>
      </c>
      <c r="E129" s="959">
        <v>3804.27</v>
      </c>
      <c r="F129" s="363">
        <v>4298.71</v>
      </c>
      <c r="G129" s="1100">
        <v>4978</v>
      </c>
    </row>
    <row r="130" spans="1:7">
      <c r="A130" s="361">
        <v>7512</v>
      </c>
      <c r="B130" s="361" t="s">
        <v>1989</v>
      </c>
      <c r="C130" s="959">
        <v>-49648.09</v>
      </c>
      <c r="D130" s="361">
        <v>140.09</v>
      </c>
      <c r="E130" s="959">
        <v>1987.58</v>
      </c>
      <c r="F130" s="364">
        <v>155.11000000000001</v>
      </c>
      <c r="G130" s="1098">
        <v>719.95</v>
      </c>
    </row>
    <row r="131" spans="1:7">
      <c r="A131" s="361">
        <v>7515</v>
      </c>
      <c r="B131" s="361" t="s">
        <v>1990</v>
      </c>
      <c r="C131" s="361">
        <v>0</v>
      </c>
      <c r="D131" s="361">
        <v>0</v>
      </c>
      <c r="E131" s="361">
        <v>0</v>
      </c>
      <c r="F131" s="364">
        <v>0</v>
      </c>
      <c r="G131" s="364">
        <v>0</v>
      </c>
    </row>
    <row r="132" spans="1:7">
      <c r="A132" s="361">
        <v>7516</v>
      </c>
      <c r="B132" s="361" t="s">
        <v>1991</v>
      </c>
      <c r="C132" s="959">
        <v>-13923.95</v>
      </c>
      <c r="D132" s="959">
        <v>3610.71</v>
      </c>
      <c r="E132" s="959">
        <v>2647.14</v>
      </c>
      <c r="F132" s="363">
        <v>8824.6</v>
      </c>
      <c r="G132" s="1100">
        <v>2598.23</v>
      </c>
    </row>
    <row r="133" spans="1:7">
      <c r="A133" s="361">
        <v>7535</v>
      </c>
      <c r="B133" s="361" t="s">
        <v>1992</v>
      </c>
      <c r="C133" s="959">
        <v>-24001.79</v>
      </c>
      <c r="D133" s="959">
        <v>2760.53</v>
      </c>
      <c r="E133" s="959">
        <v>4240.04</v>
      </c>
      <c r="F133" s="363">
        <v>3671.57</v>
      </c>
      <c r="G133" s="1100">
        <v>3287.21</v>
      </c>
    </row>
    <row r="134" spans="1:7">
      <c r="A134" s="361">
        <v>7536</v>
      </c>
      <c r="B134" s="361" t="s">
        <v>1993</v>
      </c>
      <c r="C134" s="959">
        <v>1571.79</v>
      </c>
      <c r="D134" s="959">
        <v>1571.79</v>
      </c>
      <c r="E134" s="361">
        <v>0</v>
      </c>
      <c r="F134" s="363">
        <v>3143.58</v>
      </c>
      <c r="G134" s="1100">
        <v>-1571.79</v>
      </c>
    </row>
    <row r="135" spans="1:7">
      <c r="A135" s="361">
        <v>7537</v>
      </c>
      <c r="B135" s="361" t="s">
        <v>1994</v>
      </c>
      <c r="C135" s="361">
        <v>0</v>
      </c>
      <c r="D135" s="361">
        <v>635.69000000000005</v>
      </c>
      <c r="E135" s="361">
        <v>0</v>
      </c>
      <c r="F135" s="364">
        <v>0</v>
      </c>
      <c r="G135" s="364">
        <v>0</v>
      </c>
    </row>
    <row r="136" spans="1:7">
      <c r="A136" s="361">
        <v>7539</v>
      </c>
      <c r="B136" s="361" t="s">
        <v>1995</v>
      </c>
      <c r="C136" s="959">
        <v>1050.06</v>
      </c>
      <c r="D136" s="959">
        <v>3255.94</v>
      </c>
      <c r="E136" s="959">
        <v>1417.48</v>
      </c>
      <c r="F136" s="364">
        <v>713.61</v>
      </c>
      <c r="G136" s="1098">
        <v>431.96</v>
      </c>
    </row>
    <row r="137" spans="1:7">
      <c r="A137" s="361">
        <v>7544</v>
      </c>
      <c r="B137" s="361" t="s">
        <v>1996</v>
      </c>
      <c r="C137" s="361">
        <v>0</v>
      </c>
      <c r="D137" s="361">
        <v>0</v>
      </c>
      <c r="E137" s="361">
        <v>0</v>
      </c>
      <c r="F137" s="364">
        <v>0</v>
      </c>
      <c r="G137" s="364">
        <v>0</v>
      </c>
    </row>
    <row r="138" spans="1:7">
      <c r="A138" s="361">
        <v>7545</v>
      </c>
      <c r="B138" s="361" t="s">
        <v>1997</v>
      </c>
      <c r="C138" s="361">
        <v>0</v>
      </c>
      <c r="D138" s="361">
        <v>0</v>
      </c>
      <c r="E138" s="361">
        <v>0</v>
      </c>
      <c r="F138" s="364">
        <v>0</v>
      </c>
      <c r="G138" s="364">
        <v>0</v>
      </c>
    </row>
    <row r="139" spans="1:7">
      <c r="A139" s="133"/>
      <c r="B139" s="369" t="s">
        <v>1984</v>
      </c>
      <c r="C139" s="368">
        <v>-220963.11</v>
      </c>
      <c r="D139" s="368">
        <v>20749.28</v>
      </c>
      <c r="E139" s="368">
        <v>20721.3</v>
      </c>
      <c r="F139" s="368">
        <v>30209.54</v>
      </c>
      <c r="G139" s="1103">
        <v>12708.94</v>
      </c>
    </row>
    <row r="140" spans="1:7">
      <c r="A140" s="133"/>
      <c r="B140" s="361"/>
      <c r="C140" s="361"/>
      <c r="D140" s="361"/>
      <c r="E140" s="361"/>
      <c r="F140" s="364"/>
      <c r="G140" s="364"/>
    </row>
    <row r="141" spans="1:7">
      <c r="A141" s="369" t="s">
        <v>1998</v>
      </c>
      <c r="B141" s="361"/>
      <c r="C141" s="361"/>
      <c r="D141" s="361"/>
      <c r="E141" s="361"/>
      <c r="F141" s="364"/>
      <c r="G141" s="364"/>
    </row>
    <row r="142" spans="1:7">
      <c r="A142" s="361">
        <v>7604</v>
      </c>
      <c r="B142" s="361" t="s">
        <v>1999</v>
      </c>
      <c r="C142" s="959">
        <v>27486.2</v>
      </c>
      <c r="D142" s="959">
        <v>15643.89</v>
      </c>
      <c r="E142" s="959">
        <v>9446.59</v>
      </c>
      <c r="F142" s="363">
        <v>12295.29</v>
      </c>
      <c r="G142" s="1100">
        <v>-12199.35</v>
      </c>
    </row>
    <row r="143" spans="1:7">
      <c r="A143" s="361">
        <v>7608</v>
      </c>
      <c r="B143" s="361" t="s">
        <v>2000</v>
      </c>
      <c r="C143" s="361">
        <v>0</v>
      </c>
      <c r="D143" s="361">
        <v>107.68</v>
      </c>
      <c r="E143" s="361">
        <v>104.85</v>
      </c>
      <c r="F143" s="364">
        <v>106.23</v>
      </c>
      <c r="G143" s="364">
        <v>0</v>
      </c>
    </row>
    <row r="144" spans="1:7">
      <c r="A144" s="361">
        <v>7616</v>
      </c>
      <c r="B144" s="361" t="s">
        <v>2001</v>
      </c>
      <c r="C144" s="361">
        <v>0</v>
      </c>
      <c r="D144" s="361">
        <v>0</v>
      </c>
      <c r="E144" s="361">
        <v>0</v>
      </c>
      <c r="F144" s="363">
        <v>4123.03</v>
      </c>
      <c r="G144" s="364">
        <v>0</v>
      </c>
    </row>
    <row r="145" spans="1:7">
      <c r="A145" s="361">
        <v>7625</v>
      </c>
      <c r="B145" s="361" t="s">
        <v>2002</v>
      </c>
      <c r="C145" s="361">
        <v>0</v>
      </c>
      <c r="D145" s="361">
        <v>0</v>
      </c>
      <c r="E145" s="361">
        <v>0</v>
      </c>
      <c r="F145" s="364">
        <v>0</v>
      </c>
      <c r="G145" s="364">
        <v>0</v>
      </c>
    </row>
    <row r="146" spans="1:7">
      <c r="A146" s="361">
        <v>7628</v>
      </c>
      <c r="B146" s="361" t="s">
        <v>2003</v>
      </c>
      <c r="C146" s="361">
        <v>0</v>
      </c>
      <c r="D146" s="361">
        <v>399.45</v>
      </c>
      <c r="E146" s="361">
        <v>486.94</v>
      </c>
      <c r="F146" s="364">
        <v>496.84</v>
      </c>
      <c r="G146" s="1098">
        <v>4.32</v>
      </c>
    </row>
    <row r="147" spans="1:7">
      <c r="A147" s="361">
        <v>7632</v>
      </c>
      <c r="B147" s="361" t="s">
        <v>2004</v>
      </c>
      <c r="C147" s="361">
        <v>0</v>
      </c>
      <c r="D147" s="959">
        <v>1670.17</v>
      </c>
      <c r="E147" s="361">
        <v>595.05999999999995</v>
      </c>
      <c r="F147" s="363">
        <v>1035.8699999999999</v>
      </c>
      <c r="G147" s="364">
        <v>0</v>
      </c>
    </row>
    <row r="148" spans="1:7">
      <c r="A148" s="361">
        <v>7650</v>
      </c>
      <c r="B148" s="361" t="s">
        <v>2005</v>
      </c>
      <c r="C148" s="959">
        <v>1000</v>
      </c>
      <c r="D148" s="959">
        <v>2500</v>
      </c>
      <c r="E148" s="361">
        <v>0</v>
      </c>
      <c r="F148" s="364">
        <v>0</v>
      </c>
      <c r="G148" s="364">
        <v>0</v>
      </c>
    </row>
    <row r="149" spans="1:7">
      <c r="A149" s="361">
        <v>7656</v>
      </c>
      <c r="B149" s="361" t="s">
        <v>2006</v>
      </c>
      <c r="C149" s="361">
        <v>0</v>
      </c>
      <c r="D149" s="361">
        <v>75.27</v>
      </c>
      <c r="E149" s="361">
        <v>474.26</v>
      </c>
      <c r="F149" s="364">
        <v>74.260000000000005</v>
      </c>
      <c r="G149" s="364">
        <v>200</v>
      </c>
    </row>
    <row r="150" spans="1:7">
      <c r="A150" s="361">
        <v>7660</v>
      </c>
      <c r="B150" s="361" t="s">
        <v>2007</v>
      </c>
      <c r="C150" s="361">
        <v>575.05999999999995</v>
      </c>
      <c r="D150" s="361">
        <v>196.03</v>
      </c>
      <c r="E150" s="361">
        <v>635.69000000000005</v>
      </c>
      <c r="F150" s="364">
        <v>925.37</v>
      </c>
      <c r="G150" s="364">
        <v>0</v>
      </c>
    </row>
    <row r="151" spans="1:7">
      <c r="A151" s="133"/>
      <c r="B151" s="369" t="s">
        <v>1998</v>
      </c>
      <c r="C151" s="368">
        <v>29061.26</v>
      </c>
      <c r="D151" s="368">
        <v>20592.490000000002</v>
      </c>
      <c r="E151" s="368">
        <v>11743.39</v>
      </c>
      <c r="F151" s="368">
        <v>19056.89</v>
      </c>
      <c r="G151" s="1103">
        <v>-11995.03</v>
      </c>
    </row>
    <row r="152" spans="1:7">
      <c r="A152" s="133"/>
      <c r="B152" s="361"/>
      <c r="C152" s="361"/>
      <c r="D152" s="361"/>
      <c r="E152" s="361"/>
      <c r="F152" s="361"/>
      <c r="G152" s="364"/>
    </row>
    <row r="153" spans="1:7">
      <c r="A153" s="369" t="s">
        <v>2008</v>
      </c>
      <c r="B153" s="361"/>
      <c r="C153" s="361"/>
      <c r="D153" s="361"/>
      <c r="E153" s="361"/>
      <c r="F153" s="364"/>
      <c r="G153" s="364"/>
    </row>
    <row r="154" spans="1:7">
      <c r="A154" s="361">
        <v>7704</v>
      </c>
      <c r="B154" s="361" t="s">
        <v>2009</v>
      </c>
      <c r="C154" s="361">
        <v>824.14</v>
      </c>
      <c r="D154" s="959">
        <v>1500</v>
      </c>
      <c r="E154" s="361">
        <v>799.51</v>
      </c>
      <c r="F154" s="363">
        <v>2024.16</v>
      </c>
      <c r="G154" s="1100">
        <v>3211.06</v>
      </c>
    </row>
    <row r="155" spans="1:7">
      <c r="A155" s="361">
        <v>7708</v>
      </c>
      <c r="B155" s="361" t="s">
        <v>2010</v>
      </c>
      <c r="C155" s="959">
        <v>1252.7</v>
      </c>
      <c r="D155" s="361">
        <v>17.309999999999999</v>
      </c>
      <c r="E155" s="361">
        <v>7.57</v>
      </c>
      <c r="F155" s="364">
        <v>38.96</v>
      </c>
      <c r="G155" s="364">
        <v>0</v>
      </c>
    </row>
    <row r="156" spans="1:7">
      <c r="A156" s="361">
        <v>7711</v>
      </c>
      <c r="B156" s="361" t="s">
        <v>2011</v>
      </c>
      <c r="C156" s="361">
        <v>0</v>
      </c>
      <c r="D156" s="361">
        <v>393.77</v>
      </c>
      <c r="E156" s="361">
        <v>252.17</v>
      </c>
      <c r="F156" s="364">
        <v>0</v>
      </c>
      <c r="G156" s="364">
        <v>0</v>
      </c>
    </row>
    <row r="157" spans="1:7">
      <c r="A157" s="361">
        <v>7712</v>
      </c>
      <c r="B157" s="361" t="s">
        <v>2012</v>
      </c>
      <c r="C157" s="361">
        <v>244.8</v>
      </c>
      <c r="D157" s="361">
        <v>0</v>
      </c>
      <c r="E157" s="361">
        <v>0</v>
      </c>
      <c r="F157" s="364">
        <v>0</v>
      </c>
      <c r="G157" s="364">
        <v>0</v>
      </c>
    </row>
    <row r="158" spans="1:7">
      <c r="A158" s="361">
        <v>7720</v>
      </c>
      <c r="B158" s="361" t="s">
        <v>2013</v>
      </c>
      <c r="C158" s="361">
        <v>0</v>
      </c>
      <c r="D158" s="361">
        <v>0</v>
      </c>
      <c r="E158" s="361">
        <v>116.17</v>
      </c>
      <c r="F158" s="364">
        <v>457.63</v>
      </c>
      <c r="G158" s="364">
        <v>0</v>
      </c>
    </row>
    <row r="159" spans="1:7">
      <c r="A159" s="361">
        <v>7735</v>
      </c>
      <c r="B159" s="361" t="s">
        <v>2014</v>
      </c>
      <c r="C159" s="959">
        <v>5608.99</v>
      </c>
      <c r="D159" s="959">
        <v>7514.16</v>
      </c>
      <c r="E159" s="959">
        <v>6315.3</v>
      </c>
      <c r="F159" s="363">
        <v>6433.89</v>
      </c>
      <c r="G159" s="1100">
        <v>5975.54</v>
      </c>
    </row>
    <row r="160" spans="1:7">
      <c r="A160" s="361">
        <v>7744</v>
      </c>
      <c r="B160" s="361" t="s">
        <v>2015</v>
      </c>
      <c r="C160" s="361">
        <v>488.58</v>
      </c>
      <c r="D160" s="959">
        <v>1525.66</v>
      </c>
      <c r="E160" s="959">
        <v>1696.55</v>
      </c>
      <c r="F160" s="363">
        <v>10577.88</v>
      </c>
      <c r="G160" s="1098">
        <v>367.92</v>
      </c>
    </row>
    <row r="161" spans="1:7">
      <c r="A161" s="361">
        <v>7746</v>
      </c>
      <c r="B161" s="361" t="s">
        <v>2016</v>
      </c>
      <c r="C161" s="361">
        <v>288.38</v>
      </c>
      <c r="D161" s="361">
        <v>739.08</v>
      </c>
      <c r="E161" s="959">
        <v>1821.89</v>
      </c>
      <c r="F161" s="363">
        <v>2801.28</v>
      </c>
      <c r="G161" s="1100">
        <v>2111.4299999999998</v>
      </c>
    </row>
    <row r="162" spans="1:7">
      <c r="A162" s="361">
        <v>7747</v>
      </c>
      <c r="B162" s="361" t="s">
        <v>2017</v>
      </c>
      <c r="C162" s="959">
        <v>11963.99</v>
      </c>
      <c r="D162" s="959">
        <v>12000</v>
      </c>
      <c r="E162" s="361">
        <v>530.30999999999995</v>
      </c>
      <c r="F162" s="363">
        <v>22789.11</v>
      </c>
      <c r="G162" s="364">
        <v>0</v>
      </c>
    </row>
    <row r="163" spans="1:7">
      <c r="A163" s="361">
        <v>7749</v>
      </c>
      <c r="B163" s="361" t="s">
        <v>2018</v>
      </c>
      <c r="C163" s="361">
        <v>0</v>
      </c>
      <c r="D163" s="361">
        <v>0</v>
      </c>
      <c r="E163" s="361">
        <v>0</v>
      </c>
      <c r="F163" s="364">
        <v>0</v>
      </c>
      <c r="G163" s="364">
        <v>0</v>
      </c>
    </row>
    <row r="164" spans="1:7">
      <c r="A164" s="361">
        <v>7750</v>
      </c>
      <c r="B164" s="361" t="s">
        <v>2019</v>
      </c>
      <c r="C164" s="361">
        <v>0</v>
      </c>
      <c r="D164" s="959">
        <v>8000</v>
      </c>
      <c r="E164" s="361">
        <v>460.55</v>
      </c>
      <c r="F164" s="364">
        <v>0</v>
      </c>
      <c r="G164" s="364">
        <v>0</v>
      </c>
    </row>
    <row r="165" spans="1:7">
      <c r="A165" s="361">
        <v>7751</v>
      </c>
      <c r="B165" s="361" t="s">
        <v>2020</v>
      </c>
      <c r="C165" s="361">
        <v>0</v>
      </c>
      <c r="D165" s="959">
        <v>6503.23</v>
      </c>
      <c r="E165" s="959">
        <v>4200</v>
      </c>
      <c r="F165" s="363">
        <v>4200</v>
      </c>
      <c r="G165" s="1100">
        <v>4200</v>
      </c>
    </row>
    <row r="166" spans="1:7">
      <c r="A166" s="361">
        <v>7752</v>
      </c>
      <c r="B166" s="361" t="s">
        <v>2021</v>
      </c>
      <c r="C166" s="361">
        <v>0</v>
      </c>
      <c r="D166" s="361">
        <v>0</v>
      </c>
      <c r="E166" s="361">
        <v>0</v>
      </c>
      <c r="F166" s="364">
        <v>0</v>
      </c>
      <c r="G166" s="364">
        <v>0</v>
      </c>
    </row>
    <row r="167" spans="1:7">
      <c r="A167" s="361">
        <v>7780</v>
      </c>
      <c r="B167" s="361" t="s">
        <v>2022</v>
      </c>
      <c r="C167" s="959">
        <v>3283.41</v>
      </c>
      <c r="D167" s="361">
        <v>0</v>
      </c>
      <c r="E167" s="361">
        <v>0</v>
      </c>
      <c r="F167" s="364">
        <v>0</v>
      </c>
      <c r="G167" s="364">
        <v>0</v>
      </c>
    </row>
    <row r="168" spans="1:7">
      <c r="A168" s="361">
        <v>7782</v>
      </c>
      <c r="B168" s="361" t="s">
        <v>2023</v>
      </c>
      <c r="C168" s="361">
        <v>0</v>
      </c>
      <c r="D168" s="361">
        <v>553.86</v>
      </c>
      <c r="E168" s="361">
        <v>0</v>
      </c>
      <c r="F168" s="364">
        <v>0</v>
      </c>
      <c r="G168" s="364">
        <v>0</v>
      </c>
    </row>
    <row r="169" spans="1:7">
      <c r="A169" s="361">
        <v>7798</v>
      </c>
      <c r="B169" s="361" t="s">
        <v>2024</v>
      </c>
      <c r="C169" s="361">
        <v>313.63</v>
      </c>
      <c r="D169" s="361">
        <v>445</v>
      </c>
      <c r="E169" s="361">
        <v>75</v>
      </c>
      <c r="F169" s="364">
        <v>75</v>
      </c>
      <c r="G169" s="1098">
        <v>75</v>
      </c>
    </row>
    <row r="170" spans="1:7">
      <c r="A170" s="361">
        <v>7801</v>
      </c>
      <c r="B170" s="361" t="s">
        <v>2025</v>
      </c>
      <c r="C170" s="361">
        <v>0</v>
      </c>
      <c r="D170" s="361">
        <v>0</v>
      </c>
      <c r="E170" s="361">
        <v>0</v>
      </c>
      <c r="F170" s="364">
        <v>0</v>
      </c>
      <c r="G170" s="364">
        <v>0</v>
      </c>
    </row>
    <row r="171" spans="1:7">
      <c r="A171" s="133"/>
      <c r="B171" s="369" t="s">
        <v>2008</v>
      </c>
      <c r="C171" s="368">
        <v>24268.62</v>
      </c>
      <c r="D171" s="368">
        <v>39192.07</v>
      </c>
      <c r="E171" s="368">
        <v>16275.02</v>
      </c>
      <c r="F171" s="368">
        <v>49397.91</v>
      </c>
      <c r="G171" s="1103">
        <v>15940.95</v>
      </c>
    </row>
    <row r="172" spans="1:7">
      <c r="A172" s="133"/>
      <c r="B172" s="361"/>
      <c r="C172" s="361"/>
      <c r="D172" s="361"/>
      <c r="E172" s="361"/>
      <c r="F172" s="364"/>
      <c r="G172" s="364"/>
    </row>
    <row r="173" spans="1:7">
      <c r="A173" s="369" t="s">
        <v>2026</v>
      </c>
      <c r="B173" s="361"/>
      <c r="C173" s="361"/>
      <c r="D173" s="361"/>
      <c r="E173" s="361"/>
      <c r="F173" s="364"/>
      <c r="G173" s="364"/>
    </row>
    <row r="174" spans="1:7">
      <c r="A174" s="361">
        <v>8101</v>
      </c>
      <c r="B174" s="361" t="s">
        <v>2027</v>
      </c>
      <c r="C174" s="959">
        <v>27092.01</v>
      </c>
      <c r="D174" s="959">
        <v>41851.660000000003</v>
      </c>
      <c r="E174" s="959">
        <v>40187.21</v>
      </c>
      <c r="F174" s="363">
        <v>38863.85</v>
      </c>
      <c r="G174" s="364">
        <v>0</v>
      </c>
    </row>
    <row r="175" spans="1:7">
      <c r="A175" s="133"/>
      <c r="B175" s="369" t="s">
        <v>2026</v>
      </c>
      <c r="C175" s="368">
        <v>27092.01</v>
      </c>
      <c r="D175" s="368">
        <v>41851.660000000003</v>
      </c>
      <c r="E175" s="368">
        <v>40187.21</v>
      </c>
      <c r="F175" s="368">
        <v>38863.85</v>
      </c>
      <c r="G175" s="964">
        <v>0</v>
      </c>
    </row>
    <row r="176" spans="1:7">
      <c r="A176" s="133"/>
      <c r="B176" s="361"/>
      <c r="C176" s="361"/>
      <c r="D176" s="361"/>
      <c r="E176" s="361"/>
      <c r="F176" s="361"/>
      <c r="G176" s="364"/>
    </row>
    <row r="177" spans="1:7">
      <c r="A177" s="369" t="s">
        <v>2028</v>
      </c>
      <c r="B177" s="361"/>
      <c r="C177" s="361"/>
      <c r="D177" s="361"/>
      <c r="E177" s="361"/>
      <c r="F177" s="361"/>
      <c r="G177" s="364"/>
    </row>
    <row r="178" spans="1:7">
      <c r="A178" s="361">
        <v>8201</v>
      </c>
      <c r="B178" s="361" t="s">
        <v>2029</v>
      </c>
      <c r="C178" s="959">
        <v>77294.25</v>
      </c>
      <c r="D178" s="959">
        <v>55612.99</v>
      </c>
      <c r="E178" s="959">
        <v>55612.99</v>
      </c>
      <c r="F178" s="363">
        <v>55612.99</v>
      </c>
      <c r="G178" s="364">
        <v>0</v>
      </c>
    </row>
    <row r="179" spans="1:7">
      <c r="A179" s="361">
        <v>8302</v>
      </c>
      <c r="B179" s="361" t="s">
        <v>2030</v>
      </c>
      <c r="C179" s="959">
        <v>164350.10999999999</v>
      </c>
      <c r="D179" s="959">
        <v>164350.10999999999</v>
      </c>
      <c r="E179" s="959">
        <v>164350.10999999999</v>
      </c>
      <c r="F179" s="363">
        <v>164350.10999999999</v>
      </c>
      <c r="G179" s="364">
        <v>0</v>
      </c>
    </row>
    <row r="180" spans="1:7">
      <c r="A180" s="361">
        <v>8403</v>
      </c>
      <c r="B180" s="361" t="s">
        <v>2031</v>
      </c>
      <c r="C180" s="959">
        <v>6529.64</v>
      </c>
      <c r="D180" s="959">
        <v>3000</v>
      </c>
      <c r="E180" s="959">
        <v>3000</v>
      </c>
      <c r="F180" s="363">
        <v>3000</v>
      </c>
      <c r="G180" s="364">
        <v>0</v>
      </c>
    </row>
    <row r="181" spans="1:7">
      <c r="A181" s="133"/>
      <c r="B181" s="369" t="s">
        <v>2028</v>
      </c>
      <c r="C181" s="368">
        <v>248174</v>
      </c>
      <c r="D181" s="368">
        <v>222963.1</v>
      </c>
      <c r="E181" s="368">
        <v>222963.1</v>
      </c>
      <c r="F181" s="368">
        <v>222963.1</v>
      </c>
      <c r="G181" s="964">
        <v>0</v>
      </c>
    </row>
    <row r="182" spans="1:7">
      <c r="A182" s="133"/>
      <c r="B182" s="361"/>
      <c r="C182" s="361"/>
      <c r="D182" s="361"/>
      <c r="E182" s="361"/>
      <c r="F182" s="361"/>
      <c r="G182" s="364"/>
    </row>
    <row r="183" spans="1:7">
      <c r="A183" s="133"/>
      <c r="B183" s="369" t="s">
        <v>1943</v>
      </c>
      <c r="C183" s="368">
        <v>316116.75</v>
      </c>
      <c r="D183" s="368">
        <v>592325.57999999996</v>
      </c>
      <c r="E183" s="368">
        <v>660408.22</v>
      </c>
      <c r="F183" s="368">
        <v>678780</v>
      </c>
      <c r="G183" s="1103">
        <v>154332.04999999999</v>
      </c>
    </row>
    <row r="184" spans="1:7">
      <c r="A184" s="133"/>
      <c r="B184" s="361"/>
      <c r="C184" s="361"/>
      <c r="D184" s="361"/>
      <c r="E184" s="361"/>
      <c r="F184" s="361"/>
      <c r="G184" s="364"/>
    </row>
    <row r="185" spans="1:7">
      <c r="A185" s="133"/>
      <c r="B185" s="369" t="s">
        <v>2032</v>
      </c>
      <c r="C185" s="368">
        <v>524039.9</v>
      </c>
      <c r="D185" s="368">
        <v>265903.07</v>
      </c>
      <c r="E185" s="368">
        <v>143954.23999999999</v>
      </c>
      <c r="F185" s="368">
        <v>97722.31</v>
      </c>
      <c r="G185" s="1103">
        <v>725394.66</v>
      </c>
    </row>
    <row r="186" spans="1:7">
      <c r="A186" s="133"/>
      <c r="B186" s="361"/>
      <c r="C186" s="361"/>
      <c r="D186" s="361"/>
      <c r="E186" s="361"/>
      <c r="F186" s="364"/>
      <c r="G186" s="364"/>
    </row>
    <row r="187" spans="1:7">
      <c r="A187" s="369" t="s">
        <v>2033</v>
      </c>
      <c r="B187" s="361"/>
      <c r="C187" s="361"/>
      <c r="D187" s="361"/>
      <c r="E187" s="361"/>
      <c r="F187" s="364"/>
      <c r="G187" s="364"/>
    </row>
    <row r="188" spans="1:7">
      <c r="A188" s="369" t="s">
        <v>2034</v>
      </c>
      <c r="B188" s="361"/>
      <c r="C188" s="361"/>
      <c r="D188" s="361"/>
      <c r="E188" s="361"/>
      <c r="F188" s="364"/>
      <c r="G188" s="364"/>
    </row>
    <row r="189" spans="1:7">
      <c r="A189" s="369" t="s">
        <v>2035</v>
      </c>
      <c r="B189" s="361"/>
      <c r="C189" s="361"/>
      <c r="D189" s="361"/>
      <c r="E189" s="361"/>
      <c r="F189" s="361"/>
      <c r="G189" s="364"/>
    </row>
    <row r="190" spans="1:7">
      <c r="A190" s="361">
        <v>9402</v>
      </c>
      <c r="B190" s="361" t="s">
        <v>2036</v>
      </c>
      <c r="C190" s="959">
        <v>4177.74</v>
      </c>
      <c r="D190" s="361">
        <v>0</v>
      </c>
      <c r="E190" s="959">
        <v>3872.81</v>
      </c>
      <c r="F190" s="364">
        <v>0</v>
      </c>
      <c r="G190" s="1098">
        <v>0</v>
      </c>
    </row>
    <row r="191" spans="1:7">
      <c r="A191" s="361">
        <v>9446</v>
      </c>
      <c r="B191" s="361" t="s">
        <v>2037</v>
      </c>
      <c r="C191" s="361">
        <v>0</v>
      </c>
      <c r="D191" s="361">
        <v>0</v>
      </c>
      <c r="E191" s="361">
        <v>449.24</v>
      </c>
      <c r="F191" s="364">
        <v>0</v>
      </c>
      <c r="G191" s="1098">
        <v>0</v>
      </c>
    </row>
    <row r="192" spans="1:7">
      <c r="A192" s="361">
        <v>9450</v>
      </c>
      <c r="B192" s="361" t="s">
        <v>2038</v>
      </c>
      <c r="C192" s="361">
        <v>0</v>
      </c>
      <c r="D192" s="361">
        <v>0</v>
      </c>
      <c r="E192" s="361">
        <v>0</v>
      </c>
      <c r="F192" s="363">
        <v>1827.69</v>
      </c>
      <c r="G192" s="1098">
        <v>0</v>
      </c>
    </row>
    <row r="193" spans="1:7">
      <c r="A193" s="361">
        <v>9451</v>
      </c>
      <c r="B193" s="361" t="s">
        <v>2039</v>
      </c>
      <c r="C193" s="959">
        <v>51687.79</v>
      </c>
      <c r="D193" s="361">
        <v>748.11</v>
      </c>
      <c r="E193" s="959">
        <v>6717.54</v>
      </c>
      <c r="F193" s="363">
        <v>2165.56</v>
      </c>
      <c r="G193" s="1098">
        <v>0</v>
      </c>
    </row>
    <row r="194" spans="1:7">
      <c r="A194" s="361">
        <v>9453</v>
      </c>
      <c r="B194" s="361" t="s">
        <v>2040</v>
      </c>
      <c r="C194" s="361">
        <v>0</v>
      </c>
      <c r="D194" s="361">
        <v>0</v>
      </c>
      <c r="E194" s="959">
        <v>8095.43</v>
      </c>
      <c r="F194" s="363">
        <v>4478.13</v>
      </c>
      <c r="G194" s="1100">
        <v>2227.56</v>
      </c>
    </row>
    <row r="195" spans="1:7">
      <c r="A195" s="361">
        <v>9454</v>
      </c>
      <c r="B195" s="361" t="s">
        <v>2041</v>
      </c>
      <c r="C195" s="361">
        <v>0</v>
      </c>
      <c r="D195" s="959">
        <v>7073.35</v>
      </c>
      <c r="E195" s="959">
        <v>5360</v>
      </c>
      <c r="F195" s="364">
        <v>0</v>
      </c>
      <c r="G195" s="1098">
        <v>0</v>
      </c>
    </row>
    <row r="196" spans="1:7">
      <c r="A196" s="361">
        <v>9455</v>
      </c>
      <c r="B196" s="361" t="s">
        <v>2042</v>
      </c>
      <c r="C196" s="361">
        <v>0</v>
      </c>
      <c r="D196" s="361">
        <v>0</v>
      </c>
      <c r="E196" s="959">
        <v>5258.01</v>
      </c>
      <c r="F196" s="363">
        <v>4173.8500000000004</v>
      </c>
      <c r="G196" s="1098">
        <v>633.17999999999995</v>
      </c>
    </row>
    <row r="197" spans="1:7">
      <c r="A197" s="361">
        <v>9456</v>
      </c>
      <c r="B197" s="361" t="s">
        <v>2043</v>
      </c>
      <c r="C197" s="959">
        <v>14452.85</v>
      </c>
      <c r="D197" s="959">
        <v>1299.79</v>
      </c>
      <c r="E197" s="959">
        <v>1400.29</v>
      </c>
      <c r="F197" s="364">
        <v>541.71</v>
      </c>
      <c r="G197" s="1098">
        <v>0</v>
      </c>
    </row>
    <row r="198" spans="1:7">
      <c r="A198" s="361">
        <v>9457</v>
      </c>
      <c r="B198" s="361" t="s">
        <v>2044</v>
      </c>
      <c r="C198" s="361">
        <v>0</v>
      </c>
      <c r="D198" s="959">
        <v>4911</v>
      </c>
      <c r="E198" s="959">
        <v>2117</v>
      </c>
      <c r="F198" s="364">
        <v>0</v>
      </c>
      <c r="G198" s="1100">
        <v>2585</v>
      </c>
    </row>
    <row r="199" spans="1:7">
      <c r="A199" s="361">
        <v>9458</v>
      </c>
      <c r="B199" s="361" t="s">
        <v>2045</v>
      </c>
      <c r="C199" s="959">
        <v>24612.77</v>
      </c>
      <c r="D199" s="361">
        <v>0</v>
      </c>
      <c r="E199" s="959">
        <v>1056</v>
      </c>
      <c r="F199" s="364">
        <v>0</v>
      </c>
      <c r="G199" s="1100">
        <v>2350</v>
      </c>
    </row>
    <row r="200" spans="1:7">
      <c r="A200" s="361">
        <v>9460</v>
      </c>
      <c r="B200" s="361" t="s">
        <v>2046</v>
      </c>
      <c r="C200" s="361">
        <v>0</v>
      </c>
      <c r="D200" s="361">
        <v>133.4</v>
      </c>
      <c r="E200" s="361">
        <v>694.67</v>
      </c>
      <c r="F200" s="364">
        <v>0</v>
      </c>
      <c r="G200" s="1098">
        <v>0</v>
      </c>
    </row>
    <row r="201" spans="1:7">
      <c r="A201" s="361">
        <v>9461</v>
      </c>
      <c r="B201" s="361" t="s">
        <v>2047</v>
      </c>
      <c r="C201" s="959">
        <v>35058.69</v>
      </c>
      <c r="D201" s="361">
        <v>511.96</v>
      </c>
      <c r="E201" s="361">
        <v>0</v>
      </c>
      <c r="F201" s="364">
        <v>0</v>
      </c>
      <c r="G201" s="1098">
        <v>0</v>
      </c>
    </row>
    <row r="202" spans="1:7">
      <c r="A202" s="361"/>
      <c r="B202" s="361"/>
      <c r="C202" s="959"/>
      <c r="D202" s="361"/>
      <c r="E202" s="361"/>
      <c r="F202" s="363">
        <v>10758.92</v>
      </c>
      <c r="G202" s="1098">
        <v>-387.07</v>
      </c>
    </row>
    <row r="203" spans="1:7">
      <c r="A203" s="361">
        <v>9463</v>
      </c>
      <c r="B203" s="361" t="s">
        <v>2048</v>
      </c>
      <c r="C203" s="959">
        <v>105359.32</v>
      </c>
      <c r="D203" s="959">
        <v>8803.9599999999991</v>
      </c>
      <c r="E203" s="959">
        <v>7199.55</v>
      </c>
      <c r="F203" s="364">
        <v>250</v>
      </c>
      <c r="G203" s="1098">
        <v>0</v>
      </c>
    </row>
    <row r="204" spans="1:7">
      <c r="A204" s="361">
        <v>9472</v>
      </c>
      <c r="B204" s="361" t="s">
        <v>2049</v>
      </c>
      <c r="C204" s="361">
        <v>0</v>
      </c>
      <c r="D204" s="361">
        <v>0</v>
      </c>
      <c r="E204" s="959">
        <v>4394.1099999999997</v>
      </c>
      <c r="F204" s="363">
        <v>4862.38</v>
      </c>
      <c r="G204" s="1100">
        <v>1517.67</v>
      </c>
    </row>
    <row r="205" spans="1:7">
      <c r="A205" s="361">
        <v>9473</v>
      </c>
      <c r="B205" s="361" t="s">
        <v>2050</v>
      </c>
      <c r="C205" s="959">
        <v>21959.5</v>
      </c>
      <c r="D205" s="959">
        <v>5915</v>
      </c>
      <c r="E205" s="959">
        <v>10611.35</v>
      </c>
      <c r="F205" s="363">
        <v>14500</v>
      </c>
      <c r="G205" s="1100">
        <v>4345</v>
      </c>
    </row>
    <row r="206" spans="1:7">
      <c r="A206" s="361">
        <v>9478</v>
      </c>
      <c r="B206" s="361" t="s">
        <v>2051</v>
      </c>
      <c r="C206" s="959">
        <v>-257308.66</v>
      </c>
      <c r="D206" s="959">
        <v>-33396.57</v>
      </c>
      <c r="E206" s="959">
        <v>-57226</v>
      </c>
      <c r="F206" s="363">
        <v>-43558.239999999998</v>
      </c>
      <c r="G206" s="1098">
        <v>0</v>
      </c>
    </row>
    <row r="207" spans="1:7">
      <c r="A207" s="361">
        <v>9479</v>
      </c>
      <c r="B207" s="361" t="s">
        <v>2052</v>
      </c>
      <c r="C207" s="361">
        <v>0</v>
      </c>
      <c r="D207" s="959">
        <v>4000</v>
      </c>
      <c r="E207" s="361">
        <v>0</v>
      </c>
      <c r="F207" s="364">
        <v>0</v>
      </c>
      <c r="G207" s="1098">
        <v>0</v>
      </c>
    </row>
    <row r="208" spans="1:7">
      <c r="A208" s="133"/>
      <c r="B208" s="369" t="s">
        <v>2035</v>
      </c>
      <c r="C208" s="964">
        <v>0</v>
      </c>
      <c r="D208" s="964">
        <v>0</v>
      </c>
      <c r="E208" s="964">
        <v>0</v>
      </c>
      <c r="F208" s="964">
        <v>0</v>
      </c>
      <c r="G208" s="1103">
        <v>13271.34</v>
      </c>
    </row>
    <row r="209" spans="1:7">
      <c r="A209" s="133"/>
      <c r="B209" s="361"/>
      <c r="C209" s="361"/>
      <c r="D209" s="361"/>
      <c r="E209" s="361"/>
      <c r="F209" s="364"/>
      <c r="G209" s="364"/>
    </row>
    <row r="210" spans="1:7">
      <c r="A210" s="369" t="s">
        <v>2053</v>
      </c>
      <c r="B210" s="361"/>
      <c r="C210" s="361"/>
      <c r="D210" s="361"/>
      <c r="E210" s="361"/>
      <c r="F210" s="364"/>
      <c r="G210" s="364"/>
    </row>
    <row r="211" spans="1:7">
      <c r="A211" s="361">
        <v>9602</v>
      </c>
      <c r="B211" s="361" t="s">
        <v>2054</v>
      </c>
      <c r="C211" s="361">
        <v>314</v>
      </c>
      <c r="D211" s="361">
        <v>0</v>
      </c>
      <c r="E211" s="361">
        <v>0</v>
      </c>
      <c r="F211" s="361">
        <v>0</v>
      </c>
      <c r="G211" s="1098">
        <v>0</v>
      </c>
    </row>
    <row r="212" spans="1:7">
      <c r="A212" s="361">
        <v>9674</v>
      </c>
      <c r="B212" s="361" t="s">
        <v>2055</v>
      </c>
      <c r="C212" s="959">
        <v>9214.5</v>
      </c>
      <c r="D212" s="361">
        <v>0</v>
      </c>
      <c r="E212" s="361">
        <v>0</v>
      </c>
      <c r="F212" s="361">
        <v>0</v>
      </c>
      <c r="G212" s="1098">
        <v>0</v>
      </c>
    </row>
    <row r="213" spans="1:7">
      <c r="A213" s="361">
        <v>9678</v>
      </c>
      <c r="B213" s="361" t="s">
        <v>2056</v>
      </c>
      <c r="C213" s="959">
        <v>-98278.59</v>
      </c>
      <c r="D213" s="361">
        <v>0</v>
      </c>
      <c r="E213" s="361">
        <v>0</v>
      </c>
      <c r="F213" s="361">
        <v>0</v>
      </c>
      <c r="G213" s="1098">
        <v>0</v>
      </c>
    </row>
    <row r="214" spans="1:7">
      <c r="A214" s="133"/>
      <c r="B214" s="369" t="s">
        <v>2053</v>
      </c>
      <c r="C214" s="368">
        <v>-88750.09</v>
      </c>
      <c r="D214" s="964">
        <v>0</v>
      </c>
      <c r="E214" s="964">
        <v>0</v>
      </c>
      <c r="F214" s="964">
        <v>0</v>
      </c>
      <c r="G214" s="1102">
        <v>0</v>
      </c>
    </row>
    <row r="215" spans="1:7">
      <c r="A215" s="133"/>
      <c r="B215" s="361"/>
      <c r="C215" s="361"/>
      <c r="D215" s="361"/>
      <c r="E215" s="361"/>
      <c r="F215" s="361"/>
      <c r="G215" s="1098"/>
    </row>
    <row r="216" spans="1:7">
      <c r="A216" s="133"/>
      <c r="B216" s="369" t="s">
        <v>2034</v>
      </c>
      <c r="C216" s="368">
        <v>-88750.09</v>
      </c>
      <c r="D216" s="964">
        <v>0</v>
      </c>
      <c r="E216" s="964">
        <v>0</v>
      </c>
      <c r="F216" s="964">
        <v>0</v>
      </c>
      <c r="G216" s="1103">
        <v>13271.34</v>
      </c>
    </row>
    <row r="217" spans="1:7">
      <c r="A217" s="133"/>
      <c r="B217" s="361"/>
      <c r="C217" s="361"/>
      <c r="D217" s="361"/>
      <c r="E217" s="361"/>
      <c r="F217" s="364"/>
      <c r="G217" s="1098"/>
    </row>
    <row r="218" spans="1:7">
      <c r="A218" s="369" t="s">
        <v>2057</v>
      </c>
      <c r="B218" s="361"/>
      <c r="C218" s="361"/>
      <c r="D218" s="361"/>
      <c r="E218" s="361"/>
      <c r="F218" s="364"/>
      <c r="G218" s="1098"/>
    </row>
    <row r="219" spans="1:7">
      <c r="A219" s="361">
        <v>8901</v>
      </c>
      <c r="B219" s="361" t="s">
        <v>2058</v>
      </c>
      <c r="C219" s="959">
        <v>397476.46</v>
      </c>
      <c r="D219" s="959">
        <v>397476.46</v>
      </c>
      <c r="E219" s="959">
        <v>359011</v>
      </c>
      <c r="F219" s="363">
        <v>397476.46</v>
      </c>
      <c r="G219" s="1098">
        <v>0</v>
      </c>
    </row>
    <row r="220" spans="1:7">
      <c r="A220" s="361">
        <v>8910</v>
      </c>
      <c r="B220" s="361" t="s">
        <v>2059</v>
      </c>
      <c r="C220" s="959">
        <v>-80452.41</v>
      </c>
      <c r="D220" s="959">
        <v>-67179.12</v>
      </c>
      <c r="E220" s="959">
        <v>-59262.1</v>
      </c>
      <c r="F220" s="363">
        <v>-65387.68</v>
      </c>
      <c r="G220" s="1098">
        <v>0</v>
      </c>
    </row>
    <row r="221" spans="1:7">
      <c r="A221" s="133"/>
      <c r="B221" s="369" t="s">
        <v>2057</v>
      </c>
      <c r="C221" s="368">
        <v>317024.05</v>
      </c>
      <c r="D221" s="368">
        <v>330297.34000000003</v>
      </c>
      <c r="E221" s="368">
        <v>299748.90000000002</v>
      </c>
      <c r="F221" s="368">
        <v>332088.78000000003</v>
      </c>
      <c r="G221" s="1102">
        <v>0</v>
      </c>
    </row>
    <row r="222" spans="1:7">
      <c r="A222" s="133"/>
      <c r="B222" s="361"/>
      <c r="C222" s="361"/>
      <c r="D222" s="361"/>
      <c r="E222" s="361"/>
      <c r="F222" s="364"/>
      <c r="G222" s="1098"/>
    </row>
    <row r="223" spans="1:7">
      <c r="A223" s="369" t="s">
        <v>2060</v>
      </c>
      <c r="B223" s="369"/>
      <c r="C223" s="361"/>
      <c r="D223" s="361"/>
      <c r="E223" s="361"/>
      <c r="F223" s="364"/>
      <c r="G223" s="1098"/>
    </row>
    <row r="224" spans="1:7">
      <c r="A224" s="361">
        <v>9760</v>
      </c>
      <c r="B224" s="361" t="s">
        <v>2061</v>
      </c>
      <c r="C224" s="361">
        <v>-157.34</v>
      </c>
      <c r="D224" s="361">
        <v>0</v>
      </c>
      <c r="E224" s="361">
        <v>0</v>
      </c>
      <c r="F224" s="364">
        <v>0</v>
      </c>
      <c r="G224" s="1098">
        <v>0</v>
      </c>
    </row>
    <row r="225" spans="1:7">
      <c r="A225" s="361">
        <v>9779</v>
      </c>
      <c r="B225" s="361" t="s">
        <v>2062</v>
      </c>
      <c r="C225" s="959">
        <v>22868.43</v>
      </c>
      <c r="D225" s="361">
        <v>0</v>
      </c>
      <c r="E225" s="959">
        <v>43436.480000000003</v>
      </c>
      <c r="F225" s="364">
        <v>0</v>
      </c>
      <c r="G225" s="1098">
        <v>0</v>
      </c>
    </row>
    <row r="226" spans="1:7">
      <c r="A226" s="361">
        <v>9780</v>
      </c>
      <c r="B226" s="361" t="s">
        <v>2063</v>
      </c>
      <c r="C226" s="361">
        <v>176</v>
      </c>
      <c r="D226" s="959">
        <v>5668.2</v>
      </c>
      <c r="E226" s="959">
        <v>7059.53</v>
      </c>
      <c r="F226" s="363">
        <v>44324.959999999999</v>
      </c>
      <c r="G226" s="1098">
        <v>0</v>
      </c>
    </row>
    <row r="227" spans="1:7">
      <c r="A227" s="361">
        <v>9782</v>
      </c>
      <c r="B227" s="361" t="s">
        <v>2064</v>
      </c>
      <c r="C227" s="959">
        <v>8011.6</v>
      </c>
      <c r="D227" s="361">
        <v>0</v>
      </c>
      <c r="E227" s="361">
        <v>0</v>
      </c>
      <c r="F227" s="363">
        <v>12660</v>
      </c>
      <c r="G227" s="1098">
        <v>549</v>
      </c>
    </row>
    <row r="228" spans="1:7">
      <c r="A228" s="361">
        <v>9784</v>
      </c>
      <c r="B228" s="361" t="s">
        <v>2065</v>
      </c>
      <c r="C228" s="959">
        <v>12602.35</v>
      </c>
      <c r="D228" s="959">
        <v>12873.43</v>
      </c>
      <c r="E228" s="959">
        <v>12065.44</v>
      </c>
      <c r="F228" s="363">
        <v>12832.15</v>
      </c>
      <c r="G228" s="1098">
        <v>0</v>
      </c>
    </row>
    <row r="229" spans="1:7">
      <c r="A229" s="361">
        <v>9785</v>
      </c>
      <c r="B229" s="361" t="s">
        <v>2066</v>
      </c>
      <c r="C229" s="361">
        <v>0</v>
      </c>
      <c r="D229" s="361">
        <v>0</v>
      </c>
      <c r="E229" s="361">
        <v>0</v>
      </c>
      <c r="F229" s="364">
        <v>0</v>
      </c>
      <c r="G229" s="1098">
        <v>0</v>
      </c>
    </row>
    <row r="230" spans="1:7">
      <c r="A230" s="361">
        <v>9790</v>
      </c>
      <c r="B230" s="361" t="s">
        <v>2067</v>
      </c>
      <c r="C230" s="959">
        <v>169856.09</v>
      </c>
      <c r="D230" s="959">
        <v>169856.09</v>
      </c>
      <c r="E230" s="959">
        <v>169856.09</v>
      </c>
      <c r="F230" s="363">
        <v>169856.09</v>
      </c>
      <c r="G230" s="1098">
        <v>0</v>
      </c>
    </row>
    <row r="231" spans="1:7">
      <c r="A231" s="133"/>
      <c r="B231" s="369" t="s">
        <v>2060</v>
      </c>
      <c r="C231" s="368">
        <v>213357.13</v>
      </c>
      <c r="D231" s="368">
        <v>188397.72</v>
      </c>
      <c r="E231" s="368">
        <v>232417.54</v>
      </c>
      <c r="F231" s="368">
        <v>239673.2</v>
      </c>
      <c r="G231" s="1102">
        <v>549</v>
      </c>
    </row>
    <row r="232" spans="1:7">
      <c r="A232" s="133"/>
      <c r="B232" s="133"/>
      <c r="C232" s="133"/>
      <c r="D232" s="133"/>
      <c r="E232" s="133"/>
      <c r="F232" s="133"/>
      <c r="G232" s="1104"/>
    </row>
    <row r="233" spans="1:7">
      <c r="A233" s="133"/>
      <c r="B233" s="369" t="s">
        <v>2033</v>
      </c>
      <c r="C233" s="368">
        <v>441631.09</v>
      </c>
      <c r="D233" s="368">
        <v>518695.06</v>
      </c>
      <c r="E233" s="368">
        <v>532166.43999999994</v>
      </c>
      <c r="F233" s="368">
        <v>571761.98</v>
      </c>
      <c r="G233" s="1103">
        <v>13820.34</v>
      </c>
    </row>
    <row r="234" spans="1:7">
      <c r="A234" s="133"/>
      <c r="B234" s="133"/>
      <c r="C234" s="133"/>
      <c r="D234" s="133"/>
      <c r="E234" s="133"/>
      <c r="F234" s="133"/>
      <c r="G234" s="1104"/>
    </row>
    <row r="235" spans="1:7">
      <c r="A235" s="133"/>
      <c r="B235" s="369" t="s">
        <v>2068</v>
      </c>
      <c r="C235" s="965">
        <v>82408.81</v>
      </c>
      <c r="D235" s="965">
        <v>-252791.99</v>
      </c>
      <c r="E235" s="965">
        <v>-388212.2</v>
      </c>
      <c r="F235" s="965">
        <v>-474039.67</v>
      </c>
      <c r="G235" s="1105">
        <v>711574.32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7029-494B-4D61-B3C8-B5498F5E20E7}">
  <sheetPr codeName="Sheet17">
    <tabColor theme="4" tint="0.59999389629810485"/>
  </sheetPr>
  <dimension ref="A1:AA127"/>
  <sheetViews>
    <sheetView workbookViewId="0">
      <selection activeCell="H29" sqref="H29"/>
    </sheetView>
  </sheetViews>
  <sheetFormatPr defaultRowHeight="14.5"/>
  <cols>
    <col min="3" max="3" width="17.453125" customWidth="1"/>
    <col min="6" max="6" width="33.1796875" customWidth="1"/>
    <col min="7" max="8" width="19.54296875" bestFit="1" customWidth="1"/>
    <col min="9" max="9" width="20" bestFit="1" customWidth="1"/>
  </cols>
  <sheetData>
    <row r="1" spans="1:27">
      <c r="A1" s="116" t="s">
        <v>2069</v>
      </c>
      <c r="B1" s="116" t="s">
        <v>1466</v>
      </c>
      <c r="C1" s="116" t="s">
        <v>962</v>
      </c>
      <c r="D1" s="116" t="s">
        <v>2070</v>
      </c>
      <c r="E1" s="116" t="s">
        <v>2071</v>
      </c>
      <c r="F1" s="116" t="s">
        <v>2072</v>
      </c>
      <c r="G1" s="116" t="s">
        <v>2073</v>
      </c>
      <c r="H1" s="116" t="s">
        <v>2074</v>
      </c>
      <c r="I1" s="116" t="s">
        <v>2075</v>
      </c>
      <c r="J1" s="116" t="s">
        <v>2076</v>
      </c>
      <c r="K1" s="116" t="s">
        <v>2077</v>
      </c>
      <c r="L1" s="116" t="s">
        <v>2078</v>
      </c>
      <c r="M1" s="116" t="s">
        <v>2079</v>
      </c>
      <c r="N1" s="116" t="s">
        <v>2080</v>
      </c>
      <c r="O1" s="116" t="s">
        <v>2081</v>
      </c>
      <c r="P1" s="116" t="s">
        <v>2082</v>
      </c>
      <c r="Q1" s="116" t="s">
        <v>2083</v>
      </c>
      <c r="R1" s="116" t="s">
        <v>2084</v>
      </c>
      <c r="S1" s="116" t="s">
        <v>2085</v>
      </c>
      <c r="T1" s="116" t="s">
        <v>2086</v>
      </c>
      <c r="U1" s="116" t="s">
        <v>2087</v>
      </c>
      <c r="V1" s="116" t="s">
        <v>2088</v>
      </c>
      <c r="W1" s="116" t="s">
        <v>2089</v>
      </c>
      <c r="X1" s="116" t="s">
        <v>2090</v>
      </c>
      <c r="Y1" s="116" t="s">
        <v>2091</v>
      </c>
      <c r="Z1" s="116" t="s">
        <v>2092</v>
      </c>
      <c r="AA1" s="116" t="s">
        <v>2093</v>
      </c>
    </row>
    <row r="2" spans="1:27">
      <c r="A2" s="116"/>
      <c r="B2" s="116" t="s">
        <v>1493</v>
      </c>
      <c r="C2" s="116" t="s">
        <v>1388</v>
      </c>
      <c r="D2" s="116">
        <v>505</v>
      </c>
      <c r="E2" s="116">
        <v>0</v>
      </c>
      <c r="F2" s="118">
        <v>46119</v>
      </c>
      <c r="G2" s="116" t="s">
        <v>1657</v>
      </c>
      <c r="H2" s="116" t="s">
        <v>1657</v>
      </c>
      <c r="I2" s="116" t="s">
        <v>2094</v>
      </c>
      <c r="J2" s="116">
        <v>1</v>
      </c>
      <c r="K2" s="116"/>
      <c r="L2" s="116"/>
      <c r="M2" s="116">
        <v>797</v>
      </c>
      <c r="N2" s="116">
        <v>1.58</v>
      </c>
      <c r="O2" s="116">
        <v>797</v>
      </c>
      <c r="P2" s="116">
        <v>1.58</v>
      </c>
      <c r="Q2" s="116">
        <v>976.86</v>
      </c>
      <c r="R2" s="116">
        <v>1.93</v>
      </c>
      <c r="S2" s="116">
        <v>0</v>
      </c>
      <c r="T2" s="116">
        <v>0</v>
      </c>
      <c r="U2" s="116">
        <v>976.86</v>
      </c>
      <c r="V2" s="116">
        <v>1.93</v>
      </c>
      <c r="W2" s="116">
        <v>976.86</v>
      </c>
      <c r="X2" s="116">
        <v>179.86</v>
      </c>
      <c r="Y2" s="116">
        <v>0.22570000000000001</v>
      </c>
      <c r="Z2" s="116">
        <v>179.86</v>
      </c>
      <c r="AA2" s="116">
        <v>0.22570000000000001</v>
      </c>
    </row>
    <row r="3" spans="1:27">
      <c r="A3" s="116"/>
      <c r="B3" s="116" t="s">
        <v>1493</v>
      </c>
      <c r="C3" s="116" t="s">
        <v>1388</v>
      </c>
      <c r="D3" s="116">
        <v>505</v>
      </c>
      <c r="E3" s="116">
        <v>78</v>
      </c>
      <c r="F3" s="118">
        <v>46080</v>
      </c>
      <c r="G3" s="116" t="s">
        <v>1389</v>
      </c>
      <c r="H3" s="116" t="s">
        <v>1657</v>
      </c>
      <c r="I3" s="116" t="s">
        <v>2095</v>
      </c>
      <c r="J3" s="116">
        <v>12</v>
      </c>
      <c r="K3" s="116">
        <v>1</v>
      </c>
      <c r="L3" s="116">
        <v>1</v>
      </c>
      <c r="M3" s="116">
        <v>900</v>
      </c>
      <c r="N3" s="116">
        <v>1.78</v>
      </c>
      <c r="O3" s="116">
        <v>900</v>
      </c>
      <c r="P3" s="116">
        <v>1.78</v>
      </c>
      <c r="Q3" s="116">
        <v>797</v>
      </c>
      <c r="R3" s="116">
        <v>1.58</v>
      </c>
      <c r="S3" s="116">
        <v>0</v>
      </c>
      <c r="T3" s="116">
        <v>0</v>
      </c>
      <c r="U3" s="116">
        <v>797</v>
      </c>
      <c r="V3" s="116">
        <v>1.58</v>
      </c>
      <c r="W3" s="116">
        <v>804</v>
      </c>
      <c r="X3" s="116">
        <v>-103</v>
      </c>
      <c r="Y3" s="116">
        <v>-0.1144</v>
      </c>
      <c r="Z3" s="116">
        <v>-103</v>
      </c>
      <c r="AA3" s="116">
        <v>-0.1144</v>
      </c>
    </row>
    <row r="4" spans="1:27">
      <c r="A4" s="116"/>
      <c r="B4" s="116" t="s">
        <v>1502</v>
      </c>
      <c r="C4" s="116" t="s">
        <v>1356</v>
      </c>
      <c r="D4" s="116">
        <v>800</v>
      </c>
      <c r="E4" s="116">
        <v>96</v>
      </c>
      <c r="F4" s="118">
        <v>46136</v>
      </c>
      <c r="G4" s="116" t="s">
        <v>1357</v>
      </c>
      <c r="H4" s="116" t="s">
        <v>2096</v>
      </c>
      <c r="I4" s="116" t="s">
        <v>2095</v>
      </c>
      <c r="J4" s="116">
        <v>12</v>
      </c>
      <c r="K4" s="116">
        <v>12</v>
      </c>
      <c r="L4" s="116">
        <v>12</v>
      </c>
      <c r="M4" s="117">
        <v>1190</v>
      </c>
      <c r="N4" s="116">
        <v>1.49</v>
      </c>
      <c r="O4" s="117">
        <v>1190</v>
      </c>
      <c r="P4" s="116">
        <v>1.49</v>
      </c>
      <c r="Q4" s="116"/>
      <c r="R4" s="116"/>
      <c r="S4" s="116">
        <v>0</v>
      </c>
      <c r="T4" s="116">
        <v>0</v>
      </c>
      <c r="U4" s="116"/>
      <c r="V4" s="116"/>
      <c r="W4" s="116"/>
      <c r="X4" s="116"/>
      <c r="Y4" s="116"/>
      <c r="Z4" s="116"/>
      <c r="AA4" s="116"/>
    </row>
    <row r="5" spans="1:27">
      <c r="A5" s="116"/>
      <c r="B5" s="116" t="s">
        <v>1495</v>
      </c>
      <c r="C5" s="116" t="s">
        <v>895</v>
      </c>
      <c r="D5" s="116">
        <v>594</v>
      </c>
      <c r="E5" s="116">
        <v>66</v>
      </c>
      <c r="F5" s="118">
        <v>46122</v>
      </c>
      <c r="G5" s="116" t="s">
        <v>1768</v>
      </c>
      <c r="H5" s="116" t="s">
        <v>2097</v>
      </c>
      <c r="I5" s="116" t="s">
        <v>2095</v>
      </c>
      <c r="J5" s="116">
        <v>12</v>
      </c>
      <c r="K5" s="116">
        <v>1</v>
      </c>
      <c r="L5" s="116">
        <v>1</v>
      </c>
      <c r="M5" s="116">
        <v>975</v>
      </c>
      <c r="N5" s="116">
        <v>1.64</v>
      </c>
      <c r="O5" s="116">
        <v>975</v>
      </c>
      <c r="P5" s="116">
        <v>1.64</v>
      </c>
      <c r="Q5" s="116">
        <v>861</v>
      </c>
      <c r="R5" s="116">
        <v>1.45</v>
      </c>
      <c r="S5" s="116">
        <v>0</v>
      </c>
      <c r="T5" s="116">
        <v>0</v>
      </c>
      <c r="U5" s="116">
        <v>861</v>
      </c>
      <c r="V5" s="116">
        <v>1.45</v>
      </c>
      <c r="W5" s="116">
        <v>843</v>
      </c>
      <c r="X5" s="116">
        <v>-114</v>
      </c>
      <c r="Y5" s="116">
        <v>-0.1169</v>
      </c>
      <c r="Z5" s="116">
        <v>-114</v>
      </c>
      <c r="AA5" s="116">
        <v>-0.1169</v>
      </c>
    </row>
    <row r="6" spans="1:27">
      <c r="A6" s="116"/>
      <c r="B6" s="116" t="s">
        <v>1497</v>
      </c>
      <c r="C6" s="116" t="s">
        <v>865</v>
      </c>
      <c r="D6" s="116">
        <v>667</v>
      </c>
      <c r="E6" s="116">
        <v>36</v>
      </c>
      <c r="F6" s="118">
        <v>46123</v>
      </c>
      <c r="G6" s="116" t="s">
        <v>1802</v>
      </c>
      <c r="H6" s="116" t="s">
        <v>2098</v>
      </c>
      <c r="I6" s="116" t="s">
        <v>2095</v>
      </c>
      <c r="J6" s="116">
        <v>12</v>
      </c>
      <c r="K6" s="116">
        <v>12</v>
      </c>
      <c r="L6" s="116">
        <v>12</v>
      </c>
      <c r="M6" s="117">
        <v>1125</v>
      </c>
      <c r="N6" s="116">
        <v>1.69</v>
      </c>
      <c r="O6" s="117">
        <v>1125</v>
      </c>
      <c r="P6" s="116">
        <v>1.69</v>
      </c>
      <c r="Q6" s="116">
        <v>973</v>
      </c>
      <c r="R6" s="116">
        <v>1.46</v>
      </c>
      <c r="S6" s="116">
        <v>0</v>
      </c>
      <c r="T6" s="116">
        <v>0</v>
      </c>
      <c r="U6" s="116">
        <v>973</v>
      </c>
      <c r="V6" s="116">
        <v>1.46</v>
      </c>
      <c r="W6" s="116">
        <v>973.08</v>
      </c>
      <c r="X6" s="116">
        <v>-152</v>
      </c>
      <c r="Y6" s="116">
        <v>-0.1351</v>
      </c>
      <c r="Z6" s="116">
        <v>-152</v>
      </c>
      <c r="AA6" s="116">
        <v>-0.1351</v>
      </c>
    </row>
    <row r="7" spans="1:27">
      <c r="A7" s="116"/>
      <c r="B7" s="116" t="s">
        <v>1507</v>
      </c>
      <c r="C7" s="116" t="s">
        <v>1724</v>
      </c>
      <c r="D7" s="116">
        <v>921</v>
      </c>
      <c r="E7" s="116">
        <v>18</v>
      </c>
      <c r="F7" s="118">
        <v>46121</v>
      </c>
      <c r="G7" s="116" t="s">
        <v>1725</v>
      </c>
      <c r="H7" s="116" t="s">
        <v>2099</v>
      </c>
      <c r="I7" s="116" t="s">
        <v>2095</v>
      </c>
      <c r="J7" s="116">
        <v>12</v>
      </c>
      <c r="K7" s="116">
        <v>12</v>
      </c>
      <c r="L7" s="116">
        <v>12</v>
      </c>
      <c r="M7" s="117">
        <v>1520</v>
      </c>
      <c r="N7" s="116">
        <v>1.65</v>
      </c>
      <c r="O7" s="117">
        <v>1520</v>
      </c>
      <c r="P7" s="116">
        <v>1.65</v>
      </c>
      <c r="Q7" s="117">
        <v>1096</v>
      </c>
      <c r="R7" s="116">
        <v>1.19</v>
      </c>
      <c r="S7" s="116">
        <v>0</v>
      </c>
      <c r="T7" s="116">
        <v>0</v>
      </c>
      <c r="U7" s="117">
        <v>1096</v>
      </c>
      <c r="V7" s="116">
        <v>1.19</v>
      </c>
      <c r="W7" s="117">
        <v>1096.17</v>
      </c>
      <c r="X7" s="116">
        <v>-424</v>
      </c>
      <c r="Y7" s="116">
        <v>-0.27889999999999998</v>
      </c>
      <c r="Z7" s="116">
        <v>-424</v>
      </c>
      <c r="AA7" s="116">
        <v>-0.27889999999999998</v>
      </c>
    </row>
    <row r="8" spans="1:27">
      <c r="A8" s="116"/>
      <c r="B8" s="116" t="s">
        <v>1507</v>
      </c>
      <c r="C8" s="116" t="s">
        <v>859</v>
      </c>
      <c r="D8" s="116">
        <v>921</v>
      </c>
      <c r="E8" s="116">
        <v>89</v>
      </c>
      <c r="F8" s="118">
        <v>46135</v>
      </c>
      <c r="G8" s="116" t="s">
        <v>482</v>
      </c>
      <c r="H8" s="116" t="s">
        <v>2100</v>
      </c>
      <c r="I8" s="116" t="s">
        <v>2095</v>
      </c>
      <c r="J8" s="116">
        <v>12</v>
      </c>
      <c r="K8" s="116">
        <v>12</v>
      </c>
      <c r="L8" s="116">
        <v>12</v>
      </c>
      <c r="M8" s="117">
        <v>1640</v>
      </c>
      <c r="N8" s="116">
        <v>1.78</v>
      </c>
      <c r="O8" s="117">
        <v>1640</v>
      </c>
      <c r="P8" s="116">
        <v>1.78</v>
      </c>
      <c r="Q8" s="117">
        <v>1071</v>
      </c>
      <c r="R8" s="116">
        <v>1.1599999999999999</v>
      </c>
      <c r="S8" s="116">
        <v>0</v>
      </c>
      <c r="T8" s="116">
        <v>0</v>
      </c>
      <c r="U8" s="117">
        <v>1071</v>
      </c>
      <c r="V8" s="116">
        <v>1.1599999999999999</v>
      </c>
      <c r="W8" s="117">
        <v>1071.17</v>
      </c>
      <c r="X8" s="116">
        <v>-569</v>
      </c>
      <c r="Y8" s="116">
        <v>-0.34699999999999998</v>
      </c>
      <c r="Z8" s="116">
        <v>-569</v>
      </c>
      <c r="AA8" s="116">
        <v>-0.34699999999999998</v>
      </c>
    </row>
    <row r="9" spans="1:27">
      <c r="A9" s="116"/>
      <c r="B9" s="116" t="s">
        <v>1509</v>
      </c>
      <c r="C9" s="116" t="s">
        <v>1165</v>
      </c>
      <c r="D9" s="116">
        <v>1000</v>
      </c>
      <c r="E9" s="116">
        <v>76</v>
      </c>
      <c r="F9" s="118">
        <v>46085</v>
      </c>
      <c r="G9" s="116" t="s">
        <v>1324</v>
      </c>
      <c r="H9" s="116" t="s">
        <v>990</v>
      </c>
      <c r="I9" s="116" t="s">
        <v>2095</v>
      </c>
      <c r="J9" s="116">
        <v>12</v>
      </c>
      <c r="K9" s="116">
        <v>12</v>
      </c>
      <c r="L9" s="116">
        <v>12</v>
      </c>
      <c r="M9" s="117">
        <v>1418</v>
      </c>
      <c r="N9" s="116">
        <v>1.42</v>
      </c>
      <c r="O9" s="117">
        <v>1418</v>
      </c>
      <c r="P9" s="116">
        <v>1.42</v>
      </c>
      <c r="Q9" s="117">
        <v>1112</v>
      </c>
      <c r="R9" s="116">
        <v>1.1100000000000001</v>
      </c>
      <c r="S9" s="116">
        <v>0</v>
      </c>
      <c r="T9" s="116">
        <v>0</v>
      </c>
      <c r="U9" s="117">
        <v>1112</v>
      </c>
      <c r="V9" s="116">
        <v>1.1100000000000001</v>
      </c>
      <c r="W9" s="117">
        <v>1112.25</v>
      </c>
      <c r="X9" s="116">
        <v>-306</v>
      </c>
      <c r="Y9" s="116">
        <v>-0.21579999999999999</v>
      </c>
      <c r="Z9" s="116">
        <v>-306</v>
      </c>
      <c r="AA9" s="116">
        <v>-0.21579999999999999</v>
      </c>
    </row>
    <row r="10" spans="1:27">
      <c r="A10" s="116"/>
      <c r="B10" s="116" t="s">
        <v>1509</v>
      </c>
      <c r="C10" s="116" t="s">
        <v>1169</v>
      </c>
      <c r="D10" s="116">
        <v>1000</v>
      </c>
      <c r="E10" s="116">
        <v>64</v>
      </c>
      <c r="F10" s="118">
        <v>46110</v>
      </c>
      <c r="G10" s="116" t="s">
        <v>1355</v>
      </c>
      <c r="H10" s="116" t="s">
        <v>1157</v>
      </c>
      <c r="I10" s="116" t="s">
        <v>2095</v>
      </c>
      <c r="J10" s="116">
        <v>12</v>
      </c>
      <c r="K10" s="116">
        <v>12</v>
      </c>
      <c r="L10" s="116">
        <v>12</v>
      </c>
      <c r="M10" s="117">
        <v>1470</v>
      </c>
      <c r="N10" s="116">
        <v>1.47</v>
      </c>
      <c r="O10" s="117">
        <v>1470</v>
      </c>
      <c r="P10" s="116">
        <v>1.47</v>
      </c>
      <c r="Q10" s="117">
        <v>1087</v>
      </c>
      <c r="R10" s="116">
        <v>1.0900000000000001</v>
      </c>
      <c r="S10" s="116">
        <v>0</v>
      </c>
      <c r="T10" s="116">
        <v>0</v>
      </c>
      <c r="U10" s="117">
        <v>1087</v>
      </c>
      <c r="V10" s="116">
        <v>1.0900000000000001</v>
      </c>
      <c r="W10" s="117">
        <v>1087</v>
      </c>
      <c r="X10" s="116">
        <v>-383</v>
      </c>
      <c r="Y10" s="116">
        <v>-0.26050000000000001</v>
      </c>
      <c r="Z10" s="116">
        <v>-383</v>
      </c>
      <c r="AA10" s="116">
        <v>-0.26050000000000001</v>
      </c>
    </row>
    <row r="11" spans="1:27">
      <c r="A11" s="116"/>
      <c r="B11" s="116" t="s">
        <v>1509</v>
      </c>
      <c r="C11" s="116" t="s">
        <v>1171</v>
      </c>
      <c r="D11" s="116">
        <v>1000</v>
      </c>
      <c r="E11" s="116">
        <v>112</v>
      </c>
      <c r="F11" s="118">
        <v>46125</v>
      </c>
      <c r="G11" s="116" t="s">
        <v>1848</v>
      </c>
      <c r="H11" s="116" t="s">
        <v>2101</v>
      </c>
      <c r="I11" s="116" t="s">
        <v>2095</v>
      </c>
      <c r="J11" s="116">
        <v>12</v>
      </c>
      <c r="K11" s="116">
        <v>12</v>
      </c>
      <c r="L11" s="116">
        <v>12</v>
      </c>
      <c r="M11" s="117">
        <v>1344</v>
      </c>
      <c r="N11" s="116">
        <v>1.34</v>
      </c>
      <c r="O11" s="117">
        <v>1344</v>
      </c>
      <c r="P11" s="116">
        <v>1.34</v>
      </c>
      <c r="Q11" s="117">
        <v>1087</v>
      </c>
      <c r="R11" s="116">
        <v>1.0900000000000001</v>
      </c>
      <c r="S11" s="116">
        <v>0</v>
      </c>
      <c r="T11" s="116">
        <v>0</v>
      </c>
      <c r="U11" s="117">
        <v>1087</v>
      </c>
      <c r="V11" s="116">
        <v>1.0900000000000001</v>
      </c>
      <c r="W11" s="117">
        <v>1087</v>
      </c>
      <c r="X11" s="116">
        <v>-257</v>
      </c>
      <c r="Y11" s="116">
        <v>-0.19120000000000001</v>
      </c>
      <c r="Z11" s="116">
        <v>-257</v>
      </c>
      <c r="AA11" s="116">
        <v>-0.19120000000000001</v>
      </c>
    </row>
    <row r="12" spans="1:27">
      <c r="A12" s="116"/>
      <c r="B12" s="116" t="s">
        <v>1511</v>
      </c>
      <c r="C12" s="116" t="s">
        <v>891</v>
      </c>
      <c r="D12" s="116">
        <v>1100</v>
      </c>
      <c r="E12" s="116">
        <v>62</v>
      </c>
      <c r="F12" s="118">
        <v>46127</v>
      </c>
      <c r="G12" s="116" t="s">
        <v>1851</v>
      </c>
      <c r="H12" s="116" t="s">
        <v>2102</v>
      </c>
      <c r="I12" s="116" t="s">
        <v>2095</v>
      </c>
      <c r="J12" s="116">
        <v>12</v>
      </c>
      <c r="K12" s="116">
        <v>12</v>
      </c>
      <c r="L12" s="116">
        <v>12</v>
      </c>
      <c r="M12" s="117">
        <v>1435</v>
      </c>
      <c r="N12" s="116">
        <v>1.3</v>
      </c>
      <c r="O12" s="117">
        <v>1435</v>
      </c>
      <c r="P12" s="116">
        <v>1.3</v>
      </c>
      <c r="Q12" s="117">
        <v>1235</v>
      </c>
      <c r="R12" s="116">
        <v>1.1200000000000001</v>
      </c>
      <c r="S12" s="116">
        <v>0</v>
      </c>
      <c r="T12" s="116">
        <v>0</v>
      </c>
      <c r="U12" s="117">
        <v>1235</v>
      </c>
      <c r="V12" s="116">
        <v>1.1200000000000001</v>
      </c>
      <c r="W12" s="117">
        <v>1235.08</v>
      </c>
      <c r="X12" s="116">
        <v>-200</v>
      </c>
      <c r="Y12" s="116">
        <v>-0.1394</v>
      </c>
      <c r="Z12" s="116">
        <v>-200</v>
      </c>
      <c r="AA12" s="116">
        <v>-0.1394</v>
      </c>
    </row>
    <row r="13" spans="1:27">
      <c r="A13" s="116"/>
      <c r="B13" s="116" t="s">
        <v>425</v>
      </c>
      <c r="C13" s="116" t="s">
        <v>1739</v>
      </c>
      <c r="D13" s="116">
        <v>1109</v>
      </c>
      <c r="E13" s="116">
        <v>27</v>
      </c>
      <c r="F13" s="118">
        <v>46137</v>
      </c>
      <c r="G13" s="116" t="s">
        <v>479</v>
      </c>
      <c r="H13" s="116" t="s">
        <v>2103</v>
      </c>
      <c r="I13" s="116" t="s">
        <v>2095</v>
      </c>
      <c r="J13" s="116">
        <v>12</v>
      </c>
      <c r="K13" s="116">
        <v>12</v>
      </c>
      <c r="L13" s="116">
        <v>12</v>
      </c>
      <c r="M13" s="117">
        <v>2095</v>
      </c>
      <c r="N13" s="116">
        <v>1.89</v>
      </c>
      <c r="O13" s="117">
        <v>2095</v>
      </c>
      <c r="P13" s="116">
        <v>1.89</v>
      </c>
      <c r="Q13" s="117">
        <v>1705</v>
      </c>
      <c r="R13" s="116">
        <v>1.54</v>
      </c>
      <c r="S13" s="116">
        <v>0</v>
      </c>
      <c r="T13" s="116">
        <v>0</v>
      </c>
      <c r="U13" s="117">
        <v>1705</v>
      </c>
      <c r="V13" s="116">
        <v>1.54</v>
      </c>
      <c r="W13" s="117">
        <v>1705.25</v>
      </c>
      <c r="X13" s="116">
        <v>-390</v>
      </c>
      <c r="Y13" s="116">
        <v>-0.1862</v>
      </c>
      <c r="Z13" s="116">
        <v>-390</v>
      </c>
      <c r="AA13" s="116">
        <v>-0.1862</v>
      </c>
    </row>
    <row r="14" spans="1:27">
      <c r="A14" s="116"/>
      <c r="B14" s="116"/>
      <c r="C14" s="116"/>
      <c r="D14" s="116"/>
      <c r="E14" s="116"/>
      <c r="F14" s="118"/>
      <c r="G14" s="116"/>
      <c r="H14" s="116"/>
      <c r="I14" s="116"/>
      <c r="J14" s="116"/>
      <c r="K14" s="116"/>
      <c r="L14" s="116"/>
      <c r="M14" s="116"/>
      <c r="N14" s="116"/>
      <c r="O14" s="116"/>
      <c r="P14" s="116"/>
      <c r="Q14" s="117"/>
      <c r="R14" s="116"/>
      <c r="S14" s="116"/>
      <c r="T14" s="116"/>
      <c r="U14" s="117"/>
      <c r="V14" s="116"/>
      <c r="W14" s="117"/>
      <c r="X14" s="116"/>
      <c r="Y14" s="116"/>
      <c r="Z14" s="116"/>
      <c r="AA14" s="116"/>
    </row>
    <row r="15" spans="1:27">
      <c r="A15" s="116"/>
      <c r="B15" s="116"/>
      <c r="C15" s="116"/>
      <c r="D15" s="116"/>
      <c r="E15" s="116"/>
      <c r="F15" s="118"/>
      <c r="G15" s="116"/>
      <c r="H15" s="116"/>
      <c r="I15" s="116"/>
      <c r="J15" s="116"/>
      <c r="K15" s="116"/>
      <c r="L15" s="116"/>
      <c r="M15" s="116"/>
      <c r="N15" s="116"/>
      <c r="O15" s="116"/>
      <c r="P15" s="116"/>
      <c r="Q15" s="116"/>
      <c r="R15" s="116"/>
      <c r="S15" s="116"/>
      <c r="T15" s="116"/>
      <c r="U15" s="116"/>
      <c r="V15" s="116"/>
      <c r="W15" s="116"/>
      <c r="X15" s="116"/>
      <c r="Y15" s="116"/>
      <c r="Z15" s="116"/>
      <c r="AA15" s="116"/>
    </row>
    <row r="16" spans="1:27">
      <c r="A16" s="116"/>
      <c r="B16" s="116"/>
      <c r="C16" s="116"/>
      <c r="D16" s="116"/>
      <c r="E16" s="116"/>
      <c r="F16" s="118"/>
      <c r="G16" s="116"/>
      <c r="H16" s="116"/>
      <c r="I16" s="116"/>
      <c r="J16" s="116"/>
      <c r="K16" s="116"/>
      <c r="L16" s="116"/>
      <c r="M16" s="116"/>
      <c r="N16" s="116"/>
      <c r="O16" s="116"/>
      <c r="P16" s="116"/>
      <c r="Q16" s="116"/>
      <c r="R16" s="116"/>
      <c r="S16" s="116"/>
      <c r="T16" s="116"/>
      <c r="U16" s="116"/>
      <c r="V16" s="116"/>
      <c r="W16" s="116"/>
      <c r="X16" s="116"/>
      <c r="Y16" s="116"/>
      <c r="Z16" s="116"/>
      <c r="AA16" s="116"/>
    </row>
    <row r="17" spans="1:27">
      <c r="A17" s="116"/>
      <c r="B17" s="116"/>
      <c r="C17" s="116"/>
      <c r="D17" s="116"/>
      <c r="E17" s="116"/>
      <c r="F17" s="118"/>
      <c r="G17" s="116"/>
      <c r="H17" s="116"/>
      <c r="I17" s="116"/>
      <c r="J17" s="116"/>
      <c r="K17" s="116"/>
      <c r="L17" s="116"/>
      <c r="M17" s="116"/>
      <c r="N17" s="116"/>
      <c r="O17" s="116"/>
      <c r="P17" s="116"/>
      <c r="Q17" s="116"/>
      <c r="R17" s="116"/>
      <c r="S17" s="116"/>
      <c r="T17" s="116"/>
      <c r="U17" s="116"/>
      <c r="V17" s="116"/>
      <c r="W17" s="116"/>
      <c r="X17" s="116"/>
      <c r="Y17" s="116"/>
      <c r="Z17" s="116"/>
      <c r="AA17" s="116"/>
    </row>
    <row r="18" spans="1:27">
      <c r="A18" s="116"/>
      <c r="B18" s="116"/>
      <c r="C18" s="116"/>
      <c r="D18" s="116"/>
      <c r="E18" s="116"/>
      <c r="F18" s="118"/>
      <c r="G18" s="116"/>
      <c r="H18" s="116"/>
      <c r="I18" s="116"/>
      <c r="J18" s="116"/>
      <c r="K18" s="116"/>
      <c r="L18" s="116"/>
      <c r="M18" s="116"/>
      <c r="N18" s="116"/>
      <c r="O18" s="116"/>
      <c r="P18" s="116"/>
      <c r="Q18" s="116"/>
      <c r="R18" s="116"/>
      <c r="S18" s="116"/>
      <c r="T18" s="116"/>
      <c r="U18" s="116"/>
      <c r="V18" s="116"/>
      <c r="W18" s="116"/>
      <c r="X18" s="116"/>
      <c r="Y18" s="116"/>
      <c r="Z18" s="116"/>
      <c r="AA18" s="116"/>
    </row>
    <row r="19" spans="1:27">
      <c r="A19" s="116"/>
      <c r="B19" s="116"/>
      <c r="C19" s="116"/>
      <c r="D19" s="116"/>
      <c r="E19" s="116"/>
      <c r="F19" s="118"/>
      <c r="G19" s="116"/>
      <c r="H19" s="116"/>
      <c r="I19" s="116"/>
      <c r="J19" s="116"/>
      <c r="K19" s="116"/>
      <c r="L19" s="116"/>
      <c r="M19" s="116"/>
      <c r="N19" s="116"/>
      <c r="O19" s="116"/>
      <c r="P19" s="116"/>
      <c r="Q19" s="117"/>
      <c r="R19" s="116"/>
      <c r="S19" s="116"/>
      <c r="T19" s="116"/>
      <c r="U19" s="117"/>
      <c r="V19" s="116"/>
      <c r="W19" s="117"/>
      <c r="X19" s="116"/>
      <c r="Y19" s="116"/>
      <c r="Z19" s="116"/>
      <c r="AA19" s="116"/>
    </row>
    <row r="20" spans="1:27">
      <c r="A20" s="116"/>
      <c r="B20" s="116"/>
      <c r="C20" s="116"/>
      <c r="D20" s="116"/>
      <c r="E20" s="116"/>
      <c r="F20" s="118"/>
      <c r="G20" s="116"/>
      <c r="H20" s="116"/>
      <c r="I20" s="116"/>
      <c r="J20" s="116"/>
      <c r="K20" s="116"/>
      <c r="L20" s="116"/>
      <c r="M20" s="116"/>
      <c r="N20" s="116"/>
      <c r="O20" s="116"/>
      <c r="P20" s="116"/>
      <c r="Q20" s="116"/>
      <c r="R20" s="116"/>
      <c r="S20" s="116"/>
      <c r="T20" s="116"/>
      <c r="U20" s="116"/>
      <c r="V20" s="116"/>
      <c r="W20" s="116"/>
      <c r="X20" s="116"/>
      <c r="Y20" s="116"/>
      <c r="Z20" s="116"/>
      <c r="AA20" s="116"/>
    </row>
    <row r="21" spans="1:27">
      <c r="A21" s="116"/>
      <c r="B21" s="116"/>
      <c r="C21" s="116"/>
      <c r="D21" s="116"/>
      <c r="E21" s="116"/>
      <c r="F21" s="118"/>
      <c r="G21" s="116"/>
      <c r="H21" s="116"/>
      <c r="I21" s="116"/>
      <c r="J21" s="116"/>
      <c r="K21" s="116"/>
      <c r="L21" s="116"/>
      <c r="M21" s="116"/>
      <c r="N21" s="116"/>
      <c r="O21" s="116"/>
      <c r="P21" s="116"/>
      <c r="Q21" s="116"/>
      <c r="R21" s="116"/>
      <c r="S21" s="116"/>
      <c r="T21" s="116"/>
      <c r="U21" s="116"/>
      <c r="V21" s="116"/>
      <c r="W21" s="116"/>
      <c r="X21" s="116"/>
      <c r="Y21" s="116"/>
      <c r="Z21" s="116"/>
      <c r="AA21" s="116"/>
    </row>
    <row r="22" spans="1:27">
      <c r="A22" s="116"/>
      <c r="B22" s="116"/>
      <c r="C22" s="116"/>
      <c r="D22" s="116"/>
      <c r="E22" s="116"/>
      <c r="F22" s="118"/>
      <c r="G22" s="116"/>
      <c r="H22" s="116"/>
      <c r="I22" s="116"/>
      <c r="J22" s="116"/>
      <c r="K22" s="116"/>
      <c r="L22" s="116"/>
      <c r="M22" s="116"/>
      <c r="N22" s="116"/>
      <c r="O22" s="116"/>
      <c r="P22" s="116"/>
      <c r="Q22" s="116"/>
      <c r="R22" s="116"/>
      <c r="S22" s="116"/>
      <c r="T22" s="116"/>
      <c r="U22" s="116"/>
      <c r="V22" s="116"/>
      <c r="W22" s="116"/>
      <c r="X22" s="116"/>
      <c r="Y22" s="116"/>
      <c r="Z22" s="116"/>
      <c r="AA22" s="116"/>
    </row>
    <row r="23" spans="1:27">
      <c r="A23" s="116"/>
      <c r="B23" s="116"/>
      <c r="C23" s="116"/>
      <c r="D23" s="116"/>
      <c r="E23" s="116"/>
      <c r="F23" s="118"/>
      <c r="G23" s="116"/>
      <c r="H23" s="116"/>
      <c r="I23" s="116"/>
      <c r="J23" s="116"/>
      <c r="K23" s="116"/>
      <c r="L23" s="116"/>
      <c r="M23" s="116"/>
      <c r="N23" s="116"/>
      <c r="O23" s="116"/>
      <c r="P23" s="116"/>
      <c r="Q23" s="116"/>
      <c r="R23" s="116"/>
      <c r="S23" s="116"/>
      <c r="T23" s="116"/>
      <c r="U23" s="116"/>
      <c r="V23" s="116"/>
      <c r="W23" s="116"/>
      <c r="X23" s="116"/>
      <c r="Y23" s="116"/>
      <c r="Z23" s="116"/>
      <c r="AA23" s="116"/>
    </row>
    <row r="24" spans="1:27">
      <c r="A24" s="116"/>
      <c r="B24" s="116"/>
      <c r="C24" s="116"/>
      <c r="D24" s="116"/>
      <c r="E24" s="116"/>
      <c r="F24" s="118"/>
      <c r="G24" s="116"/>
      <c r="H24" s="116"/>
      <c r="I24" s="116"/>
      <c r="J24" s="116"/>
      <c r="K24" s="116"/>
      <c r="L24" s="116"/>
      <c r="M24" s="116"/>
      <c r="N24" s="116"/>
      <c r="O24" s="116"/>
      <c r="P24" s="116"/>
      <c r="Q24" s="116"/>
      <c r="R24" s="116"/>
      <c r="S24" s="116"/>
      <c r="T24" s="116"/>
      <c r="U24" s="116"/>
      <c r="V24" s="116"/>
      <c r="W24" s="116"/>
      <c r="X24" s="116"/>
      <c r="Y24" s="116"/>
      <c r="Z24" s="116"/>
      <c r="AA24" s="116"/>
    </row>
    <row r="25" spans="1:27">
      <c r="A25" s="116"/>
      <c r="B25" s="116"/>
      <c r="C25" s="116"/>
      <c r="D25" s="116"/>
      <c r="E25" s="116"/>
      <c r="F25" s="118"/>
      <c r="G25" s="116"/>
      <c r="H25" s="116"/>
      <c r="I25" s="116"/>
      <c r="J25" s="116"/>
      <c r="K25" s="116"/>
      <c r="L25" s="116"/>
      <c r="M25" s="117"/>
      <c r="N25" s="116"/>
      <c r="O25" s="117"/>
      <c r="P25" s="116"/>
      <c r="Q25" s="117"/>
      <c r="R25" s="116"/>
      <c r="S25" s="116"/>
      <c r="T25" s="116"/>
      <c r="U25" s="117"/>
      <c r="V25" s="116"/>
      <c r="W25" s="117"/>
      <c r="X25" s="116"/>
      <c r="Y25" s="116"/>
      <c r="Z25" s="116"/>
      <c r="AA25" s="116"/>
    </row>
    <row r="26" spans="1:27">
      <c r="A26" s="116"/>
      <c r="B26" s="116"/>
      <c r="C26" s="116"/>
      <c r="D26" s="116"/>
      <c r="E26" s="116"/>
      <c r="F26" s="118"/>
      <c r="G26" s="116"/>
      <c r="H26" s="116"/>
      <c r="I26" s="116"/>
      <c r="J26" s="116"/>
      <c r="K26" s="116"/>
      <c r="L26" s="116"/>
      <c r="M26" s="117"/>
      <c r="N26" s="116"/>
      <c r="O26" s="117"/>
      <c r="P26" s="116"/>
      <c r="Q26" s="117"/>
      <c r="R26" s="116"/>
      <c r="S26" s="116"/>
      <c r="T26" s="116"/>
      <c r="U26" s="117"/>
      <c r="V26" s="116"/>
      <c r="W26" s="117"/>
      <c r="X26" s="116"/>
      <c r="Y26" s="116"/>
      <c r="Z26" s="116"/>
      <c r="AA26" s="116"/>
    </row>
    <row r="27" spans="1:27">
      <c r="A27" s="116"/>
      <c r="B27" s="116"/>
      <c r="C27" s="116"/>
      <c r="D27" s="116"/>
      <c r="E27" s="116"/>
      <c r="F27" s="118"/>
      <c r="G27" s="116"/>
      <c r="H27" s="116"/>
      <c r="I27" s="116"/>
      <c r="J27" s="116"/>
      <c r="K27" s="116"/>
      <c r="L27" s="116"/>
      <c r="M27" s="117"/>
      <c r="N27" s="116"/>
      <c r="O27" s="117"/>
      <c r="P27" s="116"/>
      <c r="Q27" s="117"/>
      <c r="R27" s="116"/>
      <c r="S27" s="116"/>
      <c r="T27" s="116"/>
      <c r="U27" s="117"/>
      <c r="V27" s="116"/>
      <c r="W27" s="117"/>
      <c r="X27" s="116"/>
      <c r="Y27" s="116"/>
      <c r="Z27" s="116"/>
      <c r="AA27" s="116"/>
    </row>
    <row r="28" spans="1:27">
      <c r="A28" s="116"/>
      <c r="B28" s="116"/>
      <c r="C28" s="116"/>
      <c r="D28" s="116"/>
      <c r="E28" s="116"/>
      <c r="F28" s="118"/>
      <c r="G28" s="116"/>
      <c r="H28" s="116"/>
      <c r="I28" s="116"/>
      <c r="J28" s="116"/>
      <c r="K28" s="116"/>
      <c r="L28" s="116"/>
      <c r="M28" s="116"/>
      <c r="N28" s="116"/>
      <c r="O28" s="116"/>
      <c r="P28" s="116"/>
      <c r="Q28" s="117"/>
      <c r="R28" s="116"/>
      <c r="S28" s="116"/>
      <c r="T28" s="116"/>
      <c r="U28" s="117"/>
      <c r="V28" s="116"/>
      <c r="W28" s="117"/>
      <c r="X28" s="116"/>
      <c r="Y28" s="116"/>
      <c r="Z28" s="116"/>
      <c r="AA28" s="116"/>
    </row>
    <row r="29" spans="1:27">
      <c r="A29" s="116"/>
      <c r="B29" s="116"/>
      <c r="C29" s="116"/>
      <c r="D29" s="116"/>
      <c r="E29" s="116"/>
      <c r="F29" s="118"/>
      <c r="G29" s="116"/>
      <c r="H29" s="116"/>
      <c r="I29" s="116"/>
      <c r="J29" s="116"/>
      <c r="K29" s="116"/>
      <c r="L29" s="116"/>
      <c r="M29" s="116"/>
      <c r="N29" s="116"/>
      <c r="O29" s="116"/>
      <c r="P29" s="116"/>
      <c r="Q29" s="116"/>
      <c r="R29" s="116"/>
      <c r="S29" s="116"/>
      <c r="T29" s="116"/>
      <c r="U29" s="116"/>
      <c r="V29" s="116"/>
      <c r="W29" s="116"/>
      <c r="X29" s="116"/>
      <c r="Y29" s="116"/>
      <c r="Z29" s="116"/>
      <c r="AA29" s="116"/>
    </row>
    <row r="30" spans="1:27">
      <c r="A30" s="116"/>
      <c r="B30" s="116"/>
      <c r="C30" s="116"/>
      <c r="D30" s="116"/>
      <c r="E30" s="116"/>
      <c r="F30" s="118"/>
      <c r="G30" s="116"/>
      <c r="H30" s="116"/>
      <c r="I30" s="116"/>
      <c r="J30" s="116"/>
      <c r="K30" s="116"/>
      <c r="L30" s="116"/>
      <c r="M30" s="116"/>
      <c r="N30" s="116"/>
      <c r="O30" s="116"/>
      <c r="P30" s="116"/>
      <c r="Q30" s="117"/>
      <c r="R30" s="116"/>
      <c r="S30" s="116"/>
      <c r="T30" s="116"/>
      <c r="U30" s="117"/>
      <c r="V30" s="116"/>
      <c r="W30" s="117"/>
      <c r="X30" s="116"/>
      <c r="Y30" s="116"/>
      <c r="Z30" s="116"/>
      <c r="AA30" s="116"/>
    </row>
    <row r="31" spans="1:27">
      <c r="A31" s="116"/>
      <c r="B31" s="116"/>
      <c r="C31" s="116"/>
      <c r="D31" s="116"/>
      <c r="E31" s="116"/>
      <c r="F31" s="118"/>
      <c r="G31" s="116"/>
      <c r="H31" s="116"/>
      <c r="I31" s="116"/>
      <c r="J31" s="116"/>
      <c r="K31" s="116"/>
      <c r="L31" s="116"/>
      <c r="M31" s="116"/>
      <c r="N31" s="116"/>
      <c r="O31" s="116"/>
      <c r="P31" s="116"/>
      <c r="Q31" s="117"/>
      <c r="R31" s="116"/>
      <c r="S31" s="116"/>
      <c r="T31" s="116"/>
      <c r="U31" s="117"/>
      <c r="V31" s="116"/>
      <c r="W31" s="117"/>
      <c r="X31" s="116"/>
      <c r="Y31" s="116"/>
      <c r="Z31" s="116"/>
      <c r="AA31" s="116"/>
    </row>
    <row r="32" spans="1:27">
      <c r="A32" s="116"/>
      <c r="B32" s="116"/>
      <c r="C32" s="116"/>
      <c r="D32" s="116"/>
      <c r="E32" s="116"/>
      <c r="F32" s="118"/>
      <c r="G32" s="116"/>
      <c r="H32" s="116"/>
      <c r="I32" s="116"/>
      <c r="J32" s="116"/>
      <c r="K32" s="116"/>
      <c r="L32" s="116"/>
      <c r="M32" s="117"/>
      <c r="N32" s="116"/>
      <c r="O32" s="117"/>
      <c r="P32" s="116"/>
      <c r="Q32" s="117"/>
      <c r="R32" s="116"/>
      <c r="S32" s="116"/>
      <c r="T32" s="116"/>
      <c r="U32" s="117"/>
      <c r="V32" s="116"/>
      <c r="W32" s="117"/>
      <c r="X32" s="116"/>
      <c r="Y32" s="116"/>
      <c r="Z32" s="116"/>
      <c r="AA32" s="116"/>
    </row>
    <row r="33" spans="1:27">
      <c r="A33" s="116"/>
      <c r="B33" s="116"/>
      <c r="C33" s="116"/>
      <c r="D33" s="116"/>
      <c r="E33" s="116"/>
      <c r="F33" s="118"/>
      <c r="G33" s="116"/>
      <c r="H33" s="116"/>
      <c r="I33" s="116"/>
      <c r="J33" s="116"/>
      <c r="K33" s="116"/>
      <c r="L33" s="116"/>
      <c r="M33" s="116"/>
      <c r="N33" s="116"/>
      <c r="O33" s="116"/>
      <c r="P33" s="116"/>
      <c r="Q33" s="117"/>
      <c r="R33" s="116"/>
      <c r="S33" s="116"/>
      <c r="T33" s="116"/>
      <c r="U33" s="117"/>
      <c r="V33" s="116"/>
      <c r="W33" s="116"/>
      <c r="X33" s="116"/>
      <c r="Y33" s="116"/>
      <c r="Z33" s="116"/>
      <c r="AA33" s="116"/>
    </row>
    <row r="34" spans="1:27">
      <c r="A34" s="116"/>
      <c r="B34" s="116"/>
      <c r="C34" s="116"/>
      <c r="D34" s="116"/>
      <c r="E34" s="116"/>
      <c r="F34" s="118"/>
      <c r="G34" s="116"/>
      <c r="H34" s="116"/>
      <c r="I34" s="116"/>
      <c r="J34" s="116"/>
      <c r="K34" s="116"/>
      <c r="L34" s="116"/>
      <c r="M34" s="116"/>
      <c r="N34" s="116"/>
      <c r="O34" s="116"/>
      <c r="P34" s="116"/>
      <c r="Q34" s="116"/>
      <c r="R34" s="116"/>
      <c r="S34" s="116"/>
      <c r="T34" s="116"/>
      <c r="U34" s="116"/>
      <c r="V34" s="116"/>
      <c r="W34" s="116"/>
      <c r="X34" s="116"/>
      <c r="Y34" s="116"/>
      <c r="Z34" s="116"/>
      <c r="AA34" s="116"/>
    </row>
    <row r="35" spans="1:27">
      <c r="A35" s="116"/>
      <c r="B35" s="116"/>
      <c r="C35" s="116"/>
      <c r="D35" s="116"/>
      <c r="E35" s="116"/>
      <c r="F35" s="118"/>
      <c r="G35" s="116"/>
      <c r="H35" s="116"/>
      <c r="I35" s="116"/>
      <c r="J35" s="116"/>
      <c r="K35" s="116"/>
      <c r="L35" s="116"/>
      <c r="M35" s="117"/>
      <c r="N35" s="116"/>
      <c r="O35" s="117"/>
      <c r="P35" s="116"/>
      <c r="Q35" s="116"/>
      <c r="R35" s="116"/>
      <c r="S35" s="116"/>
      <c r="T35" s="116"/>
      <c r="U35" s="116"/>
      <c r="V35" s="116"/>
      <c r="W35" s="116"/>
      <c r="X35" s="116"/>
      <c r="Y35" s="116"/>
      <c r="Z35" s="116"/>
      <c r="AA35" s="116"/>
    </row>
    <row r="36" spans="1:27">
      <c r="A36" s="116"/>
      <c r="B36" s="116"/>
      <c r="C36" s="116"/>
      <c r="D36" s="116"/>
      <c r="E36" s="116"/>
      <c r="F36" s="118"/>
      <c r="G36" s="116"/>
      <c r="H36" s="116"/>
      <c r="I36" s="116"/>
      <c r="J36" s="116"/>
      <c r="K36" s="116"/>
      <c r="L36" s="116"/>
      <c r="M36" s="116"/>
      <c r="N36" s="116"/>
      <c r="O36" s="116"/>
      <c r="P36" s="116"/>
      <c r="Q36" s="117"/>
      <c r="R36" s="116"/>
      <c r="S36" s="116"/>
      <c r="T36" s="116"/>
      <c r="U36" s="117"/>
      <c r="V36" s="116"/>
      <c r="W36" s="117"/>
      <c r="X36" s="116"/>
      <c r="Y36" s="116"/>
      <c r="Z36" s="116"/>
      <c r="AA36" s="116"/>
    </row>
    <row r="37" spans="1:27">
      <c r="A37" s="116"/>
      <c r="B37" s="116"/>
      <c r="C37" s="116"/>
      <c r="D37" s="116"/>
      <c r="E37" s="116"/>
      <c r="F37" s="118"/>
      <c r="G37" s="116"/>
      <c r="H37" s="116"/>
      <c r="I37" s="116"/>
      <c r="J37" s="116"/>
      <c r="K37" s="116"/>
      <c r="L37" s="116"/>
      <c r="M37" s="117"/>
      <c r="N37" s="116"/>
      <c r="O37" s="117"/>
      <c r="P37" s="116"/>
      <c r="Q37" s="117"/>
      <c r="R37" s="116"/>
      <c r="S37" s="116"/>
      <c r="T37" s="116"/>
      <c r="U37" s="117"/>
      <c r="V37" s="116"/>
      <c r="W37" s="117"/>
      <c r="X37" s="116"/>
      <c r="Y37" s="116"/>
      <c r="Z37" s="116"/>
      <c r="AA37" s="116"/>
    </row>
    <row r="38" spans="1:27">
      <c r="A38" s="116"/>
      <c r="B38" s="116"/>
      <c r="C38" s="116"/>
      <c r="D38" s="116"/>
      <c r="E38" s="116"/>
      <c r="F38" s="118"/>
      <c r="G38" s="116"/>
      <c r="H38" s="116"/>
      <c r="I38" s="116"/>
      <c r="J38" s="116"/>
      <c r="K38" s="116"/>
      <c r="L38" s="116"/>
      <c r="M38" s="117"/>
      <c r="N38" s="116"/>
      <c r="O38" s="117"/>
      <c r="P38" s="116"/>
      <c r="Q38" s="117"/>
      <c r="R38" s="116"/>
      <c r="S38" s="116"/>
      <c r="T38" s="116"/>
      <c r="U38" s="117"/>
      <c r="V38" s="116"/>
      <c r="W38" s="117"/>
      <c r="X38" s="116"/>
      <c r="Y38" s="116"/>
      <c r="Z38" s="116"/>
      <c r="AA38" s="116"/>
    </row>
    <row r="39" spans="1:27">
      <c r="A39" s="116"/>
      <c r="B39" s="116"/>
      <c r="C39" s="116"/>
      <c r="D39" s="116"/>
      <c r="E39" s="116"/>
      <c r="F39" s="118"/>
      <c r="G39" s="116"/>
      <c r="H39" s="116"/>
      <c r="I39" s="116"/>
      <c r="J39" s="116"/>
      <c r="K39" s="116"/>
      <c r="L39" s="116"/>
      <c r="M39" s="116"/>
      <c r="N39" s="116"/>
      <c r="O39" s="116"/>
      <c r="P39" s="116"/>
      <c r="Q39" s="117"/>
      <c r="R39" s="116"/>
      <c r="S39" s="116"/>
      <c r="T39" s="116"/>
      <c r="U39" s="117"/>
      <c r="V39" s="116"/>
      <c r="W39" s="117"/>
      <c r="X39" s="116"/>
      <c r="Y39" s="116"/>
      <c r="Z39" s="116"/>
      <c r="AA39" s="116"/>
    </row>
    <row r="40" spans="1:27">
      <c r="A40" s="116"/>
      <c r="B40" s="116"/>
      <c r="C40" s="116"/>
      <c r="D40" s="116"/>
      <c r="E40" s="116"/>
      <c r="F40" s="118"/>
      <c r="G40" s="116"/>
      <c r="H40" s="116"/>
      <c r="I40" s="116"/>
      <c r="J40" s="116"/>
      <c r="K40" s="116"/>
      <c r="L40" s="116"/>
      <c r="M40" s="116"/>
      <c r="N40" s="116"/>
      <c r="O40" s="116"/>
      <c r="P40" s="116"/>
      <c r="Q40" s="117"/>
      <c r="R40" s="116"/>
      <c r="S40" s="116"/>
      <c r="T40" s="116"/>
      <c r="U40" s="117"/>
      <c r="V40" s="116"/>
      <c r="W40" s="117"/>
      <c r="X40" s="116"/>
      <c r="Y40" s="116"/>
      <c r="Z40" s="116"/>
      <c r="AA40" s="116"/>
    </row>
    <row r="41" spans="1:27">
      <c r="A41" s="116"/>
      <c r="B41" s="116"/>
      <c r="C41" s="116"/>
      <c r="D41" s="116"/>
      <c r="E41" s="116"/>
      <c r="F41" s="118"/>
      <c r="G41" s="116"/>
      <c r="H41" s="116"/>
      <c r="I41" s="116"/>
      <c r="J41" s="116"/>
      <c r="K41" s="116"/>
      <c r="L41" s="116"/>
      <c r="M41" s="116"/>
      <c r="N41" s="116"/>
      <c r="O41" s="116"/>
      <c r="P41" s="116"/>
      <c r="Q41" s="117"/>
      <c r="R41" s="116"/>
      <c r="S41" s="116"/>
      <c r="T41" s="116"/>
      <c r="U41" s="117"/>
      <c r="V41" s="116"/>
      <c r="W41" s="117"/>
      <c r="X41" s="116"/>
      <c r="Y41" s="116"/>
      <c r="Z41" s="116"/>
      <c r="AA41" s="116"/>
    </row>
    <row r="42" spans="1:27">
      <c r="A42" s="116"/>
      <c r="B42" s="116"/>
      <c r="C42" s="116"/>
      <c r="D42" s="116"/>
      <c r="E42" s="116"/>
      <c r="F42" s="118"/>
      <c r="G42" s="116"/>
      <c r="H42" s="116"/>
      <c r="I42" s="116"/>
      <c r="J42" s="116"/>
      <c r="K42" s="116"/>
      <c r="L42" s="116"/>
      <c r="M42" s="116"/>
      <c r="N42" s="116"/>
      <c r="O42" s="116"/>
      <c r="P42" s="116"/>
      <c r="Q42" s="116"/>
      <c r="R42" s="116"/>
      <c r="S42" s="116"/>
      <c r="T42" s="116"/>
      <c r="U42" s="116"/>
      <c r="V42" s="116"/>
      <c r="W42" s="116"/>
      <c r="X42" s="116"/>
      <c r="Y42" s="116"/>
      <c r="Z42" s="116"/>
      <c r="AA42" s="116"/>
    </row>
    <row r="43" spans="1:27">
      <c r="A43" s="116"/>
      <c r="B43" s="116"/>
      <c r="C43" s="116"/>
      <c r="D43" s="116"/>
      <c r="E43" s="116"/>
      <c r="F43" s="118"/>
      <c r="G43" s="116"/>
      <c r="H43" s="116"/>
      <c r="I43" s="116"/>
      <c r="J43" s="116"/>
      <c r="K43" s="116"/>
      <c r="L43" s="116"/>
      <c r="M43" s="116"/>
      <c r="N43" s="116"/>
      <c r="O43" s="116"/>
      <c r="P43" s="116"/>
      <c r="Q43" s="116"/>
      <c r="R43" s="116"/>
      <c r="S43" s="116"/>
      <c r="T43" s="116"/>
      <c r="U43" s="116"/>
      <c r="V43" s="116"/>
      <c r="W43" s="116"/>
      <c r="X43" s="116"/>
      <c r="Y43" s="116"/>
      <c r="Z43" s="116"/>
      <c r="AA43" s="116"/>
    </row>
    <row r="44" spans="1:27">
      <c r="A44" s="116"/>
      <c r="B44" s="116"/>
      <c r="C44" s="116"/>
      <c r="D44" s="116"/>
      <c r="E44" s="116"/>
      <c r="F44" s="118"/>
      <c r="G44" s="116"/>
      <c r="H44" s="116"/>
      <c r="I44" s="116"/>
      <c r="J44" s="116"/>
      <c r="K44" s="116"/>
      <c r="L44" s="116"/>
      <c r="M44" s="117"/>
      <c r="N44" s="116"/>
      <c r="O44" s="117"/>
      <c r="P44" s="116"/>
      <c r="Q44" s="117"/>
      <c r="R44" s="116"/>
      <c r="S44" s="116"/>
      <c r="T44" s="116"/>
      <c r="U44" s="117"/>
      <c r="V44" s="116"/>
      <c r="W44" s="117"/>
      <c r="X44" s="116"/>
      <c r="Y44" s="116"/>
      <c r="Z44" s="116"/>
      <c r="AA44" s="116"/>
    </row>
    <row r="45" spans="1:27">
      <c r="A45" s="116"/>
      <c r="B45" s="116"/>
      <c r="C45" s="116"/>
      <c r="D45" s="116"/>
      <c r="E45" s="116"/>
      <c r="F45" s="118"/>
      <c r="G45" s="116"/>
      <c r="H45" s="116"/>
      <c r="I45" s="116"/>
      <c r="J45" s="116"/>
      <c r="K45" s="116"/>
      <c r="L45" s="116"/>
      <c r="M45" s="116"/>
      <c r="N45" s="116"/>
      <c r="O45" s="116"/>
      <c r="P45" s="116"/>
      <c r="Q45" s="117"/>
      <c r="R45" s="116"/>
      <c r="S45" s="116"/>
      <c r="T45" s="116"/>
      <c r="U45" s="117"/>
      <c r="V45" s="116"/>
      <c r="W45" s="117"/>
      <c r="X45" s="116"/>
      <c r="Y45" s="116"/>
      <c r="Z45" s="116"/>
      <c r="AA45" s="116"/>
    </row>
    <row r="46" spans="1:27">
      <c r="A46" s="116"/>
      <c r="B46" s="116"/>
      <c r="C46" s="116"/>
      <c r="D46" s="116"/>
      <c r="E46" s="116"/>
      <c r="F46" s="118"/>
      <c r="G46" s="116"/>
      <c r="H46" s="116"/>
      <c r="I46" s="116"/>
      <c r="J46" s="116"/>
      <c r="K46" s="116"/>
      <c r="L46" s="116"/>
      <c r="M46" s="116"/>
      <c r="N46" s="116"/>
      <c r="O46" s="116"/>
      <c r="P46" s="116"/>
      <c r="Q46" s="117"/>
      <c r="R46" s="116"/>
      <c r="S46" s="116"/>
      <c r="T46" s="116"/>
      <c r="U46" s="117"/>
      <c r="V46" s="116"/>
      <c r="W46" s="117"/>
      <c r="X46" s="116"/>
      <c r="Y46" s="116"/>
      <c r="Z46" s="116"/>
      <c r="AA46" s="116"/>
    </row>
    <row r="47" spans="1:27">
      <c r="A47" s="116"/>
      <c r="B47" s="116"/>
      <c r="C47" s="116"/>
      <c r="D47" s="116"/>
      <c r="E47" s="116"/>
      <c r="F47" s="118"/>
      <c r="G47" s="116"/>
      <c r="H47" s="116"/>
      <c r="I47" s="116"/>
      <c r="J47" s="116"/>
      <c r="K47" s="116"/>
      <c r="L47" s="116"/>
      <c r="M47" s="117"/>
      <c r="N47" s="116"/>
      <c r="O47" s="117"/>
      <c r="P47" s="116"/>
      <c r="Q47" s="116"/>
      <c r="R47" s="116"/>
      <c r="S47" s="116"/>
      <c r="T47" s="116"/>
      <c r="U47" s="116"/>
      <c r="V47" s="116"/>
      <c r="W47" s="116"/>
      <c r="X47" s="116"/>
      <c r="Y47" s="116"/>
      <c r="Z47" s="116"/>
      <c r="AA47" s="116"/>
    </row>
    <row r="48" spans="1:27">
      <c r="A48" s="116"/>
      <c r="B48" s="116"/>
      <c r="C48" s="116"/>
      <c r="D48" s="116"/>
      <c r="E48" s="116"/>
      <c r="F48" s="118"/>
      <c r="G48" s="116"/>
      <c r="H48" s="116"/>
      <c r="I48" s="116"/>
      <c r="J48" s="116"/>
      <c r="K48" s="116"/>
      <c r="L48" s="116"/>
      <c r="M48" s="116"/>
      <c r="N48" s="116"/>
      <c r="O48" s="116"/>
      <c r="P48" s="116"/>
      <c r="Q48" s="116"/>
      <c r="R48" s="116"/>
      <c r="S48" s="116"/>
      <c r="T48" s="116"/>
      <c r="U48" s="116"/>
      <c r="V48" s="116"/>
      <c r="W48" s="116"/>
      <c r="X48" s="116"/>
      <c r="Y48" s="116"/>
      <c r="Z48" s="116"/>
      <c r="AA48" s="116"/>
    </row>
    <row r="49" spans="1:27">
      <c r="A49" s="116"/>
      <c r="B49" s="116"/>
      <c r="C49" s="116"/>
      <c r="D49" s="116"/>
      <c r="E49" s="116"/>
      <c r="F49" s="118"/>
      <c r="G49" s="116"/>
      <c r="H49" s="116"/>
      <c r="I49" s="116"/>
      <c r="J49" s="116"/>
      <c r="K49" s="116"/>
      <c r="L49" s="116"/>
      <c r="M49" s="117"/>
      <c r="N49" s="116"/>
      <c r="O49" s="117"/>
      <c r="P49" s="116"/>
      <c r="Q49" s="117"/>
      <c r="R49" s="116"/>
      <c r="S49" s="116"/>
      <c r="T49" s="116"/>
      <c r="U49" s="117"/>
      <c r="V49" s="116"/>
      <c r="W49" s="117"/>
      <c r="X49" s="116"/>
      <c r="Y49" s="116"/>
      <c r="Z49" s="116"/>
      <c r="AA49" s="116"/>
    </row>
    <row r="50" spans="1:27">
      <c r="A50" s="116"/>
      <c r="B50" s="116"/>
      <c r="C50" s="116"/>
      <c r="D50" s="116"/>
      <c r="E50" s="116"/>
      <c r="F50" s="118"/>
      <c r="G50" s="116"/>
      <c r="H50" s="116"/>
      <c r="I50" s="116"/>
      <c r="J50" s="116"/>
      <c r="K50" s="116"/>
      <c r="L50" s="116"/>
      <c r="M50" s="116"/>
      <c r="N50" s="116"/>
      <c r="O50" s="116"/>
      <c r="P50" s="116"/>
      <c r="Q50" s="116"/>
      <c r="R50" s="116"/>
      <c r="S50" s="116"/>
      <c r="T50" s="116"/>
      <c r="U50" s="116"/>
      <c r="V50" s="116"/>
      <c r="W50" s="116"/>
      <c r="X50" s="116"/>
      <c r="Y50" s="116"/>
      <c r="Z50" s="116"/>
      <c r="AA50" s="116"/>
    </row>
    <row r="51" spans="1:27">
      <c r="A51" s="116"/>
      <c r="B51" s="116"/>
      <c r="C51" s="116"/>
      <c r="D51" s="116"/>
      <c r="E51" s="116"/>
      <c r="F51" s="118"/>
      <c r="G51" s="116"/>
      <c r="H51" s="116"/>
      <c r="I51" s="116"/>
      <c r="J51" s="116"/>
      <c r="K51" s="116"/>
      <c r="L51" s="116"/>
      <c r="M51" s="117"/>
      <c r="N51" s="116"/>
      <c r="O51" s="117"/>
      <c r="P51" s="116"/>
      <c r="Q51" s="117"/>
      <c r="R51" s="116"/>
      <c r="S51" s="116"/>
      <c r="T51" s="116"/>
      <c r="U51" s="117"/>
      <c r="V51" s="116"/>
      <c r="W51" s="117"/>
      <c r="X51" s="116"/>
      <c r="Y51" s="116"/>
      <c r="Z51" s="116"/>
      <c r="AA51" s="116"/>
    </row>
    <row r="52" spans="1:27">
      <c r="A52" s="116"/>
      <c r="B52" s="116"/>
      <c r="C52" s="116"/>
      <c r="D52" s="116"/>
      <c r="E52" s="116"/>
      <c r="F52" s="118"/>
      <c r="G52" s="116"/>
      <c r="H52" s="116"/>
      <c r="I52" s="116"/>
      <c r="J52" s="116"/>
      <c r="K52" s="116"/>
      <c r="L52" s="116"/>
      <c r="M52" s="117"/>
      <c r="N52" s="116"/>
      <c r="O52" s="117"/>
      <c r="P52" s="116"/>
      <c r="Q52" s="117"/>
      <c r="R52" s="116"/>
      <c r="S52" s="116"/>
      <c r="T52" s="116"/>
      <c r="U52" s="117"/>
      <c r="V52" s="116"/>
      <c r="W52" s="117"/>
      <c r="X52" s="116"/>
      <c r="Y52" s="116"/>
      <c r="Z52" s="116"/>
      <c r="AA52" s="116"/>
    </row>
    <row r="53" spans="1:27">
      <c r="A53" s="116"/>
      <c r="B53" s="116"/>
      <c r="C53" s="116"/>
      <c r="D53" s="116"/>
      <c r="E53" s="116"/>
      <c r="F53" s="118"/>
      <c r="G53" s="116"/>
      <c r="H53" s="116"/>
      <c r="I53" s="116"/>
      <c r="J53" s="116"/>
      <c r="K53" s="116"/>
      <c r="L53" s="116"/>
      <c r="M53" s="117"/>
      <c r="N53" s="116"/>
      <c r="O53" s="117"/>
      <c r="P53" s="116"/>
      <c r="Q53" s="117"/>
      <c r="R53" s="116"/>
      <c r="S53" s="116"/>
      <c r="T53" s="116"/>
      <c r="U53" s="117"/>
      <c r="V53" s="116"/>
      <c r="W53" s="117"/>
      <c r="X53" s="116"/>
      <c r="Y53" s="116"/>
      <c r="Z53" s="116"/>
      <c r="AA53" s="116"/>
    </row>
    <row r="54" spans="1:27">
      <c r="A54" s="116"/>
      <c r="B54" s="116"/>
      <c r="C54" s="116"/>
      <c r="D54" s="116"/>
      <c r="E54" s="116"/>
      <c r="F54" s="118"/>
      <c r="G54" s="116"/>
      <c r="H54" s="116"/>
      <c r="I54" s="116"/>
      <c r="J54" s="116"/>
      <c r="K54" s="116"/>
      <c r="L54" s="116"/>
      <c r="M54" s="116"/>
      <c r="N54" s="116"/>
      <c r="O54" s="116"/>
      <c r="P54" s="116"/>
      <c r="Q54" s="117"/>
      <c r="R54" s="116"/>
      <c r="S54" s="116"/>
      <c r="T54" s="116"/>
      <c r="U54" s="117"/>
      <c r="V54" s="116"/>
      <c r="W54" s="117"/>
      <c r="X54" s="116"/>
      <c r="Y54" s="116"/>
      <c r="Z54" s="116"/>
      <c r="AA54" s="116"/>
    </row>
    <row r="55" spans="1:27">
      <c r="A55" s="116"/>
      <c r="B55" s="116"/>
      <c r="C55" s="116"/>
      <c r="D55" s="116"/>
      <c r="E55" s="116"/>
      <c r="F55" s="118"/>
      <c r="G55" s="116"/>
      <c r="H55" s="116"/>
      <c r="I55" s="116"/>
      <c r="J55" s="116"/>
      <c r="K55" s="116"/>
      <c r="L55" s="116"/>
      <c r="M55" s="116"/>
      <c r="N55" s="116"/>
      <c r="O55" s="116"/>
      <c r="P55" s="116"/>
      <c r="Q55" s="116"/>
      <c r="R55" s="116"/>
      <c r="S55" s="116"/>
      <c r="T55" s="116"/>
      <c r="U55" s="116"/>
      <c r="V55" s="116"/>
      <c r="W55" s="116"/>
      <c r="X55" s="116"/>
      <c r="Y55" s="116"/>
      <c r="Z55" s="116"/>
      <c r="AA55" s="116"/>
    </row>
    <row r="56" spans="1:27">
      <c r="A56" s="116"/>
      <c r="B56" s="116"/>
      <c r="C56" s="116"/>
      <c r="D56" s="116"/>
      <c r="E56" s="116"/>
      <c r="F56" s="118"/>
      <c r="G56" s="116"/>
      <c r="H56" s="116"/>
      <c r="I56" s="116"/>
      <c r="J56" s="116"/>
      <c r="K56" s="116"/>
      <c r="L56" s="116"/>
      <c r="M56" s="117"/>
      <c r="N56" s="116"/>
      <c r="O56" s="117"/>
      <c r="P56" s="116"/>
      <c r="Q56" s="117"/>
      <c r="R56" s="116"/>
      <c r="S56" s="116"/>
      <c r="T56" s="116"/>
      <c r="U56" s="117"/>
      <c r="V56" s="116"/>
      <c r="W56" s="117"/>
      <c r="X56" s="116"/>
      <c r="Y56" s="116"/>
      <c r="Z56" s="116"/>
      <c r="AA56" s="116"/>
    </row>
    <row r="57" spans="1:27">
      <c r="A57" s="116"/>
      <c r="B57" s="116"/>
      <c r="C57" s="116"/>
      <c r="D57" s="116"/>
      <c r="E57" s="116"/>
      <c r="F57" s="118"/>
      <c r="G57" s="116"/>
      <c r="H57" s="116"/>
      <c r="I57" s="116"/>
      <c r="J57" s="116"/>
      <c r="K57" s="116"/>
      <c r="L57" s="116"/>
      <c r="M57" s="116"/>
      <c r="N57" s="116"/>
      <c r="O57" s="116"/>
      <c r="P57" s="116"/>
      <c r="Q57" s="117"/>
      <c r="R57" s="116"/>
      <c r="S57" s="116"/>
      <c r="T57" s="116"/>
      <c r="U57" s="117"/>
      <c r="V57" s="116"/>
      <c r="W57" s="117"/>
      <c r="X57" s="116"/>
      <c r="Y57" s="116"/>
      <c r="Z57" s="116"/>
      <c r="AA57" s="116"/>
    </row>
    <row r="58" spans="1:27">
      <c r="A58" s="116"/>
      <c r="B58" s="116"/>
      <c r="C58" s="116"/>
      <c r="D58" s="116"/>
      <c r="E58" s="116"/>
      <c r="F58" s="118"/>
      <c r="G58" s="116"/>
      <c r="H58" s="116"/>
      <c r="I58" s="116"/>
      <c r="J58" s="116"/>
      <c r="K58" s="116"/>
      <c r="L58" s="116"/>
      <c r="M58" s="116"/>
      <c r="N58" s="116"/>
      <c r="O58" s="116"/>
      <c r="P58" s="116"/>
      <c r="Q58" s="117"/>
      <c r="R58" s="116"/>
      <c r="S58" s="116"/>
      <c r="T58" s="116"/>
      <c r="U58" s="117"/>
      <c r="V58" s="116"/>
      <c r="W58" s="117"/>
      <c r="X58" s="116"/>
      <c r="Y58" s="116"/>
      <c r="Z58" s="116"/>
      <c r="AA58" s="116"/>
    </row>
    <row r="59" spans="1:27">
      <c r="A59" s="116"/>
      <c r="B59" s="116"/>
      <c r="C59" s="116"/>
      <c r="D59" s="116"/>
      <c r="E59" s="116"/>
      <c r="F59" s="118"/>
      <c r="G59" s="116"/>
      <c r="H59" s="116"/>
      <c r="I59" s="116"/>
      <c r="J59" s="116"/>
      <c r="K59" s="116"/>
      <c r="L59" s="116"/>
      <c r="M59" s="116"/>
      <c r="N59" s="116"/>
      <c r="O59" s="116"/>
      <c r="P59" s="116"/>
      <c r="Q59" s="116"/>
      <c r="R59" s="116"/>
      <c r="S59" s="116"/>
      <c r="T59" s="116"/>
      <c r="U59" s="116"/>
      <c r="V59" s="116"/>
      <c r="W59" s="116"/>
      <c r="X59" s="116"/>
      <c r="Y59" s="116"/>
      <c r="Z59" s="116"/>
      <c r="AA59" s="116"/>
    </row>
    <row r="60" spans="1:27">
      <c r="A60" s="116"/>
      <c r="B60" s="116"/>
      <c r="C60" s="116"/>
      <c r="D60" s="116"/>
      <c r="E60" s="116"/>
      <c r="F60" s="118"/>
      <c r="G60" s="116"/>
      <c r="H60" s="116"/>
      <c r="I60" s="116"/>
      <c r="J60" s="116"/>
      <c r="K60" s="116"/>
      <c r="L60" s="116"/>
      <c r="M60" s="117"/>
      <c r="N60" s="116"/>
      <c r="O60" s="117"/>
      <c r="P60" s="116"/>
      <c r="Q60" s="117"/>
      <c r="R60" s="116"/>
      <c r="S60" s="116"/>
      <c r="T60" s="116"/>
      <c r="U60" s="117"/>
      <c r="V60" s="116"/>
      <c r="W60" s="117"/>
      <c r="X60" s="116"/>
      <c r="Y60" s="116"/>
      <c r="Z60" s="116"/>
      <c r="AA60" s="116"/>
    </row>
    <row r="61" spans="1:27">
      <c r="A61" s="116"/>
      <c r="B61" s="116"/>
      <c r="C61" s="116"/>
      <c r="D61" s="116"/>
      <c r="E61" s="116"/>
      <c r="F61" s="118"/>
      <c r="G61" s="116"/>
      <c r="H61" s="116"/>
      <c r="I61" s="116"/>
      <c r="J61" s="116"/>
      <c r="K61" s="116"/>
      <c r="L61" s="116"/>
      <c r="M61" s="116"/>
      <c r="N61" s="116"/>
      <c r="O61" s="116"/>
      <c r="P61" s="116"/>
      <c r="Q61" s="116"/>
      <c r="R61" s="116"/>
      <c r="S61" s="116"/>
      <c r="T61" s="116"/>
      <c r="U61" s="116"/>
      <c r="V61" s="116"/>
      <c r="W61" s="116"/>
      <c r="X61" s="116"/>
      <c r="Y61" s="116"/>
      <c r="Z61" s="116"/>
      <c r="AA61" s="116"/>
    </row>
    <row r="62" spans="1:27">
      <c r="A62" s="116"/>
      <c r="B62" s="116"/>
      <c r="C62" s="116"/>
      <c r="D62" s="116"/>
      <c r="E62" s="116"/>
      <c r="F62" s="118"/>
      <c r="G62" s="116"/>
      <c r="H62" s="116"/>
      <c r="I62" s="116"/>
      <c r="J62" s="116"/>
      <c r="K62" s="116"/>
      <c r="L62" s="116"/>
      <c r="M62" s="117"/>
      <c r="N62" s="116"/>
      <c r="O62" s="117"/>
      <c r="P62" s="116"/>
      <c r="Q62" s="117"/>
      <c r="R62" s="116"/>
      <c r="S62" s="116"/>
      <c r="T62" s="116"/>
      <c r="U62" s="117"/>
      <c r="V62" s="116"/>
      <c r="W62" s="117"/>
      <c r="X62" s="116"/>
      <c r="Y62" s="116"/>
      <c r="Z62" s="116"/>
      <c r="AA62" s="116"/>
    </row>
    <row r="63" spans="1:27">
      <c r="A63" s="116"/>
      <c r="B63" s="116"/>
      <c r="C63" s="116"/>
      <c r="D63" s="116"/>
      <c r="E63" s="116"/>
      <c r="F63" s="118"/>
      <c r="G63" s="116"/>
      <c r="H63" s="116"/>
      <c r="I63" s="116"/>
      <c r="J63" s="116"/>
      <c r="K63" s="116"/>
      <c r="L63" s="116"/>
      <c r="M63" s="117"/>
      <c r="N63" s="116"/>
      <c r="O63" s="117"/>
      <c r="P63" s="116"/>
      <c r="Q63" s="117"/>
      <c r="R63" s="116"/>
      <c r="S63" s="116"/>
      <c r="T63" s="116"/>
      <c r="U63" s="117"/>
      <c r="V63" s="116"/>
      <c r="W63" s="117"/>
      <c r="X63" s="116"/>
      <c r="Y63" s="116"/>
      <c r="Z63" s="116"/>
      <c r="AA63" s="116"/>
    </row>
    <row r="64" spans="1:27">
      <c r="A64" s="116"/>
      <c r="B64" s="116"/>
      <c r="C64" s="116"/>
      <c r="D64" s="116"/>
      <c r="E64" s="116"/>
      <c r="F64" s="118"/>
      <c r="G64" s="116"/>
      <c r="H64" s="116"/>
      <c r="I64" s="116"/>
      <c r="J64" s="116"/>
      <c r="K64" s="116"/>
      <c r="L64" s="116"/>
      <c r="M64" s="117"/>
      <c r="N64" s="116"/>
      <c r="O64" s="117"/>
      <c r="P64" s="116"/>
      <c r="Q64" s="117"/>
      <c r="R64" s="116"/>
      <c r="S64" s="116"/>
      <c r="T64" s="116"/>
      <c r="U64" s="117"/>
      <c r="V64" s="116"/>
      <c r="W64" s="117"/>
      <c r="X64" s="116"/>
      <c r="Y64" s="116"/>
      <c r="Z64" s="116"/>
      <c r="AA64" s="116"/>
    </row>
    <row r="65" spans="1:27">
      <c r="A65" s="116"/>
      <c r="B65" s="116"/>
      <c r="C65" s="116"/>
      <c r="D65" s="116"/>
      <c r="E65" s="116"/>
      <c r="F65" s="118"/>
      <c r="G65" s="116"/>
      <c r="H65" s="116"/>
      <c r="I65" s="116"/>
      <c r="J65" s="116"/>
      <c r="K65" s="116"/>
      <c r="L65" s="116"/>
      <c r="M65" s="117"/>
      <c r="N65" s="116"/>
      <c r="O65" s="117"/>
      <c r="P65" s="116"/>
      <c r="Q65" s="117"/>
      <c r="R65" s="116"/>
      <c r="S65" s="116"/>
      <c r="T65" s="116"/>
      <c r="U65" s="117"/>
      <c r="V65" s="116"/>
      <c r="W65" s="117"/>
      <c r="X65" s="116"/>
      <c r="Y65" s="116"/>
      <c r="Z65" s="116"/>
      <c r="AA65" s="116"/>
    </row>
    <row r="66" spans="1:27">
      <c r="A66" s="116"/>
      <c r="B66" s="116"/>
      <c r="C66" s="116"/>
      <c r="D66" s="116"/>
      <c r="E66" s="116"/>
      <c r="F66" s="118"/>
      <c r="G66" s="116"/>
      <c r="H66" s="116"/>
      <c r="I66" s="116"/>
      <c r="J66" s="116"/>
      <c r="K66" s="116"/>
      <c r="L66" s="116"/>
      <c r="M66" s="116"/>
      <c r="N66" s="116"/>
      <c r="O66" s="116"/>
      <c r="P66" s="116"/>
      <c r="Q66" s="116"/>
      <c r="R66" s="116"/>
      <c r="S66" s="116"/>
      <c r="T66" s="116"/>
      <c r="U66" s="116"/>
      <c r="V66" s="116"/>
      <c r="W66" s="116"/>
      <c r="X66" s="116"/>
      <c r="Y66" s="116"/>
      <c r="Z66" s="116"/>
      <c r="AA66" s="116"/>
    </row>
    <row r="67" spans="1:27">
      <c r="A67" s="116"/>
      <c r="B67" s="116"/>
      <c r="C67" s="116"/>
      <c r="D67" s="116"/>
      <c r="E67" s="116"/>
      <c r="F67" s="118"/>
      <c r="G67" s="116"/>
      <c r="H67" s="116"/>
      <c r="I67" s="116"/>
      <c r="J67" s="116"/>
      <c r="K67" s="116"/>
      <c r="L67" s="116"/>
      <c r="M67" s="117"/>
      <c r="N67" s="116"/>
      <c r="O67" s="117"/>
      <c r="P67" s="116"/>
      <c r="Q67" s="117"/>
      <c r="R67" s="116"/>
      <c r="S67" s="116"/>
      <c r="T67" s="116"/>
      <c r="U67" s="117"/>
      <c r="V67" s="116"/>
      <c r="W67" s="117"/>
      <c r="X67" s="116"/>
      <c r="Y67" s="116"/>
      <c r="Z67" s="116"/>
      <c r="AA67" s="116"/>
    </row>
    <row r="68" spans="1:27">
      <c r="A68" s="116"/>
      <c r="B68" s="116"/>
      <c r="C68" s="116"/>
      <c r="D68" s="116"/>
      <c r="E68" s="116"/>
      <c r="F68" s="118"/>
      <c r="G68" s="116"/>
      <c r="H68" s="116"/>
      <c r="I68" s="116"/>
      <c r="J68" s="116"/>
      <c r="K68" s="116"/>
      <c r="L68" s="116"/>
      <c r="M68" s="117"/>
      <c r="N68" s="116"/>
      <c r="O68" s="117"/>
      <c r="P68" s="116"/>
      <c r="Q68" s="117"/>
      <c r="R68" s="116"/>
      <c r="S68" s="116"/>
      <c r="T68" s="116"/>
      <c r="U68" s="117"/>
      <c r="V68" s="116"/>
      <c r="W68" s="117"/>
      <c r="X68" s="116"/>
      <c r="Y68" s="116"/>
      <c r="Z68" s="116"/>
      <c r="AA68" s="116"/>
    </row>
    <row r="69" spans="1:27">
      <c r="A69" s="116"/>
      <c r="B69" s="116"/>
      <c r="C69" s="116"/>
      <c r="D69" s="116"/>
      <c r="E69" s="116"/>
      <c r="F69" s="118"/>
      <c r="G69" s="116"/>
      <c r="H69" s="116"/>
      <c r="I69" s="116"/>
      <c r="J69" s="116"/>
      <c r="K69" s="116"/>
      <c r="L69" s="116"/>
      <c r="M69" s="116"/>
      <c r="N69" s="116"/>
      <c r="O69" s="116"/>
      <c r="P69" s="116"/>
      <c r="Q69" s="117"/>
      <c r="R69" s="116"/>
      <c r="S69" s="116"/>
      <c r="T69" s="116"/>
      <c r="U69" s="117"/>
      <c r="V69" s="116"/>
      <c r="W69" s="117"/>
      <c r="X69" s="116"/>
      <c r="Y69" s="116"/>
      <c r="Z69" s="116"/>
      <c r="AA69" s="116"/>
    </row>
    <row r="70" spans="1:27">
      <c r="A70" s="116"/>
      <c r="B70" s="116"/>
      <c r="C70" s="116"/>
      <c r="D70" s="116"/>
      <c r="E70" s="116"/>
      <c r="F70" s="118"/>
      <c r="G70" s="116"/>
      <c r="H70" s="116"/>
      <c r="I70" s="116"/>
      <c r="J70" s="116"/>
      <c r="K70" s="116"/>
      <c r="L70" s="116"/>
      <c r="M70" s="117"/>
      <c r="N70" s="116"/>
      <c r="O70" s="117"/>
      <c r="P70" s="116"/>
      <c r="Q70" s="117"/>
      <c r="R70" s="116"/>
      <c r="S70" s="116"/>
      <c r="T70" s="116"/>
      <c r="U70" s="117"/>
      <c r="V70" s="116"/>
      <c r="W70" s="117"/>
      <c r="X70" s="116"/>
      <c r="Y70" s="116"/>
      <c r="Z70" s="116"/>
      <c r="AA70" s="116"/>
    </row>
    <row r="71" spans="1:27">
      <c r="A71" s="116"/>
      <c r="B71" s="116"/>
      <c r="C71" s="116"/>
      <c r="D71" s="116"/>
      <c r="E71" s="116"/>
      <c r="F71" s="118"/>
      <c r="G71" s="116"/>
      <c r="H71" s="116"/>
      <c r="I71" s="116"/>
      <c r="J71" s="116"/>
      <c r="K71" s="116"/>
      <c r="L71" s="116"/>
      <c r="M71" s="117"/>
      <c r="N71" s="116"/>
      <c r="O71" s="117"/>
      <c r="P71" s="116"/>
      <c r="Q71" s="117"/>
      <c r="R71" s="116"/>
      <c r="S71" s="116"/>
      <c r="T71" s="116"/>
      <c r="U71" s="117"/>
      <c r="V71" s="116"/>
      <c r="W71" s="117"/>
      <c r="X71" s="116"/>
      <c r="Y71" s="116"/>
      <c r="Z71" s="116"/>
      <c r="AA71" s="116"/>
    </row>
    <row r="72" spans="1:27">
      <c r="A72" s="116"/>
      <c r="B72" s="116"/>
      <c r="C72" s="116"/>
      <c r="D72" s="116"/>
      <c r="E72" s="116"/>
      <c r="F72" s="118"/>
      <c r="G72" s="116"/>
      <c r="H72" s="116"/>
      <c r="I72" s="116"/>
      <c r="J72" s="116"/>
      <c r="K72" s="116"/>
      <c r="L72" s="116"/>
      <c r="M72" s="117"/>
      <c r="N72" s="116"/>
      <c r="O72" s="117"/>
      <c r="P72" s="116"/>
      <c r="Q72" s="117"/>
      <c r="R72" s="116"/>
      <c r="S72" s="116"/>
      <c r="T72" s="116"/>
      <c r="U72" s="117"/>
      <c r="V72" s="116"/>
      <c r="W72" s="117"/>
      <c r="X72" s="116"/>
      <c r="Y72" s="116"/>
      <c r="Z72" s="116"/>
      <c r="AA72" s="116"/>
    </row>
    <row r="73" spans="1:27">
      <c r="A73" s="116"/>
      <c r="B73" s="116"/>
      <c r="C73" s="116"/>
      <c r="D73" s="116"/>
      <c r="E73" s="116"/>
      <c r="F73" s="118"/>
      <c r="G73" s="116"/>
      <c r="H73" s="116"/>
      <c r="I73" s="116"/>
      <c r="J73" s="116"/>
      <c r="K73" s="116"/>
      <c r="L73" s="116"/>
      <c r="M73" s="117"/>
      <c r="N73" s="116"/>
      <c r="O73" s="117"/>
      <c r="P73" s="116"/>
      <c r="Q73" s="117"/>
      <c r="R73" s="116"/>
      <c r="S73" s="116"/>
      <c r="T73" s="116"/>
      <c r="U73" s="117"/>
      <c r="V73" s="116"/>
      <c r="W73" s="117"/>
      <c r="X73" s="116"/>
      <c r="Y73" s="116"/>
      <c r="Z73" s="116"/>
      <c r="AA73" s="116"/>
    </row>
    <row r="74" spans="1:27">
      <c r="A74" s="116"/>
      <c r="B74" s="116"/>
      <c r="C74" s="116"/>
      <c r="D74" s="116"/>
      <c r="E74" s="116"/>
      <c r="F74" s="118"/>
      <c r="G74" s="116"/>
      <c r="H74" s="116"/>
      <c r="I74" s="116"/>
      <c r="J74" s="116"/>
      <c r="K74" s="116"/>
      <c r="L74" s="116"/>
      <c r="M74" s="117"/>
      <c r="N74" s="116"/>
      <c r="O74" s="117"/>
      <c r="P74" s="116"/>
      <c r="Q74" s="117"/>
      <c r="R74" s="116"/>
      <c r="S74" s="116"/>
      <c r="T74" s="116"/>
      <c r="U74" s="117"/>
      <c r="V74" s="116"/>
      <c r="W74" s="117"/>
      <c r="X74" s="116"/>
      <c r="Y74" s="116"/>
      <c r="Z74" s="116"/>
      <c r="AA74" s="116"/>
    </row>
    <row r="75" spans="1:27">
      <c r="A75" s="116"/>
      <c r="B75" s="116"/>
      <c r="C75" s="116"/>
      <c r="D75" s="116"/>
      <c r="E75" s="116"/>
      <c r="F75" s="118"/>
      <c r="G75" s="116"/>
      <c r="H75" s="116"/>
      <c r="I75" s="116"/>
      <c r="J75" s="116"/>
      <c r="K75" s="116"/>
      <c r="L75" s="116"/>
      <c r="M75" s="117"/>
      <c r="N75" s="116"/>
      <c r="O75" s="117"/>
      <c r="P75" s="116"/>
      <c r="Q75" s="117"/>
      <c r="R75" s="116"/>
      <c r="S75" s="116"/>
      <c r="T75" s="116"/>
      <c r="U75" s="117"/>
      <c r="V75" s="116"/>
      <c r="W75" s="117"/>
      <c r="X75" s="116"/>
      <c r="Y75" s="116"/>
      <c r="Z75" s="116"/>
      <c r="AA75" s="116"/>
    </row>
    <row r="76" spans="1:27">
      <c r="A76" s="116"/>
      <c r="B76" s="116"/>
      <c r="C76" s="116"/>
      <c r="D76" s="116"/>
      <c r="E76" s="116"/>
      <c r="F76" s="118"/>
      <c r="G76" s="116"/>
      <c r="H76" s="116"/>
      <c r="I76" s="116"/>
      <c r="J76" s="116"/>
      <c r="K76" s="116"/>
      <c r="L76" s="116"/>
      <c r="M76" s="117"/>
      <c r="N76" s="116"/>
      <c r="O76" s="117"/>
      <c r="P76" s="116"/>
      <c r="Q76" s="117"/>
      <c r="R76" s="116"/>
      <c r="S76" s="116"/>
      <c r="T76" s="116"/>
      <c r="U76" s="117"/>
      <c r="V76" s="116"/>
      <c r="W76" s="117"/>
      <c r="X76" s="116"/>
      <c r="Y76" s="116"/>
      <c r="Z76" s="116"/>
      <c r="AA76" s="116"/>
    </row>
    <row r="77" spans="1:27">
      <c r="A77" s="116"/>
      <c r="B77" s="116"/>
      <c r="C77" s="116"/>
      <c r="D77" s="116"/>
      <c r="E77" s="116"/>
      <c r="F77" s="118"/>
      <c r="G77" s="116"/>
      <c r="H77" s="116"/>
      <c r="I77" s="116"/>
      <c r="J77" s="116"/>
      <c r="K77" s="116"/>
      <c r="L77" s="116"/>
      <c r="M77" s="117"/>
      <c r="N77" s="116"/>
      <c r="O77" s="117"/>
      <c r="P77" s="116"/>
      <c r="Q77" s="117"/>
      <c r="R77" s="116"/>
      <c r="S77" s="116"/>
      <c r="T77" s="116"/>
      <c r="U77" s="117"/>
      <c r="V77" s="116"/>
      <c r="W77" s="117"/>
      <c r="X77" s="116"/>
      <c r="Y77" s="116"/>
      <c r="Z77" s="116"/>
      <c r="AA77" s="116"/>
    </row>
    <row r="78" spans="1:27">
      <c r="A78" s="116"/>
      <c r="B78" s="116"/>
      <c r="C78" s="116"/>
      <c r="D78" s="116"/>
      <c r="E78" s="116"/>
      <c r="F78" s="118"/>
      <c r="G78" s="116"/>
      <c r="H78" s="116"/>
      <c r="I78" s="116"/>
      <c r="J78" s="116"/>
      <c r="K78" s="116"/>
      <c r="L78" s="116"/>
      <c r="M78" s="116"/>
      <c r="N78" s="116"/>
      <c r="O78" s="116"/>
      <c r="P78" s="116"/>
      <c r="Q78" s="117"/>
      <c r="R78" s="116"/>
      <c r="S78" s="116"/>
      <c r="T78" s="116"/>
      <c r="U78" s="117"/>
      <c r="V78" s="116"/>
      <c r="W78" s="117"/>
      <c r="X78" s="116"/>
      <c r="Y78" s="116"/>
      <c r="Z78" s="116"/>
      <c r="AA78" s="116"/>
    </row>
    <row r="79" spans="1:27">
      <c r="A79" s="116"/>
      <c r="B79" s="116"/>
      <c r="C79" s="116"/>
      <c r="D79" s="116"/>
      <c r="E79" s="116"/>
      <c r="F79" s="118"/>
      <c r="G79" s="116"/>
      <c r="H79" s="116"/>
      <c r="I79" s="116"/>
      <c r="J79" s="116"/>
      <c r="K79" s="116"/>
      <c r="L79" s="116"/>
      <c r="M79" s="117"/>
      <c r="N79" s="116"/>
      <c r="O79" s="117"/>
      <c r="P79" s="116"/>
      <c r="Q79" s="117"/>
      <c r="R79" s="116"/>
      <c r="S79" s="116"/>
      <c r="T79" s="116"/>
      <c r="U79" s="117"/>
      <c r="V79" s="116"/>
      <c r="W79" s="117"/>
      <c r="X79" s="116"/>
      <c r="Y79" s="116"/>
      <c r="Z79" s="116"/>
      <c r="AA79" s="116"/>
    </row>
    <row r="80" spans="1:27">
      <c r="A80" s="116"/>
      <c r="B80" s="116"/>
      <c r="C80" s="116"/>
      <c r="D80" s="116"/>
      <c r="E80" s="116"/>
      <c r="F80" s="118"/>
      <c r="G80" s="116"/>
      <c r="H80" s="116"/>
      <c r="I80" s="116"/>
      <c r="J80" s="116"/>
      <c r="K80" s="116"/>
      <c r="L80" s="116"/>
      <c r="M80" s="117"/>
      <c r="N80" s="116"/>
      <c r="O80" s="117"/>
      <c r="P80" s="116"/>
      <c r="Q80" s="117"/>
      <c r="R80" s="116"/>
      <c r="S80" s="116"/>
      <c r="T80" s="116"/>
      <c r="U80" s="117"/>
      <c r="V80" s="116"/>
      <c r="W80" s="117"/>
      <c r="X80" s="116"/>
      <c r="Y80" s="116"/>
      <c r="Z80" s="116"/>
      <c r="AA80" s="116"/>
    </row>
    <row r="81" spans="1:27">
      <c r="A81" s="116"/>
      <c r="B81" s="116"/>
      <c r="C81" s="116"/>
      <c r="D81" s="116"/>
      <c r="E81" s="116"/>
      <c r="F81" s="118"/>
      <c r="G81" s="116"/>
      <c r="H81" s="116"/>
      <c r="I81" s="116"/>
      <c r="J81" s="116"/>
      <c r="K81" s="116"/>
      <c r="L81" s="116"/>
      <c r="M81" s="117"/>
      <c r="N81" s="116"/>
      <c r="O81" s="117"/>
      <c r="P81" s="116"/>
      <c r="Q81" s="117"/>
      <c r="R81" s="116"/>
      <c r="S81" s="116"/>
      <c r="T81" s="116"/>
      <c r="U81" s="117"/>
      <c r="V81" s="116"/>
      <c r="W81" s="117"/>
      <c r="X81" s="116"/>
      <c r="Y81" s="116"/>
      <c r="Z81" s="116"/>
      <c r="AA81" s="116"/>
    </row>
    <row r="82" spans="1:27">
      <c r="A82" s="116"/>
      <c r="B82" s="116"/>
      <c r="C82" s="116"/>
      <c r="D82" s="116"/>
      <c r="E82" s="116"/>
      <c r="F82" s="118"/>
      <c r="G82" s="116"/>
      <c r="H82" s="116"/>
      <c r="I82" s="116"/>
      <c r="J82" s="116"/>
      <c r="K82" s="116"/>
      <c r="L82" s="116"/>
      <c r="M82" s="117"/>
      <c r="N82" s="116"/>
      <c r="O82" s="117"/>
      <c r="P82" s="116"/>
      <c r="Q82" s="117"/>
      <c r="R82" s="116"/>
      <c r="S82" s="116"/>
      <c r="T82" s="116"/>
      <c r="U82" s="117"/>
      <c r="V82" s="116"/>
      <c r="W82" s="117"/>
      <c r="X82" s="116"/>
      <c r="Y82" s="116"/>
      <c r="Z82" s="116"/>
      <c r="AA82" s="116"/>
    </row>
    <row r="83" spans="1:27">
      <c r="A83" s="116"/>
      <c r="B83" s="116"/>
      <c r="C83" s="116"/>
      <c r="D83" s="116"/>
      <c r="E83" s="116"/>
      <c r="F83" s="118"/>
      <c r="G83" s="116"/>
      <c r="H83" s="116"/>
      <c r="I83" s="116"/>
      <c r="J83" s="116"/>
      <c r="K83" s="116"/>
      <c r="L83" s="116"/>
      <c r="M83" s="117"/>
      <c r="N83" s="116"/>
      <c r="O83" s="117"/>
      <c r="P83" s="116"/>
      <c r="Q83" s="117"/>
      <c r="R83" s="116"/>
      <c r="S83" s="116"/>
      <c r="T83" s="116"/>
      <c r="U83" s="117"/>
      <c r="V83" s="116"/>
      <c r="W83" s="117"/>
      <c r="X83" s="116"/>
      <c r="Y83" s="116"/>
      <c r="Z83" s="116"/>
      <c r="AA83" s="116"/>
    </row>
    <row r="84" spans="1:27">
      <c r="A84" s="116"/>
      <c r="B84" s="116"/>
      <c r="C84" s="116"/>
      <c r="D84" s="116"/>
      <c r="E84" s="116"/>
      <c r="F84" s="118"/>
      <c r="G84" s="116"/>
      <c r="H84" s="116"/>
      <c r="I84" s="116"/>
      <c r="J84" s="116"/>
      <c r="K84" s="116"/>
      <c r="L84" s="116"/>
      <c r="M84" s="117"/>
      <c r="N84" s="116"/>
      <c r="O84" s="117"/>
      <c r="P84" s="116"/>
      <c r="Q84" s="117"/>
      <c r="R84" s="116"/>
      <c r="S84" s="116"/>
      <c r="T84" s="116"/>
      <c r="U84" s="117"/>
      <c r="V84" s="116"/>
      <c r="W84" s="117"/>
      <c r="X84" s="116"/>
      <c r="Y84" s="116"/>
      <c r="Z84" s="116"/>
      <c r="AA84" s="116"/>
    </row>
    <row r="85" spans="1:27">
      <c r="A85" s="116"/>
      <c r="B85" s="116"/>
      <c r="C85" s="116"/>
      <c r="D85" s="116"/>
      <c r="E85" s="116"/>
      <c r="F85" s="118"/>
      <c r="G85" s="116"/>
      <c r="H85" s="116"/>
      <c r="I85" s="116"/>
      <c r="J85" s="116"/>
      <c r="K85" s="116"/>
      <c r="L85" s="116"/>
      <c r="M85" s="117"/>
      <c r="N85" s="116"/>
      <c r="O85" s="117"/>
      <c r="P85" s="116"/>
      <c r="Q85" s="117"/>
      <c r="R85" s="116"/>
      <c r="S85" s="116"/>
      <c r="T85" s="116"/>
      <c r="U85" s="117"/>
      <c r="V85" s="116"/>
      <c r="W85" s="117"/>
      <c r="X85" s="116"/>
      <c r="Y85" s="116"/>
      <c r="Z85" s="116"/>
      <c r="AA85" s="116"/>
    </row>
    <row r="86" spans="1:27">
      <c r="A86" s="116"/>
      <c r="B86" s="116"/>
      <c r="C86" s="116"/>
      <c r="D86" s="116"/>
      <c r="E86" s="116"/>
      <c r="F86" s="118"/>
      <c r="G86" s="116"/>
      <c r="H86" s="116"/>
      <c r="I86" s="116"/>
      <c r="J86" s="116"/>
      <c r="K86" s="116"/>
      <c r="L86" s="116"/>
      <c r="M86" s="117"/>
      <c r="N86" s="116"/>
      <c r="O86" s="117"/>
      <c r="P86" s="116"/>
      <c r="Q86" s="117"/>
      <c r="R86" s="116"/>
      <c r="S86" s="116"/>
      <c r="T86" s="116"/>
      <c r="U86" s="117"/>
      <c r="V86" s="116"/>
      <c r="W86" s="117"/>
      <c r="X86" s="116"/>
      <c r="Y86" s="116"/>
      <c r="Z86" s="116"/>
      <c r="AA86" s="116"/>
    </row>
    <row r="87" spans="1:27">
      <c r="A87" s="116"/>
      <c r="B87" s="116"/>
      <c r="C87" s="116"/>
      <c r="D87" s="116"/>
      <c r="E87" s="116"/>
      <c r="F87" s="118"/>
      <c r="G87" s="116"/>
      <c r="H87" s="116"/>
      <c r="I87" s="116"/>
      <c r="J87" s="116"/>
      <c r="K87" s="116"/>
      <c r="L87" s="116"/>
      <c r="M87" s="117"/>
      <c r="N87" s="116"/>
      <c r="O87" s="117"/>
      <c r="P87" s="116"/>
      <c r="Q87" s="117"/>
      <c r="R87" s="116"/>
      <c r="S87" s="116"/>
      <c r="T87" s="116"/>
      <c r="U87" s="117"/>
      <c r="V87" s="116"/>
      <c r="W87" s="117"/>
      <c r="X87" s="116"/>
      <c r="Y87" s="116"/>
      <c r="Z87" s="116"/>
      <c r="AA87" s="116"/>
    </row>
    <row r="88" spans="1:27">
      <c r="A88" s="116"/>
      <c r="B88" s="116"/>
      <c r="C88" s="116"/>
      <c r="D88" s="116"/>
      <c r="E88" s="116"/>
      <c r="F88" s="118"/>
      <c r="G88" s="116"/>
      <c r="H88" s="116"/>
      <c r="I88" s="116"/>
      <c r="J88" s="116"/>
      <c r="K88" s="116"/>
      <c r="L88" s="116"/>
      <c r="M88" s="117"/>
      <c r="N88" s="116"/>
      <c r="O88" s="117"/>
      <c r="P88" s="116"/>
      <c r="Q88" s="117"/>
      <c r="R88" s="116"/>
      <c r="S88" s="116"/>
      <c r="T88" s="116"/>
      <c r="U88" s="117"/>
      <c r="V88" s="116"/>
      <c r="W88" s="117"/>
      <c r="X88" s="116"/>
      <c r="Y88" s="116"/>
      <c r="Z88" s="116"/>
      <c r="AA88" s="116"/>
    </row>
    <row r="89" spans="1:27">
      <c r="A89" s="116"/>
      <c r="B89" s="116"/>
      <c r="C89" s="116"/>
      <c r="D89" s="116"/>
      <c r="E89" s="116"/>
      <c r="F89" s="118"/>
      <c r="G89" s="116"/>
      <c r="H89" s="116"/>
      <c r="I89" s="116"/>
      <c r="J89" s="116"/>
      <c r="K89" s="116"/>
      <c r="L89" s="116"/>
      <c r="M89" s="117"/>
      <c r="N89" s="116"/>
      <c r="O89" s="117"/>
      <c r="P89" s="116"/>
      <c r="Q89" s="117"/>
      <c r="R89" s="116"/>
      <c r="S89" s="116"/>
      <c r="T89" s="116"/>
      <c r="U89" s="117"/>
      <c r="V89" s="116"/>
      <c r="W89" s="117"/>
      <c r="X89" s="116"/>
      <c r="Y89" s="116"/>
      <c r="Z89" s="116"/>
      <c r="AA89" s="116"/>
    </row>
    <row r="90" spans="1:27">
      <c r="A90" s="116"/>
      <c r="B90" s="116"/>
      <c r="C90" s="116"/>
      <c r="D90" s="116"/>
      <c r="E90" s="116"/>
      <c r="F90" s="118"/>
      <c r="G90" s="116"/>
      <c r="H90" s="116"/>
      <c r="I90" s="116"/>
      <c r="J90" s="116"/>
      <c r="K90" s="116"/>
      <c r="L90" s="116"/>
      <c r="M90" s="117"/>
      <c r="N90" s="116"/>
      <c r="O90" s="117"/>
      <c r="P90" s="116"/>
      <c r="Q90" s="117"/>
      <c r="R90" s="116"/>
      <c r="S90" s="116"/>
      <c r="T90" s="116"/>
      <c r="U90" s="117"/>
      <c r="V90" s="116"/>
      <c r="W90" s="117"/>
      <c r="X90" s="116"/>
      <c r="Y90" s="116"/>
      <c r="Z90" s="116"/>
      <c r="AA90" s="116"/>
    </row>
    <row r="91" spans="1:27">
      <c r="A91" s="116"/>
      <c r="B91" s="116"/>
      <c r="C91" s="116"/>
      <c r="D91" s="116"/>
      <c r="E91" s="116"/>
      <c r="F91" s="118"/>
      <c r="G91" s="116"/>
      <c r="H91" s="116"/>
      <c r="I91" s="116"/>
      <c r="J91" s="116"/>
      <c r="K91" s="116"/>
      <c r="L91" s="116"/>
      <c r="M91" s="117"/>
      <c r="N91" s="116"/>
      <c r="O91" s="117"/>
      <c r="P91" s="116"/>
      <c r="Q91" s="117"/>
      <c r="R91" s="116"/>
      <c r="S91" s="116"/>
      <c r="T91" s="116"/>
      <c r="U91" s="117"/>
      <c r="V91" s="116"/>
      <c r="W91" s="117"/>
      <c r="X91" s="116"/>
      <c r="Y91" s="116"/>
      <c r="Z91" s="116"/>
      <c r="AA91" s="116"/>
    </row>
    <row r="92" spans="1:27">
      <c r="A92" s="116"/>
      <c r="B92" s="116"/>
      <c r="C92" s="116"/>
      <c r="D92" s="116"/>
      <c r="E92" s="116"/>
      <c r="F92" s="118"/>
      <c r="G92" s="116"/>
      <c r="H92" s="116"/>
      <c r="I92" s="116"/>
      <c r="J92" s="116"/>
      <c r="K92" s="116"/>
      <c r="L92" s="116"/>
      <c r="M92" s="117"/>
      <c r="N92" s="116"/>
      <c r="O92" s="117"/>
      <c r="P92" s="116"/>
      <c r="Q92" s="117"/>
      <c r="R92" s="116"/>
      <c r="S92" s="116"/>
      <c r="T92" s="116"/>
      <c r="U92" s="117"/>
      <c r="V92" s="116"/>
      <c r="W92" s="117"/>
      <c r="X92" s="116"/>
      <c r="Y92" s="116"/>
      <c r="Z92" s="116"/>
      <c r="AA92" s="116"/>
    </row>
    <row r="93" spans="1:27">
      <c r="A93" s="116"/>
      <c r="B93" s="116"/>
      <c r="C93" s="116"/>
      <c r="D93" s="116"/>
      <c r="E93" s="116"/>
      <c r="F93" s="118"/>
      <c r="G93" s="116"/>
      <c r="H93" s="116"/>
      <c r="I93" s="116"/>
      <c r="J93" s="116"/>
      <c r="K93" s="116"/>
      <c r="L93" s="116"/>
      <c r="M93" s="117"/>
      <c r="N93" s="116"/>
      <c r="O93" s="117"/>
      <c r="P93" s="116"/>
      <c r="Q93" s="117"/>
      <c r="R93" s="116"/>
      <c r="S93" s="116"/>
      <c r="T93" s="116"/>
      <c r="U93" s="117"/>
      <c r="V93" s="116"/>
      <c r="W93" s="117"/>
      <c r="X93" s="116"/>
      <c r="Y93" s="116"/>
      <c r="Z93" s="116"/>
      <c r="AA93" s="116"/>
    </row>
    <row r="94" spans="1:27">
      <c r="A94" s="116"/>
      <c r="B94" s="116"/>
      <c r="C94" s="116"/>
      <c r="D94" s="116"/>
      <c r="E94" s="116"/>
      <c r="F94" s="118"/>
      <c r="G94" s="116"/>
      <c r="H94" s="116"/>
      <c r="I94" s="116"/>
      <c r="J94" s="116"/>
      <c r="K94" s="116"/>
      <c r="L94" s="116"/>
      <c r="M94" s="117"/>
      <c r="N94" s="116"/>
      <c r="O94" s="117"/>
      <c r="P94" s="116"/>
      <c r="Q94" s="117"/>
      <c r="R94" s="116"/>
      <c r="S94" s="116"/>
      <c r="T94" s="116"/>
      <c r="U94" s="117"/>
      <c r="V94" s="116"/>
      <c r="W94" s="117"/>
      <c r="X94" s="116"/>
      <c r="Y94" s="116"/>
      <c r="Z94" s="116"/>
      <c r="AA94" s="116"/>
    </row>
    <row r="95" spans="1:27">
      <c r="A95" s="116"/>
      <c r="B95" s="116"/>
      <c r="C95" s="116"/>
      <c r="D95" s="116"/>
      <c r="E95" s="116"/>
      <c r="F95" s="118"/>
      <c r="G95" s="116"/>
      <c r="H95" s="116"/>
      <c r="I95" s="116"/>
      <c r="J95" s="116"/>
      <c r="K95" s="116"/>
      <c r="L95" s="116"/>
      <c r="M95" s="117"/>
      <c r="N95" s="116"/>
      <c r="O95" s="117"/>
      <c r="P95" s="116"/>
      <c r="Q95" s="117"/>
      <c r="R95" s="116"/>
      <c r="S95" s="116"/>
      <c r="T95" s="116"/>
      <c r="U95" s="117"/>
      <c r="V95" s="116"/>
      <c r="W95" s="117"/>
      <c r="X95" s="116"/>
      <c r="Y95" s="116"/>
      <c r="Z95" s="116"/>
      <c r="AA95" s="116"/>
    </row>
    <row r="96" spans="1:27">
      <c r="A96" s="116"/>
      <c r="B96" s="116"/>
      <c r="C96" s="116"/>
      <c r="D96" s="116"/>
      <c r="E96" s="116"/>
      <c r="F96" s="118"/>
      <c r="G96" s="116"/>
      <c r="H96" s="116"/>
      <c r="I96" s="116"/>
      <c r="J96" s="116"/>
      <c r="K96" s="116"/>
      <c r="L96" s="116"/>
      <c r="M96" s="117"/>
      <c r="N96" s="116"/>
      <c r="O96" s="117"/>
      <c r="P96" s="116"/>
      <c r="Q96" s="117"/>
      <c r="R96" s="116"/>
      <c r="S96" s="116"/>
      <c r="T96" s="116"/>
      <c r="U96" s="117"/>
      <c r="V96" s="116"/>
      <c r="W96" s="117"/>
      <c r="X96" s="116"/>
      <c r="Y96" s="116"/>
      <c r="Z96" s="116"/>
      <c r="AA96" s="116"/>
    </row>
    <row r="97" spans="1:27">
      <c r="A97" s="116"/>
      <c r="B97" s="116"/>
      <c r="C97" s="116"/>
      <c r="D97" s="116"/>
      <c r="E97" s="116"/>
      <c r="F97" s="118"/>
      <c r="G97" s="116"/>
      <c r="H97" s="116"/>
      <c r="I97" s="116"/>
      <c r="J97" s="116"/>
      <c r="K97" s="116"/>
      <c r="L97" s="116"/>
      <c r="M97" s="117"/>
      <c r="N97" s="116"/>
      <c r="O97" s="117"/>
      <c r="P97" s="116"/>
      <c r="Q97" s="117"/>
      <c r="R97" s="116"/>
      <c r="S97" s="116"/>
      <c r="T97" s="116"/>
      <c r="U97" s="117"/>
      <c r="V97" s="116"/>
      <c r="W97" s="117"/>
      <c r="X97" s="116"/>
      <c r="Y97" s="116"/>
      <c r="Z97" s="116"/>
      <c r="AA97" s="116"/>
    </row>
    <row r="98" spans="1:27">
      <c r="A98" s="116"/>
      <c r="B98" s="116"/>
      <c r="C98" s="116"/>
      <c r="D98" s="116"/>
      <c r="E98" s="116"/>
      <c r="F98" s="118"/>
      <c r="G98" s="116"/>
      <c r="H98" s="116"/>
      <c r="I98" s="116"/>
      <c r="J98" s="116"/>
      <c r="K98" s="116"/>
      <c r="L98" s="116"/>
      <c r="M98" s="117"/>
      <c r="N98" s="116"/>
      <c r="O98" s="117"/>
      <c r="P98" s="116"/>
      <c r="Q98" s="117"/>
      <c r="R98" s="116"/>
      <c r="S98" s="116"/>
      <c r="T98" s="116"/>
      <c r="U98" s="117"/>
      <c r="V98" s="116"/>
      <c r="W98" s="117"/>
      <c r="X98" s="116"/>
      <c r="Y98" s="116"/>
      <c r="Z98" s="116"/>
      <c r="AA98" s="116"/>
    </row>
    <row r="99" spans="1:27">
      <c r="A99" s="116"/>
      <c r="B99" s="116"/>
      <c r="C99" s="116"/>
      <c r="D99" s="116"/>
      <c r="E99" s="116"/>
      <c r="F99" s="118"/>
      <c r="G99" s="116"/>
      <c r="H99" s="116"/>
      <c r="I99" s="116"/>
      <c r="J99" s="116"/>
      <c r="K99" s="116"/>
      <c r="L99" s="116"/>
      <c r="M99" s="117"/>
      <c r="N99" s="116"/>
      <c r="O99" s="117"/>
      <c r="P99" s="116"/>
      <c r="Q99" s="117"/>
      <c r="R99" s="116"/>
      <c r="S99" s="116"/>
      <c r="T99" s="116"/>
      <c r="U99" s="117"/>
      <c r="V99" s="116"/>
      <c r="W99" s="117"/>
      <c r="X99" s="116"/>
      <c r="Y99" s="116"/>
      <c r="Z99" s="116"/>
      <c r="AA99" s="116"/>
    </row>
    <row r="100" spans="1:27">
      <c r="A100" s="116"/>
      <c r="B100" s="116"/>
      <c r="C100" s="116"/>
      <c r="D100" s="116"/>
      <c r="E100" s="116"/>
      <c r="F100" s="118"/>
      <c r="G100" s="116"/>
      <c r="H100" s="116"/>
      <c r="I100" s="116"/>
      <c r="J100" s="116"/>
      <c r="K100" s="116"/>
      <c r="L100" s="116"/>
      <c r="M100" s="117"/>
      <c r="N100" s="116"/>
      <c r="O100" s="117"/>
      <c r="P100" s="116"/>
      <c r="Q100" s="117"/>
      <c r="R100" s="116"/>
      <c r="S100" s="116"/>
      <c r="T100" s="116"/>
      <c r="U100" s="117"/>
      <c r="V100" s="116"/>
      <c r="W100" s="117"/>
      <c r="X100" s="116"/>
      <c r="Y100" s="116"/>
      <c r="Z100" s="116"/>
      <c r="AA100" s="116"/>
    </row>
    <row r="101" spans="1:27">
      <c r="A101" s="116"/>
      <c r="B101" s="116"/>
      <c r="C101" s="116"/>
      <c r="D101" s="116"/>
      <c r="E101" s="116"/>
      <c r="F101" s="118"/>
      <c r="G101" s="116"/>
      <c r="H101" s="116"/>
      <c r="I101" s="116"/>
      <c r="J101" s="116"/>
      <c r="K101" s="116"/>
      <c r="L101" s="116"/>
      <c r="M101" s="117"/>
      <c r="N101" s="116"/>
      <c r="O101" s="117"/>
      <c r="P101" s="116"/>
      <c r="Q101" s="117"/>
      <c r="R101" s="116"/>
      <c r="S101" s="116"/>
      <c r="T101" s="116"/>
      <c r="U101" s="117"/>
      <c r="V101" s="116"/>
      <c r="W101" s="117"/>
      <c r="X101" s="116"/>
      <c r="Y101" s="116"/>
      <c r="Z101" s="116"/>
      <c r="AA101" s="116"/>
    </row>
    <row r="102" spans="1:27">
      <c r="A102" s="116"/>
      <c r="B102" s="116"/>
      <c r="C102" s="116"/>
      <c r="D102" s="116"/>
      <c r="E102" s="116"/>
      <c r="F102" s="118"/>
      <c r="G102" s="116"/>
      <c r="H102" s="116"/>
      <c r="I102" s="116"/>
      <c r="J102" s="116"/>
      <c r="K102" s="116"/>
      <c r="L102" s="116"/>
      <c r="M102" s="117"/>
      <c r="N102" s="116"/>
      <c r="O102" s="117"/>
      <c r="P102" s="116"/>
      <c r="Q102" s="117"/>
      <c r="R102" s="116"/>
      <c r="S102" s="116"/>
      <c r="T102" s="116"/>
      <c r="U102" s="117"/>
      <c r="V102" s="116"/>
      <c r="W102" s="117"/>
      <c r="X102" s="116"/>
      <c r="Y102" s="116"/>
      <c r="Z102" s="116"/>
      <c r="AA102" s="116"/>
    </row>
    <row r="103" spans="1:27">
      <c r="A103" s="116"/>
      <c r="B103" s="116"/>
      <c r="C103" s="116"/>
      <c r="D103" s="116"/>
      <c r="E103" s="116"/>
      <c r="F103" s="118"/>
      <c r="G103" s="116"/>
      <c r="H103" s="116"/>
      <c r="I103" s="116"/>
      <c r="J103" s="116"/>
      <c r="K103" s="116"/>
      <c r="L103" s="116"/>
      <c r="M103" s="117"/>
      <c r="N103" s="116"/>
      <c r="O103" s="117"/>
      <c r="P103" s="116"/>
      <c r="Q103" s="117"/>
      <c r="R103" s="116"/>
      <c r="S103" s="116"/>
      <c r="T103" s="116"/>
      <c r="U103" s="117"/>
      <c r="V103" s="116"/>
      <c r="W103" s="117"/>
      <c r="X103" s="116"/>
      <c r="Y103" s="116"/>
      <c r="Z103" s="116"/>
      <c r="AA103" s="116"/>
    </row>
    <row r="104" spans="1:27">
      <c r="A104" s="116"/>
      <c r="B104" s="116"/>
      <c r="C104" s="116"/>
      <c r="D104" s="116"/>
      <c r="E104" s="116"/>
      <c r="F104" s="118"/>
      <c r="G104" s="116"/>
      <c r="H104" s="116"/>
      <c r="I104" s="116"/>
      <c r="J104" s="116"/>
      <c r="K104" s="116"/>
      <c r="L104" s="116"/>
      <c r="M104" s="116"/>
      <c r="N104" s="116"/>
      <c r="O104" s="116"/>
      <c r="P104" s="116"/>
      <c r="Q104" s="116"/>
      <c r="R104" s="116"/>
      <c r="S104" s="116"/>
      <c r="T104" s="116"/>
      <c r="U104" s="116"/>
      <c r="V104" s="116"/>
      <c r="W104" s="116"/>
      <c r="X104" s="116"/>
      <c r="Y104" s="116"/>
      <c r="Z104" s="116"/>
      <c r="AA104" s="116"/>
    </row>
    <row r="105" spans="1:27">
      <c r="A105" s="116"/>
      <c r="B105" s="116"/>
      <c r="C105" s="116"/>
      <c r="D105" s="116"/>
      <c r="E105" s="116"/>
      <c r="F105" s="118"/>
      <c r="G105" s="116"/>
      <c r="H105" s="116"/>
      <c r="I105" s="116"/>
      <c r="J105" s="116"/>
      <c r="K105" s="116"/>
      <c r="L105" s="116"/>
      <c r="M105" s="117"/>
      <c r="N105" s="116"/>
      <c r="O105" s="117"/>
      <c r="P105" s="116"/>
      <c r="Q105" s="117"/>
      <c r="R105" s="116"/>
      <c r="S105" s="116"/>
      <c r="T105" s="116"/>
      <c r="U105" s="117"/>
      <c r="V105" s="116"/>
      <c r="W105" s="117"/>
      <c r="X105" s="116"/>
      <c r="Y105" s="116"/>
      <c r="Z105" s="116"/>
      <c r="AA105" s="116"/>
    </row>
    <row r="106" spans="1:27">
      <c r="A106" s="116"/>
      <c r="B106" s="116"/>
      <c r="C106" s="116"/>
      <c r="D106" s="116"/>
      <c r="E106" s="116"/>
      <c r="F106" s="118"/>
      <c r="G106" s="116"/>
      <c r="H106" s="116"/>
      <c r="I106" s="116"/>
      <c r="J106" s="116"/>
      <c r="K106" s="116"/>
      <c r="L106" s="116"/>
      <c r="M106" s="117"/>
      <c r="N106" s="116"/>
      <c r="O106" s="117"/>
      <c r="P106" s="116"/>
      <c r="Q106" s="117"/>
      <c r="R106" s="116"/>
      <c r="S106" s="116"/>
      <c r="T106" s="116"/>
      <c r="U106" s="117"/>
      <c r="V106" s="116"/>
      <c r="W106" s="117"/>
      <c r="X106" s="116"/>
      <c r="Y106" s="116"/>
      <c r="Z106" s="116"/>
      <c r="AA106" s="116"/>
    </row>
    <row r="107" spans="1:27">
      <c r="A107" s="116"/>
      <c r="B107" s="116"/>
      <c r="C107" s="116"/>
      <c r="D107" s="116"/>
      <c r="E107" s="116"/>
      <c r="F107" s="118"/>
      <c r="G107" s="116"/>
      <c r="H107" s="116"/>
      <c r="I107" s="116"/>
      <c r="J107" s="116"/>
      <c r="K107" s="116"/>
      <c r="L107" s="116"/>
      <c r="M107" s="117"/>
      <c r="N107" s="116"/>
      <c r="O107" s="117"/>
      <c r="P107" s="116"/>
      <c r="Q107" s="117"/>
      <c r="R107" s="116"/>
      <c r="S107" s="116"/>
      <c r="T107" s="116"/>
      <c r="U107" s="117"/>
      <c r="V107" s="116"/>
      <c r="W107" s="117"/>
      <c r="X107" s="116"/>
      <c r="Y107" s="116"/>
      <c r="Z107" s="116"/>
      <c r="AA107" s="116"/>
    </row>
    <row r="108" spans="1:27">
      <c r="A108" s="116"/>
      <c r="B108" s="116"/>
      <c r="C108" s="116"/>
      <c r="D108" s="116"/>
      <c r="E108" s="116"/>
      <c r="F108" s="118"/>
      <c r="G108" s="116"/>
      <c r="H108" s="116"/>
      <c r="I108" s="116"/>
      <c r="J108" s="116"/>
      <c r="K108" s="116"/>
      <c r="L108" s="116"/>
      <c r="M108" s="117"/>
      <c r="N108" s="116"/>
      <c r="O108" s="117"/>
      <c r="P108" s="116"/>
      <c r="Q108" s="117"/>
      <c r="R108" s="116"/>
      <c r="S108" s="116"/>
      <c r="T108" s="116"/>
      <c r="U108" s="117"/>
      <c r="V108" s="116"/>
      <c r="W108" s="117"/>
      <c r="X108" s="116"/>
      <c r="Y108" s="116"/>
      <c r="Z108" s="116"/>
      <c r="AA108" s="116"/>
    </row>
    <row r="109" spans="1:27">
      <c r="A109" s="116"/>
      <c r="B109" s="116"/>
      <c r="C109" s="116"/>
      <c r="D109" s="116"/>
      <c r="E109" s="116"/>
      <c r="F109" s="118"/>
      <c r="G109" s="116"/>
      <c r="H109" s="116"/>
      <c r="I109" s="116"/>
      <c r="J109" s="116"/>
      <c r="K109" s="116"/>
      <c r="L109" s="116"/>
      <c r="M109" s="117"/>
      <c r="N109" s="116"/>
      <c r="O109" s="117"/>
      <c r="P109" s="116"/>
      <c r="Q109" s="117"/>
      <c r="R109" s="116"/>
      <c r="S109" s="116"/>
      <c r="T109" s="116"/>
      <c r="U109" s="117"/>
      <c r="V109" s="116"/>
      <c r="W109" s="117"/>
      <c r="X109" s="116"/>
      <c r="Y109" s="116"/>
      <c r="Z109" s="116"/>
      <c r="AA109" s="116"/>
    </row>
    <row r="110" spans="1:27">
      <c r="A110" s="116"/>
      <c r="B110" s="116"/>
      <c r="C110" s="116"/>
      <c r="D110" s="116"/>
      <c r="E110" s="116"/>
      <c r="F110" s="118"/>
      <c r="G110" s="116"/>
      <c r="H110" s="116"/>
      <c r="I110" s="116"/>
      <c r="J110" s="116"/>
      <c r="K110" s="116"/>
      <c r="L110" s="116"/>
      <c r="M110" s="117"/>
      <c r="N110" s="116"/>
      <c r="O110" s="117"/>
      <c r="P110" s="116"/>
      <c r="Q110" s="117"/>
      <c r="R110" s="116"/>
      <c r="S110" s="116"/>
      <c r="T110" s="116"/>
      <c r="U110" s="117"/>
      <c r="V110" s="116"/>
      <c r="W110" s="117"/>
      <c r="X110" s="116"/>
      <c r="Y110" s="116"/>
      <c r="Z110" s="116"/>
      <c r="AA110" s="116"/>
    </row>
    <row r="111" spans="1:27">
      <c r="A111" s="116"/>
      <c r="B111" s="116"/>
      <c r="C111" s="116"/>
      <c r="D111" s="116"/>
      <c r="E111" s="116"/>
      <c r="F111" s="118"/>
      <c r="G111" s="116"/>
      <c r="H111" s="116"/>
      <c r="I111" s="116"/>
      <c r="J111" s="116"/>
      <c r="K111" s="116"/>
      <c r="L111" s="116"/>
      <c r="M111" s="117"/>
      <c r="N111" s="116"/>
      <c r="O111" s="117"/>
      <c r="P111" s="116"/>
      <c r="Q111" s="117"/>
      <c r="R111" s="116"/>
      <c r="S111" s="116"/>
      <c r="T111" s="116"/>
      <c r="U111" s="117"/>
      <c r="V111" s="116"/>
      <c r="W111" s="117"/>
      <c r="X111" s="116"/>
      <c r="Y111" s="116"/>
      <c r="Z111" s="116"/>
      <c r="AA111" s="116"/>
    </row>
    <row r="112" spans="1:27">
      <c r="A112" s="116"/>
      <c r="B112" s="116"/>
      <c r="C112" s="116"/>
      <c r="D112" s="116"/>
      <c r="E112" s="116"/>
      <c r="F112" s="118"/>
      <c r="G112" s="116"/>
      <c r="H112" s="116"/>
      <c r="I112" s="116"/>
      <c r="J112" s="116"/>
      <c r="K112" s="116"/>
      <c r="L112" s="116"/>
      <c r="M112" s="117"/>
      <c r="N112" s="116"/>
      <c r="O112" s="117"/>
      <c r="P112" s="116"/>
      <c r="Q112" s="117"/>
      <c r="R112" s="116"/>
      <c r="S112" s="116"/>
      <c r="T112" s="116"/>
      <c r="U112" s="117"/>
      <c r="V112" s="116"/>
      <c r="W112" s="117"/>
      <c r="X112" s="116"/>
      <c r="Y112" s="116"/>
      <c r="Z112" s="116"/>
      <c r="AA112" s="116"/>
    </row>
    <row r="113" spans="1:27">
      <c r="A113" s="116"/>
      <c r="B113" s="116"/>
      <c r="C113" s="116"/>
      <c r="D113" s="116"/>
      <c r="E113" s="116"/>
      <c r="F113" s="118"/>
      <c r="G113" s="116"/>
      <c r="H113" s="116"/>
      <c r="I113" s="116"/>
      <c r="J113" s="116"/>
      <c r="K113" s="116"/>
      <c r="L113" s="116"/>
      <c r="M113" s="117"/>
      <c r="N113" s="116"/>
      <c r="O113" s="117"/>
      <c r="P113" s="116"/>
      <c r="Q113" s="117"/>
      <c r="R113" s="116"/>
      <c r="S113" s="116"/>
      <c r="T113" s="116"/>
      <c r="U113" s="117"/>
      <c r="V113" s="116"/>
      <c r="W113" s="117"/>
      <c r="X113" s="116"/>
      <c r="Y113" s="116"/>
      <c r="Z113" s="116"/>
      <c r="AA113" s="116"/>
    </row>
    <row r="114" spans="1:27">
      <c r="A114" s="116"/>
      <c r="B114" s="116"/>
      <c r="C114" s="116"/>
      <c r="D114" s="116"/>
      <c r="E114" s="116"/>
      <c r="F114" s="118"/>
      <c r="G114" s="116"/>
      <c r="H114" s="116"/>
      <c r="I114" s="116"/>
      <c r="J114" s="116"/>
      <c r="K114" s="116"/>
      <c r="L114" s="116"/>
      <c r="M114" s="117"/>
      <c r="N114" s="116"/>
      <c r="O114" s="117"/>
      <c r="P114" s="116"/>
      <c r="Q114" s="117"/>
      <c r="R114" s="116"/>
      <c r="S114" s="116"/>
      <c r="T114" s="116"/>
      <c r="U114" s="117"/>
      <c r="V114" s="116"/>
      <c r="W114" s="117"/>
      <c r="X114" s="116"/>
      <c r="Y114" s="116"/>
      <c r="Z114" s="116"/>
      <c r="AA114" s="116"/>
    </row>
    <row r="115" spans="1:27">
      <c r="A115" s="116"/>
      <c r="B115" s="116"/>
      <c r="C115" s="116"/>
      <c r="D115" s="116"/>
      <c r="E115" s="116"/>
      <c r="F115" s="118"/>
      <c r="G115" s="116"/>
      <c r="H115" s="116"/>
      <c r="I115" s="116"/>
      <c r="J115" s="116"/>
      <c r="K115" s="116"/>
      <c r="L115" s="116"/>
      <c r="M115" s="117"/>
      <c r="N115" s="116"/>
      <c r="O115" s="117"/>
      <c r="P115" s="116"/>
      <c r="Q115" s="117"/>
      <c r="R115" s="116"/>
      <c r="S115" s="116"/>
      <c r="T115" s="116"/>
      <c r="U115" s="117"/>
      <c r="V115" s="116"/>
      <c r="W115" s="117"/>
      <c r="X115" s="116"/>
      <c r="Y115" s="116"/>
      <c r="Z115" s="116"/>
      <c r="AA115" s="116"/>
    </row>
    <row r="116" spans="1:27">
      <c r="A116" s="116"/>
      <c r="B116" s="116"/>
      <c r="C116" s="116"/>
      <c r="D116" s="116"/>
      <c r="E116" s="116"/>
      <c r="F116" s="118"/>
      <c r="G116" s="116"/>
      <c r="H116" s="116"/>
      <c r="I116" s="116"/>
      <c r="J116" s="116"/>
      <c r="K116" s="116"/>
      <c r="L116" s="116"/>
      <c r="M116" s="117"/>
      <c r="N116" s="116"/>
      <c r="O116" s="117"/>
      <c r="P116" s="116"/>
      <c r="Q116" s="117"/>
      <c r="R116" s="116"/>
      <c r="S116" s="116"/>
      <c r="T116" s="116"/>
      <c r="U116" s="117"/>
      <c r="V116" s="116"/>
      <c r="W116" s="117"/>
      <c r="X116" s="116"/>
      <c r="Y116" s="116"/>
      <c r="Z116" s="116"/>
      <c r="AA116" s="116"/>
    </row>
    <row r="117" spans="1:27">
      <c r="A117" s="116"/>
      <c r="B117" s="116"/>
      <c r="C117" s="116"/>
      <c r="D117" s="116"/>
      <c r="E117" s="116"/>
      <c r="F117" s="118"/>
      <c r="G117" s="116"/>
      <c r="H117" s="116"/>
      <c r="I117" s="116"/>
      <c r="J117" s="116"/>
      <c r="K117" s="116"/>
      <c r="L117" s="116"/>
      <c r="M117" s="116"/>
      <c r="N117" s="116"/>
      <c r="O117" s="116"/>
      <c r="P117" s="116"/>
      <c r="Q117" s="116"/>
      <c r="R117" s="116"/>
      <c r="S117" s="116"/>
      <c r="T117" s="116"/>
      <c r="U117" s="116"/>
      <c r="V117" s="116"/>
      <c r="W117" s="116"/>
      <c r="X117" s="116"/>
      <c r="Y117" s="116"/>
      <c r="Z117" s="116"/>
      <c r="AA117" s="116"/>
    </row>
    <row r="118" spans="1:27">
      <c r="A118" s="116"/>
      <c r="B118" s="116"/>
      <c r="C118" s="116"/>
      <c r="D118" s="116"/>
      <c r="E118" s="116"/>
      <c r="F118" s="118"/>
      <c r="G118" s="116"/>
      <c r="H118" s="116"/>
      <c r="I118" s="116"/>
      <c r="J118" s="116"/>
      <c r="K118" s="116"/>
      <c r="L118" s="116"/>
      <c r="M118" s="117"/>
      <c r="N118" s="116"/>
      <c r="O118" s="117"/>
      <c r="P118" s="116"/>
      <c r="Q118" s="117"/>
      <c r="R118" s="116"/>
      <c r="S118" s="116"/>
      <c r="T118" s="116"/>
      <c r="U118" s="117"/>
      <c r="V118" s="116"/>
      <c r="W118" s="117"/>
      <c r="X118" s="116"/>
      <c r="Y118" s="116"/>
      <c r="Z118" s="116"/>
      <c r="AA118" s="116"/>
    </row>
    <row r="119" spans="1:27">
      <c r="A119" s="116"/>
      <c r="B119" s="116"/>
      <c r="C119" s="116"/>
      <c r="D119" s="116"/>
      <c r="E119" s="116"/>
      <c r="F119" s="118"/>
      <c r="G119" s="116"/>
      <c r="H119" s="116"/>
      <c r="I119" s="116"/>
      <c r="J119" s="116"/>
      <c r="K119" s="116"/>
      <c r="L119" s="116"/>
      <c r="M119" s="116"/>
      <c r="N119" s="116"/>
      <c r="O119" s="116"/>
      <c r="P119" s="116"/>
      <c r="Q119" s="117"/>
      <c r="R119" s="116"/>
      <c r="S119" s="116"/>
      <c r="T119" s="116"/>
      <c r="U119" s="117"/>
      <c r="V119" s="116"/>
      <c r="W119" s="117"/>
      <c r="X119" s="116"/>
      <c r="Y119" s="116"/>
      <c r="Z119" s="116"/>
      <c r="AA119" s="116"/>
    </row>
    <row r="120" spans="1:27">
      <c r="A120" s="116"/>
      <c r="B120" s="116"/>
      <c r="C120" s="116"/>
      <c r="D120" s="116"/>
      <c r="E120" s="116"/>
      <c r="F120" s="118"/>
      <c r="G120" s="116"/>
      <c r="H120" s="116"/>
      <c r="I120" s="116"/>
      <c r="J120" s="116"/>
      <c r="K120" s="116"/>
      <c r="L120" s="116"/>
      <c r="M120" s="116"/>
      <c r="N120" s="116"/>
      <c r="O120" s="116"/>
      <c r="P120" s="116"/>
      <c r="Q120" s="116"/>
      <c r="R120" s="116"/>
      <c r="S120" s="116"/>
      <c r="T120" s="116"/>
      <c r="U120" s="116"/>
      <c r="V120" s="116"/>
      <c r="W120" s="116"/>
      <c r="X120" s="116"/>
      <c r="Y120" s="116"/>
      <c r="Z120" s="116"/>
      <c r="AA120" s="116"/>
    </row>
    <row r="121" spans="1:27">
      <c r="A121" s="116"/>
      <c r="B121" s="116"/>
      <c r="C121" s="116"/>
      <c r="D121" s="116"/>
      <c r="E121" s="116"/>
      <c r="F121" s="118"/>
      <c r="G121" s="116"/>
      <c r="H121" s="116"/>
      <c r="I121" s="116"/>
      <c r="J121" s="116"/>
      <c r="K121" s="116"/>
      <c r="L121" s="116"/>
      <c r="M121" s="116"/>
      <c r="N121" s="116"/>
      <c r="O121" s="116"/>
      <c r="P121" s="116"/>
      <c r="Q121" s="117"/>
      <c r="R121" s="116"/>
      <c r="S121" s="116"/>
      <c r="T121" s="116"/>
      <c r="U121" s="117"/>
      <c r="V121" s="116"/>
      <c r="W121" s="117"/>
      <c r="X121" s="116"/>
      <c r="Y121" s="116"/>
      <c r="Z121" s="116"/>
      <c r="AA121" s="116"/>
    </row>
    <row r="122" spans="1:27">
      <c r="A122" s="116"/>
      <c r="B122" s="116"/>
      <c r="C122" s="116"/>
      <c r="D122" s="116"/>
      <c r="E122" s="116"/>
      <c r="F122" s="118"/>
      <c r="G122" s="116"/>
      <c r="H122" s="116"/>
      <c r="I122" s="116"/>
      <c r="J122" s="116"/>
      <c r="K122" s="116"/>
      <c r="L122" s="116"/>
      <c r="M122" s="116"/>
      <c r="N122" s="116"/>
      <c r="O122" s="116"/>
      <c r="P122" s="116"/>
      <c r="Q122" s="116"/>
      <c r="R122" s="116"/>
      <c r="S122" s="116"/>
      <c r="T122" s="116"/>
      <c r="U122" s="116"/>
      <c r="V122" s="116"/>
      <c r="W122" s="116"/>
      <c r="X122" s="116"/>
      <c r="Y122" s="116"/>
      <c r="Z122" s="116"/>
      <c r="AA122" s="116"/>
    </row>
    <row r="123" spans="1:27">
      <c r="A123" s="116"/>
      <c r="B123" s="116"/>
      <c r="C123" s="116"/>
      <c r="D123" s="116"/>
      <c r="E123" s="116"/>
      <c r="F123" s="118"/>
      <c r="G123" s="116"/>
      <c r="H123" s="116"/>
      <c r="I123" s="116"/>
      <c r="J123" s="116"/>
      <c r="K123" s="116"/>
      <c r="L123" s="116"/>
      <c r="M123" s="116"/>
      <c r="N123" s="116"/>
      <c r="O123" s="116"/>
      <c r="P123" s="116"/>
      <c r="Q123" s="116"/>
      <c r="R123" s="116"/>
      <c r="S123" s="116"/>
      <c r="T123" s="116"/>
      <c r="U123" s="116"/>
      <c r="V123" s="116"/>
      <c r="W123" s="116"/>
      <c r="X123" s="116"/>
      <c r="Y123" s="116"/>
      <c r="Z123" s="116"/>
      <c r="AA123" s="116"/>
    </row>
    <row r="124" spans="1:27">
      <c r="A124" s="517"/>
      <c r="B124" s="517"/>
      <c r="C124" s="517"/>
      <c r="D124" s="517"/>
      <c r="E124" s="517"/>
      <c r="F124" s="956"/>
      <c r="G124" s="517"/>
      <c r="H124" s="517"/>
      <c r="I124" s="517"/>
      <c r="J124" s="517"/>
      <c r="K124" s="517"/>
      <c r="L124" s="517"/>
      <c r="M124" s="517"/>
      <c r="N124" s="517"/>
      <c r="O124" s="517"/>
      <c r="P124" s="517"/>
      <c r="Q124" s="517"/>
      <c r="R124" s="517"/>
      <c r="S124" s="517"/>
      <c r="T124" s="517"/>
      <c r="U124" s="517"/>
      <c r="V124" s="517"/>
      <c r="W124" s="517"/>
      <c r="X124" s="517"/>
      <c r="Y124" s="517"/>
      <c r="Z124" s="517"/>
      <c r="AA124" s="517"/>
    </row>
    <row r="125" spans="1:27">
      <c r="A125" s="517"/>
      <c r="B125" s="517"/>
      <c r="C125" s="517"/>
      <c r="D125" s="517"/>
      <c r="E125" s="517"/>
      <c r="F125" s="956"/>
      <c r="G125" s="517"/>
      <c r="H125" s="517"/>
      <c r="I125" s="517"/>
      <c r="J125" s="517"/>
      <c r="K125" s="517"/>
      <c r="L125" s="517"/>
      <c r="M125" s="517"/>
      <c r="N125" s="517"/>
      <c r="O125" s="517"/>
      <c r="P125" s="517"/>
      <c r="Q125" s="517"/>
      <c r="R125" s="517"/>
      <c r="S125" s="517"/>
      <c r="T125" s="517"/>
      <c r="U125" s="517"/>
      <c r="V125" s="517"/>
      <c r="W125" s="517"/>
      <c r="X125" s="517"/>
      <c r="Y125" s="517"/>
      <c r="Z125" s="517"/>
      <c r="AA125" s="517"/>
    </row>
    <row r="126" spans="1:27">
      <c r="A126" s="517"/>
      <c r="B126" s="517"/>
      <c r="C126" s="517"/>
      <c r="D126" s="517"/>
      <c r="E126" s="517"/>
      <c r="F126" s="956"/>
      <c r="G126" s="517"/>
      <c r="H126" s="517"/>
      <c r="I126" s="517"/>
      <c r="J126" s="517"/>
      <c r="K126" s="517"/>
      <c r="L126" s="517"/>
      <c r="M126" s="517"/>
      <c r="N126" s="517"/>
      <c r="O126" s="517"/>
      <c r="P126" s="517"/>
      <c r="Q126" s="517"/>
      <c r="R126" s="517"/>
      <c r="S126" s="517"/>
      <c r="T126" s="517"/>
      <c r="U126" s="517"/>
      <c r="V126" s="517"/>
      <c r="W126" s="517"/>
      <c r="X126" s="517"/>
      <c r="Y126" s="517"/>
      <c r="Z126" s="517"/>
      <c r="AA126" s="517"/>
    </row>
    <row r="127" spans="1:27">
      <c r="A127" s="517"/>
      <c r="B127" s="517"/>
      <c r="C127" s="517"/>
      <c r="D127" s="517"/>
      <c r="E127" s="517"/>
      <c r="F127" s="956"/>
      <c r="G127" s="517"/>
      <c r="H127" s="517"/>
      <c r="I127" s="517"/>
      <c r="J127" s="517"/>
      <c r="K127" s="517"/>
      <c r="L127" s="517"/>
      <c r="M127" s="517"/>
      <c r="N127" s="517"/>
      <c r="O127" s="517"/>
      <c r="P127" s="517"/>
      <c r="Q127" s="517"/>
      <c r="R127" s="517"/>
      <c r="S127" s="517"/>
      <c r="T127" s="517"/>
      <c r="U127" s="517"/>
      <c r="V127" s="517"/>
      <c r="W127" s="517"/>
      <c r="X127" s="517"/>
      <c r="Y127" s="517"/>
      <c r="Z127" s="517"/>
      <c r="AA127" s="517"/>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33866-79D5-4907-9501-240C413B5FFB}">
  <sheetPr codeName="Sheet18">
    <tabColor theme="4" tint="0.59999389629810485"/>
  </sheetPr>
  <dimension ref="A1:G16"/>
  <sheetViews>
    <sheetView workbookViewId="0">
      <selection activeCell="D20" sqref="D20"/>
    </sheetView>
  </sheetViews>
  <sheetFormatPr defaultRowHeight="14.5"/>
  <cols>
    <col min="1" max="1" width="12.54296875" customWidth="1"/>
    <col min="2" max="2" width="20" customWidth="1"/>
    <col min="3" max="3" width="24.1796875" customWidth="1"/>
    <col min="4" max="4" width="21.1796875" customWidth="1"/>
    <col min="5" max="5" width="20.453125" customWidth="1"/>
  </cols>
  <sheetData>
    <row r="1" spans="1:7">
      <c r="A1" s="116" t="s">
        <v>962</v>
      </c>
      <c r="B1" s="116" t="s">
        <v>497</v>
      </c>
      <c r="C1" s="116" t="s">
        <v>2104</v>
      </c>
      <c r="D1" s="116" t="s">
        <v>2105</v>
      </c>
      <c r="E1" s="116" t="s">
        <v>2106</v>
      </c>
      <c r="F1" s="116" t="s">
        <v>810</v>
      </c>
      <c r="G1" s="116" t="s">
        <v>2107</v>
      </c>
    </row>
    <row r="2" spans="1:7">
      <c r="A2" s="116" t="s">
        <v>2108</v>
      </c>
      <c r="B2" s="116" t="s">
        <v>2109</v>
      </c>
      <c r="C2" s="116">
        <v>1692075592</v>
      </c>
      <c r="D2" s="116" t="s">
        <v>2110</v>
      </c>
      <c r="E2" s="118">
        <v>46121</v>
      </c>
      <c r="F2" s="117">
        <v>1626</v>
      </c>
      <c r="G2" s="116">
        <v>50</v>
      </c>
    </row>
    <row r="3" spans="1:7">
      <c r="A3" s="116" t="s">
        <v>1728</v>
      </c>
      <c r="B3" s="116" t="s">
        <v>1729</v>
      </c>
      <c r="C3" s="116">
        <v>1691098195</v>
      </c>
      <c r="D3" s="116" t="s">
        <v>2110</v>
      </c>
      <c r="E3" s="118">
        <v>46115</v>
      </c>
      <c r="F3" s="117">
        <v>1198.8800000000001</v>
      </c>
      <c r="G3" s="116">
        <v>50</v>
      </c>
    </row>
    <row r="4" spans="1:7">
      <c r="A4" s="116" t="s">
        <v>1728</v>
      </c>
      <c r="B4" s="116" t="s">
        <v>1729</v>
      </c>
      <c r="C4" s="116">
        <v>1691843819</v>
      </c>
      <c r="D4" s="116" t="s">
        <v>2110</v>
      </c>
      <c r="E4" s="118">
        <v>46120</v>
      </c>
      <c r="F4" s="117">
        <v>1988.88</v>
      </c>
      <c r="G4" s="116">
        <v>50</v>
      </c>
    </row>
    <row r="5" spans="1:7">
      <c r="A5" s="116" t="s">
        <v>2111</v>
      </c>
      <c r="B5" s="116" t="s">
        <v>2112</v>
      </c>
      <c r="C5" s="116">
        <v>1692187091</v>
      </c>
      <c r="D5" s="116" t="s">
        <v>2110</v>
      </c>
      <c r="E5" s="118">
        <v>46119</v>
      </c>
      <c r="F5" s="117">
        <v>2097</v>
      </c>
      <c r="G5" s="116">
        <v>50</v>
      </c>
    </row>
    <row r="6" spans="1:7">
      <c r="A6" s="116" t="s">
        <v>2111</v>
      </c>
      <c r="B6" s="116" t="s">
        <v>2112</v>
      </c>
      <c r="C6" s="116">
        <v>1691298029</v>
      </c>
      <c r="D6" s="116" t="s">
        <v>2110</v>
      </c>
      <c r="E6" s="118">
        <v>46115</v>
      </c>
      <c r="F6" s="117">
        <v>1866</v>
      </c>
      <c r="G6" s="116">
        <v>50</v>
      </c>
    </row>
    <row r="7" spans="1:7">
      <c r="A7" s="116" t="s">
        <v>2113</v>
      </c>
      <c r="B7" s="116" t="s">
        <v>2114</v>
      </c>
      <c r="C7" s="116">
        <v>1691304084</v>
      </c>
      <c r="D7" s="116" t="s">
        <v>2110</v>
      </c>
      <c r="E7" s="118">
        <v>46115</v>
      </c>
      <c r="F7" s="117">
        <v>1062</v>
      </c>
      <c r="G7" s="116">
        <v>50</v>
      </c>
    </row>
    <row r="8" spans="1:7">
      <c r="A8" s="116" t="s">
        <v>888</v>
      </c>
      <c r="B8" s="116" t="s">
        <v>1872</v>
      </c>
      <c r="C8" s="116">
        <v>1691584726</v>
      </c>
      <c r="D8" s="116" t="s">
        <v>2110</v>
      </c>
      <c r="E8" s="118">
        <v>46119</v>
      </c>
      <c r="F8" s="116">
        <v>366.91</v>
      </c>
      <c r="G8" s="116">
        <v>50</v>
      </c>
    </row>
    <row r="9" spans="1:7">
      <c r="A9" s="517"/>
      <c r="B9" s="517"/>
      <c r="C9" s="517"/>
      <c r="D9" s="517"/>
      <c r="E9" s="956"/>
      <c r="F9" s="517"/>
      <c r="G9" s="517"/>
    </row>
    <row r="10" spans="1:7">
      <c r="A10" s="517"/>
      <c r="B10" s="517"/>
      <c r="C10" s="517"/>
      <c r="D10" s="517"/>
      <c r="E10" s="956"/>
      <c r="F10" s="517"/>
      <c r="G10" s="517"/>
    </row>
    <row r="11" spans="1:7">
      <c r="A11" s="517"/>
      <c r="B11" s="517"/>
      <c r="C11" s="517"/>
      <c r="D11" s="517"/>
      <c r="E11" s="956"/>
      <c r="F11" s="517"/>
      <c r="G11" s="517"/>
    </row>
    <row r="12" spans="1:7">
      <c r="A12" s="517"/>
      <c r="B12" s="517"/>
      <c r="C12" s="517"/>
      <c r="D12" s="517"/>
      <c r="E12" s="956"/>
      <c r="F12" s="517"/>
      <c r="G12" s="517"/>
    </row>
    <row r="13" spans="1:7">
      <c r="A13" s="517"/>
      <c r="B13" s="517"/>
      <c r="C13" s="517"/>
      <c r="D13" s="517"/>
      <c r="E13" s="956"/>
      <c r="F13" s="963"/>
      <c r="G13" s="517"/>
    </row>
    <row r="14" spans="1:7">
      <c r="A14" s="517"/>
      <c r="B14" s="517"/>
      <c r="C14" s="517"/>
      <c r="D14" s="517"/>
      <c r="E14" s="956"/>
      <c r="F14" s="963"/>
      <c r="G14" s="517"/>
    </row>
    <row r="15" spans="1:7">
      <c r="A15" s="517"/>
      <c r="B15" s="517"/>
      <c r="C15" s="517"/>
      <c r="D15" s="517"/>
      <c r="E15" s="956"/>
      <c r="F15" s="517"/>
      <c r="G15" s="517"/>
    </row>
    <row r="16" spans="1:7">
      <c r="A16" s="517"/>
      <c r="B16" s="517"/>
      <c r="C16" s="517"/>
      <c r="D16" s="517"/>
      <c r="E16" s="956"/>
      <c r="F16" s="517"/>
      <c r="G16" s="517"/>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12E7B-B03B-4C4D-8040-514DD7AB7153}">
  <dimension ref="A1:J224"/>
  <sheetViews>
    <sheetView workbookViewId="0">
      <selection activeCell="A59" sqref="A59"/>
    </sheetView>
  </sheetViews>
  <sheetFormatPr defaultRowHeight="14.5"/>
  <cols>
    <col min="1" max="1" width="10.7265625" bestFit="1" customWidth="1"/>
    <col min="2" max="2" width="22.7265625" bestFit="1" customWidth="1"/>
    <col min="3" max="3" width="29.1796875" bestFit="1" customWidth="1"/>
    <col min="4" max="4" width="17.81640625" customWidth="1"/>
    <col min="5" max="5" width="11.54296875" bestFit="1" customWidth="1"/>
    <col min="6" max="6" width="13.26953125" bestFit="1" customWidth="1"/>
    <col min="7" max="7" width="12.453125" customWidth="1"/>
    <col min="8" max="8" width="10.54296875" bestFit="1" customWidth="1"/>
    <col min="9" max="9" width="10.81640625" bestFit="1" customWidth="1"/>
    <col min="10" max="10" width="255.54296875" bestFit="1" customWidth="1"/>
  </cols>
  <sheetData>
    <row r="1" spans="1:10" ht="10" customHeight="1">
      <c r="A1" s="1107" t="s">
        <v>962</v>
      </c>
      <c r="B1" s="1107" t="s">
        <v>497</v>
      </c>
      <c r="C1" s="1107" t="s">
        <v>1315</v>
      </c>
      <c r="D1" s="1107" t="s">
        <v>2115</v>
      </c>
      <c r="E1" s="1107" t="s">
        <v>2116</v>
      </c>
      <c r="F1" s="1107" t="s">
        <v>2117</v>
      </c>
      <c r="G1" s="1107" t="s">
        <v>2118</v>
      </c>
      <c r="H1" s="1107" t="s">
        <v>2119</v>
      </c>
      <c r="I1" s="1107" t="s">
        <v>654</v>
      </c>
      <c r="J1" s="1107" t="s">
        <v>2120</v>
      </c>
    </row>
    <row r="2" spans="1:10" ht="10" customHeight="1">
      <c r="A2" s="1107" t="s">
        <v>1638</v>
      </c>
      <c r="B2" s="1107" t="s">
        <v>1639</v>
      </c>
      <c r="C2" s="1107" t="s">
        <v>1635</v>
      </c>
      <c r="D2" s="1109">
        <v>3976</v>
      </c>
      <c r="E2" s="1107">
        <v>782.42</v>
      </c>
      <c r="F2" s="1107">
        <v>0</v>
      </c>
      <c r="G2" s="1109">
        <v>3561.84</v>
      </c>
      <c r="H2" s="1109">
        <v>1196.58</v>
      </c>
      <c r="I2" s="1109">
        <v>4758.42</v>
      </c>
      <c r="J2" s="1108" t="s">
        <v>2121</v>
      </c>
    </row>
    <row r="3" spans="1:10" ht="10" customHeight="1">
      <c r="A3" s="1107" t="s">
        <v>1640</v>
      </c>
      <c r="B3" s="1107" t="s">
        <v>1641</v>
      </c>
      <c r="C3" s="1107" t="s">
        <v>2122</v>
      </c>
      <c r="D3" s="1109">
        <v>2655</v>
      </c>
      <c r="E3" s="1107">
        <v>445.94</v>
      </c>
      <c r="F3" s="1107">
        <v>0</v>
      </c>
      <c r="G3" s="1109">
        <v>2069.7399999999998</v>
      </c>
      <c r="H3" s="1109">
        <v>1031.2</v>
      </c>
      <c r="I3" s="1109">
        <v>3100.94</v>
      </c>
      <c r="J3" s="1108" t="s">
        <v>2123</v>
      </c>
    </row>
    <row r="4" spans="1:10" ht="10" customHeight="1">
      <c r="A4" s="1107" t="s">
        <v>1037</v>
      </c>
      <c r="B4" s="1107" t="s">
        <v>1345</v>
      </c>
      <c r="C4" s="1107" t="s">
        <v>2124</v>
      </c>
      <c r="D4" s="1107">
        <v>806</v>
      </c>
      <c r="E4" s="1109">
        <v>6547.47</v>
      </c>
      <c r="F4" s="1107">
        <v>0</v>
      </c>
      <c r="G4" s="1109">
        <v>7353.47</v>
      </c>
      <c r="H4" s="1107">
        <v>0</v>
      </c>
      <c r="I4" s="1109">
        <v>7353.47</v>
      </c>
      <c r="J4" s="1108" t="s">
        <v>2125</v>
      </c>
    </row>
    <row r="5" spans="1:10" ht="10" customHeight="1">
      <c r="A5" s="1107" t="s">
        <v>1334</v>
      </c>
      <c r="B5" s="1107" t="s">
        <v>1335</v>
      </c>
      <c r="C5" s="1107" t="s">
        <v>2124</v>
      </c>
      <c r="D5" s="1107">
        <v>899</v>
      </c>
      <c r="E5" s="1109">
        <v>8692.7900000000009</v>
      </c>
      <c r="F5" s="1107">
        <v>0</v>
      </c>
      <c r="G5" s="1109">
        <v>9591.7900000000009</v>
      </c>
      <c r="H5" s="1107">
        <v>0</v>
      </c>
      <c r="I5" s="1109">
        <v>9591.7900000000009</v>
      </c>
      <c r="J5" s="1108" t="s">
        <v>2126</v>
      </c>
    </row>
    <row r="6" spans="1:10" ht="10" customHeight="1">
      <c r="A6" s="1107" t="s">
        <v>1349</v>
      </c>
      <c r="B6" s="1107" t="s">
        <v>1350</v>
      </c>
      <c r="C6" s="1107" t="s">
        <v>2124</v>
      </c>
      <c r="D6" s="1109">
        <v>709</v>
      </c>
      <c r="E6" s="1109">
        <v>6019.09</v>
      </c>
      <c r="F6" s="1107">
        <v>0</v>
      </c>
      <c r="G6" s="1109">
        <v>6728.09</v>
      </c>
      <c r="H6" s="1109">
        <v>0</v>
      </c>
      <c r="I6" s="1109">
        <v>6728.09</v>
      </c>
      <c r="J6" s="1108" t="s">
        <v>2127</v>
      </c>
    </row>
    <row r="7" spans="1:10" ht="10" customHeight="1">
      <c r="A7" s="1107" t="s">
        <v>1643</v>
      </c>
      <c r="B7" s="1107" t="s">
        <v>1644</v>
      </c>
      <c r="C7" s="1107" t="s">
        <v>2128</v>
      </c>
      <c r="D7" s="1109">
        <v>2791</v>
      </c>
      <c r="E7" s="1109">
        <v>10977.56</v>
      </c>
      <c r="F7" s="1107">
        <v>0</v>
      </c>
      <c r="G7" s="1109">
        <v>8630.7999999999993</v>
      </c>
      <c r="H7" s="1109">
        <v>5137.76</v>
      </c>
      <c r="I7" s="1109">
        <v>13768.56</v>
      </c>
      <c r="J7" s="1108" t="s">
        <v>2129</v>
      </c>
    </row>
    <row r="8" spans="1:10" ht="10" customHeight="1">
      <c r="A8" s="1107" t="s">
        <v>1645</v>
      </c>
      <c r="B8" s="1107" t="s">
        <v>1646</v>
      </c>
      <c r="C8" s="1107" t="s">
        <v>2130</v>
      </c>
      <c r="D8" s="1109">
        <v>1678</v>
      </c>
      <c r="E8" s="1107">
        <v>376.07</v>
      </c>
      <c r="F8" s="1107">
        <v>0</v>
      </c>
      <c r="G8" s="1109">
        <v>1028.8699999999999</v>
      </c>
      <c r="H8" s="1109">
        <v>1025.2</v>
      </c>
      <c r="I8" s="1109">
        <v>2054.0700000000002</v>
      </c>
      <c r="J8" s="1108" t="s">
        <v>2131</v>
      </c>
    </row>
    <row r="9" spans="1:10" ht="10" customHeight="1">
      <c r="A9" s="1107" t="s">
        <v>857</v>
      </c>
      <c r="B9" s="1107" t="s">
        <v>1652</v>
      </c>
      <c r="C9" s="1107" t="s">
        <v>2128</v>
      </c>
      <c r="D9" s="1109">
        <v>2767</v>
      </c>
      <c r="E9" s="1109">
        <v>6350.59</v>
      </c>
      <c r="F9" s="1107">
        <v>0</v>
      </c>
      <c r="G9" s="1109">
        <v>9117.59</v>
      </c>
      <c r="H9" s="1107">
        <v>0</v>
      </c>
      <c r="I9" s="1109">
        <v>9117.59</v>
      </c>
      <c r="J9" s="1108" t="s">
        <v>2132</v>
      </c>
    </row>
    <row r="10" spans="1:10" ht="10" customHeight="1">
      <c r="A10" s="1107" t="s">
        <v>1658</v>
      </c>
      <c r="B10" s="1107" t="s">
        <v>1659</v>
      </c>
      <c r="C10" s="1107" t="s">
        <v>2130</v>
      </c>
      <c r="D10" s="1109">
        <v>3651</v>
      </c>
      <c r="E10" s="1109">
        <v>9120.92</v>
      </c>
      <c r="F10" s="1107">
        <v>0</v>
      </c>
      <c r="G10" s="1109">
        <v>11758.72</v>
      </c>
      <c r="H10" s="1109">
        <v>1013.2</v>
      </c>
      <c r="I10" s="1109">
        <v>12771.92</v>
      </c>
      <c r="J10" s="1108" t="s">
        <v>2133</v>
      </c>
    </row>
    <row r="11" spans="1:10" ht="10" customHeight="1">
      <c r="A11" s="1107" t="s">
        <v>1662</v>
      </c>
      <c r="B11" s="1107" t="s">
        <v>1663</v>
      </c>
      <c r="C11" s="1107" t="s">
        <v>1664</v>
      </c>
      <c r="D11" s="1109">
        <v>3282</v>
      </c>
      <c r="E11" s="1109">
        <v>5927.52</v>
      </c>
      <c r="F11" s="1107">
        <v>0</v>
      </c>
      <c r="G11" s="1109">
        <v>8439.32</v>
      </c>
      <c r="H11" s="1107">
        <v>770.2</v>
      </c>
      <c r="I11" s="1109">
        <v>9209.52</v>
      </c>
      <c r="J11" s="1108" t="s">
        <v>2134</v>
      </c>
    </row>
    <row r="12" spans="1:10" ht="10" customHeight="1">
      <c r="A12" s="1107" t="s">
        <v>1665</v>
      </c>
      <c r="B12" s="1107" t="s">
        <v>1666</v>
      </c>
      <c r="C12" s="1107" t="s">
        <v>2128</v>
      </c>
      <c r="D12" s="1109">
        <v>536</v>
      </c>
      <c r="E12" s="1109">
        <v>7608.06</v>
      </c>
      <c r="F12" s="1107">
        <v>0</v>
      </c>
      <c r="G12" s="1109">
        <v>641.25</v>
      </c>
      <c r="H12" s="1109">
        <v>7502.81</v>
      </c>
      <c r="I12" s="1109">
        <v>8144.06</v>
      </c>
      <c r="J12" s="1108" t="s">
        <v>2135</v>
      </c>
    </row>
    <row r="13" spans="1:10" ht="10" customHeight="1">
      <c r="A13" s="1107" t="s">
        <v>1670</v>
      </c>
      <c r="B13" s="1107" t="s">
        <v>1671</v>
      </c>
      <c r="C13" s="1107" t="s">
        <v>1635</v>
      </c>
      <c r="D13" s="1109">
        <v>3328</v>
      </c>
      <c r="E13" s="1107">
        <v>932.4</v>
      </c>
      <c r="F13" s="1107">
        <v>0</v>
      </c>
      <c r="G13" s="1109">
        <v>3245.2</v>
      </c>
      <c r="H13" s="1109">
        <v>1015.2</v>
      </c>
      <c r="I13" s="1109">
        <v>4260.3999999999996</v>
      </c>
      <c r="J13" s="1108" t="s">
        <v>2136</v>
      </c>
    </row>
    <row r="14" spans="1:10" ht="10" customHeight="1">
      <c r="A14" s="1107" t="s">
        <v>869</v>
      </c>
      <c r="B14" s="1107" t="s">
        <v>1672</v>
      </c>
      <c r="C14" s="1107" t="s">
        <v>2128</v>
      </c>
      <c r="D14" s="1107">
        <v>688.65</v>
      </c>
      <c r="E14" s="1109">
        <v>2652.85</v>
      </c>
      <c r="F14" s="1107">
        <v>0</v>
      </c>
      <c r="G14" s="1109">
        <v>3341.5</v>
      </c>
      <c r="H14" s="1109">
        <v>0</v>
      </c>
      <c r="I14" s="1109">
        <v>3341.5</v>
      </c>
      <c r="J14" s="1108" t="s">
        <v>2137</v>
      </c>
    </row>
    <row r="15" spans="1:10" ht="10" customHeight="1">
      <c r="A15" s="1107" t="s">
        <v>863</v>
      </c>
      <c r="B15" s="1107" t="s">
        <v>1377</v>
      </c>
      <c r="C15" s="1107" t="s">
        <v>2128</v>
      </c>
      <c r="D15" s="1109">
        <v>1903</v>
      </c>
      <c r="E15" s="1109">
        <v>4266.0600000000004</v>
      </c>
      <c r="F15" s="1107">
        <v>0</v>
      </c>
      <c r="G15" s="1109">
        <v>6169.06</v>
      </c>
      <c r="H15" s="1107">
        <v>0</v>
      </c>
      <c r="I15" s="1109">
        <v>6169.06</v>
      </c>
      <c r="J15" s="1108" t="s">
        <v>2138</v>
      </c>
    </row>
    <row r="16" spans="1:10" ht="10" customHeight="1">
      <c r="A16" s="1107" t="s">
        <v>856</v>
      </c>
      <c r="B16" s="1107" t="s">
        <v>1368</v>
      </c>
      <c r="C16" s="1107" t="s">
        <v>2128</v>
      </c>
      <c r="D16" s="1109">
        <v>2313</v>
      </c>
      <c r="E16" s="1109">
        <v>7169.35</v>
      </c>
      <c r="F16" s="1107">
        <v>0</v>
      </c>
      <c r="G16" s="1109">
        <v>9482.35</v>
      </c>
      <c r="H16" s="1107">
        <v>0</v>
      </c>
      <c r="I16" s="1109">
        <v>9482.35</v>
      </c>
      <c r="J16" s="1108" t="s">
        <v>2139</v>
      </c>
    </row>
    <row r="17" spans="1:10" ht="10" customHeight="1">
      <c r="A17" s="1107" t="s">
        <v>1680</v>
      </c>
      <c r="B17" s="1107" t="s">
        <v>1681</v>
      </c>
      <c r="C17" s="1107" t="s">
        <v>2128</v>
      </c>
      <c r="D17" s="1107">
        <v>0</v>
      </c>
      <c r="E17" s="1109">
        <v>1546.51</v>
      </c>
      <c r="F17" s="1107">
        <v>0</v>
      </c>
      <c r="G17" s="1107">
        <v>0</v>
      </c>
      <c r="H17" s="1109">
        <v>1546.51</v>
      </c>
      <c r="I17" s="1109">
        <v>1546.51</v>
      </c>
      <c r="J17" s="1107"/>
    </row>
    <row r="18" spans="1:10" ht="10" customHeight="1">
      <c r="A18" s="1107" t="s">
        <v>1684</v>
      </c>
      <c r="B18" s="1107" t="s">
        <v>1685</v>
      </c>
      <c r="C18" s="1107" t="s">
        <v>2140</v>
      </c>
      <c r="D18" s="1109">
        <v>6218</v>
      </c>
      <c r="E18" s="1109">
        <v>1064.77</v>
      </c>
      <c r="F18" s="1107">
        <v>0</v>
      </c>
      <c r="G18" s="1109">
        <v>5375.91</v>
      </c>
      <c r="H18" s="1109">
        <v>1906.86</v>
      </c>
      <c r="I18" s="1109">
        <v>7282.77</v>
      </c>
      <c r="J18" s="1108" t="s">
        <v>2141</v>
      </c>
    </row>
    <row r="19" spans="1:10" ht="10" customHeight="1">
      <c r="A19" s="1107" t="s">
        <v>1686</v>
      </c>
      <c r="B19" s="1107" t="s">
        <v>1687</v>
      </c>
      <c r="C19" s="1107" t="s">
        <v>1635</v>
      </c>
      <c r="D19" s="1109">
        <v>2394</v>
      </c>
      <c r="E19" s="1107">
        <v>503.1</v>
      </c>
      <c r="F19" s="1107">
        <v>0</v>
      </c>
      <c r="G19" s="1109">
        <v>1449.6</v>
      </c>
      <c r="H19" s="1109">
        <v>1447.5</v>
      </c>
      <c r="I19" s="1109">
        <v>2897.1</v>
      </c>
      <c r="J19" s="1108" t="s">
        <v>2142</v>
      </c>
    </row>
    <row r="20" spans="1:10" ht="10" customHeight="1">
      <c r="A20" s="1107" t="s">
        <v>1701</v>
      </c>
      <c r="B20" s="1107" t="s">
        <v>1702</v>
      </c>
      <c r="C20" s="1107" t="s">
        <v>2122</v>
      </c>
      <c r="D20" s="1109">
        <v>3136</v>
      </c>
      <c r="E20" s="1107">
        <v>592.16999999999996</v>
      </c>
      <c r="F20" s="1107">
        <v>0</v>
      </c>
      <c r="G20" s="1109">
        <v>2773.77</v>
      </c>
      <c r="H20" s="1109">
        <v>954.4</v>
      </c>
      <c r="I20" s="1109">
        <v>3728.17</v>
      </c>
      <c r="J20" s="1108" t="s">
        <v>2143</v>
      </c>
    </row>
    <row r="21" spans="1:10" ht="10" customHeight="1">
      <c r="A21" s="1107" t="s">
        <v>1707</v>
      </c>
      <c r="B21" s="1107" t="s">
        <v>1708</v>
      </c>
      <c r="C21" s="1107" t="s">
        <v>1635</v>
      </c>
      <c r="D21" s="1109">
        <v>2590</v>
      </c>
      <c r="E21" s="1107">
        <v>585.34</v>
      </c>
      <c r="F21" s="1107">
        <v>0</v>
      </c>
      <c r="G21" s="1109">
        <v>1644.59</v>
      </c>
      <c r="H21" s="1109">
        <v>1530.75</v>
      </c>
      <c r="I21" s="1109">
        <v>3175.34</v>
      </c>
      <c r="J21" s="1108" t="s">
        <v>2144</v>
      </c>
    </row>
    <row r="22" spans="1:10" ht="10" customHeight="1">
      <c r="A22" s="1107" t="s">
        <v>1149</v>
      </c>
      <c r="B22" s="1107" t="s">
        <v>1710</v>
      </c>
      <c r="C22" s="1107" t="s">
        <v>2124</v>
      </c>
      <c r="D22" s="1109">
        <v>2623</v>
      </c>
      <c r="E22" s="1109">
        <v>7511.23</v>
      </c>
      <c r="F22" s="1107">
        <v>0</v>
      </c>
      <c r="G22" s="1109">
        <v>10134.23</v>
      </c>
      <c r="H22" s="1109">
        <v>0</v>
      </c>
      <c r="I22" s="1109">
        <v>10134.23</v>
      </c>
      <c r="J22" s="1108" t="s">
        <v>2145</v>
      </c>
    </row>
    <row r="23" spans="1:10" ht="10" customHeight="1">
      <c r="A23" s="1107" t="s">
        <v>1713</v>
      </c>
      <c r="B23" s="1107" t="s">
        <v>1714</v>
      </c>
      <c r="C23" s="1107" t="s">
        <v>2146</v>
      </c>
      <c r="D23" s="1109">
        <v>5180</v>
      </c>
      <c r="E23" s="1109">
        <v>5823.35</v>
      </c>
      <c r="F23" s="1107">
        <v>0</v>
      </c>
      <c r="G23" s="1109">
        <v>9466.6</v>
      </c>
      <c r="H23" s="1109">
        <v>1536.75</v>
      </c>
      <c r="I23" s="1109">
        <v>11003.35</v>
      </c>
      <c r="J23" s="1108" t="s">
        <v>2147</v>
      </c>
    </row>
    <row r="24" spans="1:10" ht="10" customHeight="1">
      <c r="A24" s="1107" t="s">
        <v>877</v>
      </c>
      <c r="B24" s="1107" t="s">
        <v>1380</v>
      </c>
      <c r="C24" s="1107" t="s">
        <v>1338</v>
      </c>
      <c r="D24" s="1109">
        <v>126</v>
      </c>
      <c r="E24" s="1109">
        <v>1749.63</v>
      </c>
      <c r="F24" s="1107">
        <v>0</v>
      </c>
      <c r="G24" s="1109">
        <v>1875.63</v>
      </c>
      <c r="H24" s="1109">
        <v>0</v>
      </c>
      <c r="I24" s="1109">
        <v>1875.63</v>
      </c>
      <c r="J24" s="1108" t="s">
        <v>2148</v>
      </c>
    </row>
    <row r="25" spans="1:10" ht="10" customHeight="1">
      <c r="A25" s="1107" t="s">
        <v>860</v>
      </c>
      <c r="B25" s="1107" t="s">
        <v>1717</v>
      </c>
      <c r="C25" s="1107" t="s">
        <v>2128</v>
      </c>
      <c r="D25" s="1109">
        <v>3188</v>
      </c>
      <c r="E25" s="1109">
        <v>4564.3</v>
      </c>
      <c r="F25" s="1107">
        <v>0</v>
      </c>
      <c r="G25" s="1109">
        <v>7752.3</v>
      </c>
      <c r="H25" s="1109">
        <v>0</v>
      </c>
      <c r="I25" s="1109">
        <v>7752.3</v>
      </c>
      <c r="J25" s="1108" t="s">
        <v>2149</v>
      </c>
    </row>
    <row r="26" spans="1:10" ht="10" customHeight="1">
      <c r="A26" s="1107" t="s">
        <v>1720</v>
      </c>
      <c r="B26" s="1107" t="s">
        <v>1721</v>
      </c>
      <c r="C26" s="1107" t="s">
        <v>1635</v>
      </c>
      <c r="D26" s="1109">
        <v>1140</v>
      </c>
      <c r="E26" s="1107">
        <v>466.88</v>
      </c>
      <c r="F26" s="1107">
        <v>0</v>
      </c>
      <c r="G26" s="1107">
        <v>0</v>
      </c>
      <c r="H26" s="1109">
        <v>1606.88</v>
      </c>
      <c r="I26" s="1109">
        <v>1606.88</v>
      </c>
      <c r="J26" s="1108" t="s">
        <v>2150</v>
      </c>
    </row>
    <row r="27" spans="1:10" ht="10" customHeight="1">
      <c r="A27" s="1107" t="s">
        <v>864</v>
      </c>
      <c r="B27" s="1107" t="s">
        <v>1373</v>
      </c>
      <c r="C27" s="1107" t="s">
        <v>2128</v>
      </c>
      <c r="D27" s="1109">
        <v>2083</v>
      </c>
      <c r="E27" s="1109">
        <v>3893.83</v>
      </c>
      <c r="F27" s="1107">
        <v>0</v>
      </c>
      <c r="G27" s="1109">
        <v>5976.83</v>
      </c>
      <c r="H27" s="1107">
        <v>0</v>
      </c>
      <c r="I27" s="1109">
        <v>5976.83</v>
      </c>
      <c r="J27" s="1108" t="s">
        <v>2138</v>
      </c>
    </row>
    <row r="28" spans="1:10" ht="10" customHeight="1">
      <c r="A28" s="1107" t="s">
        <v>1353</v>
      </c>
      <c r="B28" s="1107" t="s">
        <v>1354</v>
      </c>
      <c r="C28" s="1107" t="s">
        <v>2124</v>
      </c>
      <c r="D28" s="1107">
        <v>48</v>
      </c>
      <c r="E28" s="1109">
        <v>5705.39</v>
      </c>
      <c r="F28" s="1107">
        <v>0</v>
      </c>
      <c r="G28" s="1109">
        <v>5753.39</v>
      </c>
      <c r="H28" s="1107">
        <v>0</v>
      </c>
      <c r="I28" s="1109">
        <v>5753.39</v>
      </c>
      <c r="J28" s="1108" t="s">
        <v>2151</v>
      </c>
    </row>
    <row r="29" spans="1:10" ht="10" customHeight="1">
      <c r="A29" s="1107" t="s">
        <v>1327</v>
      </c>
      <c r="B29" s="1107" t="s">
        <v>1328</v>
      </c>
      <c r="C29" s="1107" t="s">
        <v>2128</v>
      </c>
      <c r="D29" s="1109">
        <v>1075</v>
      </c>
      <c r="E29" s="1109">
        <v>14647.78</v>
      </c>
      <c r="F29" s="1107">
        <v>0</v>
      </c>
      <c r="G29" s="1109">
        <v>15722.78</v>
      </c>
      <c r="H29" s="1109">
        <v>0</v>
      </c>
      <c r="I29" s="1109">
        <v>15722.78</v>
      </c>
      <c r="J29" s="1108" t="s">
        <v>2152</v>
      </c>
    </row>
    <row r="30" spans="1:10" ht="10" customHeight="1">
      <c r="A30" s="1107" t="s">
        <v>1722</v>
      </c>
      <c r="B30" s="1107" t="s">
        <v>1723</v>
      </c>
      <c r="C30" s="1107" t="s">
        <v>2128</v>
      </c>
      <c r="D30" s="1107">
        <v>766</v>
      </c>
      <c r="E30" s="1109">
        <v>5689.43</v>
      </c>
      <c r="F30" s="1107">
        <v>0</v>
      </c>
      <c r="G30" s="1107">
        <v>223.04</v>
      </c>
      <c r="H30" s="1109">
        <v>6232.39</v>
      </c>
      <c r="I30" s="1109">
        <v>6455.43</v>
      </c>
      <c r="J30" s="1108" t="s">
        <v>2153</v>
      </c>
    </row>
    <row r="31" spans="1:10" ht="10" customHeight="1">
      <c r="A31" s="1107" t="s">
        <v>1724</v>
      </c>
      <c r="B31" s="1107" t="s">
        <v>1725</v>
      </c>
      <c r="C31" s="1107" t="s">
        <v>2128</v>
      </c>
      <c r="D31" s="1109">
        <v>2359.5</v>
      </c>
      <c r="E31" s="1109">
        <v>6042.74</v>
      </c>
      <c r="F31" s="1107">
        <v>0</v>
      </c>
      <c r="G31" s="1109">
        <v>2783.58</v>
      </c>
      <c r="H31" s="1109">
        <v>5618.66</v>
      </c>
      <c r="I31" s="1109">
        <v>8402.24</v>
      </c>
      <c r="J31" s="1108" t="s">
        <v>2154</v>
      </c>
    </row>
    <row r="32" spans="1:10" ht="10" customHeight="1">
      <c r="A32" s="1107" t="s">
        <v>1730</v>
      </c>
      <c r="B32" s="1107" t="s">
        <v>1731</v>
      </c>
      <c r="C32" s="1107" t="s">
        <v>2128</v>
      </c>
      <c r="D32" s="1109">
        <v>3176</v>
      </c>
      <c r="E32" s="1109">
        <v>5200.2</v>
      </c>
      <c r="F32" s="1107">
        <v>0</v>
      </c>
      <c r="G32" s="1109">
        <v>4870.47</v>
      </c>
      <c r="H32" s="1109">
        <v>3505.73</v>
      </c>
      <c r="I32" s="1109">
        <v>8376.2000000000007</v>
      </c>
      <c r="J32" s="1108" t="s">
        <v>2155</v>
      </c>
    </row>
    <row r="33" spans="1:10" ht="10" customHeight="1">
      <c r="A33" s="1107" t="s">
        <v>859</v>
      </c>
      <c r="B33" s="1107" t="s">
        <v>482</v>
      </c>
      <c r="C33" s="1107" t="s">
        <v>2128</v>
      </c>
      <c r="D33" s="1109">
        <v>2344</v>
      </c>
      <c r="E33" s="1109">
        <v>5563.46</v>
      </c>
      <c r="F33" s="1107">
        <v>0</v>
      </c>
      <c r="G33" s="1109">
        <v>7907.46</v>
      </c>
      <c r="H33" s="1109">
        <v>0</v>
      </c>
      <c r="I33" s="1109">
        <v>7907.46</v>
      </c>
      <c r="J33" s="1108" t="s">
        <v>2156</v>
      </c>
    </row>
    <row r="34" spans="1:10" ht="10" customHeight="1">
      <c r="A34" s="1107" t="s">
        <v>1375</v>
      </c>
      <c r="B34" s="1107" t="s">
        <v>1376</v>
      </c>
      <c r="C34" s="1107" t="s">
        <v>1338</v>
      </c>
      <c r="D34" s="1107">
        <v>801</v>
      </c>
      <c r="E34" s="1109">
        <v>1810.69</v>
      </c>
      <c r="F34" s="1107">
        <v>0</v>
      </c>
      <c r="G34" s="1109">
        <v>2611.69</v>
      </c>
      <c r="H34" s="1107">
        <v>0</v>
      </c>
      <c r="I34" s="1109">
        <v>2611.69</v>
      </c>
      <c r="J34" s="1108" t="s">
        <v>2157</v>
      </c>
    </row>
    <row r="35" spans="1:10" ht="10" customHeight="1">
      <c r="A35" s="1107" t="s">
        <v>1735</v>
      </c>
      <c r="B35" s="1107" t="s">
        <v>1736</v>
      </c>
      <c r="C35" s="1107" t="s">
        <v>1338</v>
      </c>
      <c r="D35" s="1107">
        <v>0</v>
      </c>
      <c r="E35" s="1109">
        <v>2084.2600000000002</v>
      </c>
      <c r="F35" s="1107">
        <v>0</v>
      </c>
      <c r="G35" s="1107">
        <v>0</v>
      </c>
      <c r="H35" s="1109">
        <v>2084.2600000000002</v>
      </c>
      <c r="I35" s="1109">
        <v>2084.2600000000002</v>
      </c>
      <c r="J35" s="1108" t="s">
        <v>2158</v>
      </c>
    </row>
    <row r="36" spans="1:10" ht="10" customHeight="1">
      <c r="A36" s="1107" t="s">
        <v>1737</v>
      </c>
      <c r="B36" s="1107" t="s">
        <v>1738</v>
      </c>
      <c r="C36" s="1107" t="s">
        <v>2128</v>
      </c>
      <c r="D36" s="1109">
        <v>2919</v>
      </c>
      <c r="E36" s="1109">
        <v>4248.71</v>
      </c>
      <c r="F36" s="1107">
        <v>0</v>
      </c>
      <c r="G36" s="1109">
        <v>3250.02</v>
      </c>
      <c r="H36" s="1109">
        <v>3917.69</v>
      </c>
      <c r="I36" s="1109">
        <v>7167.71</v>
      </c>
      <c r="J36" s="1108" t="s">
        <v>2159</v>
      </c>
    </row>
    <row r="37" spans="1:10" ht="10" customHeight="1">
      <c r="A37" s="1107" t="s">
        <v>1739</v>
      </c>
      <c r="B37" s="1107" t="s">
        <v>479</v>
      </c>
      <c r="C37" s="1107" t="s">
        <v>2128</v>
      </c>
      <c r="D37" s="1109">
        <v>4286.04</v>
      </c>
      <c r="E37" s="1109">
        <v>4068.03</v>
      </c>
      <c r="F37" s="1107">
        <v>0</v>
      </c>
      <c r="G37" s="1109">
        <v>4815.74</v>
      </c>
      <c r="H37" s="1109">
        <v>3538.33</v>
      </c>
      <c r="I37" s="1109">
        <v>8354.07</v>
      </c>
      <c r="J37" s="1108" t="s">
        <v>2160</v>
      </c>
    </row>
    <row r="38" spans="1:10" ht="10" customHeight="1">
      <c r="A38" s="1107" t="s">
        <v>1744</v>
      </c>
      <c r="B38" s="1107" t="s">
        <v>1745</v>
      </c>
      <c r="C38" s="1107" t="s">
        <v>1635</v>
      </c>
      <c r="D38" s="1109">
        <v>4500</v>
      </c>
      <c r="E38" s="1109">
        <v>2510.94</v>
      </c>
      <c r="F38" s="1107">
        <v>0</v>
      </c>
      <c r="G38" s="1109">
        <v>5632.09</v>
      </c>
      <c r="H38" s="1109">
        <v>1378.85</v>
      </c>
      <c r="I38" s="1109">
        <v>7010.94</v>
      </c>
      <c r="J38" s="1108" t="s">
        <v>2161</v>
      </c>
    </row>
    <row r="39" spans="1:10" ht="10" customHeight="1">
      <c r="A39" s="1107" t="s">
        <v>1746</v>
      </c>
      <c r="B39" s="1107" t="s">
        <v>1747</v>
      </c>
      <c r="C39" s="1107" t="s">
        <v>2128</v>
      </c>
      <c r="D39" s="1109">
        <v>2478</v>
      </c>
      <c r="E39" s="1109">
        <v>8351.9</v>
      </c>
      <c r="F39" s="1107">
        <v>0</v>
      </c>
      <c r="G39" s="1109">
        <v>10829.9</v>
      </c>
      <c r="H39" s="1107">
        <v>0</v>
      </c>
      <c r="I39" s="1109">
        <v>10829.9</v>
      </c>
      <c r="J39" s="1108" t="s">
        <v>2162</v>
      </c>
    </row>
    <row r="40" spans="1:10" ht="10" customHeight="1">
      <c r="A40" s="1107" t="s">
        <v>1329</v>
      </c>
      <c r="B40" s="1107" t="s">
        <v>1330</v>
      </c>
      <c r="C40" s="1107" t="s">
        <v>2124</v>
      </c>
      <c r="D40" s="1109">
        <v>2115</v>
      </c>
      <c r="E40" s="1109">
        <v>10598.45</v>
      </c>
      <c r="F40" s="1107">
        <v>0</v>
      </c>
      <c r="G40" s="1109">
        <v>12713.45</v>
      </c>
      <c r="H40" s="1107">
        <v>0</v>
      </c>
      <c r="I40" s="1109">
        <v>12713.45</v>
      </c>
      <c r="J40" s="1108" t="s">
        <v>2163</v>
      </c>
    </row>
    <row r="41" spans="1:10" ht="10" customHeight="1">
      <c r="A41" s="1107" t="s">
        <v>1753</v>
      </c>
      <c r="B41" s="1107" t="s">
        <v>1754</v>
      </c>
      <c r="C41" s="1107" t="s">
        <v>2128</v>
      </c>
      <c r="D41" s="1109">
        <v>3600</v>
      </c>
      <c r="E41" s="1109">
        <v>7692.26</v>
      </c>
      <c r="F41" s="1107">
        <v>0</v>
      </c>
      <c r="G41" s="1109">
        <v>11292.26</v>
      </c>
      <c r="H41" s="1109">
        <v>0</v>
      </c>
      <c r="I41" s="1109">
        <v>11292.26</v>
      </c>
      <c r="J41" s="1108" t="s">
        <v>2164</v>
      </c>
    </row>
    <row r="42" spans="1:10" ht="10" customHeight="1">
      <c r="A42" s="1107" t="s">
        <v>1755</v>
      </c>
      <c r="B42" s="1107" t="s">
        <v>1756</v>
      </c>
      <c r="C42" s="1107" t="s">
        <v>1635</v>
      </c>
      <c r="D42" s="1109">
        <v>4571</v>
      </c>
      <c r="E42" s="1107">
        <v>97</v>
      </c>
      <c r="F42" s="1107">
        <v>0</v>
      </c>
      <c r="G42" s="1109">
        <v>0</v>
      </c>
      <c r="H42" s="1109">
        <v>4668</v>
      </c>
      <c r="I42" s="1109">
        <v>4668</v>
      </c>
      <c r="J42" s="1108"/>
    </row>
    <row r="43" spans="1:10" ht="10" customHeight="1">
      <c r="A43" s="1107" t="s">
        <v>1167</v>
      </c>
      <c r="B43" s="1107" t="s">
        <v>1346</v>
      </c>
      <c r="C43" s="1107" t="s">
        <v>2124</v>
      </c>
      <c r="D43" s="1109">
        <v>472</v>
      </c>
      <c r="E43" s="1109">
        <v>6819.69</v>
      </c>
      <c r="F43" s="1107">
        <v>0</v>
      </c>
      <c r="G43" s="1109">
        <v>7291.69</v>
      </c>
      <c r="H43" s="1109">
        <v>0</v>
      </c>
      <c r="I43" s="1109">
        <v>7291.69</v>
      </c>
      <c r="J43" s="1108" t="s">
        <v>2165</v>
      </c>
    </row>
    <row r="44" spans="1:10" ht="10" customHeight="1">
      <c r="A44" s="1107" t="s">
        <v>2166</v>
      </c>
      <c r="B44" s="1107" t="s">
        <v>2167</v>
      </c>
      <c r="C44" s="1107" t="s">
        <v>1635</v>
      </c>
      <c r="D44" s="1109">
        <v>1508</v>
      </c>
      <c r="E44" s="1107">
        <v>270.14</v>
      </c>
      <c r="F44" s="1107">
        <v>0</v>
      </c>
      <c r="G44" s="1107">
        <v>0</v>
      </c>
      <c r="H44" s="1109">
        <v>1778.14</v>
      </c>
      <c r="I44" s="1109">
        <v>1778.14</v>
      </c>
      <c r="J44" s="1108" t="s">
        <v>2168</v>
      </c>
    </row>
    <row r="45" spans="1:10" ht="10" customHeight="1">
      <c r="A45" s="1107" t="s">
        <v>852</v>
      </c>
      <c r="B45" s="1107" t="s">
        <v>1322</v>
      </c>
      <c r="C45" s="1107" t="s">
        <v>2128</v>
      </c>
      <c r="D45" s="1109">
        <v>2370</v>
      </c>
      <c r="E45" s="1109">
        <v>24258.83</v>
      </c>
      <c r="F45" s="1107">
        <v>0</v>
      </c>
      <c r="G45" s="1109">
        <v>26628.83</v>
      </c>
      <c r="H45" s="1107">
        <v>0</v>
      </c>
      <c r="I45" s="1109">
        <v>26628.83</v>
      </c>
      <c r="J45" s="1108" t="s">
        <v>2169</v>
      </c>
    </row>
    <row r="46" spans="1:10" ht="10" customHeight="1">
      <c r="A46" s="1107" t="s">
        <v>1113</v>
      </c>
      <c r="B46" s="1107" t="s">
        <v>1365</v>
      </c>
      <c r="C46" s="1107" t="s">
        <v>2128</v>
      </c>
      <c r="D46" s="1107">
        <v>20</v>
      </c>
      <c r="E46" s="1109">
        <v>3893.47</v>
      </c>
      <c r="F46" s="1107">
        <v>0</v>
      </c>
      <c r="G46" s="1109">
        <v>3913.47</v>
      </c>
      <c r="H46" s="1107">
        <v>0</v>
      </c>
      <c r="I46" s="1109">
        <v>3913.47</v>
      </c>
      <c r="J46" s="1108" t="s">
        <v>2170</v>
      </c>
    </row>
    <row r="47" spans="1:10" ht="10" customHeight="1">
      <c r="A47" s="1107" t="s">
        <v>1366</v>
      </c>
      <c r="B47" s="1107" t="s">
        <v>1367</v>
      </c>
      <c r="C47" s="1107" t="s">
        <v>1338</v>
      </c>
      <c r="D47" s="1109">
        <v>282</v>
      </c>
      <c r="E47" s="1109">
        <v>4314.54</v>
      </c>
      <c r="F47" s="1107">
        <v>0</v>
      </c>
      <c r="G47" s="1109">
        <v>4596.54</v>
      </c>
      <c r="H47" s="1107">
        <v>0</v>
      </c>
      <c r="I47" s="1109">
        <v>4596.54</v>
      </c>
      <c r="J47" s="1108" t="s">
        <v>2171</v>
      </c>
    </row>
    <row r="48" spans="1:10" ht="10" customHeight="1">
      <c r="A48" s="1107" t="s">
        <v>1764</v>
      </c>
      <c r="B48" s="1107" t="s">
        <v>1765</v>
      </c>
      <c r="C48" s="1107" t="s">
        <v>1338</v>
      </c>
      <c r="D48" s="1107">
        <v>628</v>
      </c>
      <c r="E48" s="1107">
        <v>931.56</v>
      </c>
      <c r="F48" s="1107">
        <v>0</v>
      </c>
      <c r="G48" s="1107">
        <v>984.56</v>
      </c>
      <c r="H48" s="1107">
        <v>575</v>
      </c>
      <c r="I48" s="1109">
        <v>1559.56</v>
      </c>
      <c r="J48" s="1108" t="s">
        <v>2172</v>
      </c>
    </row>
    <row r="49" spans="1:10" ht="10" customHeight="1">
      <c r="A49" s="1107" t="s">
        <v>1766</v>
      </c>
      <c r="B49" s="1107" t="s">
        <v>1767</v>
      </c>
      <c r="C49" s="1107" t="s">
        <v>2130</v>
      </c>
      <c r="D49" s="1109">
        <v>2399</v>
      </c>
      <c r="E49" s="1107">
        <v>749.38</v>
      </c>
      <c r="F49" s="1107">
        <v>0</v>
      </c>
      <c r="G49" s="1109">
        <v>1873.12</v>
      </c>
      <c r="H49" s="1109">
        <v>1275.26</v>
      </c>
      <c r="I49" s="1109">
        <v>3148.38</v>
      </c>
      <c r="J49" s="1108" t="s">
        <v>2173</v>
      </c>
    </row>
    <row r="50" spans="1:10" ht="10" customHeight="1">
      <c r="A50" s="1107" t="s">
        <v>1358</v>
      </c>
      <c r="B50" s="1107" t="s">
        <v>1359</v>
      </c>
      <c r="C50" s="1107" t="s">
        <v>2146</v>
      </c>
      <c r="D50" s="1109">
        <v>4160</v>
      </c>
      <c r="E50" s="1109">
        <v>5025.47</v>
      </c>
      <c r="F50" s="1107">
        <v>0</v>
      </c>
      <c r="G50" s="1109">
        <v>7941.21</v>
      </c>
      <c r="H50" s="1109">
        <v>1244.26</v>
      </c>
      <c r="I50" s="1109">
        <v>9185.4699999999993</v>
      </c>
      <c r="J50" s="1108" t="s">
        <v>2174</v>
      </c>
    </row>
    <row r="51" spans="1:10" ht="10" customHeight="1">
      <c r="A51" s="1107" t="s">
        <v>1770</v>
      </c>
      <c r="B51" s="1107" t="s">
        <v>1771</v>
      </c>
      <c r="C51" s="1107" t="s">
        <v>2128</v>
      </c>
      <c r="D51" s="1109">
        <v>2254</v>
      </c>
      <c r="E51" s="1109">
        <v>4089.01</v>
      </c>
      <c r="F51" s="1107">
        <v>0</v>
      </c>
      <c r="G51" s="1109">
        <v>3584</v>
      </c>
      <c r="H51" s="1109">
        <v>2759.01</v>
      </c>
      <c r="I51" s="1109">
        <v>6343.01</v>
      </c>
      <c r="J51" s="1108" t="s">
        <v>2175</v>
      </c>
    </row>
    <row r="52" spans="1:10" ht="10" customHeight="1">
      <c r="A52" s="1107" t="s">
        <v>1773</v>
      </c>
      <c r="B52" s="1107" t="s">
        <v>1774</v>
      </c>
      <c r="C52" s="1107" t="s">
        <v>2176</v>
      </c>
      <c r="D52" s="1109">
        <v>5300</v>
      </c>
      <c r="E52" s="1109">
        <v>28392.09</v>
      </c>
      <c r="F52" s="1107">
        <v>0</v>
      </c>
      <c r="G52" s="1109">
        <v>32175.31</v>
      </c>
      <c r="H52" s="1109">
        <v>1516.78</v>
      </c>
      <c r="I52" s="1109">
        <v>33692.089999999997</v>
      </c>
      <c r="J52" s="1108" t="s">
        <v>2177</v>
      </c>
    </row>
    <row r="53" spans="1:10" ht="10" customHeight="1">
      <c r="A53" s="1107" t="s">
        <v>1779</v>
      </c>
      <c r="B53" s="1107" t="s">
        <v>1780</v>
      </c>
      <c r="C53" s="1107" t="s">
        <v>2176</v>
      </c>
      <c r="D53" s="1109">
        <v>2899</v>
      </c>
      <c r="E53" s="1107">
        <v>848.08</v>
      </c>
      <c r="F53" s="1107">
        <v>0</v>
      </c>
      <c r="G53" s="1109">
        <v>2341.7399999999998</v>
      </c>
      <c r="H53" s="1109">
        <v>1405.34</v>
      </c>
      <c r="I53" s="1109">
        <v>3747.08</v>
      </c>
      <c r="J53" s="1108" t="s">
        <v>2178</v>
      </c>
    </row>
    <row r="54" spans="1:10" ht="10" customHeight="1">
      <c r="A54" s="1107" t="s">
        <v>1781</v>
      </c>
      <c r="B54" s="1107" t="s">
        <v>1782</v>
      </c>
      <c r="C54" s="1107" t="s">
        <v>2128</v>
      </c>
      <c r="D54" s="1109">
        <v>3232</v>
      </c>
      <c r="E54" s="1109">
        <v>10198.36</v>
      </c>
      <c r="F54" s="1107">
        <v>0</v>
      </c>
      <c r="G54" s="1109">
        <v>9072.2099999999991</v>
      </c>
      <c r="H54" s="1109">
        <v>4358.1499999999996</v>
      </c>
      <c r="I54" s="1109">
        <v>13430.36</v>
      </c>
      <c r="J54" s="1108" t="s">
        <v>2179</v>
      </c>
    </row>
    <row r="55" spans="1:10" ht="10" customHeight="1">
      <c r="A55" s="1107" t="s">
        <v>872</v>
      </c>
      <c r="B55" s="1107" t="s">
        <v>1783</v>
      </c>
      <c r="C55" s="1107" t="s">
        <v>2128</v>
      </c>
      <c r="D55" s="1107">
        <v>582</v>
      </c>
      <c r="E55" s="1109">
        <v>1850.16</v>
      </c>
      <c r="F55" s="1107">
        <v>0</v>
      </c>
      <c r="G55" s="1109">
        <v>2432.16</v>
      </c>
      <c r="H55" s="1107">
        <v>0</v>
      </c>
      <c r="I55" s="1109">
        <v>2432.16</v>
      </c>
      <c r="J55" s="1108" t="s">
        <v>2180</v>
      </c>
    </row>
    <row r="56" spans="1:10" ht="10" customHeight="1">
      <c r="A56" s="1107" t="s">
        <v>868</v>
      </c>
      <c r="B56" s="1107" t="s">
        <v>1784</v>
      </c>
      <c r="C56" s="1107" t="s">
        <v>2128</v>
      </c>
      <c r="D56" s="1109">
        <v>1249</v>
      </c>
      <c r="E56" s="1109">
        <v>2715.02</v>
      </c>
      <c r="F56" s="1107">
        <v>0</v>
      </c>
      <c r="G56" s="1109">
        <v>3964.02</v>
      </c>
      <c r="H56" s="1107">
        <v>0</v>
      </c>
      <c r="I56" s="1109">
        <v>3964.02</v>
      </c>
      <c r="J56" s="1108" t="s">
        <v>2181</v>
      </c>
    </row>
    <row r="57" spans="1:10" ht="10" customHeight="1">
      <c r="A57" s="1107" t="s">
        <v>1785</v>
      </c>
      <c r="B57" s="1107" t="s">
        <v>1786</v>
      </c>
      <c r="C57" s="1107" t="s">
        <v>1338</v>
      </c>
      <c r="D57" s="1107">
        <v>0</v>
      </c>
      <c r="E57" s="1109">
        <v>1697.22</v>
      </c>
      <c r="F57" s="1107">
        <v>0</v>
      </c>
      <c r="G57" s="1107">
        <v>0</v>
      </c>
      <c r="H57" s="1109">
        <v>1697.22</v>
      </c>
      <c r="I57" s="1109">
        <v>1697.22</v>
      </c>
      <c r="J57" s="1108" t="s">
        <v>2182</v>
      </c>
    </row>
    <row r="58" spans="1:10" ht="10" customHeight="1">
      <c r="A58" s="1107" t="s">
        <v>874</v>
      </c>
      <c r="B58" s="1107" t="s">
        <v>1392</v>
      </c>
      <c r="C58" s="1107" t="s">
        <v>1338</v>
      </c>
      <c r="D58" s="1109">
        <v>1157</v>
      </c>
      <c r="E58" s="1107">
        <v>990.43</v>
      </c>
      <c r="F58" s="1107">
        <v>0</v>
      </c>
      <c r="G58" s="1109">
        <v>2147.4299999999998</v>
      </c>
      <c r="H58" s="1107">
        <v>0</v>
      </c>
      <c r="I58" s="1109">
        <v>2147.4299999999998</v>
      </c>
      <c r="J58" s="1108" t="s">
        <v>2183</v>
      </c>
    </row>
    <row r="59" spans="1:10" ht="10" customHeight="1">
      <c r="A59" s="1107" t="s">
        <v>1351</v>
      </c>
      <c r="B59" s="1107" t="s">
        <v>1352</v>
      </c>
      <c r="C59" s="1107" t="s">
        <v>2124</v>
      </c>
      <c r="D59" s="1107">
        <v>409</v>
      </c>
      <c r="E59" s="1109">
        <v>5430.16</v>
      </c>
      <c r="F59" s="1107">
        <v>0</v>
      </c>
      <c r="G59" s="1109">
        <v>5839.16</v>
      </c>
      <c r="H59" s="1107">
        <v>0</v>
      </c>
      <c r="I59" s="1109">
        <v>5839.16</v>
      </c>
      <c r="J59" s="1108" t="s">
        <v>2184</v>
      </c>
    </row>
    <row r="60" spans="1:10" ht="10" customHeight="1">
      <c r="A60" s="1107" t="s">
        <v>1789</v>
      </c>
      <c r="B60" s="1107" t="s">
        <v>1790</v>
      </c>
      <c r="C60" s="1107" t="s">
        <v>2130</v>
      </c>
      <c r="D60" s="1109">
        <v>4060</v>
      </c>
      <c r="E60" s="1109">
        <v>4408.55</v>
      </c>
      <c r="F60" s="1107">
        <v>0</v>
      </c>
      <c r="G60" s="1109">
        <v>7095.7</v>
      </c>
      <c r="H60" s="1109">
        <v>1372.85</v>
      </c>
      <c r="I60" s="1109">
        <v>8468.5499999999993</v>
      </c>
      <c r="J60" s="1108" t="s">
        <v>2185</v>
      </c>
    </row>
    <row r="61" spans="1:10" ht="10" customHeight="1">
      <c r="A61" s="1107" t="s">
        <v>1791</v>
      </c>
      <c r="B61" s="1107" t="s">
        <v>1792</v>
      </c>
      <c r="C61" s="1107" t="s">
        <v>2130</v>
      </c>
      <c r="D61" s="1109">
        <v>3811</v>
      </c>
      <c r="E61" s="1109">
        <v>3331.71</v>
      </c>
      <c r="F61" s="1107">
        <v>0</v>
      </c>
      <c r="G61" s="1109">
        <v>5993.93</v>
      </c>
      <c r="H61" s="1109">
        <v>1148.78</v>
      </c>
      <c r="I61" s="1109">
        <v>7142.71</v>
      </c>
      <c r="J61" s="1108" t="s">
        <v>2186</v>
      </c>
    </row>
    <row r="62" spans="1:10" ht="10" customHeight="1">
      <c r="A62" s="1107" t="s">
        <v>1362</v>
      </c>
      <c r="B62" s="1107" t="s">
        <v>1363</v>
      </c>
      <c r="C62" s="1107" t="s">
        <v>2128</v>
      </c>
      <c r="D62" s="1109">
        <v>473</v>
      </c>
      <c r="E62" s="1109">
        <v>4398.8900000000003</v>
      </c>
      <c r="F62" s="1107">
        <v>0</v>
      </c>
      <c r="G62" s="1109">
        <v>4871.8900000000003</v>
      </c>
      <c r="H62" s="1109">
        <v>0</v>
      </c>
      <c r="I62" s="1109">
        <v>4871.8900000000003</v>
      </c>
      <c r="J62" s="1108" t="s">
        <v>2187</v>
      </c>
    </row>
    <row r="63" spans="1:10" ht="10" customHeight="1">
      <c r="A63" s="1107" t="s">
        <v>871</v>
      </c>
      <c r="B63" s="1107" t="s">
        <v>1795</v>
      </c>
      <c r="C63" s="1107" t="s">
        <v>1338</v>
      </c>
      <c r="D63" s="1109">
        <v>1264.71</v>
      </c>
      <c r="E63" s="1109">
        <v>1484.56</v>
      </c>
      <c r="F63" s="1107">
        <v>0</v>
      </c>
      <c r="G63" s="1109">
        <v>2749.27</v>
      </c>
      <c r="H63" s="1107">
        <v>0</v>
      </c>
      <c r="I63" s="1109">
        <v>2749.27</v>
      </c>
      <c r="J63" s="1108" t="s">
        <v>2188</v>
      </c>
    </row>
    <row r="64" spans="1:10" ht="10" customHeight="1">
      <c r="A64" s="1107" t="s">
        <v>1796</v>
      </c>
      <c r="B64" s="1107" t="s">
        <v>1797</v>
      </c>
      <c r="C64" s="1107" t="s">
        <v>1635</v>
      </c>
      <c r="D64" s="1109">
        <v>2030</v>
      </c>
      <c r="E64" s="1107">
        <v>452.97</v>
      </c>
      <c r="F64" s="1107">
        <v>0</v>
      </c>
      <c r="G64" s="1109">
        <v>1173.19</v>
      </c>
      <c r="H64" s="1109">
        <v>1309.78</v>
      </c>
      <c r="I64" s="1109">
        <v>2482.9699999999998</v>
      </c>
      <c r="J64" s="1108" t="s">
        <v>2189</v>
      </c>
    </row>
    <row r="65" spans="1:10" ht="10" customHeight="1">
      <c r="A65" s="1107" t="s">
        <v>870</v>
      </c>
      <c r="B65" s="1107" t="s">
        <v>488</v>
      </c>
      <c r="C65" s="1107" t="s">
        <v>2128</v>
      </c>
      <c r="D65" s="1109">
        <v>0</v>
      </c>
      <c r="E65" s="1109">
        <v>3182.58</v>
      </c>
      <c r="F65" s="1107">
        <v>0</v>
      </c>
      <c r="G65" s="1109">
        <v>3182.58</v>
      </c>
      <c r="H65" s="1109">
        <v>0</v>
      </c>
      <c r="I65" s="1109">
        <v>3182.58</v>
      </c>
      <c r="J65" s="1108" t="s">
        <v>2190</v>
      </c>
    </row>
    <row r="66" spans="1:10" ht="10" customHeight="1">
      <c r="A66" s="1107" t="s">
        <v>1798</v>
      </c>
      <c r="B66" s="1107" t="s">
        <v>1799</v>
      </c>
      <c r="C66" s="1107" t="s">
        <v>2176</v>
      </c>
      <c r="D66" s="1109">
        <v>3978</v>
      </c>
      <c r="E66" s="1109">
        <v>6127.07</v>
      </c>
      <c r="F66" s="1107">
        <v>0</v>
      </c>
      <c r="G66" s="1109">
        <v>8836.2900000000009</v>
      </c>
      <c r="H66" s="1109">
        <v>1268.78</v>
      </c>
      <c r="I66" s="1109">
        <v>10105.07</v>
      </c>
      <c r="J66" s="1108" t="s">
        <v>2191</v>
      </c>
    </row>
    <row r="67" spans="1:10" ht="10" customHeight="1">
      <c r="A67" s="1107" t="s">
        <v>1800</v>
      </c>
      <c r="B67" s="1107" t="s">
        <v>1801</v>
      </c>
      <c r="C67" s="1107" t="s">
        <v>1338</v>
      </c>
      <c r="D67" s="1109">
        <v>2875</v>
      </c>
      <c r="E67" s="1109">
        <v>4749.75</v>
      </c>
      <c r="F67" s="1107">
        <v>0</v>
      </c>
      <c r="G67" s="1109">
        <v>4993.25</v>
      </c>
      <c r="H67" s="1109">
        <v>2631.5</v>
      </c>
      <c r="I67" s="1109">
        <v>7624.75</v>
      </c>
      <c r="J67" s="1108" t="s">
        <v>2192</v>
      </c>
    </row>
    <row r="68" spans="1:10" ht="10" customHeight="1">
      <c r="A68" s="1107" t="s">
        <v>865</v>
      </c>
      <c r="B68" s="1107" t="s">
        <v>1802</v>
      </c>
      <c r="C68" s="1107" t="s">
        <v>2128</v>
      </c>
      <c r="D68" s="1109">
        <v>1029</v>
      </c>
      <c r="E68" s="1109">
        <v>4700.92</v>
      </c>
      <c r="F68" s="1107">
        <v>0</v>
      </c>
      <c r="G68" s="1109">
        <v>5729.92</v>
      </c>
      <c r="H68" s="1107">
        <v>0</v>
      </c>
      <c r="I68" s="1109">
        <v>5729.92</v>
      </c>
      <c r="J68" s="1108" t="s">
        <v>2193</v>
      </c>
    </row>
    <row r="69" spans="1:10" ht="10" customHeight="1">
      <c r="A69" s="1107" t="s">
        <v>861</v>
      </c>
      <c r="B69" s="1107" t="s">
        <v>1803</v>
      </c>
      <c r="C69" s="1107" t="s">
        <v>2128</v>
      </c>
      <c r="D69" s="1109">
        <v>2622</v>
      </c>
      <c r="E69" s="1109">
        <v>3941.87</v>
      </c>
      <c r="F69" s="1107">
        <v>0</v>
      </c>
      <c r="G69" s="1109">
        <v>6563.87</v>
      </c>
      <c r="H69" s="1107">
        <v>0</v>
      </c>
      <c r="I69" s="1109">
        <v>6563.87</v>
      </c>
      <c r="J69" s="1108" t="s">
        <v>2194</v>
      </c>
    </row>
    <row r="70" spans="1:10" ht="10" customHeight="1">
      <c r="A70" s="1107" t="s">
        <v>1806</v>
      </c>
      <c r="B70" s="1107" t="s">
        <v>1807</v>
      </c>
      <c r="C70" s="1107" t="s">
        <v>2176</v>
      </c>
      <c r="D70" s="1109">
        <v>5960</v>
      </c>
      <c r="E70" s="1109">
        <v>25401.23</v>
      </c>
      <c r="F70" s="1107">
        <v>0</v>
      </c>
      <c r="G70" s="1109">
        <v>29611.09</v>
      </c>
      <c r="H70" s="1109">
        <v>1750.14</v>
      </c>
      <c r="I70" s="1109">
        <v>31361.23</v>
      </c>
      <c r="J70" s="1108" t="s">
        <v>2195</v>
      </c>
    </row>
    <row r="71" spans="1:10" ht="10" customHeight="1">
      <c r="A71" s="1107" t="s">
        <v>862</v>
      </c>
      <c r="B71" s="1107" t="s">
        <v>1369</v>
      </c>
      <c r="C71" s="1107" t="s">
        <v>2128</v>
      </c>
      <c r="D71" s="1109">
        <v>2613</v>
      </c>
      <c r="E71" s="1109">
        <v>3496.29</v>
      </c>
      <c r="F71" s="1107">
        <v>0</v>
      </c>
      <c r="G71" s="1109">
        <v>6109.29</v>
      </c>
      <c r="H71" s="1107">
        <v>0</v>
      </c>
      <c r="I71" s="1109">
        <v>6109.29</v>
      </c>
      <c r="J71" s="1108" t="s">
        <v>2196</v>
      </c>
    </row>
    <row r="72" spans="1:10" ht="10" customHeight="1">
      <c r="A72" s="1107" t="s">
        <v>1808</v>
      </c>
      <c r="B72" s="1107" t="s">
        <v>1809</v>
      </c>
      <c r="C72" s="1107" t="s">
        <v>2128</v>
      </c>
      <c r="D72" s="1109">
        <v>1064</v>
      </c>
      <c r="E72" s="1109">
        <v>1455.38</v>
      </c>
      <c r="F72" s="1107">
        <v>0</v>
      </c>
      <c r="G72" s="1109">
        <v>1151.1600000000001</v>
      </c>
      <c r="H72" s="1109">
        <v>1368.22</v>
      </c>
      <c r="I72" s="1109">
        <v>2519.38</v>
      </c>
      <c r="J72" s="1108" t="s">
        <v>2197</v>
      </c>
    </row>
    <row r="73" spans="1:10" ht="10" customHeight="1">
      <c r="A73" s="1107" t="s">
        <v>1810</v>
      </c>
      <c r="B73" s="1107" t="s">
        <v>494</v>
      </c>
      <c r="C73" s="1107" t="s">
        <v>1635</v>
      </c>
      <c r="D73" s="1109">
        <v>2705</v>
      </c>
      <c r="E73" s="1109">
        <v>308</v>
      </c>
      <c r="F73" s="1107">
        <v>0</v>
      </c>
      <c r="G73" s="1109">
        <v>0</v>
      </c>
      <c r="H73" s="1109">
        <v>3013</v>
      </c>
      <c r="I73" s="1109">
        <v>3013</v>
      </c>
      <c r="J73" s="1108" t="s">
        <v>2198</v>
      </c>
    </row>
    <row r="74" spans="1:10" ht="10" customHeight="1">
      <c r="A74" s="1107" t="s">
        <v>875</v>
      </c>
      <c r="B74" s="1107" t="s">
        <v>1391</v>
      </c>
      <c r="C74" s="1107" t="s">
        <v>2128</v>
      </c>
      <c r="D74" s="1109">
        <v>1738</v>
      </c>
      <c r="E74" s="1107">
        <v>380.68</v>
      </c>
      <c r="F74" s="1107">
        <v>0</v>
      </c>
      <c r="G74" s="1109">
        <v>2118.6799999999998</v>
      </c>
      <c r="H74" s="1107">
        <v>0</v>
      </c>
      <c r="I74" s="1109">
        <v>2118.6799999999998</v>
      </c>
      <c r="J74" s="1108" t="s">
        <v>2199</v>
      </c>
    </row>
    <row r="75" spans="1:10" ht="10" customHeight="1">
      <c r="A75" s="1107" t="s">
        <v>867</v>
      </c>
      <c r="B75" s="1107" t="s">
        <v>1815</v>
      </c>
      <c r="C75" s="1107" t="s">
        <v>2128</v>
      </c>
      <c r="D75" s="1109">
        <v>478</v>
      </c>
      <c r="E75" s="1109">
        <v>4181.16</v>
      </c>
      <c r="F75" s="1107">
        <v>0</v>
      </c>
      <c r="G75" s="1109">
        <v>4659.16</v>
      </c>
      <c r="H75" s="1109">
        <v>0</v>
      </c>
      <c r="I75" s="1109">
        <v>4659.16</v>
      </c>
      <c r="J75" s="1108" t="s">
        <v>2200</v>
      </c>
    </row>
    <row r="76" spans="1:10" ht="10" customHeight="1">
      <c r="A76" s="1107" t="s">
        <v>1820</v>
      </c>
      <c r="B76" s="1107" t="s">
        <v>1821</v>
      </c>
      <c r="C76" s="1107" t="s">
        <v>1635</v>
      </c>
      <c r="D76" s="1109">
        <v>1689</v>
      </c>
      <c r="E76" s="1109">
        <v>391.35</v>
      </c>
      <c r="F76" s="1107">
        <v>0</v>
      </c>
      <c r="G76" s="1109">
        <v>1007.03</v>
      </c>
      <c r="H76" s="1109">
        <v>1073.32</v>
      </c>
      <c r="I76" s="1109">
        <v>2080.35</v>
      </c>
      <c r="J76" s="1108" t="s">
        <v>2201</v>
      </c>
    </row>
    <row r="77" spans="1:10" ht="10" customHeight="1">
      <c r="A77" s="1107" t="s">
        <v>1822</v>
      </c>
      <c r="B77" s="1107" t="s">
        <v>1823</v>
      </c>
      <c r="C77" s="1107" t="s">
        <v>2128</v>
      </c>
      <c r="D77" s="1109">
        <v>2852</v>
      </c>
      <c r="E77" s="1109">
        <v>8600.32</v>
      </c>
      <c r="F77" s="1107">
        <v>0</v>
      </c>
      <c r="G77" s="1109">
        <v>3689.66</v>
      </c>
      <c r="H77" s="1109">
        <v>7762.66</v>
      </c>
      <c r="I77" s="1109">
        <v>11452.32</v>
      </c>
      <c r="J77" s="1108" t="s">
        <v>2202</v>
      </c>
    </row>
    <row r="78" spans="1:10" ht="10" customHeight="1">
      <c r="A78" s="1107" t="s">
        <v>1825</v>
      </c>
      <c r="B78" s="1107" t="s">
        <v>1826</v>
      </c>
      <c r="C78" s="1107" t="s">
        <v>2128</v>
      </c>
      <c r="D78" s="1109">
        <v>3208</v>
      </c>
      <c r="E78" s="1109">
        <v>2848.26</v>
      </c>
      <c r="F78" s="1107">
        <v>0</v>
      </c>
      <c r="G78" s="1109">
        <v>3655.74</v>
      </c>
      <c r="H78" s="1109">
        <v>2400.52</v>
      </c>
      <c r="I78" s="1109">
        <v>6056.26</v>
      </c>
      <c r="J78" s="1108"/>
    </row>
    <row r="79" spans="1:10" ht="10" customHeight="1">
      <c r="A79" s="1107" t="s">
        <v>1341</v>
      </c>
      <c r="B79" s="1107" t="s">
        <v>1342</v>
      </c>
      <c r="C79" s="1107" t="s">
        <v>2146</v>
      </c>
      <c r="D79" s="1109">
        <v>3900</v>
      </c>
      <c r="E79" s="1109">
        <v>8483.93</v>
      </c>
      <c r="F79" s="1107">
        <v>0</v>
      </c>
      <c r="G79" s="1109">
        <v>11210.67</v>
      </c>
      <c r="H79" s="1109">
        <v>1173.26</v>
      </c>
      <c r="I79" s="1109">
        <v>12383.93</v>
      </c>
      <c r="J79" s="1108" t="s">
        <v>2203</v>
      </c>
    </row>
    <row r="80" spans="1:10" ht="10" customHeight="1">
      <c r="A80" s="1107" t="s">
        <v>1827</v>
      </c>
      <c r="B80" s="1107" t="s">
        <v>1828</v>
      </c>
      <c r="C80" s="1107" t="s">
        <v>1635</v>
      </c>
      <c r="D80" s="1109">
        <v>3392</v>
      </c>
      <c r="E80" s="1109">
        <v>2054.44</v>
      </c>
      <c r="F80" s="1107">
        <v>0</v>
      </c>
      <c r="G80" s="1109">
        <v>4407.18</v>
      </c>
      <c r="H80" s="1109">
        <v>1039.26</v>
      </c>
      <c r="I80" s="1109">
        <v>5446.44</v>
      </c>
      <c r="J80" s="1108" t="s">
        <v>2204</v>
      </c>
    </row>
    <row r="81" spans="1:10" ht="10" customHeight="1">
      <c r="A81" s="1107" t="s">
        <v>1360</v>
      </c>
      <c r="B81" s="1107" t="s">
        <v>1361</v>
      </c>
      <c r="C81" s="1107" t="s">
        <v>2128</v>
      </c>
      <c r="D81" s="1109">
        <v>1017</v>
      </c>
      <c r="E81" s="1109">
        <v>4319.82</v>
      </c>
      <c r="F81" s="1107">
        <v>0</v>
      </c>
      <c r="G81" s="1109">
        <v>5336.82</v>
      </c>
      <c r="H81" s="1107">
        <v>0</v>
      </c>
      <c r="I81" s="1109">
        <v>5336.82</v>
      </c>
      <c r="J81" s="1108" t="s">
        <v>2205</v>
      </c>
    </row>
    <row r="82" spans="1:10" ht="10" customHeight="1">
      <c r="A82" s="1107" t="s">
        <v>1336</v>
      </c>
      <c r="B82" s="1107" t="s">
        <v>1337</v>
      </c>
      <c r="C82" s="1107" t="s">
        <v>1338</v>
      </c>
      <c r="D82" s="1109">
        <v>635</v>
      </c>
      <c r="E82" s="1109">
        <v>8261.5499999999993</v>
      </c>
      <c r="F82" s="1107">
        <v>0</v>
      </c>
      <c r="G82" s="1109">
        <v>8896.5499999999993</v>
      </c>
      <c r="H82" s="1109">
        <v>0</v>
      </c>
      <c r="I82" s="1109">
        <v>8896.5499999999993</v>
      </c>
      <c r="J82" s="1108" t="s">
        <v>2206</v>
      </c>
    </row>
    <row r="83" spans="1:10" ht="10" customHeight="1">
      <c r="A83" s="1107" t="s">
        <v>1829</v>
      </c>
      <c r="B83" s="1107" t="s">
        <v>1830</v>
      </c>
      <c r="C83" s="1107" t="s">
        <v>2130</v>
      </c>
      <c r="D83" s="1109">
        <v>1608.06</v>
      </c>
      <c r="E83" s="1107">
        <v>476.5</v>
      </c>
      <c r="F83" s="1107">
        <v>0</v>
      </c>
      <c r="G83" s="1109">
        <v>554.19000000000005</v>
      </c>
      <c r="H83" s="1109">
        <v>1530.37</v>
      </c>
      <c r="I83" s="1109">
        <v>2084.56</v>
      </c>
      <c r="J83" s="1108" t="s">
        <v>2207</v>
      </c>
    </row>
    <row r="84" spans="1:10" ht="10" customHeight="1">
      <c r="A84" s="1107" t="s">
        <v>1831</v>
      </c>
      <c r="B84" s="1107" t="s">
        <v>1832</v>
      </c>
      <c r="C84" s="1107" t="s">
        <v>2128</v>
      </c>
      <c r="D84" s="1107">
        <v>0</v>
      </c>
      <c r="E84" s="1109">
        <v>2789.06</v>
      </c>
      <c r="F84" s="1107">
        <v>0</v>
      </c>
      <c r="G84" s="1109">
        <v>2789.06</v>
      </c>
      <c r="H84" s="1107">
        <v>0</v>
      </c>
      <c r="I84" s="1109">
        <v>2789.06</v>
      </c>
      <c r="J84" s="1108" t="s">
        <v>2208</v>
      </c>
    </row>
    <row r="85" spans="1:10" ht="10" customHeight="1">
      <c r="A85" s="1107" t="s">
        <v>1833</v>
      </c>
      <c r="B85" s="1107" t="s">
        <v>1834</v>
      </c>
      <c r="C85" s="1107" t="s">
        <v>2128</v>
      </c>
      <c r="D85" s="1107">
        <v>0</v>
      </c>
      <c r="E85" s="1109">
        <v>3057.7</v>
      </c>
      <c r="F85" s="1107">
        <v>0</v>
      </c>
      <c r="G85" s="1107">
        <v>0</v>
      </c>
      <c r="H85" s="1109">
        <v>3057.7</v>
      </c>
      <c r="I85" s="1109">
        <v>3057.7</v>
      </c>
      <c r="J85" s="1108" t="s">
        <v>2209</v>
      </c>
    </row>
    <row r="86" spans="1:10" ht="10" customHeight="1">
      <c r="A86" s="1107" t="s">
        <v>1836</v>
      </c>
      <c r="B86" s="1107" t="s">
        <v>1837</v>
      </c>
      <c r="C86" s="1107" t="s">
        <v>2130</v>
      </c>
      <c r="D86" s="1109">
        <v>4481</v>
      </c>
      <c r="E86" s="1107">
        <v>910.76</v>
      </c>
      <c r="F86" s="1107">
        <v>0</v>
      </c>
      <c r="G86" s="1109">
        <v>4052.39</v>
      </c>
      <c r="H86" s="1109">
        <v>1339.37</v>
      </c>
      <c r="I86" s="1109">
        <v>5391.76</v>
      </c>
      <c r="J86" s="1108" t="s">
        <v>2210</v>
      </c>
    </row>
    <row r="87" spans="1:10" ht="10" customHeight="1">
      <c r="A87" s="1107" t="s">
        <v>866</v>
      </c>
      <c r="B87" s="1107" t="s">
        <v>1371</v>
      </c>
      <c r="C87" s="1107" t="s">
        <v>2128</v>
      </c>
      <c r="D87" s="1109">
        <v>2064</v>
      </c>
      <c r="E87" s="1109">
        <v>2646.26</v>
      </c>
      <c r="F87" s="1107">
        <v>0</v>
      </c>
      <c r="G87" s="1109">
        <v>4710.26</v>
      </c>
      <c r="H87" s="1107">
        <v>0</v>
      </c>
      <c r="I87" s="1109">
        <v>4710.26</v>
      </c>
      <c r="J87" s="1108" t="s">
        <v>2211</v>
      </c>
    </row>
    <row r="88" spans="1:10" ht="10" customHeight="1">
      <c r="A88" s="1107" t="s">
        <v>855</v>
      </c>
      <c r="B88" s="1107" t="s">
        <v>1840</v>
      </c>
      <c r="C88" s="1107" t="s">
        <v>2128</v>
      </c>
      <c r="D88" s="1109">
        <v>2621</v>
      </c>
      <c r="E88" s="1109">
        <v>8644.8799999999992</v>
      </c>
      <c r="F88" s="1107">
        <v>0</v>
      </c>
      <c r="G88" s="1109">
        <v>11265.88</v>
      </c>
      <c r="H88" s="1107">
        <v>0</v>
      </c>
      <c r="I88" s="1109">
        <v>11265.88</v>
      </c>
      <c r="J88" s="1108" t="s">
        <v>2212</v>
      </c>
    </row>
    <row r="89" spans="1:10" ht="10" customHeight="1">
      <c r="A89" s="1107" t="s">
        <v>1165</v>
      </c>
      <c r="B89" s="1107" t="s">
        <v>1324</v>
      </c>
      <c r="C89" s="1107" t="s">
        <v>2124</v>
      </c>
      <c r="D89" s="1109">
        <v>1053</v>
      </c>
      <c r="E89" s="1109">
        <v>15132.1</v>
      </c>
      <c r="F89" s="1107">
        <v>0</v>
      </c>
      <c r="G89" s="1109">
        <v>16185.1</v>
      </c>
      <c r="H89" s="1109">
        <v>0</v>
      </c>
      <c r="I89" s="1109">
        <v>16185.1</v>
      </c>
      <c r="J89" s="1108" t="s">
        <v>2213</v>
      </c>
    </row>
    <row r="90" spans="1:10" ht="10" customHeight="1">
      <c r="A90" s="1107" t="s">
        <v>876</v>
      </c>
      <c r="B90" s="1107" t="s">
        <v>1843</v>
      </c>
      <c r="C90" s="1107" t="s">
        <v>1338</v>
      </c>
      <c r="D90" s="1107">
        <v>0</v>
      </c>
      <c r="E90" s="1109">
        <v>2005.11</v>
      </c>
      <c r="F90" s="1107">
        <v>0</v>
      </c>
      <c r="G90" s="1109">
        <v>2005.11</v>
      </c>
      <c r="H90" s="1107">
        <v>0</v>
      </c>
      <c r="I90" s="1109">
        <v>2005.11</v>
      </c>
      <c r="J90" s="1108" t="s">
        <v>2214</v>
      </c>
    </row>
    <row r="91" spans="1:10" ht="10" customHeight="1">
      <c r="A91" s="1107" t="s">
        <v>1846</v>
      </c>
      <c r="B91" s="1107" t="s">
        <v>1847</v>
      </c>
      <c r="C91" s="1107" t="s">
        <v>2146</v>
      </c>
      <c r="D91" s="1109">
        <v>5624</v>
      </c>
      <c r="E91" s="1109">
        <v>9833.2900000000009</v>
      </c>
      <c r="F91" s="1107">
        <v>0</v>
      </c>
      <c r="G91" s="1109">
        <v>13796.02</v>
      </c>
      <c r="H91" s="1109">
        <v>1661.27</v>
      </c>
      <c r="I91" s="1109">
        <v>15457.29</v>
      </c>
      <c r="J91" s="1108" t="s">
        <v>2215</v>
      </c>
    </row>
    <row r="92" spans="1:10" ht="10" customHeight="1">
      <c r="A92" s="1107" t="s">
        <v>1169</v>
      </c>
      <c r="B92" s="1107" t="s">
        <v>1355</v>
      </c>
      <c r="C92" s="1107" t="s">
        <v>2128</v>
      </c>
      <c r="D92" s="1109">
        <v>2048</v>
      </c>
      <c r="E92" s="1109">
        <v>6132.27</v>
      </c>
      <c r="F92" s="1107">
        <v>0</v>
      </c>
      <c r="G92" s="1109">
        <v>8180.27</v>
      </c>
      <c r="H92" s="1107">
        <v>0</v>
      </c>
      <c r="I92" s="1109">
        <v>8180.27</v>
      </c>
      <c r="J92" s="1108" t="s">
        <v>2216</v>
      </c>
    </row>
    <row r="93" spans="1:10" ht="10" customHeight="1">
      <c r="A93" s="1107" t="s">
        <v>1378</v>
      </c>
      <c r="B93" s="1107" t="s">
        <v>1379</v>
      </c>
      <c r="C93" s="1107" t="s">
        <v>1338</v>
      </c>
      <c r="D93" s="1109">
        <v>1645</v>
      </c>
      <c r="E93" s="1107">
        <v>338.7</v>
      </c>
      <c r="F93" s="1107">
        <v>0</v>
      </c>
      <c r="G93" s="1109">
        <v>1983.7</v>
      </c>
      <c r="H93" s="1107">
        <v>0</v>
      </c>
      <c r="I93" s="1109">
        <v>1983.7</v>
      </c>
      <c r="J93" s="1108" t="s">
        <v>2217</v>
      </c>
    </row>
    <row r="94" spans="1:10" ht="10" customHeight="1">
      <c r="A94" s="1107" t="s">
        <v>854</v>
      </c>
      <c r="B94" s="1107" t="s">
        <v>1331</v>
      </c>
      <c r="C94" s="1107" t="s">
        <v>2124</v>
      </c>
      <c r="D94" s="1109">
        <v>2077</v>
      </c>
      <c r="E94" s="1109">
        <v>11436.04</v>
      </c>
      <c r="F94" s="1107">
        <v>0</v>
      </c>
      <c r="G94" s="1109">
        <v>13513.04</v>
      </c>
      <c r="H94" s="1107">
        <v>0</v>
      </c>
      <c r="I94" s="1109">
        <v>13513.04</v>
      </c>
      <c r="J94" s="1108" t="s">
        <v>2218</v>
      </c>
    </row>
    <row r="95" spans="1:10" ht="10" customHeight="1">
      <c r="A95" s="1107" t="s">
        <v>1852</v>
      </c>
      <c r="B95" s="1107" t="s">
        <v>1853</v>
      </c>
      <c r="C95" s="1107" t="s">
        <v>2146</v>
      </c>
      <c r="D95" s="1109">
        <v>5880</v>
      </c>
      <c r="E95" s="1109">
        <v>7748.68</v>
      </c>
      <c r="F95" s="1107">
        <v>0</v>
      </c>
      <c r="G95" s="1109">
        <v>11900.85</v>
      </c>
      <c r="H95" s="1109">
        <v>1727.83</v>
      </c>
      <c r="I95" s="1109">
        <v>13628.68</v>
      </c>
      <c r="J95" s="1108" t="s">
        <v>2219</v>
      </c>
    </row>
    <row r="96" spans="1:10" ht="10" customHeight="1">
      <c r="A96" s="1107" t="s">
        <v>1332</v>
      </c>
      <c r="B96" s="1107" t="s">
        <v>1333</v>
      </c>
      <c r="C96" s="1107" t="s">
        <v>2128</v>
      </c>
      <c r="D96" s="1109">
        <v>2299</v>
      </c>
      <c r="E96" s="1109">
        <v>10492.62</v>
      </c>
      <c r="F96" s="1107">
        <v>0</v>
      </c>
      <c r="G96" s="1109">
        <v>12791.62</v>
      </c>
      <c r="H96" s="1107">
        <v>0</v>
      </c>
      <c r="I96" s="1109">
        <v>12791.62</v>
      </c>
      <c r="J96" s="1108" t="s">
        <v>2220</v>
      </c>
    </row>
    <row r="97" spans="1:10" ht="10" customHeight="1">
      <c r="A97" s="1107" t="s">
        <v>1855</v>
      </c>
      <c r="B97" s="1107" t="s">
        <v>477</v>
      </c>
      <c r="C97" s="1107" t="s">
        <v>2146</v>
      </c>
      <c r="D97" s="1109">
        <v>5464</v>
      </c>
      <c r="E97" s="1109">
        <v>9567.7199999999993</v>
      </c>
      <c r="F97" s="1107">
        <v>0</v>
      </c>
      <c r="G97" s="1109">
        <v>13417.89</v>
      </c>
      <c r="H97" s="1109">
        <v>1613.83</v>
      </c>
      <c r="I97" s="1109">
        <v>15031.72</v>
      </c>
      <c r="J97" s="1108" t="s">
        <v>2221</v>
      </c>
    </row>
    <row r="98" spans="1:10" ht="10" customHeight="1">
      <c r="A98" s="1107" t="s">
        <v>1860</v>
      </c>
      <c r="B98" s="1107" t="s">
        <v>1861</v>
      </c>
      <c r="C98" s="1107" t="s">
        <v>1635</v>
      </c>
      <c r="D98" s="1109">
        <v>1637.91</v>
      </c>
      <c r="E98" s="1107">
        <v>399.54</v>
      </c>
      <c r="F98" s="1107">
        <v>0</v>
      </c>
      <c r="G98" s="1109">
        <v>920.36</v>
      </c>
      <c r="H98" s="1109">
        <v>1117.0899999999999</v>
      </c>
      <c r="I98" s="1109">
        <v>2037.45</v>
      </c>
      <c r="J98" s="1108" t="s">
        <v>2222</v>
      </c>
    </row>
    <row r="99" spans="1:10" ht="10" customHeight="1">
      <c r="A99" s="1107" t="s">
        <v>873</v>
      </c>
      <c r="B99" s="1107" t="s">
        <v>491</v>
      </c>
      <c r="C99" s="1107" t="s">
        <v>1338</v>
      </c>
      <c r="D99" s="1107">
        <v>884</v>
      </c>
      <c r="E99" s="1109">
        <v>1423.35</v>
      </c>
      <c r="F99" s="1107">
        <v>0</v>
      </c>
      <c r="G99" s="1109">
        <v>2307.35</v>
      </c>
      <c r="H99" s="1107">
        <v>0</v>
      </c>
      <c r="I99" s="1109">
        <v>2307.35</v>
      </c>
      <c r="J99" s="1108" t="s">
        <v>2223</v>
      </c>
    </row>
    <row r="100" spans="1:10" ht="10" customHeight="1">
      <c r="A100" s="1107" t="s">
        <v>1864</v>
      </c>
      <c r="B100" s="1107" t="s">
        <v>1865</v>
      </c>
      <c r="C100" s="1107" t="s">
        <v>1635</v>
      </c>
      <c r="D100" s="1109">
        <v>3322.66</v>
      </c>
      <c r="E100" s="1107">
        <v>755.15</v>
      </c>
      <c r="F100" s="1107">
        <v>0</v>
      </c>
      <c r="G100" s="1109">
        <v>2570.98</v>
      </c>
      <c r="H100" s="1109">
        <v>1506.83</v>
      </c>
      <c r="I100" s="1109">
        <v>4077.81</v>
      </c>
      <c r="J100" s="1108" t="s">
        <v>2224</v>
      </c>
    </row>
    <row r="101" spans="1:10" ht="10" customHeight="1">
      <c r="A101" s="1107" t="s">
        <v>1866</v>
      </c>
      <c r="B101" s="1107" t="s">
        <v>1867</v>
      </c>
      <c r="C101" s="1107" t="s">
        <v>1635</v>
      </c>
      <c r="D101" s="1109">
        <v>2270</v>
      </c>
      <c r="E101" s="1107">
        <v>452.51</v>
      </c>
      <c r="F101" s="1107">
        <v>0</v>
      </c>
      <c r="G101" s="1109">
        <v>1367.59</v>
      </c>
      <c r="H101" s="1109">
        <v>1354.92</v>
      </c>
      <c r="I101" s="1109">
        <v>2722.51</v>
      </c>
      <c r="J101" s="1108" t="s">
        <v>2225</v>
      </c>
    </row>
    <row r="102" spans="1:10" ht="10" customHeight="1">
      <c r="A102" s="1107" t="s">
        <v>1347</v>
      </c>
      <c r="B102" s="1107" t="s">
        <v>1348</v>
      </c>
      <c r="C102" s="1107" t="s">
        <v>1338</v>
      </c>
      <c r="D102" s="1107">
        <v>19</v>
      </c>
      <c r="E102" s="1109">
        <v>6348.71</v>
      </c>
      <c r="F102" s="1107">
        <v>0</v>
      </c>
      <c r="G102" s="1109">
        <v>6367.71</v>
      </c>
      <c r="H102" s="1107">
        <v>0</v>
      </c>
      <c r="I102" s="1109">
        <v>6367.71</v>
      </c>
      <c r="J102" s="1108" t="s">
        <v>2226</v>
      </c>
    </row>
    <row r="103" spans="1:10" ht="10" customHeight="1">
      <c r="A103" s="1107" t="s">
        <v>1868</v>
      </c>
      <c r="B103" s="1107" t="s">
        <v>1869</v>
      </c>
      <c r="C103" s="1107" t="s">
        <v>2130</v>
      </c>
      <c r="D103" s="1109">
        <v>4800</v>
      </c>
      <c r="E103" s="1109">
        <v>2579.7399999999998</v>
      </c>
      <c r="F103" s="1107">
        <v>0</v>
      </c>
      <c r="G103" s="1109">
        <v>5929.74</v>
      </c>
      <c r="H103" s="1109">
        <v>1450</v>
      </c>
      <c r="I103" s="1109">
        <v>7379.74</v>
      </c>
      <c r="J103" s="1108" t="s">
        <v>2227</v>
      </c>
    </row>
    <row r="104" spans="1:10" ht="10" customHeight="1">
      <c r="A104" s="1107" t="s">
        <v>1870</v>
      </c>
      <c r="B104" s="1107" t="s">
        <v>1871</v>
      </c>
      <c r="C104" s="1107" t="s">
        <v>2128</v>
      </c>
      <c r="D104" s="1109">
        <v>2190</v>
      </c>
      <c r="E104" s="1107">
        <v>737.83</v>
      </c>
      <c r="F104" s="1107">
        <v>0</v>
      </c>
      <c r="G104" s="1109">
        <v>2927.83</v>
      </c>
      <c r="H104" s="1107">
        <v>0</v>
      </c>
      <c r="I104" s="1109">
        <v>2927.83</v>
      </c>
      <c r="J104" s="1108" t="s">
        <v>2228</v>
      </c>
    </row>
    <row r="105" spans="1:10" ht="10" customHeight="1">
      <c r="A105" s="1107" t="s">
        <v>1356</v>
      </c>
      <c r="B105" s="1107" t="s">
        <v>1357</v>
      </c>
      <c r="C105" s="1107" t="s">
        <v>2128</v>
      </c>
      <c r="D105" s="1107">
        <v>883</v>
      </c>
      <c r="E105" s="1109">
        <v>5208.76</v>
      </c>
      <c r="F105" s="1107">
        <v>0</v>
      </c>
      <c r="G105" s="1109">
        <v>6091.76</v>
      </c>
      <c r="H105" s="1107">
        <v>0</v>
      </c>
      <c r="I105" s="1109">
        <v>6091.76</v>
      </c>
      <c r="J105" s="1108" t="s">
        <v>2229</v>
      </c>
    </row>
    <row r="106" spans="1:10" ht="10" customHeight="1">
      <c r="A106" s="1107" t="s">
        <v>1875</v>
      </c>
      <c r="B106" s="1107" t="s">
        <v>1876</v>
      </c>
      <c r="C106" s="1107" t="s">
        <v>2176</v>
      </c>
      <c r="D106" s="1109">
        <v>4543</v>
      </c>
      <c r="E106" s="1109">
        <v>12253.77</v>
      </c>
      <c r="F106" s="1107">
        <v>0</v>
      </c>
      <c r="G106" s="1109">
        <v>15506.4</v>
      </c>
      <c r="H106" s="1109">
        <v>1290.3699999999999</v>
      </c>
      <c r="I106" s="1109">
        <v>16796.77</v>
      </c>
      <c r="J106" s="1108" t="s">
        <v>2230</v>
      </c>
    </row>
    <row r="107" spans="1:10" ht="10" customHeight="1">
      <c r="A107" s="1107" t="s">
        <v>1339</v>
      </c>
      <c r="B107" s="1107" t="s">
        <v>1340</v>
      </c>
      <c r="C107" s="1107" t="s">
        <v>2124</v>
      </c>
      <c r="D107" s="1107">
        <v>815</v>
      </c>
      <c r="E107" s="1109">
        <v>7783.17</v>
      </c>
      <c r="F107" s="1107">
        <v>0</v>
      </c>
      <c r="G107" s="1109">
        <v>8598.17</v>
      </c>
      <c r="H107" s="1107">
        <v>0</v>
      </c>
      <c r="I107" s="1109">
        <v>8598.17</v>
      </c>
      <c r="J107" s="1108" t="s">
        <v>2231</v>
      </c>
    </row>
    <row r="108" spans="1:10" ht="10" customHeight="1">
      <c r="A108" s="1107" t="s">
        <v>1173</v>
      </c>
      <c r="B108" s="1107" t="s">
        <v>485</v>
      </c>
      <c r="C108" s="1107" t="s">
        <v>2122</v>
      </c>
      <c r="D108" s="1109">
        <v>2835.02</v>
      </c>
      <c r="E108" s="1109">
        <v>582.44000000000005</v>
      </c>
      <c r="F108" s="1107">
        <v>0</v>
      </c>
      <c r="G108" s="1109">
        <v>1483.75</v>
      </c>
      <c r="H108" s="1109">
        <v>1933.71</v>
      </c>
      <c r="I108" s="1109">
        <v>3417.46</v>
      </c>
      <c r="J108" s="1108" t="s">
        <v>2232</v>
      </c>
    </row>
    <row r="109" spans="1:10" ht="10" customHeight="1">
      <c r="A109" s="1107" t="s">
        <v>1880</v>
      </c>
      <c r="B109" s="1107" t="s">
        <v>1881</v>
      </c>
      <c r="C109" s="1107" t="s">
        <v>2122</v>
      </c>
      <c r="D109" s="1109">
        <v>5624</v>
      </c>
      <c r="E109" s="1109">
        <v>9828.24</v>
      </c>
      <c r="F109" s="1107">
        <v>0</v>
      </c>
      <c r="G109" s="1109">
        <v>13784.97</v>
      </c>
      <c r="H109" s="1109">
        <v>1667.27</v>
      </c>
      <c r="I109" s="1109">
        <v>15452.24</v>
      </c>
      <c r="J109" s="1108" t="s">
        <v>2233</v>
      </c>
    </row>
    <row r="110" spans="1:10" ht="10" customHeight="1">
      <c r="A110" s="1107"/>
      <c r="B110" s="1107"/>
      <c r="C110" s="1107"/>
      <c r="D110" s="1107"/>
      <c r="E110" s="1107"/>
      <c r="F110" s="1107"/>
      <c r="G110" s="1107"/>
      <c r="H110" s="1107"/>
      <c r="I110" s="1107"/>
      <c r="J110" s="1108"/>
    </row>
    <row r="111" spans="1:10" ht="10" customHeight="1">
      <c r="A111" s="1107"/>
      <c r="B111" s="1107"/>
      <c r="C111" s="1107"/>
      <c r="D111" s="1107"/>
      <c r="E111" s="1109"/>
      <c r="F111" s="1107"/>
      <c r="G111" s="1107"/>
      <c r="H111" s="1109"/>
      <c r="I111" s="1109"/>
      <c r="J111" s="1108"/>
    </row>
    <row r="112" spans="1:10" ht="10" customHeight="1">
      <c r="A112" s="1107"/>
      <c r="B112" s="1107"/>
      <c r="C112" s="1107"/>
      <c r="D112" s="1109"/>
      <c r="E112" s="1109"/>
      <c r="F112" s="1107"/>
      <c r="G112" s="1109"/>
      <c r="H112" s="1107"/>
      <c r="I112" s="1109"/>
      <c r="J112" s="1108"/>
    </row>
    <row r="113" spans="1:10" ht="10" customHeight="1">
      <c r="A113" s="1107"/>
      <c r="B113" s="1107"/>
      <c r="C113" s="1107"/>
      <c r="D113" s="1109"/>
      <c r="E113" s="1109"/>
      <c r="F113" s="1107"/>
      <c r="G113" s="1109"/>
      <c r="H113" s="1109"/>
      <c r="I113" s="1109"/>
      <c r="J113" s="1108"/>
    </row>
    <row r="114" spans="1:10" ht="10" customHeight="1">
      <c r="A114" s="1107"/>
      <c r="B114" s="1107"/>
      <c r="C114" s="1107"/>
      <c r="D114" s="1107"/>
      <c r="E114" s="1109"/>
      <c r="F114" s="1107"/>
      <c r="G114" s="1109"/>
      <c r="H114" s="1107"/>
      <c r="I114" s="1109"/>
      <c r="J114" s="1108"/>
    </row>
    <row r="115" spans="1:10" ht="10" customHeight="1">
      <c r="A115" s="1107"/>
      <c r="B115" s="1107"/>
      <c r="C115" s="1107"/>
      <c r="D115" s="1109"/>
      <c r="E115" s="1109"/>
      <c r="F115" s="1107"/>
      <c r="G115" s="1109"/>
      <c r="H115" s="1109"/>
      <c r="I115" s="1109"/>
      <c r="J115" s="1108"/>
    </row>
    <row r="116" spans="1:10" ht="10" customHeight="1">
      <c r="A116" s="1107"/>
      <c r="B116" s="1107"/>
      <c r="C116" s="1107"/>
      <c r="D116" s="1107"/>
      <c r="E116" s="1109"/>
      <c r="F116" s="1107"/>
      <c r="G116" s="1109"/>
      <c r="H116" s="1107"/>
      <c r="I116" s="1109"/>
      <c r="J116" s="1108"/>
    </row>
    <row r="117" spans="1:10" ht="10" customHeight="1">
      <c r="A117" s="1107"/>
      <c r="B117" s="1107"/>
      <c r="C117" s="1107"/>
      <c r="D117" s="1107"/>
      <c r="E117" s="1109"/>
      <c r="F117" s="1107"/>
      <c r="G117" s="1109"/>
      <c r="H117" s="1107"/>
      <c r="I117" s="1109"/>
      <c r="J117" s="1108"/>
    </row>
    <row r="118" spans="1:10" ht="10" customHeight="1">
      <c r="A118" s="1107"/>
      <c r="B118" s="1107"/>
      <c r="C118" s="1107"/>
      <c r="D118" s="1107"/>
      <c r="E118" s="1107"/>
      <c r="F118" s="1107"/>
      <c r="G118" s="1107"/>
      <c r="H118" s="1107"/>
      <c r="I118" s="1107"/>
      <c r="J118" s="1108"/>
    </row>
    <row r="119" spans="1:10" ht="10" customHeight="1">
      <c r="A119" s="1107"/>
      <c r="B119" s="1107"/>
      <c r="C119" s="1107"/>
      <c r="D119" s="1107"/>
      <c r="E119" s="1107"/>
      <c r="F119" s="1107"/>
      <c r="G119" s="1107"/>
      <c r="H119" s="1107"/>
      <c r="I119" s="1107"/>
      <c r="J119" s="1108"/>
    </row>
    <row r="120" spans="1:10" ht="10" customHeight="1">
      <c r="A120" s="1107"/>
      <c r="B120" s="1107"/>
      <c r="C120" s="1107"/>
      <c r="D120" s="1107"/>
      <c r="E120" s="1107"/>
      <c r="F120" s="1107"/>
      <c r="G120" s="1107"/>
      <c r="H120" s="1107"/>
      <c r="I120" s="1107"/>
      <c r="J120" s="1107"/>
    </row>
    <row r="121" spans="1:10" ht="10" customHeight="1">
      <c r="A121" s="1107"/>
      <c r="B121" s="1107"/>
      <c r="C121" s="1107"/>
      <c r="D121" s="1107"/>
      <c r="E121" s="1107"/>
      <c r="F121" s="1107"/>
      <c r="G121" s="1107"/>
      <c r="H121" s="1107"/>
      <c r="I121" s="1107"/>
      <c r="J121" s="1108"/>
    </row>
    <row r="122" spans="1:10" ht="10" customHeight="1">
      <c r="A122" s="1107"/>
      <c r="B122" s="1107"/>
      <c r="C122" s="1107"/>
      <c r="D122" s="1107"/>
      <c r="E122" s="1107"/>
      <c r="F122" s="1107"/>
      <c r="G122" s="1107"/>
      <c r="H122" s="1109"/>
      <c r="I122" s="1109"/>
      <c r="J122" s="1108"/>
    </row>
    <row r="123" spans="1:10" ht="10" customHeight="1">
      <c r="A123" s="1107"/>
      <c r="B123" s="1107"/>
      <c r="C123" s="1107"/>
      <c r="D123" s="1109"/>
      <c r="E123" s="1107"/>
      <c r="F123" s="1107"/>
      <c r="G123" s="1107"/>
      <c r="H123" s="1109"/>
      <c r="I123" s="1109"/>
      <c r="J123" s="1108"/>
    </row>
    <row r="124" spans="1:10" ht="10" customHeight="1">
      <c r="A124" s="1107"/>
      <c r="B124" s="1107"/>
      <c r="C124" s="1107"/>
      <c r="D124" s="1107"/>
      <c r="E124" s="1107"/>
      <c r="F124" s="1107"/>
      <c r="G124" s="1107"/>
      <c r="H124" s="1107"/>
      <c r="I124" s="1107"/>
      <c r="J124" s="1108"/>
    </row>
    <row r="125" spans="1:10" ht="10" customHeight="1">
      <c r="A125" s="1107"/>
      <c r="B125" s="1107"/>
      <c r="C125" s="1107"/>
      <c r="D125" s="1107"/>
      <c r="E125" s="1107"/>
      <c r="F125" s="1107"/>
      <c r="G125" s="1107"/>
      <c r="H125" s="1107"/>
      <c r="I125" s="1107"/>
      <c r="J125" s="1108"/>
    </row>
    <row r="126" spans="1:10" ht="10" customHeight="1">
      <c r="A126" s="1107"/>
      <c r="B126" s="1107"/>
      <c r="C126" s="1107"/>
      <c r="D126" s="1109"/>
      <c r="E126" s="1109"/>
      <c r="F126" s="1107"/>
      <c r="G126" s="1109"/>
      <c r="H126" s="1109"/>
      <c r="I126" s="1109"/>
      <c r="J126" s="1108"/>
    </row>
    <row r="127" spans="1:10" ht="10" customHeight="1">
      <c r="A127" s="1107"/>
      <c r="B127" s="1107"/>
      <c r="C127" s="1107"/>
      <c r="D127" s="1107"/>
      <c r="E127" s="1109"/>
      <c r="F127" s="1107"/>
      <c r="G127" s="1107"/>
      <c r="H127" s="1109"/>
      <c r="I127" s="1109"/>
      <c r="J127" s="1107"/>
    </row>
    <row r="128" spans="1:10" ht="10" customHeight="1">
      <c r="A128" s="1107"/>
      <c r="B128" s="1107"/>
      <c r="C128" s="1107"/>
      <c r="D128" s="1109"/>
      <c r="E128" s="1109"/>
      <c r="F128" s="1107"/>
      <c r="G128" s="1109"/>
      <c r="H128" s="1107"/>
      <c r="I128" s="1109"/>
      <c r="J128" s="1108"/>
    </row>
    <row r="129" spans="1:10" ht="10" customHeight="1">
      <c r="A129" s="1107"/>
      <c r="B129" s="1107"/>
      <c r="C129" s="1107"/>
      <c r="D129" s="1109"/>
      <c r="E129" s="1109"/>
      <c r="F129" s="1107"/>
      <c r="G129" s="1109"/>
      <c r="H129" s="1109"/>
      <c r="I129" s="1109"/>
      <c r="J129" s="1107"/>
    </row>
    <row r="130" spans="1:10" ht="10" customHeight="1">
      <c r="A130" s="1107"/>
      <c r="B130" s="1107"/>
      <c r="C130" s="1107"/>
      <c r="D130" s="1107"/>
      <c r="E130" s="1107"/>
      <c r="F130" s="1107"/>
      <c r="G130" s="1107"/>
      <c r="H130" s="1107"/>
      <c r="I130" s="1107"/>
      <c r="J130" s="1108"/>
    </row>
    <row r="131" spans="1:10" ht="10" customHeight="1">
      <c r="A131" s="1107"/>
      <c r="B131" s="1107"/>
      <c r="C131" s="1107"/>
      <c r="D131" s="1107"/>
      <c r="E131" s="1107"/>
      <c r="F131" s="1107"/>
      <c r="G131" s="1107"/>
      <c r="H131" s="1107"/>
      <c r="I131" s="1107"/>
      <c r="J131" s="1108"/>
    </row>
    <row r="132" spans="1:10" ht="10" customHeight="1">
      <c r="A132" s="1107"/>
      <c r="B132" s="1107"/>
      <c r="C132" s="1107"/>
      <c r="D132" s="1109"/>
      <c r="E132" s="1107"/>
      <c r="F132" s="1107"/>
      <c r="G132" s="1109"/>
      <c r="H132" s="1109"/>
      <c r="I132" s="1109"/>
      <c r="J132" s="1108"/>
    </row>
    <row r="133" spans="1:10" ht="10" customHeight="1">
      <c r="A133" s="1107"/>
      <c r="B133" s="1107"/>
      <c r="C133" s="1107"/>
      <c r="D133" s="1109"/>
      <c r="E133" s="1109"/>
      <c r="F133" s="1107"/>
      <c r="G133" s="1109"/>
      <c r="H133" s="1109"/>
      <c r="I133" s="1109"/>
      <c r="J133" s="1108"/>
    </row>
    <row r="134" spans="1:10" ht="10" customHeight="1">
      <c r="A134" s="1107"/>
      <c r="B134" s="1107"/>
      <c r="C134" s="1107"/>
      <c r="D134" s="1107"/>
      <c r="E134" s="1109"/>
      <c r="F134" s="1107"/>
      <c r="G134" s="1107"/>
      <c r="H134" s="1109"/>
      <c r="I134" s="1109"/>
      <c r="J134" s="1108"/>
    </row>
    <row r="135" spans="1:10" ht="10" customHeight="1">
      <c r="A135" s="1107"/>
      <c r="B135" s="1107"/>
      <c r="C135" s="1107"/>
      <c r="D135" s="1109"/>
      <c r="E135" s="1109"/>
      <c r="F135" s="1107"/>
      <c r="G135" s="1107"/>
      <c r="H135" s="1109"/>
      <c r="I135" s="1109"/>
      <c r="J135" s="1108"/>
    </row>
    <row r="136" spans="1:10" ht="10" customHeight="1">
      <c r="A136" s="1107"/>
      <c r="B136" s="1107"/>
      <c r="C136" s="1107"/>
      <c r="D136" s="1109"/>
      <c r="E136" s="1109"/>
      <c r="F136" s="1107"/>
      <c r="G136" s="1109"/>
      <c r="H136" s="1107"/>
      <c r="I136" s="1109"/>
      <c r="J136" s="1108"/>
    </row>
    <row r="137" spans="1:10" ht="10" customHeight="1">
      <c r="A137" s="1107"/>
      <c r="B137" s="1107"/>
      <c r="C137" s="1107"/>
      <c r="D137" s="1109"/>
      <c r="E137" s="1109"/>
      <c r="F137" s="1107"/>
      <c r="G137" s="1109"/>
      <c r="H137" s="1107"/>
      <c r="I137" s="1109"/>
      <c r="J137" s="1108"/>
    </row>
    <row r="138" spans="1:10" ht="10" customHeight="1">
      <c r="A138" s="1107"/>
      <c r="B138" s="1107"/>
      <c r="C138" s="1107"/>
      <c r="D138" s="1107"/>
      <c r="E138" s="1107"/>
      <c r="F138" s="1107"/>
      <c r="G138" s="1107"/>
      <c r="H138" s="1107"/>
      <c r="I138" s="1107"/>
      <c r="J138" s="1108"/>
    </row>
    <row r="139" spans="1:10" ht="10" customHeight="1">
      <c r="A139" s="1107"/>
      <c r="B139" s="1107"/>
      <c r="C139" s="1107"/>
      <c r="D139" s="1109"/>
      <c r="E139" s="1109"/>
      <c r="F139" s="1107"/>
      <c r="G139" s="1109"/>
      <c r="H139" s="1109"/>
      <c r="I139" s="1109"/>
      <c r="J139" s="1108"/>
    </row>
    <row r="140" spans="1:10" ht="10" customHeight="1">
      <c r="A140" s="1107"/>
      <c r="B140" s="1107"/>
      <c r="C140" s="1107"/>
      <c r="D140" s="1109"/>
      <c r="E140" s="1109"/>
      <c r="F140" s="1107"/>
      <c r="G140" s="1109"/>
      <c r="H140" s="1109"/>
      <c r="I140" s="1109"/>
      <c r="J140" s="1108"/>
    </row>
    <row r="141" spans="1:10" ht="10" customHeight="1">
      <c r="A141" s="1107"/>
      <c r="B141" s="1107"/>
      <c r="C141" s="1107"/>
      <c r="D141" s="1107"/>
      <c r="E141" s="1107"/>
      <c r="F141" s="1107"/>
      <c r="G141" s="1107"/>
      <c r="H141" s="1107"/>
      <c r="I141" s="1107"/>
      <c r="J141" s="1108"/>
    </row>
    <row r="142" spans="1:10" ht="10" customHeight="1">
      <c r="A142" s="1107"/>
      <c r="B142" s="1107"/>
      <c r="C142" s="1107"/>
      <c r="D142" s="1107"/>
      <c r="E142" s="1107"/>
      <c r="F142" s="1107"/>
      <c r="G142" s="1107"/>
      <c r="H142" s="1109"/>
      <c r="I142" s="1109"/>
      <c r="J142" s="1108"/>
    </row>
    <row r="143" spans="1:10" ht="10" customHeight="1">
      <c r="A143" s="1107"/>
      <c r="B143" s="1107"/>
      <c r="C143" s="1107"/>
      <c r="D143" s="1107"/>
      <c r="E143" s="1109"/>
      <c r="F143" s="1107"/>
      <c r="G143" s="1109"/>
      <c r="H143" s="1107"/>
      <c r="I143" s="1109"/>
      <c r="J143" s="1108"/>
    </row>
    <row r="144" spans="1:10" ht="10" customHeight="1">
      <c r="A144" s="1107"/>
      <c r="B144" s="1107"/>
      <c r="C144" s="1107"/>
      <c r="D144" s="1107"/>
      <c r="E144" s="1107"/>
      <c r="F144" s="1107"/>
      <c r="G144" s="1107"/>
      <c r="H144" s="1107"/>
      <c r="I144" s="1107"/>
      <c r="J144" s="1108"/>
    </row>
    <row r="145" spans="1:10" ht="10" customHeight="1">
      <c r="A145" s="1107"/>
      <c r="B145" s="1107"/>
      <c r="C145" s="1107"/>
      <c r="D145" s="1107"/>
      <c r="E145" s="1107"/>
      <c r="F145" s="1107"/>
      <c r="G145" s="1107"/>
      <c r="H145" s="1107"/>
      <c r="I145" s="1107"/>
      <c r="J145" s="1107"/>
    </row>
    <row r="146" spans="1:10" ht="10" customHeight="1">
      <c r="A146" s="1107"/>
      <c r="B146" s="1107"/>
      <c r="C146" s="1107"/>
      <c r="D146" s="1109"/>
      <c r="E146" s="1109"/>
      <c r="F146" s="1107"/>
      <c r="G146" s="1109"/>
      <c r="H146" s="1109"/>
      <c r="I146" s="1109"/>
      <c r="J146" s="1108"/>
    </row>
    <row r="147" spans="1:10" ht="10" customHeight="1">
      <c r="A147" s="1107"/>
      <c r="B147" s="1107"/>
      <c r="C147" s="1107"/>
      <c r="D147" s="1107"/>
      <c r="E147" s="1107"/>
      <c r="F147" s="1107"/>
      <c r="G147" s="1107"/>
      <c r="H147" s="1107"/>
      <c r="I147" s="1107"/>
      <c r="J147" s="1108"/>
    </row>
    <row r="148" spans="1:10" ht="10" customHeight="1">
      <c r="A148" s="1107"/>
      <c r="B148" s="1107"/>
      <c r="C148" s="1107"/>
      <c r="D148" s="1107"/>
      <c r="E148" s="1107"/>
      <c r="F148" s="1107"/>
      <c r="G148" s="1107"/>
      <c r="H148" s="1109"/>
      <c r="I148" s="1109"/>
      <c r="J148" s="1108"/>
    </row>
    <row r="149" spans="1:10" ht="10" customHeight="1">
      <c r="A149" s="1107"/>
      <c r="B149" s="1107"/>
      <c r="C149" s="1107"/>
      <c r="D149" s="1107"/>
      <c r="E149" s="1107"/>
      <c r="F149" s="1107"/>
      <c r="G149" s="1107"/>
      <c r="H149" s="1107"/>
      <c r="I149" s="1107"/>
      <c r="J149" s="1107"/>
    </row>
    <row r="150" spans="1:10" ht="10" customHeight="1">
      <c r="A150" s="1107"/>
      <c r="B150" s="1107"/>
      <c r="C150" s="1107"/>
      <c r="D150" s="1107"/>
      <c r="E150" s="1109"/>
      <c r="F150" s="1107"/>
      <c r="G150" s="1107"/>
      <c r="H150" s="1109"/>
      <c r="I150" s="1109"/>
      <c r="J150" s="1107"/>
    </row>
    <row r="151" spans="1:10" ht="10" customHeight="1">
      <c r="A151" s="1107"/>
      <c r="B151" s="1107"/>
      <c r="C151" s="1107"/>
      <c r="D151" s="1109"/>
      <c r="E151" s="1109"/>
      <c r="F151" s="1107"/>
      <c r="G151" s="1109"/>
      <c r="H151" s="1109"/>
      <c r="I151" s="1109"/>
      <c r="J151" s="1108"/>
    </row>
    <row r="152" spans="1:10" ht="10" customHeight="1">
      <c r="A152" s="1107"/>
      <c r="B152" s="1107"/>
      <c r="C152" s="1107"/>
      <c r="D152" s="1109"/>
      <c r="E152" s="1109"/>
      <c r="F152" s="1107"/>
      <c r="G152" s="1109"/>
      <c r="H152" s="1109"/>
      <c r="I152" s="1109"/>
      <c r="J152" s="1108"/>
    </row>
    <row r="153" spans="1:10" ht="10" customHeight="1">
      <c r="A153" s="1107"/>
      <c r="B153" s="1107"/>
      <c r="C153" s="1107"/>
      <c r="D153" s="1109"/>
      <c r="E153" s="1109"/>
      <c r="F153" s="1107"/>
      <c r="G153" s="1107"/>
      <c r="H153" s="1109"/>
      <c r="I153" s="1109"/>
      <c r="J153" s="1108"/>
    </row>
    <row r="154" spans="1:10" ht="10" customHeight="1">
      <c r="A154" s="1107"/>
      <c r="B154" s="1107"/>
      <c r="C154" s="1107"/>
      <c r="D154" s="1109"/>
      <c r="E154" s="1109"/>
      <c r="F154" s="1107"/>
      <c r="G154" s="1109"/>
      <c r="H154" s="1109"/>
      <c r="I154" s="1109"/>
      <c r="J154" s="1108"/>
    </row>
    <row r="155" spans="1:10" ht="10" customHeight="1">
      <c r="A155" s="1107"/>
      <c r="B155" s="1107"/>
      <c r="C155" s="1107"/>
      <c r="D155" s="1107"/>
      <c r="E155" s="1107"/>
      <c r="F155" s="1107"/>
      <c r="G155" s="1107"/>
      <c r="H155" s="1107"/>
      <c r="I155" s="1107"/>
      <c r="J155" s="1108"/>
    </row>
    <row r="156" spans="1:10" ht="10" customHeight="1">
      <c r="A156" s="1107"/>
      <c r="B156" s="1107"/>
      <c r="C156" s="1107"/>
      <c r="D156" s="1107"/>
      <c r="E156" s="1107"/>
      <c r="F156" s="1107"/>
      <c r="G156" s="1107"/>
      <c r="H156" s="1107"/>
      <c r="I156" s="1107"/>
      <c r="J156" s="1108"/>
    </row>
    <row r="157" spans="1:10" ht="10" customHeight="1">
      <c r="A157" s="1107"/>
      <c r="B157" s="1107"/>
      <c r="C157" s="1107"/>
      <c r="D157" s="1107"/>
      <c r="E157" s="1107"/>
      <c r="F157" s="1107"/>
      <c r="G157" s="1107"/>
      <c r="H157" s="1107"/>
      <c r="I157" s="1107"/>
      <c r="J157" s="1107"/>
    </row>
    <row r="158" spans="1:10" ht="10" customHeight="1">
      <c r="A158" s="1107"/>
      <c r="B158" s="1107"/>
      <c r="C158" s="1107"/>
      <c r="D158" s="1109"/>
      <c r="E158" s="1109"/>
      <c r="F158" s="1107"/>
      <c r="G158" s="1109"/>
      <c r="H158" s="1109"/>
      <c r="I158" s="1109"/>
      <c r="J158" s="1108"/>
    </row>
    <row r="159" spans="1:10" ht="10" customHeight="1">
      <c r="A159" s="1107"/>
      <c r="B159" s="1107"/>
      <c r="C159" s="1107"/>
      <c r="D159" s="1109"/>
      <c r="E159" s="1109"/>
      <c r="F159" s="1107"/>
      <c r="G159" s="1109"/>
      <c r="H159" s="1109"/>
      <c r="I159" s="1109"/>
      <c r="J159" s="1108"/>
    </row>
    <row r="160" spans="1:10" ht="10" customHeight="1">
      <c r="A160" s="1107"/>
      <c r="B160" s="1107"/>
      <c r="C160" s="1107"/>
      <c r="D160" s="1107"/>
      <c r="E160" s="1107"/>
      <c r="F160" s="1107"/>
      <c r="G160" s="1107"/>
      <c r="H160" s="1109"/>
      <c r="I160" s="1109"/>
      <c r="J160" s="1108"/>
    </row>
    <row r="161" spans="1:10" ht="10" customHeight="1">
      <c r="A161" s="1107"/>
      <c r="B161" s="1107"/>
      <c r="C161" s="1107"/>
      <c r="D161" s="1107"/>
      <c r="E161" s="1107"/>
      <c r="F161" s="1107"/>
      <c r="G161" s="1107"/>
      <c r="H161" s="1107"/>
      <c r="I161" s="1107"/>
      <c r="J161" s="1107"/>
    </row>
    <row r="162" spans="1:10" ht="10" customHeight="1">
      <c r="A162" s="1107"/>
      <c r="B162" s="1107"/>
      <c r="C162" s="1107"/>
      <c r="D162" s="1109"/>
      <c r="E162" s="1107"/>
      <c r="F162" s="1107"/>
      <c r="G162" s="1109"/>
      <c r="H162" s="1107"/>
      <c r="I162" s="1109"/>
      <c r="J162" s="1108"/>
    </row>
    <row r="163" spans="1:10" ht="10" customHeight="1">
      <c r="A163" s="1107"/>
      <c r="B163" s="1107"/>
      <c r="C163" s="1107"/>
      <c r="D163" s="1107"/>
      <c r="E163" s="1109"/>
      <c r="F163" s="1107"/>
      <c r="G163" s="1107"/>
      <c r="H163" s="1107"/>
      <c r="I163" s="1109"/>
      <c r="J163" s="1108"/>
    </row>
    <row r="164" spans="1:10" ht="10" customHeight="1">
      <c r="A164" s="1107"/>
      <c r="B164" s="1107"/>
      <c r="C164" s="1107"/>
      <c r="D164" s="1107"/>
      <c r="E164" s="1109"/>
      <c r="F164" s="1107"/>
      <c r="G164" s="1107"/>
      <c r="H164" s="1109"/>
      <c r="I164" s="1109"/>
      <c r="J164" s="1108"/>
    </row>
    <row r="165" spans="1:10" ht="10" customHeight="1">
      <c r="A165" s="1107"/>
      <c r="B165" s="1107"/>
      <c r="C165" s="1107"/>
      <c r="D165" s="1107"/>
      <c r="E165" s="1107"/>
      <c r="F165" s="1107"/>
      <c r="G165" s="1107"/>
      <c r="H165" s="1107"/>
      <c r="I165" s="1107"/>
      <c r="J165" s="1108"/>
    </row>
    <row r="166" spans="1:10" ht="10" customHeight="1">
      <c r="A166" s="1107"/>
      <c r="B166" s="1107"/>
      <c r="C166" s="1107"/>
      <c r="D166" s="1107"/>
      <c r="E166" s="1107"/>
      <c r="F166" s="1107"/>
      <c r="G166" s="1107"/>
      <c r="H166" s="1107"/>
      <c r="I166" s="1107"/>
      <c r="J166" s="1107"/>
    </row>
    <row r="167" spans="1:10" ht="10" customHeight="1">
      <c r="A167" s="1107"/>
      <c r="B167" s="1107"/>
      <c r="C167" s="1107"/>
      <c r="D167" s="1107"/>
      <c r="E167" s="1107"/>
      <c r="F167" s="1107"/>
      <c r="G167" s="1107"/>
      <c r="H167" s="1109"/>
      <c r="I167" s="1109"/>
      <c r="J167" s="1108"/>
    </row>
    <row r="168" spans="1:10" ht="10" customHeight="1">
      <c r="A168" s="1107"/>
      <c r="B168" s="1107"/>
      <c r="C168" s="1107"/>
      <c r="D168" s="1109"/>
      <c r="E168" s="1109"/>
      <c r="F168" s="1107"/>
      <c r="G168" s="1109"/>
      <c r="H168" s="1109"/>
      <c r="I168" s="1109"/>
      <c r="J168" s="1108"/>
    </row>
    <row r="169" spans="1:10" ht="10" customHeight="1">
      <c r="A169" s="1107"/>
      <c r="B169" s="1107"/>
      <c r="C169" s="1107"/>
      <c r="D169" s="1107"/>
      <c r="E169" s="1107"/>
      <c r="F169" s="1107"/>
      <c r="G169" s="1107"/>
      <c r="H169" s="1107"/>
      <c r="I169" s="1107"/>
      <c r="J169" s="1108"/>
    </row>
    <row r="170" spans="1:10" ht="10" customHeight="1">
      <c r="A170" s="1107"/>
      <c r="B170" s="1107"/>
      <c r="C170" s="1107"/>
      <c r="D170" s="1109"/>
      <c r="E170" s="1107"/>
      <c r="F170" s="1107"/>
      <c r="G170" s="1109"/>
      <c r="H170" s="1109"/>
      <c r="I170" s="1109"/>
      <c r="J170" s="1107"/>
    </row>
    <row r="171" spans="1:10" ht="10" customHeight="1">
      <c r="A171" s="1107"/>
      <c r="B171" s="1107"/>
      <c r="C171" s="1107"/>
      <c r="D171" s="1107"/>
      <c r="E171" s="1107"/>
      <c r="F171" s="1107"/>
      <c r="G171" s="1107"/>
      <c r="H171" s="1107"/>
      <c r="I171" s="1107"/>
      <c r="J171" s="1108"/>
    </row>
    <row r="172" spans="1:10" ht="10" customHeight="1">
      <c r="A172" s="1107"/>
      <c r="B172" s="1107"/>
      <c r="C172" s="1107"/>
      <c r="D172" s="1109"/>
      <c r="E172" s="1109"/>
      <c r="F172" s="1107"/>
      <c r="G172" s="1109"/>
      <c r="H172" s="1109"/>
      <c r="I172" s="1109"/>
      <c r="J172" s="1107"/>
    </row>
    <row r="173" spans="1:10" ht="10" customHeight="1">
      <c r="A173" s="1107"/>
      <c r="B173" s="1107"/>
      <c r="C173" s="1107"/>
      <c r="D173" s="1109"/>
      <c r="E173" s="1109"/>
      <c r="F173" s="1107"/>
      <c r="G173" s="1109"/>
      <c r="H173" s="1109"/>
      <c r="I173" s="1109"/>
      <c r="J173" s="1108"/>
    </row>
    <row r="174" spans="1:10" ht="10" customHeight="1">
      <c r="A174" s="1107"/>
      <c r="B174" s="1107"/>
      <c r="C174" s="1107"/>
      <c r="D174" s="1109"/>
      <c r="E174" s="1109"/>
      <c r="F174" s="1107"/>
      <c r="G174" s="1109"/>
      <c r="H174" s="1107"/>
      <c r="I174" s="1109"/>
      <c r="J174" s="1108"/>
    </row>
    <row r="175" spans="1:10" ht="10" customHeight="1">
      <c r="A175" s="1107"/>
      <c r="B175" s="1107"/>
      <c r="C175" s="1107"/>
      <c r="D175" s="1107"/>
      <c r="E175" s="1109"/>
      <c r="F175" s="1107"/>
      <c r="G175" s="1109"/>
      <c r="H175" s="1107"/>
      <c r="I175" s="1109"/>
      <c r="J175" s="1108"/>
    </row>
    <row r="176" spans="1:10" ht="10" customHeight="1">
      <c r="A176" s="1107"/>
      <c r="B176" s="1107"/>
      <c r="C176" s="1107"/>
      <c r="D176" s="1107"/>
      <c r="E176" s="1107"/>
      <c r="F176" s="1107"/>
      <c r="G176" s="1107"/>
      <c r="H176" s="1107"/>
      <c r="I176" s="1107"/>
      <c r="J176" s="1108"/>
    </row>
    <row r="177" spans="1:10" ht="10" customHeight="1">
      <c r="A177" s="1107"/>
      <c r="B177" s="1107"/>
      <c r="C177" s="1107"/>
      <c r="D177" s="1107"/>
      <c r="E177" s="1109"/>
      <c r="F177" s="1107"/>
      <c r="G177" s="1109"/>
      <c r="H177" s="1107"/>
      <c r="I177" s="1109"/>
      <c r="J177" s="1108"/>
    </row>
    <row r="178" spans="1:10" ht="10" customHeight="1">
      <c r="A178" s="1107"/>
      <c r="B178" s="1107"/>
      <c r="C178" s="1107"/>
      <c r="D178" s="1107"/>
      <c r="E178" s="1107"/>
      <c r="F178" s="1107"/>
      <c r="G178" s="1107"/>
      <c r="H178" s="1107"/>
      <c r="I178" s="1107"/>
      <c r="J178" s="1108"/>
    </row>
    <row r="179" spans="1:10" ht="10" customHeight="1">
      <c r="A179" s="1107"/>
      <c r="B179" s="1107"/>
      <c r="C179" s="1107"/>
      <c r="D179" s="1109"/>
      <c r="E179" s="1107"/>
      <c r="F179" s="1107"/>
      <c r="G179" s="1109"/>
      <c r="H179" s="1109"/>
      <c r="I179" s="1109"/>
      <c r="J179" s="1108"/>
    </row>
    <row r="180" spans="1:10" ht="10" customHeight="1">
      <c r="A180" s="1107"/>
      <c r="B180" s="1107"/>
      <c r="C180" s="1107"/>
      <c r="D180" s="1109"/>
      <c r="E180" s="1109"/>
      <c r="F180" s="1107"/>
      <c r="G180" s="1109"/>
      <c r="H180" s="1107"/>
      <c r="I180" s="1109"/>
      <c r="J180" s="1108"/>
    </row>
    <row r="181" spans="1:10" ht="10" customHeight="1">
      <c r="A181" s="1107"/>
      <c r="B181" s="1107"/>
      <c r="C181" s="1107"/>
      <c r="D181" s="1109"/>
      <c r="E181" s="1107"/>
      <c r="F181" s="1107"/>
      <c r="G181" s="1107"/>
      <c r="H181" s="1109"/>
      <c r="I181" s="1109"/>
      <c r="J181" s="1108"/>
    </row>
    <row r="182" spans="1:10" ht="10" customHeight="1">
      <c r="A182" s="1107"/>
      <c r="B182" s="1107"/>
      <c r="C182" s="1107"/>
      <c r="D182" s="1109"/>
      <c r="E182" s="1109"/>
      <c r="F182" s="1107"/>
      <c r="G182" s="1109"/>
      <c r="H182" s="1109"/>
      <c r="I182" s="1109"/>
      <c r="J182" s="1108"/>
    </row>
    <row r="183" spans="1:10" ht="10" customHeight="1">
      <c r="A183" s="1107"/>
      <c r="B183" s="1107"/>
      <c r="C183" s="1107"/>
      <c r="D183" s="1109"/>
      <c r="E183" s="1109"/>
      <c r="F183" s="1107"/>
      <c r="G183" s="1109"/>
      <c r="H183" s="1107"/>
      <c r="I183" s="1109"/>
      <c r="J183" s="1108"/>
    </row>
    <row r="184" spans="1:10" ht="10" customHeight="1">
      <c r="A184" s="1107"/>
      <c r="B184" s="1107"/>
      <c r="C184" s="1107"/>
      <c r="D184" s="1107"/>
      <c r="E184" s="1109"/>
      <c r="F184" s="1107"/>
      <c r="G184" s="1107"/>
      <c r="H184" s="1109"/>
      <c r="I184" s="1109"/>
      <c r="J184" s="1108"/>
    </row>
    <row r="185" spans="1:10" ht="10" customHeight="1">
      <c r="A185" s="1107"/>
      <c r="B185" s="1107"/>
      <c r="C185" s="1107"/>
      <c r="D185" s="1107"/>
      <c r="E185" s="1107"/>
      <c r="F185" s="1107"/>
      <c r="G185" s="1107"/>
      <c r="H185" s="1107"/>
      <c r="I185" s="1107"/>
      <c r="J185" s="1108"/>
    </row>
    <row r="186" spans="1:10" ht="10" customHeight="1">
      <c r="A186" s="1107"/>
      <c r="B186" s="1107"/>
      <c r="C186" s="1107"/>
      <c r="D186" s="1107"/>
      <c r="E186" s="1107"/>
      <c r="F186" s="1107"/>
      <c r="G186" s="1107"/>
      <c r="H186" s="1107"/>
      <c r="I186" s="1107"/>
      <c r="J186" s="1107"/>
    </row>
    <row r="187" spans="1:10" ht="10" customHeight="1">
      <c r="A187" s="1107"/>
      <c r="B187" s="1107"/>
      <c r="C187" s="1107"/>
      <c r="D187" s="1109"/>
      <c r="E187" s="1109"/>
      <c r="F187" s="1107"/>
      <c r="G187" s="1109"/>
      <c r="H187" s="1109"/>
      <c r="I187" s="1109"/>
      <c r="J187" s="1108"/>
    </row>
    <row r="188" spans="1:10" ht="10" customHeight="1">
      <c r="A188" s="1107"/>
      <c r="B188" s="1107"/>
      <c r="C188" s="1107"/>
      <c r="D188" s="1109"/>
      <c r="E188" s="1109"/>
      <c r="F188" s="1107"/>
      <c r="G188" s="1109"/>
      <c r="H188" s="1109"/>
      <c r="I188" s="1109"/>
      <c r="J188" s="1108"/>
    </row>
    <row r="189" spans="1:10" ht="10" customHeight="1">
      <c r="A189" s="1107"/>
      <c r="B189" s="1107"/>
      <c r="C189" s="1107"/>
      <c r="D189" s="1107"/>
      <c r="E189" s="1107"/>
      <c r="F189" s="1107"/>
      <c r="G189" s="1107"/>
      <c r="H189" s="1107"/>
      <c r="I189" s="1107"/>
      <c r="J189" s="1108"/>
    </row>
    <row r="190" spans="1:10" ht="10" customHeight="1">
      <c r="A190" s="1107"/>
      <c r="B190" s="1107"/>
      <c r="C190" s="1107"/>
      <c r="D190" s="1109"/>
      <c r="E190" s="1107"/>
      <c r="F190" s="1107"/>
      <c r="G190" s="1109"/>
      <c r="H190" s="1107"/>
      <c r="I190" s="1109"/>
      <c r="J190" s="1108"/>
    </row>
    <row r="191" spans="1:10" ht="10" customHeight="1">
      <c r="A191" s="1107"/>
      <c r="B191" s="1107"/>
      <c r="C191" s="1107"/>
      <c r="D191" s="1107"/>
      <c r="E191" s="1107"/>
      <c r="F191" s="1107"/>
      <c r="G191" s="1107"/>
      <c r="H191" s="1107"/>
      <c r="I191" s="1107"/>
      <c r="J191" s="1107"/>
    </row>
    <row r="192" spans="1:10" ht="10" customHeight="1">
      <c r="A192" s="1107"/>
      <c r="B192" s="1107"/>
      <c r="C192" s="1107"/>
      <c r="D192" s="1107"/>
      <c r="E192" s="1107"/>
      <c r="F192" s="1107"/>
      <c r="G192" s="1107"/>
      <c r="H192" s="1107"/>
      <c r="I192" s="1107"/>
      <c r="J192" s="1108"/>
    </row>
    <row r="193" spans="1:10" ht="10" customHeight="1">
      <c r="A193" s="1107"/>
      <c r="B193" s="1107"/>
      <c r="C193" s="1107"/>
      <c r="D193" s="1107"/>
      <c r="E193" s="1107"/>
      <c r="F193" s="1107"/>
      <c r="G193" s="1107"/>
      <c r="H193" s="1107"/>
      <c r="I193" s="1107"/>
      <c r="J193" s="1108"/>
    </row>
    <row r="194" spans="1:10" ht="10" customHeight="1">
      <c r="A194" s="1107"/>
      <c r="B194" s="1107"/>
      <c r="C194" s="1107"/>
      <c r="D194" s="1109"/>
      <c r="E194" s="1109"/>
      <c r="F194" s="1107"/>
      <c r="G194" s="1109"/>
      <c r="H194" s="1109"/>
      <c r="I194" s="1109"/>
      <c r="J194" s="1108"/>
    </row>
    <row r="195" spans="1:10" ht="10" customHeight="1">
      <c r="A195" s="1107"/>
      <c r="B195" s="1107"/>
      <c r="C195" s="1107"/>
      <c r="D195" s="1109"/>
      <c r="E195" s="1109"/>
      <c r="F195" s="1107"/>
      <c r="G195" s="1109"/>
      <c r="H195" s="1109"/>
      <c r="I195" s="1109"/>
      <c r="J195" s="1108"/>
    </row>
    <row r="196" spans="1:10" ht="10" customHeight="1">
      <c r="A196" s="1107"/>
      <c r="B196" s="1107"/>
      <c r="C196" s="1107"/>
      <c r="D196" s="1109"/>
      <c r="E196" s="1109"/>
      <c r="F196" s="1107"/>
      <c r="G196" s="1109"/>
      <c r="H196" s="1107"/>
      <c r="I196" s="1109"/>
      <c r="J196" s="1108"/>
    </row>
    <row r="197" spans="1:10" ht="10" customHeight="1">
      <c r="A197" s="1107"/>
      <c r="B197" s="1107"/>
      <c r="C197" s="1107"/>
      <c r="D197" s="1109"/>
      <c r="E197" s="1109"/>
      <c r="F197" s="1107"/>
      <c r="G197" s="1109"/>
      <c r="H197" s="1109"/>
      <c r="I197" s="1109"/>
      <c r="J197" s="1108"/>
    </row>
    <row r="198" spans="1:10" ht="10" customHeight="1">
      <c r="A198" s="1107"/>
      <c r="B198" s="1107"/>
      <c r="C198" s="1107"/>
      <c r="D198" s="1107"/>
      <c r="E198" s="1107"/>
      <c r="F198" s="1107"/>
      <c r="G198" s="1107"/>
      <c r="H198" s="1107"/>
      <c r="I198" s="1107"/>
      <c r="J198" s="1108"/>
    </row>
    <row r="199" spans="1:10" ht="10" customHeight="1">
      <c r="A199" s="1107"/>
      <c r="B199" s="1107"/>
      <c r="C199" s="1107"/>
      <c r="D199" s="1107"/>
      <c r="E199" s="1107"/>
      <c r="F199" s="1107"/>
      <c r="G199" s="1107"/>
      <c r="H199" s="1107"/>
      <c r="I199" s="1107"/>
      <c r="J199" s="1108"/>
    </row>
    <row r="200" spans="1:10" ht="10" customHeight="1">
      <c r="A200" s="1107"/>
      <c r="B200" s="1107"/>
      <c r="C200" s="1107"/>
      <c r="D200" s="1107"/>
      <c r="E200" s="1109"/>
      <c r="F200" s="1107"/>
      <c r="G200" s="1109"/>
      <c r="H200" s="1109"/>
      <c r="I200" s="1109"/>
      <c r="J200" s="1108"/>
    </row>
    <row r="201" spans="1:10" ht="10" customHeight="1">
      <c r="A201" s="1107"/>
      <c r="B201" s="1107"/>
      <c r="C201" s="1107"/>
      <c r="D201" s="1107"/>
      <c r="E201" s="1107"/>
      <c r="F201" s="1107"/>
      <c r="G201" s="1107"/>
      <c r="H201" s="1107"/>
      <c r="I201" s="1107"/>
      <c r="J201" s="1107"/>
    </row>
    <row r="202" spans="1:10" ht="10" customHeight="1">
      <c r="A202" s="1107"/>
      <c r="B202" s="1107"/>
      <c r="C202" s="1107"/>
      <c r="D202" s="1109"/>
      <c r="E202" s="1107"/>
      <c r="F202" s="1107"/>
      <c r="G202" s="1109"/>
      <c r="H202" s="1109"/>
      <c r="I202" s="1109"/>
      <c r="J202" s="1108"/>
    </row>
    <row r="203" spans="1:10" ht="10" customHeight="1">
      <c r="A203" s="1107"/>
      <c r="B203" s="1107"/>
      <c r="C203" s="1107"/>
      <c r="D203" s="1109"/>
      <c r="E203" s="1107"/>
      <c r="F203" s="1107"/>
      <c r="G203" s="1107"/>
      <c r="H203" s="1109"/>
      <c r="I203" s="1109"/>
      <c r="J203" s="1108"/>
    </row>
    <row r="204" spans="1:10" ht="10" customHeight="1">
      <c r="A204" s="1107"/>
      <c r="B204" s="1107"/>
      <c r="C204" s="1107"/>
      <c r="D204" s="1107"/>
      <c r="E204" s="1109"/>
      <c r="F204" s="1107"/>
      <c r="G204" s="1109"/>
      <c r="H204" s="1107"/>
      <c r="I204" s="1109"/>
      <c r="J204" s="1108"/>
    </row>
    <row r="205" spans="1:10" ht="10" customHeight="1">
      <c r="A205" s="1107"/>
      <c r="B205" s="1107"/>
      <c r="C205" s="1107"/>
      <c r="D205" s="1109"/>
      <c r="E205" s="1109"/>
      <c r="F205" s="1107"/>
      <c r="G205" s="1109"/>
      <c r="H205" s="1109"/>
      <c r="I205" s="1109"/>
      <c r="J205" s="1108"/>
    </row>
    <row r="206" spans="1:10" ht="10" customHeight="1">
      <c r="A206" s="1107"/>
      <c r="B206" s="1107"/>
      <c r="C206" s="1107"/>
      <c r="D206" s="1109"/>
      <c r="E206" s="1107"/>
      <c r="F206" s="1107"/>
      <c r="G206" s="1109"/>
      <c r="H206" s="1107"/>
      <c r="I206" s="1109"/>
      <c r="J206" s="1107"/>
    </row>
    <row r="207" spans="1:10" ht="10" customHeight="1">
      <c r="A207" s="1107"/>
      <c r="B207" s="1107"/>
      <c r="C207" s="1107"/>
      <c r="D207" s="1107"/>
      <c r="E207" s="1107"/>
      <c r="F207" s="1107"/>
      <c r="G207" s="1107"/>
      <c r="H207" s="1107"/>
      <c r="I207" s="1107"/>
      <c r="J207" s="1108"/>
    </row>
    <row r="208" spans="1:10" ht="10" customHeight="1">
      <c r="A208" s="1107"/>
      <c r="B208" s="1107"/>
      <c r="C208" s="1107"/>
      <c r="D208" s="1107"/>
      <c r="E208" s="1109"/>
      <c r="F208" s="1107"/>
      <c r="G208" s="1109"/>
      <c r="H208" s="1107"/>
      <c r="I208" s="1109"/>
      <c r="J208" s="1108"/>
    </row>
    <row r="209" spans="1:10" ht="10" customHeight="1">
      <c r="A209" s="1107"/>
      <c r="B209" s="1107"/>
      <c r="C209" s="1107"/>
      <c r="D209" s="1107"/>
      <c r="E209" s="1107"/>
      <c r="F209" s="1107"/>
      <c r="G209" s="1107"/>
      <c r="H209" s="1107"/>
      <c r="I209" s="1107"/>
      <c r="J209" s="1108"/>
    </row>
    <row r="210" spans="1:10" ht="10" customHeight="1">
      <c r="A210" s="1107"/>
      <c r="B210" s="1107"/>
      <c r="C210" s="1107"/>
      <c r="D210" s="1107"/>
      <c r="E210" s="1107"/>
      <c r="F210" s="1107"/>
      <c r="G210" s="1107"/>
      <c r="H210" s="1107"/>
      <c r="I210" s="1107"/>
      <c r="J210" s="1108"/>
    </row>
    <row r="211" spans="1:10" ht="10" customHeight="1">
      <c r="A211" s="1107"/>
      <c r="B211" s="1107"/>
      <c r="C211" s="1107"/>
      <c r="D211" s="1109"/>
      <c r="E211" s="1109"/>
      <c r="F211" s="1107"/>
      <c r="G211" s="1109"/>
      <c r="H211" s="1109"/>
      <c r="I211" s="1109"/>
      <c r="J211" s="1108"/>
    </row>
    <row r="212" spans="1:10" ht="10" customHeight="1">
      <c r="A212" s="1107"/>
      <c r="B212" s="1107"/>
      <c r="C212" s="1107"/>
      <c r="D212" s="1107"/>
      <c r="E212" s="1109"/>
      <c r="F212" s="1107"/>
      <c r="G212" s="1109"/>
      <c r="H212" s="1107"/>
      <c r="I212" s="1109"/>
      <c r="J212" s="1108"/>
    </row>
    <row r="213" spans="1:10" ht="10" customHeight="1">
      <c r="A213" s="1107"/>
      <c r="B213" s="1107"/>
      <c r="C213" s="1107"/>
      <c r="D213" s="1107"/>
      <c r="E213" s="1107"/>
      <c r="F213" s="1107"/>
      <c r="G213" s="1107"/>
      <c r="H213" s="1107"/>
      <c r="I213" s="1107"/>
      <c r="J213" s="1108"/>
    </row>
    <row r="214" spans="1:10" ht="10" customHeight="1">
      <c r="A214" s="1107"/>
      <c r="B214" s="1107"/>
      <c r="C214" s="1107"/>
      <c r="D214" s="1107"/>
      <c r="E214" s="1107"/>
      <c r="F214" s="1107"/>
      <c r="G214" s="1107"/>
      <c r="H214" s="1107"/>
      <c r="I214" s="1107"/>
      <c r="J214" s="1108"/>
    </row>
    <row r="215" spans="1:10" ht="10" customHeight="1">
      <c r="A215" s="1107"/>
      <c r="B215" s="1107"/>
      <c r="C215" s="1107"/>
      <c r="D215" s="1107"/>
      <c r="E215" s="1107"/>
      <c r="F215" s="1107"/>
      <c r="G215" s="1107"/>
      <c r="H215" s="1107"/>
      <c r="I215" s="1107"/>
      <c r="J215" s="1107"/>
    </row>
    <row r="216" spans="1:10" ht="10" customHeight="1">
      <c r="A216" s="1107"/>
      <c r="B216" s="1107"/>
      <c r="C216" s="1107"/>
      <c r="D216" s="1109"/>
      <c r="E216" s="1107"/>
      <c r="F216" s="1107"/>
      <c r="G216" s="1107"/>
      <c r="H216" s="1109"/>
      <c r="I216" s="1109"/>
      <c r="J216" s="1108"/>
    </row>
    <row r="217" spans="1:10" ht="10" customHeight="1">
      <c r="A217" s="1107"/>
      <c r="B217" s="1107"/>
      <c r="C217" s="1107"/>
      <c r="D217" s="1107"/>
      <c r="E217" s="1107"/>
      <c r="F217" s="1107"/>
      <c r="G217" s="1107"/>
      <c r="H217" s="1107"/>
      <c r="I217" s="1107"/>
      <c r="J217" s="1107"/>
    </row>
    <row r="218" spans="1:10" ht="10" customHeight="1">
      <c r="A218" s="1107"/>
      <c r="B218" s="1107"/>
      <c r="C218" s="1107"/>
      <c r="D218" s="1107"/>
      <c r="E218" s="1107"/>
      <c r="F218" s="1107"/>
      <c r="G218" s="1107"/>
      <c r="H218" s="1107"/>
      <c r="I218" s="1107"/>
      <c r="J218" s="1108"/>
    </row>
    <row r="219" spans="1:10" ht="10" customHeight="1">
      <c r="A219" s="1107"/>
      <c r="B219" s="1107"/>
      <c r="C219" s="1107"/>
      <c r="D219" s="1107"/>
      <c r="E219" s="1107"/>
      <c r="F219" s="1107"/>
      <c r="G219" s="1107"/>
      <c r="H219" s="1107"/>
      <c r="I219" s="1107"/>
      <c r="J219" s="1107"/>
    </row>
    <row r="220" spans="1:10" ht="10" customHeight="1">
      <c r="A220" s="1107"/>
      <c r="B220" s="1107"/>
      <c r="C220" s="1107"/>
      <c r="D220" s="1109"/>
      <c r="E220" s="1109"/>
      <c r="F220" s="1107"/>
      <c r="G220" s="1109"/>
      <c r="H220" s="1109"/>
      <c r="I220" s="1109"/>
      <c r="J220" s="1108"/>
    </row>
    <row r="221" spans="1:10" ht="10" customHeight="1">
      <c r="A221" s="1107"/>
      <c r="B221" s="1107"/>
      <c r="C221" s="1107"/>
      <c r="D221" s="1107"/>
      <c r="E221" s="1107"/>
      <c r="F221" s="1107"/>
      <c r="G221" s="1107"/>
      <c r="H221" s="1107"/>
      <c r="I221" s="1107"/>
      <c r="J221" s="1108"/>
    </row>
    <row r="222" spans="1:10">
      <c r="A222" s="116"/>
      <c r="B222" s="116"/>
      <c r="C222" s="116"/>
      <c r="D222" s="116"/>
      <c r="E222" s="116"/>
      <c r="F222" s="116"/>
      <c r="G222" s="116"/>
      <c r="H222" s="116"/>
      <c r="I222" s="116"/>
      <c r="J222" s="1106"/>
    </row>
    <row r="223" spans="1:10">
      <c r="A223" s="116"/>
      <c r="B223" s="116"/>
      <c r="C223" s="116"/>
      <c r="D223" s="117"/>
      <c r="E223" s="117"/>
      <c r="F223" s="116"/>
      <c r="G223" s="117"/>
      <c r="H223" s="117"/>
      <c r="I223" s="117"/>
      <c r="J223" s="1106"/>
    </row>
    <row r="224" spans="1:10">
      <c r="A224" s="116"/>
      <c r="B224" s="116"/>
      <c r="C224" s="116"/>
      <c r="D224" s="116"/>
      <c r="E224" s="116"/>
      <c r="F224" s="116"/>
      <c r="G224" s="116"/>
      <c r="H224" s="116"/>
      <c r="I224" s="116"/>
      <c r="J224" s="1106"/>
    </row>
  </sheetData>
  <autoFilter ref="A1:J1" xr:uid="{C2712E7B-B03B-4C4D-8040-514DD7AB7153}"/>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47278-1B18-4EDE-A7E5-979BF1AE69EA}">
  <sheetPr>
    <tabColor theme="6" tint="-0.499984740745262"/>
  </sheetPr>
  <dimension ref="A1:U561"/>
  <sheetViews>
    <sheetView topLeftCell="A6" workbookViewId="0">
      <selection activeCell="J1" sqref="J1:J1048576"/>
    </sheetView>
  </sheetViews>
  <sheetFormatPr defaultColWidth="8.7265625" defaultRowHeight="14.5"/>
  <cols>
    <col min="1" max="1" width="13.453125" style="143" bestFit="1" customWidth="1"/>
    <col min="2" max="2" width="24.81640625" style="143" bestFit="1" customWidth="1"/>
    <col min="3" max="3" width="8" style="143" bestFit="1" customWidth="1"/>
    <col min="4" max="4" width="12.26953125" style="143" bestFit="1" customWidth="1"/>
    <col min="5" max="5" width="27.7265625" style="143" bestFit="1" customWidth="1"/>
    <col min="6" max="6" width="16.7265625" style="143" bestFit="1" customWidth="1"/>
    <col min="7" max="7" width="14.1796875" style="143" bestFit="1" customWidth="1"/>
    <col min="8" max="8" width="23.453125" style="143" bestFit="1" customWidth="1"/>
    <col min="9" max="9" width="10.81640625" style="143" bestFit="1" customWidth="1"/>
    <col min="10" max="10" width="11.453125" style="143" bestFit="1" customWidth="1"/>
    <col min="11" max="11" width="17.81640625" style="143" bestFit="1" customWidth="1"/>
    <col min="12" max="12" width="21.1796875" style="143" bestFit="1" customWidth="1"/>
    <col min="13" max="13" width="20.1796875" style="143" bestFit="1" customWidth="1"/>
    <col min="14" max="14" width="13.1796875" style="143" bestFit="1" customWidth="1"/>
    <col min="15" max="15" width="23.453125" style="143" bestFit="1" customWidth="1"/>
    <col min="16" max="16" width="16.1796875" style="143" bestFit="1" customWidth="1"/>
    <col min="17" max="17" width="15.26953125" style="143" bestFit="1" customWidth="1"/>
    <col min="18" max="18" width="11.7265625" style="143" bestFit="1" customWidth="1"/>
    <col min="19" max="19" width="9.54296875" style="143" bestFit="1" customWidth="1"/>
    <col min="20" max="20" width="12.1796875" style="143" bestFit="1" customWidth="1"/>
    <col min="21" max="21" width="10.453125" style="143" bestFit="1" customWidth="1"/>
    <col min="22" max="16384" width="8.7265625" style="143"/>
  </cols>
  <sheetData>
    <row r="1" spans="1:21">
      <c r="A1" s="143" t="s">
        <v>2234</v>
      </c>
      <c r="B1" s="143" t="s">
        <v>963</v>
      </c>
      <c r="C1" s="143" t="s">
        <v>1536</v>
      </c>
      <c r="D1" s="143" t="s">
        <v>2235</v>
      </c>
      <c r="E1" s="143" t="s">
        <v>340</v>
      </c>
      <c r="F1" s="143" t="s">
        <v>573</v>
      </c>
      <c r="G1" s="143" t="s">
        <v>2236</v>
      </c>
      <c r="H1" s="143" t="s">
        <v>556</v>
      </c>
      <c r="I1" s="143" t="s">
        <v>962</v>
      </c>
      <c r="J1" s="143" t="s">
        <v>2237</v>
      </c>
      <c r="K1" s="143" t="s">
        <v>2238</v>
      </c>
      <c r="L1" s="143" t="s">
        <v>1527</v>
      </c>
      <c r="M1" s="143" t="s">
        <v>1531</v>
      </c>
      <c r="N1" s="143" t="s">
        <v>2239</v>
      </c>
      <c r="O1" s="143" t="s">
        <v>2240</v>
      </c>
      <c r="P1" s="143" t="s">
        <v>1533</v>
      </c>
      <c r="Q1" s="143" t="s">
        <v>1535</v>
      </c>
      <c r="R1" s="143" t="s">
        <v>2241</v>
      </c>
      <c r="S1" s="143" t="s">
        <v>2242</v>
      </c>
      <c r="T1" s="143" t="s">
        <v>2243</v>
      </c>
      <c r="U1" s="143" t="s">
        <v>1626</v>
      </c>
    </row>
    <row r="2" spans="1:21">
      <c r="A2" s="143" t="s">
        <v>953</v>
      </c>
      <c r="B2" s="143" t="s">
        <v>2244</v>
      </c>
      <c r="C2" s="143" t="s">
        <v>953</v>
      </c>
      <c r="D2" s="143">
        <v>20442538</v>
      </c>
      <c r="E2" s="143" t="s">
        <v>2245</v>
      </c>
      <c r="F2" s="143" t="s">
        <v>581</v>
      </c>
      <c r="G2" s="143" t="s">
        <v>2246</v>
      </c>
      <c r="H2" s="143" t="s">
        <v>587</v>
      </c>
      <c r="J2" s="144">
        <v>46059</v>
      </c>
      <c r="U2" s="144">
        <v>46150</v>
      </c>
    </row>
    <row r="3" spans="1:21">
      <c r="A3" s="143" t="s">
        <v>953</v>
      </c>
      <c r="B3" s="143" t="s">
        <v>2247</v>
      </c>
      <c r="C3" s="143" t="s">
        <v>953</v>
      </c>
      <c r="D3" s="143">
        <v>20456656</v>
      </c>
      <c r="E3" s="143" t="s">
        <v>2245</v>
      </c>
      <c r="F3" s="143" t="s">
        <v>577</v>
      </c>
      <c r="G3" s="143" t="s">
        <v>2248</v>
      </c>
      <c r="H3" s="143" t="s">
        <v>591</v>
      </c>
      <c r="J3" s="144">
        <v>46077</v>
      </c>
      <c r="U3" s="144">
        <v>46081</v>
      </c>
    </row>
    <row r="4" spans="1:21">
      <c r="A4" s="143" t="s">
        <v>953</v>
      </c>
      <c r="B4" s="143" t="s">
        <v>2249</v>
      </c>
      <c r="C4" s="143" t="s">
        <v>953</v>
      </c>
      <c r="D4" s="143">
        <v>20452401</v>
      </c>
      <c r="E4" s="143" t="s">
        <v>1110</v>
      </c>
      <c r="F4" s="143" t="s">
        <v>1115</v>
      </c>
      <c r="G4" s="143" t="s">
        <v>2250</v>
      </c>
      <c r="H4" s="143" t="s">
        <v>587</v>
      </c>
      <c r="I4" s="143" t="s">
        <v>1167</v>
      </c>
      <c r="J4" s="144">
        <v>46071</v>
      </c>
      <c r="K4" s="144">
        <v>46071</v>
      </c>
      <c r="L4" s="144">
        <v>46077</v>
      </c>
      <c r="U4" s="144">
        <v>46083</v>
      </c>
    </row>
    <row r="5" spans="1:21">
      <c r="A5" s="143" t="s">
        <v>953</v>
      </c>
      <c r="B5" s="143" t="s">
        <v>2251</v>
      </c>
      <c r="C5" s="143" t="s">
        <v>953</v>
      </c>
      <c r="D5" s="143">
        <v>20440414</v>
      </c>
      <c r="E5" s="143" t="s">
        <v>2252</v>
      </c>
      <c r="F5" s="143" t="s">
        <v>578</v>
      </c>
      <c r="G5" s="143" t="s">
        <v>2250</v>
      </c>
      <c r="H5" s="143" t="s">
        <v>588</v>
      </c>
      <c r="I5" s="143" t="s">
        <v>1682</v>
      </c>
      <c r="J5" s="144">
        <v>46056</v>
      </c>
      <c r="K5" s="144">
        <v>46056</v>
      </c>
      <c r="L5" s="144">
        <v>46056</v>
      </c>
      <c r="R5" s="144">
        <v>46063</v>
      </c>
      <c r="U5" s="144">
        <v>46088</v>
      </c>
    </row>
    <row r="6" spans="1:21">
      <c r="A6" s="143" t="s">
        <v>953</v>
      </c>
      <c r="B6" s="143" t="s">
        <v>2251</v>
      </c>
      <c r="C6" s="143" t="s">
        <v>953</v>
      </c>
      <c r="D6" s="143">
        <v>20440270</v>
      </c>
      <c r="E6" s="143" t="s">
        <v>2252</v>
      </c>
      <c r="F6" s="143" t="s">
        <v>578</v>
      </c>
      <c r="G6" s="143" t="s">
        <v>2246</v>
      </c>
      <c r="H6" s="143" t="s">
        <v>588</v>
      </c>
      <c r="I6" s="143" t="s">
        <v>1130</v>
      </c>
      <c r="J6" s="144">
        <v>46056</v>
      </c>
      <c r="K6" s="144">
        <v>46056</v>
      </c>
      <c r="L6" s="144">
        <v>46056</v>
      </c>
      <c r="S6" s="144">
        <v>46078</v>
      </c>
      <c r="U6" s="144">
        <v>46078</v>
      </c>
    </row>
    <row r="7" spans="1:21">
      <c r="A7" s="143" t="s">
        <v>953</v>
      </c>
      <c r="B7" s="143" t="s">
        <v>2253</v>
      </c>
      <c r="C7" s="143" t="s">
        <v>953</v>
      </c>
      <c r="D7" s="143">
        <v>20441112</v>
      </c>
      <c r="E7" s="143" t="s">
        <v>2252</v>
      </c>
      <c r="F7" s="143" t="s">
        <v>577</v>
      </c>
      <c r="G7" s="143" t="s">
        <v>2250</v>
      </c>
      <c r="H7" s="143" t="s">
        <v>588</v>
      </c>
      <c r="I7" s="143" t="s">
        <v>998</v>
      </c>
      <c r="J7" s="144">
        <v>46057</v>
      </c>
      <c r="K7" s="144">
        <v>46057</v>
      </c>
      <c r="L7" s="144">
        <v>46057</v>
      </c>
      <c r="R7" s="144">
        <v>46071</v>
      </c>
      <c r="U7" s="144">
        <v>46084</v>
      </c>
    </row>
    <row r="8" spans="1:21">
      <c r="A8" s="143" t="s">
        <v>953</v>
      </c>
      <c r="B8" s="143" t="s">
        <v>1133</v>
      </c>
      <c r="C8" s="143" t="s">
        <v>953</v>
      </c>
      <c r="D8" s="143">
        <v>20457949</v>
      </c>
      <c r="E8" s="143" t="s">
        <v>1100</v>
      </c>
      <c r="F8" s="143" t="s">
        <v>582</v>
      </c>
      <c r="G8" s="143" t="s">
        <v>2248</v>
      </c>
      <c r="H8" s="143" t="s">
        <v>588</v>
      </c>
      <c r="I8" s="143" t="s">
        <v>1132</v>
      </c>
      <c r="J8" s="144">
        <v>46079</v>
      </c>
      <c r="K8" s="144">
        <v>46080</v>
      </c>
      <c r="U8" s="144">
        <v>46109</v>
      </c>
    </row>
    <row r="9" spans="1:21">
      <c r="A9" s="143" t="s">
        <v>953</v>
      </c>
      <c r="B9" s="143" t="s">
        <v>2254</v>
      </c>
      <c r="C9" s="143" t="s">
        <v>953</v>
      </c>
      <c r="D9" s="143">
        <v>20448346</v>
      </c>
      <c r="E9" s="143" t="s">
        <v>2245</v>
      </c>
      <c r="F9" s="143" t="s">
        <v>581</v>
      </c>
      <c r="G9" s="143" t="s">
        <v>2248</v>
      </c>
      <c r="H9" s="143" t="s">
        <v>588</v>
      </c>
      <c r="I9" s="143" t="s">
        <v>894</v>
      </c>
      <c r="J9" s="144">
        <v>46066</v>
      </c>
      <c r="U9" s="144">
        <v>46066</v>
      </c>
    </row>
    <row r="10" spans="1:21">
      <c r="A10" s="143" t="s">
        <v>953</v>
      </c>
      <c r="B10" s="143" t="s">
        <v>2255</v>
      </c>
      <c r="C10" s="143" t="s">
        <v>953</v>
      </c>
      <c r="D10" s="143">
        <v>20440440</v>
      </c>
      <c r="E10" s="143" t="s">
        <v>2252</v>
      </c>
      <c r="F10" s="143" t="s">
        <v>2256</v>
      </c>
      <c r="G10" s="143" t="s">
        <v>2250</v>
      </c>
      <c r="H10" s="143" t="s">
        <v>589</v>
      </c>
      <c r="I10" s="143" t="s">
        <v>1003</v>
      </c>
      <c r="J10" s="144">
        <v>46056</v>
      </c>
      <c r="K10" s="144">
        <v>46056</v>
      </c>
      <c r="L10" s="144">
        <v>46058</v>
      </c>
      <c r="S10" s="144">
        <v>46063</v>
      </c>
      <c r="U10" s="144">
        <v>46113</v>
      </c>
    </row>
    <row r="11" spans="1:21">
      <c r="A11" s="143" t="s">
        <v>953</v>
      </c>
      <c r="B11" s="143" t="s">
        <v>2257</v>
      </c>
      <c r="C11" s="143" t="s">
        <v>953</v>
      </c>
      <c r="D11" s="143">
        <v>20411822</v>
      </c>
      <c r="E11" s="143" t="s">
        <v>2258</v>
      </c>
      <c r="F11" s="143" t="s">
        <v>579</v>
      </c>
      <c r="G11" s="143" t="s">
        <v>2259</v>
      </c>
      <c r="H11" s="143" t="s">
        <v>592</v>
      </c>
      <c r="J11" s="144">
        <v>46014</v>
      </c>
      <c r="R11" s="144">
        <v>46066</v>
      </c>
      <c r="U11" s="144">
        <v>46053</v>
      </c>
    </row>
    <row r="12" spans="1:21">
      <c r="A12" s="143" t="s">
        <v>953</v>
      </c>
      <c r="B12" s="143" t="s">
        <v>2260</v>
      </c>
      <c r="C12" s="143" t="s">
        <v>953</v>
      </c>
      <c r="D12" s="143">
        <v>20455583</v>
      </c>
      <c r="E12" s="143" t="s">
        <v>2245</v>
      </c>
      <c r="F12" s="143" t="s">
        <v>984</v>
      </c>
      <c r="G12" s="143" t="s">
        <v>2259</v>
      </c>
      <c r="H12" s="143" t="s">
        <v>592</v>
      </c>
      <c r="J12" s="144">
        <v>46076</v>
      </c>
      <c r="U12" s="144">
        <v>46077</v>
      </c>
    </row>
    <row r="13" spans="1:21">
      <c r="A13" s="143" t="s">
        <v>953</v>
      </c>
      <c r="B13" s="143" t="s">
        <v>2261</v>
      </c>
      <c r="C13" s="143" t="s">
        <v>953</v>
      </c>
      <c r="D13" s="143">
        <v>20444308</v>
      </c>
      <c r="E13" s="143" t="s">
        <v>2245</v>
      </c>
      <c r="F13" s="143" t="s">
        <v>2256</v>
      </c>
      <c r="G13" s="143" t="s">
        <v>2248</v>
      </c>
      <c r="H13" s="143" t="s">
        <v>588</v>
      </c>
      <c r="I13" s="143" t="s">
        <v>1351</v>
      </c>
      <c r="J13" s="144">
        <v>46063</v>
      </c>
      <c r="U13" s="144">
        <v>46081</v>
      </c>
    </row>
    <row r="14" spans="1:21">
      <c r="A14" s="143" t="s">
        <v>953</v>
      </c>
      <c r="B14" s="143" t="s">
        <v>2262</v>
      </c>
      <c r="C14" s="143" t="s">
        <v>953</v>
      </c>
      <c r="D14" s="143">
        <v>20444775</v>
      </c>
      <c r="E14" s="143" t="s">
        <v>2245</v>
      </c>
      <c r="F14" s="143" t="s">
        <v>581</v>
      </c>
      <c r="G14" s="143" t="s">
        <v>1213</v>
      </c>
      <c r="H14" s="143" t="s">
        <v>587</v>
      </c>
      <c r="J14" s="144">
        <v>46063</v>
      </c>
      <c r="U14" s="144">
        <v>46084</v>
      </c>
    </row>
    <row r="15" spans="1:21">
      <c r="A15" s="143" t="s">
        <v>953</v>
      </c>
      <c r="B15" s="143" t="s">
        <v>2263</v>
      </c>
      <c r="C15" s="143" t="s">
        <v>953</v>
      </c>
      <c r="D15" s="143">
        <v>20448941</v>
      </c>
      <c r="E15" s="143" t="s">
        <v>2245</v>
      </c>
      <c r="F15" s="143" t="s">
        <v>984</v>
      </c>
      <c r="G15" s="143" t="s">
        <v>1213</v>
      </c>
      <c r="H15" s="143" t="s">
        <v>587</v>
      </c>
      <c r="J15" s="144">
        <v>46067</v>
      </c>
      <c r="U15" s="144">
        <v>46083</v>
      </c>
    </row>
    <row r="16" spans="1:21">
      <c r="A16" s="143" t="s">
        <v>953</v>
      </c>
      <c r="B16" s="143" t="s">
        <v>2264</v>
      </c>
      <c r="C16" s="143" t="s">
        <v>953</v>
      </c>
      <c r="D16" s="143">
        <v>20440209</v>
      </c>
      <c r="E16" s="143" t="s">
        <v>2245</v>
      </c>
      <c r="F16" s="143" t="s">
        <v>984</v>
      </c>
      <c r="G16" s="143" t="s">
        <v>2259</v>
      </c>
      <c r="H16" s="143" t="s">
        <v>593</v>
      </c>
      <c r="J16" s="144">
        <v>46056</v>
      </c>
      <c r="U16" s="144">
        <v>46056</v>
      </c>
    </row>
    <row r="17" spans="1:21">
      <c r="A17" s="143" t="s">
        <v>953</v>
      </c>
      <c r="B17" s="143" t="s">
        <v>2265</v>
      </c>
      <c r="C17" s="143" t="s">
        <v>953</v>
      </c>
      <c r="D17" s="143">
        <v>20443863</v>
      </c>
      <c r="E17" s="143" t="s">
        <v>2245</v>
      </c>
      <c r="F17" s="143" t="s">
        <v>579</v>
      </c>
      <c r="G17" s="143" t="s">
        <v>2248</v>
      </c>
      <c r="H17" s="143" t="s">
        <v>588</v>
      </c>
      <c r="J17" s="144">
        <v>46062</v>
      </c>
      <c r="U17" s="144">
        <v>46062</v>
      </c>
    </row>
    <row r="18" spans="1:21">
      <c r="A18" s="143" t="s">
        <v>953</v>
      </c>
      <c r="B18" s="143" t="s">
        <v>1040</v>
      </c>
      <c r="C18" s="143" t="s">
        <v>953</v>
      </c>
      <c r="D18" s="143">
        <v>20443684</v>
      </c>
      <c r="E18" s="143" t="s">
        <v>2245</v>
      </c>
      <c r="F18" s="143" t="s">
        <v>577</v>
      </c>
      <c r="G18" s="143" t="s">
        <v>2248</v>
      </c>
      <c r="H18" s="143" t="s">
        <v>588</v>
      </c>
      <c r="I18" s="143" t="s">
        <v>2266</v>
      </c>
      <c r="J18" s="144">
        <v>46062</v>
      </c>
      <c r="U18" s="144">
        <v>46136</v>
      </c>
    </row>
    <row r="19" spans="1:21">
      <c r="A19" s="143" t="s">
        <v>953</v>
      </c>
      <c r="B19" s="143" t="s">
        <v>2267</v>
      </c>
      <c r="C19" s="143" t="s">
        <v>953</v>
      </c>
      <c r="D19" s="143">
        <v>20441240</v>
      </c>
      <c r="E19" s="143" t="s">
        <v>2245</v>
      </c>
      <c r="F19" s="143" t="s">
        <v>581</v>
      </c>
      <c r="G19" s="143" t="s">
        <v>2246</v>
      </c>
      <c r="H19" s="143" t="s">
        <v>591</v>
      </c>
      <c r="J19" s="144">
        <v>46057</v>
      </c>
      <c r="U19" s="144">
        <v>46057</v>
      </c>
    </row>
    <row r="20" spans="1:21">
      <c r="A20" s="143" t="s">
        <v>953</v>
      </c>
      <c r="B20" s="143" t="s">
        <v>2268</v>
      </c>
      <c r="C20" s="143" t="s">
        <v>953</v>
      </c>
      <c r="D20" s="143">
        <v>20457180</v>
      </c>
      <c r="E20" s="143" t="s">
        <v>2245</v>
      </c>
      <c r="F20" s="143" t="s">
        <v>582</v>
      </c>
      <c r="G20" s="143" t="s">
        <v>2248</v>
      </c>
      <c r="H20" s="143" t="s">
        <v>589</v>
      </c>
      <c r="J20" s="144">
        <v>46078</v>
      </c>
      <c r="U20" s="144">
        <v>46103</v>
      </c>
    </row>
    <row r="21" spans="1:21">
      <c r="A21" s="143" t="s">
        <v>953</v>
      </c>
      <c r="B21" s="143" t="s">
        <v>2269</v>
      </c>
      <c r="C21" s="143" t="s">
        <v>953</v>
      </c>
      <c r="D21" s="143">
        <v>20430985</v>
      </c>
      <c r="E21" s="143" t="s">
        <v>2252</v>
      </c>
      <c r="F21" s="143" t="s">
        <v>579</v>
      </c>
      <c r="G21" s="143" t="s">
        <v>2248</v>
      </c>
      <c r="H21" s="143" t="s">
        <v>591</v>
      </c>
      <c r="I21" s="143" t="s">
        <v>1128</v>
      </c>
      <c r="J21" s="144">
        <v>46042</v>
      </c>
      <c r="K21" s="144">
        <v>46073</v>
      </c>
      <c r="L21" s="144">
        <v>46073</v>
      </c>
      <c r="R21" s="144">
        <v>46077</v>
      </c>
      <c r="U21" s="144">
        <v>46081</v>
      </c>
    </row>
    <row r="22" spans="1:21">
      <c r="A22" s="143" t="s">
        <v>953</v>
      </c>
      <c r="B22" s="143" t="s">
        <v>2270</v>
      </c>
      <c r="C22" s="143" t="s">
        <v>953</v>
      </c>
      <c r="D22" s="143">
        <v>20457202</v>
      </c>
      <c r="E22" s="143" t="s">
        <v>1100</v>
      </c>
      <c r="F22" s="143" t="s">
        <v>1115</v>
      </c>
      <c r="G22" s="143" t="s">
        <v>2250</v>
      </c>
      <c r="H22" s="143" t="s">
        <v>587</v>
      </c>
      <c r="I22" s="143" t="s">
        <v>859</v>
      </c>
      <c r="J22" s="144">
        <v>46078</v>
      </c>
      <c r="K22" s="144">
        <v>46078</v>
      </c>
      <c r="U22" s="144">
        <v>46078</v>
      </c>
    </row>
    <row r="23" spans="1:21">
      <c r="A23" s="143" t="s">
        <v>953</v>
      </c>
      <c r="B23" s="143" t="s">
        <v>2271</v>
      </c>
      <c r="C23" s="143" t="s">
        <v>953</v>
      </c>
      <c r="D23" s="143">
        <v>20437537</v>
      </c>
      <c r="E23" s="143" t="s">
        <v>2252</v>
      </c>
      <c r="F23" s="143" t="s">
        <v>577</v>
      </c>
      <c r="G23" s="143" t="s">
        <v>2250</v>
      </c>
      <c r="H23" s="143" t="s">
        <v>588</v>
      </c>
      <c r="I23" s="143" t="s">
        <v>2272</v>
      </c>
      <c r="J23" s="144">
        <v>46052</v>
      </c>
      <c r="K23" s="144">
        <v>46052</v>
      </c>
      <c r="L23" s="144">
        <v>46052</v>
      </c>
      <c r="R23" s="144">
        <v>46074</v>
      </c>
      <c r="S23" s="144"/>
      <c r="U23" s="144">
        <v>46074</v>
      </c>
    </row>
    <row r="24" spans="1:21">
      <c r="A24" s="143" t="s">
        <v>953</v>
      </c>
      <c r="B24" s="143" t="s">
        <v>2271</v>
      </c>
      <c r="C24" s="143" t="s">
        <v>953</v>
      </c>
      <c r="D24" s="143">
        <v>20437558</v>
      </c>
      <c r="E24" s="143" t="s">
        <v>2252</v>
      </c>
      <c r="F24" s="143" t="s">
        <v>2256</v>
      </c>
      <c r="G24" s="143" t="s">
        <v>2250</v>
      </c>
      <c r="H24" s="143" t="s">
        <v>588</v>
      </c>
      <c r="I24" s="143" t="s">
        <v>2273</v>
      </c>
      <c r="J24" s="144">
        <v>46052</v>
      </c>
      <c r="K24" s="144">
        <v>46052</v>
      </c>
      <c r="L24" s="144">
        <v>46052</v>
      </c>
      <c r="R24" s="144"/>
      <c r="S24" s="144">
        <v>46058</v>
      </c>
      <c r="U24" s="144">
        <v>46060</v>
      </c>
    </row>
    <row r="25" spans="1:21">
      <c r="A25" s="143" t="s">
        <v>953</v>
      </c>
      <c r="B25" s="143" t="s">
        <v>2274</v>
      </c>
      <c r="C25" s="143" t="s">
        <v>953</v>
      </c>
      <c r="D25" s="143">
        <v>20456639</v>
      </c>
      <c r="E25" s="143" t="s">
        <v>2252</v>
      </c>
      <c r="F25" s="143" t="s">
        <v>577</v>
      </c>
      <c r="G25" s="143" t="s">
        <v>2250</v>
      </c>
      <c r="H25" s="143" t="s">
        <v>587</v>
      </c>
      <c r="I25" s="143" t="s">
        <v>1007</v>
      </c>
      <c r="J25" s="144">
        <v>46077</v>
      </c>
      <c r="K25" s="144">
        <v>46077</v>
      </c>
      <c r="R25" s="144">
        <v>46077</v>
      </c>
      <c r="U25" s="144">
        <v>46088</v>
      </c>
    </row>
    <row r="26" spans="1:21">
      <c r="A26" s="143" t="s">
        <v>953</v>
      </c>
      <c r="B26" s="143" t="s">
        <v>2275</v>
      </c>
      <c r="C26" s="143" t="s">
        <v>953</v>
      </c>
      <c r="D26" s="143">
        <v>20453791</v>
      </c>
      <c r="E26" s="143" t="s">
        <v>1215</v>
      </c>
      <c r="F26" s="143" t="s">
        <v>578</v>
      </c>
      <c r="G26" s="143" t="s">
        <v>2250</v>
      </c>
      <c r="H26" s="143" t="s">
        <v>591</v>
      </c>
      <c r="I26" s="143" t="s">
        <v>2276</v>
      </c>
      <c r="J26" s="144">
        <v>46072</v>
      </c>
      <c r="K26" s="144">
        <v>46072</v>
      </c>
      <c r="L26" s="144">
        <v>46072</v>
      </c>
      <c r="M26" s="144">
        <v>46080</v>
      </c>
      <c r="N26" s="144">
        <v>46080</v>
      </c>
      <c r="O26" s="144">
        <v>46083</v>
      </c>
      <c r="U26" s="144">
        <v>46081</v>
      </c>
    </row>
    <row r="27" spans="1:21">
      <c r="A27" s="143" t="s">
        <v>953</v>
      </c>
      <c r="B27" s="143" t="s">
        <v>1127</v>
      </c>
      <c r="C27" s="143" t="s">
        <v>953</v>
      </c>
      <c r="D27" s="143">
        <v>20457276</v>
      </c>
      <c r="E27" s="143" t="s">
        <v>1100</v>
      </c>
      <c r="F27" s="143" t="s">
        <v>984</v>
      </c>
      <c r="G27" s="143" t="s">
        <v>2250</v>
      </c>
      <c r="H27" s="143" t="s">
        <v>587</v>
      </c>
      <c r="I27" s="143" t="s">
        <v>1126</v>
      </c>
      <c r="J27" s="144">
        <v>46078</v>
      </c>
      <c r="K27" s="144">
        <v>46078</v>
      </c>
      <c r="U27" s="144">
        <v>46182</v>
      </c>
    </row>
    <row r="28" spans="1:21">
      <c r="A28" s="143" t="s">
        <v>953</v>
      </c>
      <c r="B28" s="143" t="s">
        <v>2277</v>
      </c>
      <c r="C28" s="143" t="s">
        <v>953</v>
      </c>
      <c r="D28" s="143">
        <v>20436771</v>
      </c>
      <c r="E28" s="143" t="s">
        <v>1100</v>
      </c>
      <c r="F28" s="143" t="s">
        <v>2256</v>
      </c>
      <c r="G28" s="143" t="s">
        <v>1213</v>
      </c>
      <c r="H28" s="143" t="s">
        <v>591</v>
      </c>
      <c r="J28" s="144">
        <v>46051</v>
      </c>
      <c r="K28" s="144">
        <v>46062</v>
      </c>
      <c r="L28" s="144"/>
      <c r="R28" s="144"/>
      <c r="U28" s="144">
        <v>46085</v>
      </c>
    </row>
    <row r="29" spans="1:21">
      <c r="A29" s="143" t="s">
        <v>953</v>
      </c>
      <c r="B29" s="143" t="s">
        <v>2277</v>
      </c>
      <c r="C29" s="143" t="s">
        <v>953</v>
      </c>
      <c r="D29" s="143">
        <v>20442672</v>
      </c>
      <c r="E29" s="143" t="s">
        <v>2252</v>
      </c>
      <c r="F29" s="143" t="s">
        <v>2256</v>
      </c>
      <c r="G29" s="143" t="s">
        <v>2250</v>
      </c>
      <c r="H29" s="143" t="s">
        <v>587</v>
      </c>
      <c r="I29" s="143" t="s">
        <v>1134</v>
      </c>
      <c r="J29" s="144">
        <v>46060</v>
      </c>
      <c r="K29" s="144">
        <v>46060</v>
      </c>
      <c r="L29" s="144">
        <v>46060</v>
      </c>
      <c r="R29" s="144">
        <v>46071</v>
      </c>
      <c r="U29" s="144">
        <v>46085</v>
      </c>
    </row>
    <row r="30" spans="1:21">
      <c r="A30" s="143" t="s">
        <v>953</v>
      </c>
      <c r="B30" s="143" t="s">
        <v>2278</v>
      </c>
      <c r="C30" s="143" t="s">
        <v>953</v>
      </c>
      <c r="D30" s="143">
        <v>20444109</v>
      </c>
      <c r="E30" s="143" t="s">
        <v>1110</v>
      </c>
      <c r="F30" s="143" t="s">
        <v>577</v>
      </c>
      <c r="G30" s="143" t="s">
        <v>2250</v>
      </c>
      <c r="H30" s="143" t="s">
        <v>587</v>
      </c>
      <c r="I30" s="143" t="s">
        <v>1165</v>
      </c>
      <c r="J30" s="144">
        <v>46062</v>
      </c>
      <c r="K30" s="144">
        <v>46062</v>
      </c>
      <c r="L30" s="144">
        <v>46062</v>
      </c>
      <c r="U30" s="144">
        <v>46078</v>
      </c>
    </row>
    <row r="31" spans="1:21">
      <c r="A31" s="143" t="s">
        <v>953</v>
      </c>
      <c r="B31" s="143" t="s">
        <v>2279</v>
      </c>
      <c r="C31" s="143" t="s">
        <v>953</v>
      </c>
      <c r="D31" s="143">
        <v>20413385</v>
      </c>
      <c r="E31" s="143" t="s">
        <v>1100</v>
      </c>
      <c r="F31" s="143" t="s">
        <v>577</v>
      </c>
      <c r="G31" s="143" t="s">
        <v>2246</v>
      </c>
      <c r="H31" s="143" t="s">
        <v>592</v>
      </c>
      <c r="J31" s="144">
        <v>46018</v>
      </c>
      <c r="K31" s="144">
        <v>46055</v>
      </c>
      <c r="T31" s="144">
        <v>46055</v>
      </c>
      <c r="U31" s="144">
        <v>46059</v>
      </c>
    </row>
    <row r="32" spans="1:21">
      <c r="A32" s="143" t="s">
        <v>953</v>
      </c>
      <c r="B32" s="143" t="s">
        <v>2280</v>
      </c>
      <c r="C32" s="143" t="s">
        <v>953</v>
      </c>
      <c r="D32" s="143">
        <v>20452742</v>
      </c>
      <c r="E32" s="143" t="s">
        <v>2245</v>
      </c>
      <c r="F32" s="143" t="s">
        <v>984</v>
      </c>
      <c r="G32" s="143" t="s">
        <v>2246</v>
      </c>
      <c r="H32" s="143" t="s">
        <v>587</v>
      </c>
      <c r="J32" s="144">
        <v>46072</v>
      </c>
      <c r="U32" s="144">
        <v>46113</v>
      </c>
    </row>
    <row r="33" spans="1:21">
      <c r="A33" s="143" t="s">
        <v>953</v>
      </c>
      <c r="B33" s="143" t="s">
        <v>2281</v>
      </c>
      <c r="C33" s="143" t="s">
        <v>953</v>
      </c>
      <c r="D33" s="143">
        <v>20455784</v>
      </c>
      <c r="E33" s="143" t="s">
        <v>2245</v>
      </c>
      <c r="F33" s="143" t="s">
        <v>579</v>
      </c>
      <c r="G33" s="143" t="s">
        <v>2248</v>
      </c>
      <c r="H33" s="143" t="s">
        <v>592</v>
      </c>
      <c r="J33" s="144">
        <v>46076</v>
      </c>
      <c r="U33" s="144">
        <v>46076</v>
      </c>
    </row>
    <row r="34" spans="1:21">
      <c r="A34" s="143" t="s">
        <v>953</v>
      </c>
      <c r="B34" s="143" t="s">
        <v>2282</v>
      </c>
      <c r="C34" s="143" t="s">
        <v>953</v>
      </c>
      <c r="D34" s="143">
        <v>20440321</v>
      </c>
      <c r="E34" s="143" t="s">
        <v>1100</v>
      </c>
      <c r="F34" s="143" t="s">
        <v>579</v>
      </c>
      <c r="G34" s="143" t="s">
        <v>2250</v>
      </c>
      <c r="H34" s="143" t="s">
        <v>587</v>
      </c>
      <c r="J34" s="144">
        <v>46056</v>
      </c>
      <c r="K34" s="144">
        <v>46056</v>
      </c>
      <c r="U34" s="144">
        <v>46056</v>
      </c>
    </row>
    <row r="35" spans="1:21">
      <c r="A35" s="143" t="s">
        <v>953</v>
      </c>
      <c r="B35" s="143" t="s">
        <v>2283</v>
      </c>
      <c r="C35" s="143" t="s">
        <v>953</v>
      </c>
      <c r="D35" s="143">
        <v>20438394</v>
      </c>
      <c r="E35" s="143" t="s">
        <v>2252</v>
      </c>
      <c r="F35" s="143" t="s">
        <v>577</v>
      </c>
      <c r="G35" s="143" t="s">
        <v>2250</v>
      </c>
      <c r="H35" s="143" t="s">
        <v>587</v>
      </c>
      <c r="I35" s="143" t="s">
        <v>1034</v>
      </c>
      <c r="J35" s="144">
        <v>46053</v>
      </c>
      <c r="K35" s="144">
        <v>46053</v>
      </c>
      <c r="L35" s="144">
        <v>46053</v>
      </c>
      <c r="R35" s="144">
        <v>46077</v>
      </c>
      <c r="U35" s="144">
        <v>46081</v>
      </c>
    </row>
    <row r="36" spans="1:21">
      <c r="A36" s="143" t="s">
        <v>953</v>
      </c>
      <c r="B36" s="143" t="s">
        <v>2284</v>
      </c>
      <c r="C36" s="143" t="s">
        <v>953</v>
      </c>
      <c r="D36" s="143">
        <v>20442372</v>
      </c>
      <c r="E36" s="143" t="s">
        <v>2245</v>
      </c>
      <c r="F36" s="143" t="s">
        <v>579</v>
      </c>
      <c r="G36" s="143" t="s">
        <v>2248</v>
      </c>
      <c r="H36" s="143" t="s">
        <v>588</v>
      </c>
      <c r="I36" s="143" t="s">
        <v>2285</v>
      </c>
      <c r="J36" s="144">
        <v>46059</v>
      </c>
      <c r="T36" s="144">
        <v>46070</v>
      </c>
      <c r="U36" s="144">
        <v>46066</v>
      </c>
    </row>
    <row r="37" spans="1:21">
      <c r="A37" s="143" t="s">
        <v>953</v>
      </c>
      <c r="B37" s="143" t="s">
        <v>2286</v>
      </c>
      <c r="C37" s="143" t="s">
        <v>953</v>
      </c>
      <c r="D37" s="143">
        <v>20439330</v>
      </c>
      <c r="E37" s="143" t="s">
        <v>2252</v>
      </c>
      <c r="F37" s="143" t="s">
        <v>577</v>
      </c>
      <c r="G37" s="143" t="s">
        <v>2248</v>
      </c>
      <c r="H37" s="143" t="s">
        <v>2287</v>
      </c>
      <c r="I37" s="143" t="s">
        <v>871</v>
      </c>
      <c r="J37" s="144">
        <v>46055</v>
      </c>
      <c r="K37" s="144">
        <v>46055</v>
      </c>
      <c r="L37" s="144">
        <v>46056</v>
      </c>
      <c r="S37" s="144">
        <v>46078</v>
      </c>
      <c r="U37" s="144">
        <v>46109</v>
      </c>
    </row>
    <row r="38" spans="1:21">
      <c r="A38" s="143" t="s">
        <v>953</v>
      </c>
      <c r="B38" s="143" t="s">
        <v>2286</v>
      </c>
      <c r="C38" s="143" t="s">
        <v>953</v>
      </c>
      <c r="D38" s="143">
        <v>20439559</v>
      </c>
      <c r="E38" s="143" t="s">
        <v>2252</v>
      </c>
      <c r="F38" s="143" t="s">
        <v>1115</v>
      </c>
      <c r="G38" s="143" t="s">
        <v>2250</v>
      </c>
      <c r="H38" s="143" t="s">
        <v>587</v>
      </c>
      <c r="I38" s="143" t="s">
        <v>2288</v>
      </c>
      <c r="J38" s="144">
        <v>46055</v>
      </c>
      <c r="K38" s="144">
        <v>46055</v>
      </c>
      <c r="R38" s="144">
        <v>46056</v>
      </c>
      <c r="U38" s="144">
        <v>46109</v>
      </c>
    </row>
    <row r="39" spans="1:21">
      <c r="A39" s="143" t="s">
        <v>953</v>
      </c>
      <c r="B39" s="143" t="s">
        <v>2289</v>
      </c>
      <c r="C39" s="143" t="s">
        <v>953</v>
      </c>
      <c r="D39" s="143">
        <v>20443741</v>
      </c>
      <c r="E39" s="143" t="s">
        <v>2245</v>
      </c>
      <c r="F39" s="143" t="s">
        <v>984</v>
      </c>
      <c r="G39" s="143" t="s">
        <v>2290</v>
      </c>
      <c r="H39" s="143" t="s">
        <v>587</v>
      </c>
      <c r="J39" s="144">
        <v>46062</v>
      </c>
      <c r="U39" s="144">
        <v>46082</v>
      </c>
    </row>
    <row r="40" spans="1:21">
      <c r="A40" s="143" t="s">
        <v>953</v>
      </c>
      <c r="B40" s="143" t="s">
        <v>2291</v>
      </c>
      <c r="C40" s="143" t="s">
        <v>953</v>
      </c>
      <c r="D40" s="143">
        <v>20443949</v>
      </c>
      <c r="E40" s="143" t="s">
        <v>2245</v>
      </c>
      <c r="F40" s="143" t="s">
        <v>984</v>
      </c>
      <c r="G40" s="143" t="s">
        <v>2259</v>
      </c>
      <c r="H40" s="143" t="s">
        <v>592</v>
      </c>
      <c r="J40" s="144">
        <v>46062</v>
      </c>
      <c r="U40" s="144">
        <v>46143</v>
      </c>
    </row>
    <row r="41" spans="1:21">
      <c r="A41" s="143" t="s">
        <v>953</v>
      </c>
      <c r="B41" s="143" t="s">
        <v>2292</v>
      </c>
      <c r="C41" s="143" t="s">
        <v>953</v>
      </c>
      <c r="D41" s="143">
        <v>20446658</v>
      </c>
      <c r="E41" s="143" t="s">
        <v>2252</v>
      </c>
      <c r="F41" s="143" t="s">
        <v>577</v>
      </c>
      <c r="G41" s="143" t="s">
        <v>2250</v>
      </c>
      <c r="H41" s="143" t="s">
        <v>587</v>
      </c>
      <c r="I41" s="143" t="s">
        <v>558</v>
      </c>
      <c r="J41" s="144">
        <v>46064</v>
      </c>
      <c r="K41" s="144">
        <v>46064</v>
      </c>
      <c r="L41" s="144">
        <v>46064</v>
      </c>
      <c r="R41" s="144">
        <v>46073</v>
      </c>
      <c r="U41" s="144">
        <v>46070</v>
      </c>
    </row>
    <row r="42" spans="1:21">
      <c r="A42" s="143" t="s">
        <v>953</v>
      </c>
      <c r="B42" s="143" t="s">
        <v>2293</v>
      </c>
      <c r="C42" s="143" t="s">
        <v>953</v>
      </c>
      <c r="D42" s="143">
        <v>20450641</v>
      </c>
      <c r="E42" s="143" t="s">
        <v>2245</v>
      </c>
      <c r="F42" s="143" t="s">
        <v>581</v>
      </c>
      <c r="G42" s="143" t="s">
        <v>2259</v>
      </c>
      <c r="H42" s="143" t="s">
        <v>587</v>
      </c>
      <c r="J42" s="144">
        <v>46070</v>
      </c>
      <c r="U42" s="144">
        <v>46070</v>
      </c>
    </row>
    <row r="43" spans="1:21">
      <c r="A43" s="143" t="s">
        <v>953</v>
      </c>
      <c r="B43" s="143" t="s">
        <v>2294</v>
      </c>
      <c r="C43" s="143" t="s">
        <v>953</v>
      </c>
      <c r="D43" s="143">
        <v>20451166</v>
      </c>
      <c r="E43" s="143" t="s">
        <v>1100</v>
      </c>
      <c r="F43" s="143" t="s">
        <v>1115</v>
      </c>
      <c r="G43" s="143" t="s">
        <v>2250</v>
      </c>
      <c r="H43" s="143" t="s">
        <v>587</v>
      </c>
      <c r="I43" s="143" t="s">
        <v>1705</v>
      </c>
      <c r="J43" s="144">
        <v>46071</v>
      </c>
      <c r="K43" s="144">
        <v>46071</v>
      </c>
      <c r="U43" s="144">
        <v>46088</v>
      </c>
    </row>
    <row r="44" spans="1:21">
      <c r="A44" s="143" t="s">
        <v>953</v>
      </c>
      <c r="B44" s="143" t="s">
        <v>2295</v>
      </c>
      <c r="C44" s="143" t="s">
        <v>953</v>
      </c>
      <c r="D44" s="143">
        <v>20439985</v>
      </c>
      <c r="E44" s="143" t="s">
        <v>1100</v>
      </c>
      <c r="F44" s="143" t="s">
        <v>578</v>
      </c>
      <c r="G44" s="143" t="s">
        <v>2250</v>
      </c>
      <c r="H44" s="143" t="s">
        <v>587</v>
      </c>
      <c r="J44" s="144">
        <v>46056</v>
      </c>
      <c r="K44" s="144">
        <v>46056</v>
      </c>
      <c r="U44" s="144">
        <v>46056</v>
      </c>
    </row>
    <row r="45" spans="1:21">
      <c r="A45" s="143" t="s">
        <v>953</v>
      </c>
      <c r="B45" s="143" t="s">
        <v>2296</v>
      </c>
      <c r="C45" s="143" t="s">
        <v>953</v>
      </c>
      <c r="D45" s="143">
        <v>20458531</v>
      </c>
      <c r="E45" s="143" t="s">
        <v>1100</v>
      </c>
      <c r="F45" s="143" t="s">
        <v>581</v>
      </c>
      <c r="G45" s="143" t="s">
        <v>2250</v>
      </c>
      <c r="H45" s="143" t="s">
        <v>587</v>
      </c>
      <c r="J45" s="144">
        <v>46079</v>
      </c>
      <c r="K45" s="144">
        <v>46079</v>
      </c>
      <c r="U45" s="144">
        <v>46143</v>
      </c>
    </row>
    <row r="46" spans="1:21">
      <c r="A46" s="143" t="s">
        <v>953</v>
      </c>
      <c r="B46" s="143" t="s">
        <v>2297</v>
      </c>
      <c r="C46" s="143" t="s">
        <v>953</v>
      </c>
      <c r="D46" s="143">
        <v>20435970</v>
      </c>
      <c r="E46" s="143" t="s">
        <v>2252</v>
      </c>
      <c r="F46" s="143" t="s">
        <v>577</v>
      </c>
      <c r="G46" s="143" t="s">
        <v>2250</v>
      </c>
      <c r="H46" s="143" t="s">
        <v>587</v>
      </c>
      <c r="I46" s="143" t="s">
        <v>2298</v>
      </c>
      <c r="J46" s="144">
        <v>46050</v>
      </c>
      <c r="K46" s="144">
        <v>46050</v>
      </c>
      <c r="L46" s="144">
        <v>46050</v>
      </c>
      <c r="R46" s="144">
        <v>46071</v>
      </c>
      <c r="U46" s="144">
        <v>46073</v>
      </c>
    </row>
    <row r="47" spans="1:21">
      <c r="A47" s="143" t="s">
        <v>953</v>
      </c>
      <c r="B47" s="143" t="s">
        <v>2299</v>
      </c>
      <c r="C47" s="143" t="s">
        <v>953</v>
      </c>
      <c r="D47" s="143">
        <v>20441063</v>
      </c>
      <c r="E47" s="143" t="s">
        <v>2245</v>
      </c>
      <c r="F47" s="143" t="s">
        <v>984</v>
      </c>
      <c r="G47" s="143" t="s">
        <v>2259</v>
      </c>
      <c r="H47" s="143" t="s">
        <v>593</v>
      </c>
      <c r="J47" s="144">
        <v>46057</v>
      </c>
      <c r="U47" s="144">
        <v>46057</v>
      </c>
    </row>
    <row r="48" spans="1:21">
      <c r="A48" s="143" t="s">
        <v>953</v>
      </c>
      <c r="B48" s="143" t="s">
        <v>2300</v>
      </c>
      <c r="C48" s="143" t="s">
        <v>953</v>
      </c>
      <c r="D48" s="143">
        <v>20440723</v>
      </c>
      <c r="E48" s="143" t="s">
        <v>2245</v>
      </c>
      <c r="F48" s="143" t="s">
        <v>984</v>
      </c>
      <c r="G48" s="143" t="s">
        <v>2259</v>
      </c>
      <c r="H48" s="143" t="s">
        <v>592</v>
      </c>
      <c r="J48" s="144">
        <v>46057</v>
      </c>
      <c r="U48" s="144">
        <v>46057</v>
      </c>
    </row>
    <row r="49" spans="1:21">
      <c r="A49" s="143" t="s">
        <v>953</v>
      </c>
      <c r="B49" s="143" t="s">
        <v>2301</v>
      </c>
      <c r="C49" s="143" t="s">
        <v>953</v>
      </c>
      <c r="D49" s="143">
        <v>20454877</v>
      </c>
      <c r="E49" s="143" t="s">
        <v>2245</v>
      </c>
      <c r="F49" s="143" t="s">
        <v>579</v>
      </c>
      <c r="G49" s="143" t="s">
        <v>2248</v>
      </c>
      <c r="H49" s="143" t="s">
        <v>2287</v>
      </c>
      <c r="J49" s="144">
        <v>46074</v>
      </c>
      <c r="U49" s="144">
        <v>46074</v>
      </c>
    </row>
    <row r="50" spans="1:21">
      <c r="A50" s="143" t="s">
        <v>953</v>
      </c>
      <c r="B50" s="143" t="s">
        <v>1657</v>
      </c>
      <c r="C50" s="143" t="s">
        <v>953</v>
      </c>
      <c r="D50" s="143">
        <v>20458274</v>
      </c>
      <c r="E50" s="143" t="s">
        <v>2302</v>
      </c>
      <c r="F50" s="143" t="s">
        <v>1115</v>
      </c>
      <c r="G50" s="143" t="s">
        <v>2250</v>
      </c>
      <c r="H50" s="143" t="s">
        <v>587</v>
      </c>
      <c r="I50" s="143" t="s">
        <v>1388</v>
      </c>
      <c r="J50" s="144">
        <v>46079</v>
      </c>
      <c r="K50" s="144">
        <v>46079</v>
      </c>
      <c r="L50" s="144">
        <v>46080</v>
      </c>
      <c r="M50" s="144">
        <v>46080</v>
      </c>
      <c r="N50" s="144">
        <v>46080</v>
      </c>
      <c r="P50" s="144">
        <v>46080</v>
      </c>
      <c r="U50" s="144">
        <v>46081</v>
      </c>
    </row>
    <row r="51" spans="1:21">
      <c r="A51" s="143" t="s">
        <v>953</v>
      </c>
      <c r="B51" s="143" t="s">
        <v>2303</v>
      </c>
      <c r="C51" s="143" t="s">
        <v>953</v>
      </c>
      <c r="D51" s="143">
        <v>20440792</v>
      </c>
      <c r="E51" s="143" t="s">
        <v>2245</v>
      </c>
      <c r="F51" s="143" t="s">
        <v>579</v>
      </c>
      <c r="G51" s="143" t="s">
        <v>2248</v>
      </c>
      <c r="H51" s="143" t="s">
        <v>588</v>
      </c>
      <c r="J51" s="144">
        <v>46057</v>
      </c>
      <c r="U51" s="144">
        <v>46057</v>
      </c>
    </row>
    <row r="52" spans="1:21">
      <c r="A52" s="143" t="s">
        <v>953</v>
      </c>
      <c r="B52" s="143" t="s">
        <v>2304</v>
      </c>
      <c r="C52" s="143" t="s">
        <v>953</v>
      </c>
      <c r="D52" s="143">
        <v>20442006</v>
      </c>
      <c r="E52" s="143" t="s">
        <v>2252</v>
      </c>
      <c r="F52" s="143" t="s">
        <v>578</v>
      </c>
      <c r="G52" s="143" t="s">
        <v>2246</v>
      </c>
      <c r="H52" s="143" t="s">
        <v>587</v>
      </c>
      <c r="I52" s="143" t="s">
        <v>1151</v>
      </c>
      <c r="J52" s="144">
        <v>46059</v>
      </c>
      <c r="K52" s="144">
        <v>46060</v>
      </c>
      <c r="L52" s="144">
        <v>46060</v>
      </c>
      <c r="S52" s="144">
        <v>46068</v>
      </c>
      <c r="U52" s="144">
        <v>46066</v>
      </c>
    </row>
    <row r="53" spans="1:21">
      <c r="A53" s="143" t="s">
        <v>953</v>
      </c>
      <c r="B53" s="143" t="s">
        <v>2305</v>
      </c>
      <c r="C53" s="143" t="s">
        <v>953</v>
      </c>
      <c r="D53" s="143">
        <v>20451183</v>
      </c>
      <c r="E53" s="143" t="s">
        <v>1110</v>
      </c>
      <c r="F53" s="143" t="s">
        <v>577</v>
      </c>
      <c r="G53" s="143" t="s">
        <v>2250</v>
      </c>
      <c r="H53" s="143" t="s">
        <v>589</v>
      </c>
      <c r="I53" s="143" t="s">
        <v>854</v>
      </c>
      <c r="J53" s="144">
        <v>46071</v>
      </c>
      <c r="K53" s="144">
        <v>46071</v>
      </c>
      <c r="L53" s="144">
        <v>46071</v>
      </c>
      <c r="U53" s="144">
        <v>46086</v>
      </c>
    </row>
    <row r="54" spans="1:21">
      <c r="A54" s="143" t="s">
        <v>953</v>
      </c>
      <c r="B54" s="143" t="s">
        <v>2306</v>
      </c>
      <c r="C54" s="143" t="s">
        <v>953</v>
      </c>
      <c r="D54" s="143">
        <v>20452647</v>
      </c>
      <c r="E54" s="143" t="s">
        <v>2245</v>
      </c>
      <c r="F54" s="143" t="s">
        <v>984</v>
      </c>
      <c r="G54" s="143" t="s">
        <v>2246</v>
      </c>
      <c r="H54" s="143" t="s">
        <v>587</v>
      </c>
      <c r="J54" s="144">
        <v>46071</v>
      </c>
      <c r="U54" s="144">
        <v>46113</v>
      </c>
    </row>
    <row r="55" spans="1:21">
      <c r="A55" s="143" t="s">
        <v>953</v>
      </c>
      <c r="B55" s="143" t="s">
        <v>2307</v>
      </c>
      <c r="C55" s="143" t="s">
        <v>953</v>
      </c>
      <c r="D55" s="143">
        <v>20442733</v>
      </c>
      <c r="E55" s="143" t="s">
        <v>2245</v>
      </c>
      <c r="F55" s="143" t="s">
        <v>984</v>
      </c>
      <c r="G55" s="143" t="s">
        <v>2259</v>
      </c>
      <c r="H55" s="143" t="s">
        <v>593</v>
      </c>
      <c r="J55" s="144">
        <v>46060</v>
      </c>
      <c r="U55" s="144">
        <v>46060</v>
      </c>
    </row>
    <row r="56" spans="1:21">
      <c r="A56" s="143" t="s">
        <v>953</v>
      </c>
      <c r="B56" s="143" t="s">
        <v>2308</v>
      </c>
      <c r="C56" s="143" t="s">
        <v>953</v>
      </c>
      <c r="D56" s="143">
        <v>20453959</v>
      </c>
      <c r="E56" s="143" t="s">
        <v>2245</v>
      </c>
      <c r="F56" s="143" t="s">
        <v>581</v>
      </c>
      <c r="G56" s="143" t="s">
        <v>1213</v>
      </c>
      <c r="H56" s="143" t="s">
        <v>592</v>
      </c>
      <c r="J56" s="144">
        <v>46073</v>
      </c>
      <c r="U56" s="144">
        <v>46073</v>
      </c>
    </row>
    <row r="57" spans="1:21">
      <c r="A57" s="143" t="s">
        <v>953</v>
      </c>
      <c r="B57" s="143" t="s">
        <v>2309</v>
      </c>
      <c r="C57" s="143" t="s">
        <v>953</v>
      </c>
      <c r="D57" s="143">
        <v>20442676</v>
      </c>
      <c r="E57" s="143" t="s">
        <v>2245</v>
      </c>
      <c r="F57" s="143" t="s">
        <v>577</v>
      </c>
      <c r="G57" s="143" t="s">
        <v>2248</v>
      </c>
      <c r="H57" s="143" t="s">
        <v>591</v>
      </c>
      <c r="I57" s="143" t="s">
        <v>1151</v>
      </c>
      <c r="J57" s="144">
        <v>46060</v>
      </c>
      <c r="U57" s="144">
        <v>46060</v>
      </c>
    </row>
    <row r="58" spans="1:21">
      <c r="A58" s="143" t="s">
        <v>953</v>
      </c>
      <c r="B58" s="143" t="s">
        <v>2310</v>
      </c>
      <c r="C58" s="143" t="s">
        <v>953</v>
      </c>
      <c r="D58" s="143">
        <v>20441809</v>
      </c>
      <c r="E58" s="143" t="s">
        <v>2245</v>
      </c>
      <c r="F58" s="143" t="s">
        <v>579</v>
      </c>
      <c r="G58" s="143" t="s">
        <v>2248</v>
      </c>
      <c r="H58" s="143" t="s">
        <v>592</v>
      </c>
      <c r="J58" s="144">
        <v>46058</v>
      </c>
      <c r="U58" s="144">
        <v>46058</v>
      </c>
    </row>
    <row r="59" spans="1:21">
      <c r="A59" s="143" t="s">
        <v>953</v>
      </c>
      <c r="B59" s="143" t="s">
        <v>2311</v>
      </c>
      <c r="C59" s="143" t="s">
        <v>953</v>
      </c>
      <c r="D59" s="143">
        <v>20448448</v>
      </c>
      <c r="E59" s="143" t="s">
        <v>1104</v>
      </c>
      <c r="F59" s="143" t="s">
        <v>581</v>
      </c>
      <c r="G59" s="143" t="s">
        <v>2250</v>
      </c>
      <c r="H59" s="143" t="s">
        <v>587</v>
      </c>
      <c r="I59" s="143" t="s">
        <v>2288</v>
      </c>
      <c r="J59" s="144">
        <v>46066</v>
      </c>
      <c r="K59" s="144">
        <v>46066</v>
      </c>
      <c r="L59" s="144">
        <v>46077</v>
      </c>
      <c r="U59" s="144">
        <v>46160</v>
      </c>
    </row>
    <row r="60" spans="1:21">
      <c r="A60" s="143" t="s">
        <v>953</v>
      </c>
      <c r="B60" s="143" t="s">
        <v>2312</v>
      </c>
      <c r="C60" s="143" t="s">
        <v>953</v>
      </c>
      <c r="D60" s="143">
        <v>20457839</v>
      </c>
      <c r="E60" s="143" t="s">
        <v>1110</v>
      </c>
      <c r="F60" s="143" t="s">
        <v>577</v>
      </c>
      <c r="G60" s="143" t="s">
        <v>2250</v>
      </c>
      <c r="H60" s="143" t="s">
        <v>587</v>
      </c>
      <c r="I60" s="143" t="s">
        <v>1171</v>
      </c>
      <c r="J60" s="144">
        <v>46079</v>
      </c>
      <c r="K60" s="144">
        <v>46079</v>
      </c>
      <c r="L60" s="144">
        <v>46079</v>
      </c>
      <c r="U60" s="144">
        <v>46083</v>
      </c>
    </row>
    <row r="61" spans="1:21">
      <c r="A61" s="143" t="s">
        <v>953</v>
      </c>
      <c r="B61" s="143" t="s">
        <v>2313</v>
      </c>
      <c r="C61" s="143" t="s">
        <v>953</v>
      </c>
      <c r="D61" s="143">
        <v>20456772</v>
      </c>
      <c r="E61" s="143" t="s">
        <v>1100</v>
      </c>
      <c r="F61" s="143" t="s">
        <v>578</v>
      </c>
      <c r="G61" s="143" t="s">
        <v>2250</v>
      </c>
      <c r="H61" s="143" t="s">
        <v>591</v>
      </c>
      <c r="I61" s="143" t="s">
        <v>986</v>
      </c>
      <c r="J61" s="144">
        <v>46077</v>
      </c>
      <c r="K61" s="144">
        <v>46077</v>
      </c>
      <c r="U61" s="144">
        <v>46127</v>
      </c>
    </row>
    <row r="62" spans="1:21">
      <c r="A62" s="143" t="s">
        <v>953</v>
      </c>
      <c r="B62" s="143" t="s">
        <v>2314</v>
      </c>
      <c r="C62" s="143" t="s">
        <v>953</v>
      </c>
      <c r="D62" s="143">
        <v>20428192</v>
      </c>
      <c r="E62" s="143" t="s">
        <v>2252</v>
      </c>
      <c r="F62" s="143" t="s">
        <v>577</v>
      </c>
      <c r="G62" s="143" t="s">
        <v>2250</v>
      </c>
      <c r="H62" s="143" t="s">
        <v>587</v>
      </c>
      <c r="I62" s="143" t="s">
        <v>2315</v>
      </c>
      <c r="J62" s="144">
        <v>46037</v>
      </c>
      <c r="K62" s="144">
        <v>46037</v>
      </c>
      <c r="L62" s="144">
        <v>46064</v>
      </c>
      <c r="R62" s="144">
        <v>46077</v>
      </c>
      <c r="U62" s="144">
        <v>46078</v>
      </c>
    </row>
    <row r="63" spans="1:21">
      <c r="A63" s="143" t="s">
        <v>953</v>
      </c>
      <c r="B63" s="143" t="s">
        <v>2314</v>
      </c>
      <c r="C63" s="143" t="s">
        <v>953</v>
      </c>
      <c r="D63" s="143">
        <v>20442534</v>
      </c>
      <c r="E63" s="143" t="s">
        <v>2252</v>
      </c>
      <c r="F63" s="143" t="s">
        <v>1115</v>
      </c>
      <c r="G63" s="143" t="s">
        <v>2250</v>
      </c>
      <c r="H63" s="143" t="s">
        <v>587</v>
      </c>
      <c r="I63" s="143" t="s">
        <v>1171</v>
      </c>
      <c r="J63" s="144">
        <v>46059</v>
      </c>
      <c r="K63" s="144">
        <v>46059</v>
      </c>
      <c r="L63" s="144"/>
      <c r="R63" s="144">
        <v>46065</v>
      </c>
      <c r="U63" s="144">
        <v>46073</v>
      </c>
    </row>
    <row r="64" spans="1:21">
      <c r="A64" s="143" t="s">
        <v>953</v>
      </c>
      <c r="B64" s="143" t="s">
        <v>2316</v>
      </c>
      <c r="C64" s="143" t="s">
        <v>953</v>
      </c>
      <c r="D64" s="143">
        <v>20452081</v>
      </c>
      <c r="E64" s="143" t="s">
        <v>2245</v>
      </c>
      <c r="F64" s="143" t="s">
        <v>984</v>
      </c>
      <c r="G64" s="143" t="s">
        <v>2259</v>
      </c>
      <c r="H64" s="143" t="s">
        <v>592</v>
      </c>
      <c r="J64" s="144">
        <v>46071</v>
      </c>
      <c r="U64" s="144">
        <v>46071</v>
      </c>
    </row>
    <row r="65" spans="1:21">
      <c r="A65" s="143" t="s">
        <v>953</v>
      </c>
      <c r="B65" s="143" t="s">
        <v>2317</v>
      </c>
      <c r="C65" s="143" t="s">
        <v>953</v>
      </c>
      <c r="D65" s="143">
        <v>20454986</v>
      </c>
      <c r="E65" s="143" t="s">
        <v>2245</v>
      </c>
      <c r="F65" s="143" t="s">
        <v>581</v>
      </c>
      <c r="G65" s="143" t="s">
        <v>2290</v>
      </c>
      <c r="H65" s="143" t="s">
        <v>587</v>
      </c>
      <c r="J65" s="144">
        <v>46074</v>
      </c>
      <c r="U65" s="144">
        <v>46074</v>
      </c>
    </row>
    <row r="66" spans="1:21">
      <c r="A66" s="143" t="s">
        <v>953</v>
      </c>
      <c r="B66" s="143" t="s">
        <v>1114</v>
      </c>
      <c r="C66" s="143" t="s">
        <v>953</v>
      </c>
      <c r="D66" s="143">
        <v>20447674</v>
      </c>
      <c r="E66" s="143" t="s">
        <v>1100</v>
      </c>
      <c r="F66" s="143" t="s">
        <v>1115</v>
      </c>
      <c r="G66" s="143" t="s">
        <v>2250</v>
      </c>
      <c r="H66" s="143" t="s">
        <v>587</v>
      </c>
      <c r="I66" s="143" t="s">
        <v>1113</v>
      </c>
      <c r="J66" s="144">
        <v>46065</v>
      </c>
      <c r="K66" s="144">
        <v>46065</v>
      </c>
      <c r="U66" s="144">
        <v>46072</v>
      </c>
    </row>
    <row r="67" spans="1:21">
      <c r="A67" s="143" t="s">
        <v>953</v>
      </c>
      <c r="B67" s="143" t="s">
        <v>2318</v>
      </c>
      <c r="C67" s="143" t="s">
        <v>953</v>
      </c>
      <c r="D67" s="143">
        <v>20453256</v>
      </c>
      <c r="E67" s="143" t="s">
        <v>1100</v>
      </c>
      <c r="F67" s="143" t="s">
        <v>1115</v>
      </c>
      <c r="G67" s="143" t="s">
        <v>2250</v>
      </c>
      <c r="H67" s="143" t="s">
        <v>587</v>
      </c>
      <c r="J67" s="144">
        <v>46072</v>
      </c>
      <c r="K67" s="144">
        <v>46072</v>
      </c>
      <c r="U67" s="144">
        <v>46072</v>
      </c>
    </row>
    <row r="68" spans="1:21">
      <c r="A68" s="143" t="s">
        <v>953</v>
      </c>
      <c r="B68" s="143" t="s">
        <v>2319</v>
      </c>
      <c r="C68" s="143" t="s">
        <v>953</v>
      </c>
      <c r="D68" s="143">
        <v>20458765</v>
      </c>
      <c r="E68" s="143" t="s">
        <v>1100</v>
      </c>
      <c r="F68" s="143" t="s">
        <v>1115</v>
      </c>
      <c r="G68" s="143" t="s">
        <v>2250</v>
      </c>
      <c r="H68" s="143" t="s">
        <v>587</v>
      </c>
      <c r="I68" s="143" t="s">
        <v>1010</v>
      </c>
      <c r="J68" s="144">
        <v>46080</v>
      </c>
      <c r="K68" s="144">
        <v>46080</v>
      </c>
      <c r="U68" s="144">
        <v>46080</v>
      </c>
    </row>
    <row r="69" spans="1:21">
      <c r="A69" s="143" t="s">
        <v>953</v>
      </c>
      <c r="B69" s="143" t="s">
        <v>2320</v>
      </c>
      <c r="C69" s="143" t="s">
        <v>953</v>
      </c>
      <c r="D69" s="143">
        <v>20450400</v>
      </c>
      <c r="E69" s="143" t="s">
        <v>2245</v>
      </c>
      <c r="F69" s="143" t="s">
        <v>984</v>
      </c>
      <c r="G69" s="143" t="s">
        <v>2246</v>
      </c>
      <c r="H69" s="143" t="s">
        <v>587</v>
      </c>
      <c r="J69" s="144">
        <v>46070</v>
      </c>
      <c r="U69" s="144">
        <v>46143</v>
      </c>
    </row>
    <row r="70" spans="1:21">
      <c r="A70" s="143" t="s">
        <v>953</v>
      </c>
      <c r="B70" s="143" t="s">
        <v>2321</v>
      </c>
      <c r="C70" s="143" t="s">
        <v>953</v>
      </c>
      <c r="D70" s="143">
        <v>20455740</v>
      </c>
      <c r="E70" s="143" t="s">
        <v>2245</v>
      </c>
      <c r="F70" s="143" t="s">
        <v>581</v>
      </c>
      <c r="G70" s="143" t="s">
        <v>1213</v>
      </c>
      <c r="H70" s="143" t="s">
        <v>588</v>
      </c>
      <c r="J70" s="144">
        <v>46076</v>
      </c>
      <c r="U70" s="144">
        <v>46091</v>
      </c>
    </row>
    <row r="71" spans="1:21">
      <c r="A71" s="143" t="s">
        <v>953</v>
      </c>
      <c r="B71" s="143" t="s">
        <v>2322</v>
      </c>
      <c r="C71" s="143" t="s">
        <v>953</v>
      </c>
      <c r="D71" s="143">
        <v>20442940</v>
      </c>
      <c r="E71" s="143" t="s">
        <v>2252</v>
      </c>
      <c r="F71" s="143" t="s">
        <v>577</v>
      </c>
      <c r="G71" s="143" t="s">
        <v>2250</v>
      </c>
      <c r="H71" s="143" t="s">
        <v>587</v>
      </c>
      <c r="I71" s="143" t="s">
        <v>1813</v>
      </c>
      <c r="J71" s="144">
        <v>46060</v>
      </c>
      <c r="K71" s="144">
        <v>46060</v>
      </c>
      <c r="L71" s="144">
        <v>46061</v>
      </c>
      <c r="R71" s="144">
        <v>46073</v>
      </c>
      <c r="U71" s="144">
        <v>46074</v>
      </c>
    </row>
    <row r="72" spans="1:21">
      <c r="A72" s="143" t="s">
        <v>953</v>
      </c>
      <c r="B72" s="143" t="s">
        <v>2323</v>
      </c>
      <c r="C72" s="143" t="s">
        <v>953</v>
      </c>
      <c r="D72" s="143">
        <v>20414514</v>
      </c>
      <c r="E72" s="143" t="s">
        <v>2324</v>
      </c>
      <c r="F72" s="143" t="s">
        <v>578</v>
      </c>
      <c r="G72" s="143" t="s">
        <v>2259</v>
      </c>
      <c r="H72" s="143" t="s">
        <v>587</v>
      </c>
      <c r="I72" s="143" t="s">
        <v>2325</v>
      </c>
      <c r="J72" s="144">
        <v>46020</v>
      </c>
      <c r="K72" s="144">
        <v>46059</v>
      </c>
      <c r="L72" s="144">
        <v>46059</v>
      </c>
      <c r="M72" s="144">
        <v>46064</v>
      </c>
      <c r="N72" s="144">
        <v>46070</v>
      </c>
      <c r="P72" s="144">
        <v>46070</v>
      </c>
      <c r="Q72" s="144">
        <v>46071</v>
      </c>
      <c r="U72" s="144">
        <v>46079</v>
      </c>
    </row>
    <row r="73" spans="1:21">
      <c r="A73" s="143" t="s">
        <v>953</v>
      </c>
      <c r="B73" s="143" t="s">
        <v>2326</v>
      </c>
      <c r="C73" s="143" t="s">
        <v>953</v>
      </c>
      <c r="D73" s="143">
        <v>20454767</v>
      </c>
      <c r="E73" s="143" t="s">
        <v>2245</v>
      </c>
      <c r="F73" s="143" t="s">
        <v>579</v>
      </c>
      <c r="G73" s="143" t="s">
        <v>2248</v>
      </c>
      <c r="H73" s="143" t="s">
        <v>588</v>
      </c>
      <c r="J73" s="144">
        <v>46074</v>
      </c>
      <c r="U73" s="144">
        <v>46074</v>
      </c>
    </row>
    <row r="74" spans="1:21">
      <c r="A74" s="143" t="s">
        <v>953</v>
      </c>
      <c r="B74" s="143" t="s">
        <v>2327</v>
      </c>
      <c r="C74" s="143" t="s">
        <v>953</v>
      </c>
      <c r="D74" s="143">
        <v>20442118</v>
      </c>
      <c r="E74" s="143" t="s">
        <v>2252</v>
      </c>
      <c r="F74" s="143" t="s">
        <v>577</v>
      </c>
      <c r="G74" s="143" t="s">
        <v>2250</v>
      </c>
      <c r="H74" s="143" t="s">
        <v>587</v>
      </c>
      <c r="I74" s="143" t="s">
        <v>1347</v>
      </c>
      <c r="J74" s="144">
        <v>46059</v>
      </c>
      <c r="K74" s="144">
        <v>46059</v>
      </c>
      <c r="R74" s="144">
        <v>46059</v>
      </c>
      <c r="U74" s="144">
        <v>46069</v>
      </c>
    </row>
    <row r="75" spans="1:21">
      <c r="A75" s="143" t="s">
        <v>953</v>
      </c>
      <c r="B75" s="143" t="s">
        <v>2327</v>
      </c>
      <c r="C75" s="143" t="s">
        <v>953</v>
      </c>
      <c r="D75" s="143">
        <v>20441472</v>
      </c>
      <c r="E75" s="143" t="s">
        <v>2252</v>
      </c>
      <c r="F75" s="143" t="s">
        <v>577</v>
      </c>
      <c r="G75" s="143" t="s">
        <v>2248</v>
      </c>
      <c r="H75" s="143" t="s">
        <v>589</v>
      </c>
      <c r="I75" s="143" t="s">
        <v>1347</v>
      </c>
      <c r="J75" s="144">
        <v>46058</v>
      </c>
      <c r="K75" s="144">
        <v>46059</v>
      </c>
      <c r="L75" s="144">
        <v>46059</v>
      </c>
      <c r="R75" s="144">
        <v>46071</v>
      </c>
      <c r="U75" s="144">
        <v>46073</v>
      </c>
    </row>
    <row r="76" spans="1:21">
      <c r="A76" s="143" t="s">
        <v>953</v>
      </c>
      <c r="B76" s="143" t="s">
        <v>2328</v>
      </c>
      <c r="C76" s="143" t="s">
        <v>953</v>
      </c>
      <c r="D76" s="143">
        <v>20445913</v>
      </c>
      <c r="E76" s="143" t="s">
        <v>1212</v>
      </c>
      <c r="F76" s="143" t="s">
        <v>578</v>
      </c>
      <c r="G76" s="143" t="s">
        <v>2250</v>
      </c>
      <c r="H76" s="143" t="s">
        <v>587</v>
      </c>
      <c r="I76" s="143" t="s">
        <v>1682</v>
      </c>
      <c r="J76" s="144">
        <v>46064</v>
      </c>
      <c r="K76" s="144">
        <v>46064</v>
      </c>
      <c r="L76" s="144">
        <v>46064</v>
      </c>
      <c r="M76" s="144">
        <v>46077</v>
      </c>
      <c r="U76" s="144">
        <v>46085</v>
      </c>
    </row>
    <row r="77" spans="1:21">
      <c r="A77" s="143" t="s">
        <v>953</v>
      </c>
      <c r="B77" s="143" t="s">
        <v>2328</v>
      </c>
      <c r="C77" s="143" t="s">
        <v>953</v>
      </c>
      <c r="D77" s="143">
        <v>20441183</v>
      </c>
      <c r="E77" s="143" t="s">
        <v>2252</v>
      </c>
      <c r="F77" s="143" t="s">
        <v>578</v>
      </c>
      <c r="G77" s="143" t="s">
        <v>2250</v>
      </c>
      <c r="H77" s="143" t="s">
        <v>587</v>
      </c>
      <c r="I77" s="143" t="s">
        <v>1142</v>
      </c>
      <c r="J77" s="144">
        <v>46057</v>
      </c>
      <c r="K77" s="144">
        <v>46057</v>
      </c>
      <c r="L77" s="144">
        <v>46057</v>
      </c>
      <c r="R77" s="144">
        <v>46073</v>
      </c>
      <c r="U77" s="144">
        <v>46085</v>
      </c>
    </row>
    <row r="78" spans="1:21">
      <c r="A78" s="143" t="s">
        <v>953</v>
      </c>
      <c r="B78" s="143" t="s">
        <v>2329</v>
      </c>
      <c r="C78" s="143" t="s">
        <v>953</v>
      </c>
      <c r="D78" s="143">
        <v>20442536</v>
      </c>
      <c r="E78" s="143" t="s">
        <v>2245</v>
      </c>
      <c r="F78" s="143" t="s">
        <v>581</v>
      </c>
      <c r="G78" s="143" t="s">
        <v>2246</v>
      </c>
      <c r="H78" s="143" t="s">
        <v>587</v>
      </c>
      <c r="J78" s="144">
        <v>46059</v>
      </c>
      <c r="U78" s="144">
        <v>46074</v>
      </c>
    </row>
    <row r="79" spans="1:21">
      <c r="A79" s="143" t="s">
        <v>953</v>
      </c>
      <c r="B79" s="143" t="s">
        <v>2330</v>
      </c>
      <c r="C79" s="143" t="s">
        <v>953</v>
      </c>
      <c r="D79" s="143">
        <v>20454340</v>
      </c>
      <c r="E79" s="143" t="s">
        <v>1110</v>
      </c>
      <c r="F79" s="143" t="s">
        <v>577</v>
      </c>
      <c r="G79" s="143" t="s">
        <v>2250</v>
      </c>
      <c r="H79" s="143" t="s">
        <v>590</v>
      </c>
      <c r="I79" s="143" t="s">
        <v>998</v>
      </c>
      <c r="J79" s="144">
        <v>46073</v>
      </c>
      <c r="K79" s="144">
        <v>46073</v>
      </c>
      <c r="L79" s="144">
        <v>46077</v>
      </c>
      <c r="U79" s="144">
        <v>46087</v>
      </c>
    </row>
    <row r="80" spans="1:21">
      <c r="A80" s="143" t="s">
        <v>953</v>
      </c>
      <c r="B80" s="143" t="s">
        <v>2331</v>
      </c>
      <c r="C80" s="143" t="s">
        <v>953</v>
      </c>
      <c r="D80" s="143">
        <v>20444078</v>
      </c>
      <c r="E80" s="143" t="s">
        <v>2245</v>
      </c>
      <c r="F80" s="143" t="s">
        <v>581</v>
      </c>
      <c r="G80" s="143" t="s">
        <v>2290</v>
      </c>
      <c r="H80" s="143" t="s">
        <v>591</v>
      </c>
      <c r="J80" s="144">
        <v>46062</v>
      </c>
      <c r="U80" s="144">
        <v>46115</v>
      </c>
    </row>
    <row r="81" spans="1:21">
      <c r="A81" s="143" t="s">
        <v>953</v>
      </c>
      <c r="B81" s="143" t="s">
        <v>2332</v>
      </c>
      <c r="C81" s="143" t="s">
        <v>953</v>
      </c>
      <c r="D81" s="143">
        <v>20455908</v>
      </c>
      <c r="E81" s="143" t="s">
        <v>1100</v>
      </c>
      <c r="F81" s="143" t="s">
        <v>581</v>
      </c>
      <c r="G81" s="143" t="s">
        <v>2250</v>
      </c>
      <c r="H81" s="143" t="s">
        <v>589</v>
      </c>
      <c r="I81" s="143" t="s">
        <v>876</v>
      </c>
      <c r="J81" s="144">
        <v>46076</v>
      </c>
      <c r="K81" s="144">
        <v>46076</v>
      </c>
      <c r="U81" s="144">
        <v>46113</v>
      </c>
    </row>
    <row r="82" spans="1:21">
      <c r="A82" s="143" t="s">
        <v>953</v>
      </c>
      <c r="B82" s="143" t="s">
        <v>2333</v>
      </c>
      <c r="C82" s="143" t="s">
        <v>953</v>
      </c>
      <c r="D82" s="143">
        <v>20441040</v>
      </c>
      <c r="E82" s="143" t="s">
        <v>2245</v>
      </c>
      <c r="F82" s="143" t="s">
        <v>581</v>
      </c>
      <c r="G82" s="143" t="s">
        <v>2248</v>
      </c>
      <c r="H82" s="143" t="s">
        <v>592</v>
      </c>
      <c r="J82" s="144">
        <v>46057</v>
      </c>
      <c r="U82" s="144">
        <v>46081</v>
      </c>
    </row>
    <row r="83" spans="1:21">
      <c r="A83" s="143" t="s">
        <v>953</v>
      </c>
      <c r="B83" s="143" t="s">
        <v>2334</v>
      </c>
      <c r="C83" s="143" t="s">
        <v>953</v>
      </c>
      <c r="D83" s="143">
        <v>20429522</v>
      </c>
      <c r="E83" s="143" t="s">
        <v>1100</v>
      </c>
      <c r="F83" s="143" t="s">
        <v>578</v>
      </c>
      <c r="G83" s="143" t="s">
        <v>2248</v>
      </c>
      <c r="H83" s="143" t="s">
        <v>588</v>
      </c>
      <c r="J83" s="144">
        <v>46039</v>
      </c>
      <c r="K83" s="144">
        <v>46081</v>
      </c>
      <c r="U83" s="144">
        <v>46053</v>
      </c>
    </row>
    <row r="84" spans="1:21">
      <c r="A84" s="143" t="s">
        <v>953</v>
      </c>
      <c r="B84" s="143" t="s">
        <v>2334</v>
      </c>
      <c r="C84" s="143" t="s">
        <v>953</v>
      </c>
      <c r="D84" s="143">
        <v>20459649</v>
      </c>
      <c r="E84" s="143" t="s">
        <v>1110</v>
      </c>
      <c r="F84" s="143" t="s">
        <v>578</v>
      </c>
      <c r="G84" s="143" t="s">
        <v>2250</v>
      </c>
      <c r="H84" s="143" t="s">
        <v>587</v>
      </c>
      <c r="I84" s="143" t="s">
        <v>2335</v>
      </c>
      <c r="J84" s="144">
        <v>46081</v>
      </c>
      <c r="K84" s="144">
        <v>46081</v>
      </c>
      <c r="L84" s="144">
        <v>46081</v>
      </c>
      <c r="U84" s="144">
        <v>46081</v>
      </c>
    </row>
    <row r="85" spans="1:21">
      <c r="A85" s="143" t="s">
        <v>953</v>
      </c>
      <c r="B85" s="143" t="s">
        <v>2336</v>
      </c>
      <c r="C85" s="143" t="s">
        <v>953</v>
      </c>
      <c r="D85" s="143">
        <v>20439286</v>
      </c>
      <c r="E85" s="143" t="s">
        <v>1100</v>
      </c>
      <c r="F85" s="143" t="s">
        <v>581</v>
      </c>
      <c r="G85" s="143" t="s">
        <v>2250</v>
      </c>
      <c r="H85" s="143" t="s">
        <v>587</v>
      </c>
      <c r="I85" s="143" t="s">
        <v>2337</v>
      </c>
      <c r="J85" s="144">
        <v>46055</v>
      </c>
      <c r="K85" s="144">
        <v>46055</v>
      </c>
      <c r="U85" s="144">
        <v>46057</v>
      </c>
    </row>
    <row r="86" spans="1:21">
      <c r="A86" s="143" t="s">
        <v>953</v>
      </c>
      <c r="B86" s="143" t="s">
        <v>2338</v>
      </c>
      <c r="C86" s="143" t="s">
        <v>953</v>
      </c>
      <c r="D86" s="143">
        <v>20450291</v>
      </c>
      <c r="E86" s="143" t="s">
        <v>2245</v>
      </c>
      <c r="F86" s="143" t="s">
        <v>984</v>
      </c>
      <c r="G86" s="143" t="s">
        <v>2246</v>
      </c>
      <c r="H86" s="143" t="s">
        <v>591</v>
      </c>
      <c r="J86" s="144">
        <v>46070</v>
      </c>
      <c r="K86" s="144"/>
      <c r="U86" s="144">
        <v>46070</v>
      </c>
    </row>
    <row r="87" spans="1:21">
      <c r="A87" s="143" t="s">
        <v>953</v>
      </c>
      <c r="B87" s="143" t="s">
        <v>2338</v>
      </c>
      <c r="C87" s="143" t="s">
        <v>953</v>
      </c>
      <c r="D87" s="143">
        <v>20450299</v>
      </c>
      <c r="E87" s="143" t="s">
        <v>1100</v>
      </c>
      <c r="F87" s="143" t="s">
        <v>579</v>
      </c>
      <c r="G87" s="143" t="s">
        <v>2250</v>
      </c>
      <c r="H87" s="143" t="s">
        <v>591</v>
      </c>
      <c r="J87" s="144">
        <v>46070</v>
      </c>
      <c r="K87" s="144">
        <v>46070</v>
      </c>
      <c r="U87" s="144">
        <v>46080</v>
      </c>
    </row>
    <row r="88" spans="1:21">
      <c r="A88" s="143" t="s">
        <v>953</v>
      </c>
      <c r="B88" s="143" t="s">
        <v>2339</v>
      </c>
      <c r="C88" s="143" t="s">
        <v>953</v>
      </c>
      <c r="D88" s="143">
        <v>20440537</v>
      </c>
      <c r="E88" s="143" t="s">
        <v>2252</v>
      </c>
      <c r="F88" s="143" t="s">
        <v>2256</v>
      </c>
      <c r="G88" s="143" t="s">
        <v>2250</v>
      </c>
      <c r="H88" s="143" t="s">
        <v>587</v>
      </c>
      <c r="I88" s="143" t="s">
        <v>2337</v>
      </c>
      <c r="J88" s="144">
        <v>46056</v>
      </c>
      <c r="K88" s="144">
        <v>46056</v>
      </c>
      <c r="L88" s="144">
        <v>46056</v>
      </c>
      <c r="R88" s="144">
        <v>46077</v>
      </c>
      <c r="U88" s="144">
        <v>46081</v>
      </c>
    </row>
    <row r="89" spans="1:21">
      <c r="A89" s="143" t="s">
        <v>953</v>
      </c>
      <c r="B89" s="143" t="s">
        <v>2340</v>
      </c>
      <c r="C89" s="143" t="s">
        <v>953</v>
      </c>
      <c r="D89" s="143">
        <v>20452178</v>
      </c>
      <c r="E89" s="143" t="s">
        <v>1100</v>
      </c>
      <c r="F89" s="143" t="s">
        <v>578</v>
      </c>
      <c r="G89" s="143" t="s">
        <v>2248</v>
      </c>
      <c r="H89" s="143" t="s">
        <v>588</v>
      </c>
      <c r="I89" s="143" t="s">
        <v>1042</v>
      </c>
      <c r="J89" s="144">
        <v>46071</v>
      </c>
      <c r="K89" s="144">
        <v>46071</v>
      </c>
      <c r="U89" s="144">
        <v>46088</v>
      </c>
    </row>
    <row r="90" spans="1:21">
      <c r="A90" s="143" t="s">
        <v>953</v>
      </c>
      <c r="B90" s="143" t="s">
        <v>2341</v>
      </c>
      <c r="C90" s="143" t="s">
        <v>953</v>
      </c>
      <c r="D90" s="143">
        <v>20442446</v>
      </c>
      <c r="E90" s="143" t="s">
        <v>1100</v>
      </c>
      <c r="F90" s="143" t="s">
        <v>1115</v>
      </c>
      <c r="G90" s="143" t="s">
        <v>2250</v>
      </c>
      <c r="H90" s="143" t="s">
        <v>587</v>
      </c>
      <c r="J90" s="144">
        <v>46059</v>
      </c>
      <c r="K90" s="144">
        <v>46059</v>
      </c>
      <c r="U90" s="144">
        <v>46101</v>
      </c>
    </row>
    <row r="91" spans="1:21">
      <c r="A91" s="143" t="s">
        <v>953</v>
      </c>
      <c r="B91" s="143" t="s">
        <v>2341</v>
      </c>
      <c r="C91" s="143" t="s">
        <v>953</v>
      </c>
      <c r="D91" s="143">
        <v>20440808</v>
      </c>
      <c r="E91" s="143" t="s">
        <v>2245</v>
      </c>
      <c r="F91" s="143" t="s">
        <v>581</v>
      </c>
      <c r="G91" s="143" t="s">
        <v>1213</v>
      </c>
      <c r="H91" s="143" t="s">
        <v>591</v>
      </c>
      <c r="J91" s="144">
        <v>46057</v>
      </c>
      <c r="U91" s="144">
        <v>46057</v>
      </c>
    </row>
    <row r="92" spans="1:21">
      <c r="A92" s="143" t="s">
        <v>953</v>
      </c>
      <c r="B92" s="143" t="s">
        <v>2342</v>
      </c>
      <c r="C92" s="143" t="s">
        <v>953</v>
      </c>
      <c r="D92" s="143">
        <v>20448792</v>
      </c>
      <c r="E92" s="143" t="s">
        <v>1100</v>
      </c>
      <c r="F92" s="143" t="s">
        <v>1115</v>
      </c>
      <c r="G92" s="143" t="s">
        <v>2250</v>
      </c>
      <c r="H92" s="143" t="s">
        <v>592</v>
      </c>
      <c r="I92" s="143" t="s">
        <v>1397</v>
      </c>
      <c r="J92" s="144">
        <v>46066</v>
      </c>
      <c r="K92" s="144">
        <v>46066</v>
      </c>
      <c r="U92" s="144">
        <v>46083</v>
      </c>
    </row>
    <row r="93" spans="1:21">
      <c r="A93" s="143" t="s">
        <v>953</v>
      </c>
      <c r="B93" s="143" t="s">
        <v>1099</v>
      </c>
      <c r="C93" s="143" t="s">
        <v>953</v>
      </c>
      <c r="D93" s="143">
        <v>20440548</v>
      </c>
      <c r="E93" s="143" t="s">
        <v>1100</v>
      </c>
      <c r="F93" s="143" t="s">
        <v>984</v>
      </c>
      <c r="G93" s="143" t="s">
        <v>2250</v>
      </c>
      <c r="H93" s="143" t="s">
        <v>587</v>
      </c>
      <c r="I93" s="143" t="s">
        <v>1098</v>
      </c>
      <c r="J93" s="144">
        <v>46056</v>
      </c>
      <c r="K93" s="144">
        <v>46056</v>
      </c>
      <c r="L93" s="144"/>
      <c r="R93" s="144"/>
      <c r="U93" s="144">
        <v>46062</v>
      </c>
    </row>
    <row r="94" spans="1:21">
      <c r="A94" s="143" t="s">
        <v>953</v>
      </c>
      <c r="B94" s="143" t="s">
        <v>1099</v>
      </c>
      <c r="C94" s="143" t="s">
        <v>953</v>
      </c>
      <c r="D94" s="143">
        <v>20440955</v>
      </c>
      <c r="E94" s="143" t="s">
        <v>2252</v>
      </c>
      <c r="F94" s="143" t="s">
        <v>577</v>
      </c>
      <c r="G94" s="143" t="s">
        <v>2250</v>
      </c>
      <c r="H94" s="143" t="s">
        <v>587</v>
      </c>
      <c r="I94" s="143" t="s">
        <v>2343</v>
      </c>
      <c r="J94" s="144">
        <v>46057</v>
      </c>
      <c r="K94" s="144">
        <v>46057</v>
      </c>
      <c r="L94" s="144">
        <v>46057</v>
      </c>
      <c r="R94" s="144">
        <v>46074</v>
      </c>
      <c r="U94" s="144">
        <v>46074</v>
      </c>
    </row>
    <row r="95" spans="1:21">
      <c r="A95" s="143" t="s">
        <v>953</v>
      </c>
      <c r="B95" s="143" t="s">
        <v>2344</v>
      </c>
      <c r="C95" s="143" t="s">
        <v>953</v>
      </c>
      <c r="D95" s="143">
        <v>20449393</v>
      </c>
      <c r="E95" s="143" t="s">
        <v>2245</v>
      </c>
      <c r="F95" s="143" t="s">
        <v>581</v>
      </c>
      <c r="G95" s="143" t="s">
        <v>2259</v>
      </c>
      <c r="H95" s="143" t="s">
        <v>592</v>
      </c>
      <c r="J95" s="144">
        <v>46068</v>
      </c>
      <c r="U95" s="144">
        <v>46265</v>
      </c>
    </row>
    <row r="96" spans="1:21">
      <c r="A96" s="143" t="s">
        <v>953</v>
      </c>
      <c r="B96" s="143" t="s">
        <v>1346</v>
      </c>
      <c r="C96" s="143" t="s">
        <v>953</v>
      </c>
      <c r="D96" s="143">
        <v>20427552</v>
      </c>
      <c r="E96" s="143" t="s">
        <v>2252</v>
      </c>
      <c r="F96" s="143" t="s">
        <v>577</v>
      </c>
      <c r="G96" s="143" t="s">
        <v>1213</v>
      </c>
      <c r="H96" s="143" t="s">
        <v>2345</v>
      </c>
      <c r="I96" s="143" t="s">
        <v>1167</v>
      </c>
      <c r="J96" s="144">
        <v>46037</v>
      </c>
      <c r="K96" s="144">
        <v>46037</v>
      </c>
      <c r="R96" s="144">
        <v>46059</v>
      </c>
      <c r="U96" s="144">
        <v>46168</v>
      </c>
    </row>
    <row r="97" spans="1:21">
      <c r="A97" s="143" t="s">
        <v>953</v>
      </c>
      <c r="B97" s="143" t="s">
        <v>2346</v>
      </c>
      <c r="C97" s="143" t="s">
        <v>953</v>
      </c>
      <c r="D97" s="143">
        <v>20451073</v>
      </c>
      <c r="E97" s="143" t="s">
        <v>2245</v>
      </c>
      <c r="F97" s="143" t="s">
        <v>984</v>
      </c>
      <c r="G97" s="143" t="s">
        <v>2246</v>
      </c>
      <c r="H97" s="143" t="s">
        <v>587</v>
      </c>
      <c r="J97" s="144">
        <v>46070</v>
      </c>
      <c r="K97" s="144"/>
      <c r="R97" s="144"/>
      <c r="U97" s="144">
        <v>46082</v>
      </c>
    </row>
    <row r="98" spans="1:21">
      <c r="A98" s="143" t="s">
        <v>953</v>
      </c>
      <c r="B98" s="143" t="s">
        <v>2347</v>
      </c>
      <c r="C98" s="143" t="s">
        <v>953</v>
      </c>
      <c r="D98" s="143">
        <v>20449629</v>
      </c>
      <c r="E98" s="143" t="s">
        <v>2245</v>
      </c>
      <c r="F98" s="143" t="s">
        <v>984</v>
      </c>
      <c r="G98" s="143" t="s">
        <v>2246</v>
      </c>
      <c r="H98" s="143" t="s">
        <v>587</v>
      </c>
      <c r="J98" s="144">
        <v>46069</v>
      </c>
      <c r="U98" s="144">
        <v>46083</v>
      </c>
    </row>
    <row r="99" spans="1:21">
      <c r="A99" s="143" t="s">
        <v>953</v>
      </c>
      <c r="B99" s="143" t="s">
        <v>2348</v>
      </c>
      <c r="C99" s="143" t="s">
        <v>953</v>
      </c>
      <c r="D99" s="143">
        <v>20453297</v>
      </c>
      <c r="E99" s="143" t="s">
        <v>2245</v>
      </c>
      <c r="F99" s="143" t="s">
        <v>2256</v>
      </c>
      <c r="G99" s="143" t="s">
        <v>2248</v>
      </c>
      <c r="H99" s="143" t="s">
        <v>588</v>
      </c>
      <c r="J99" s="144">
        <v>46072</v>
      </c>
      <c r="U99" s="144">
        <v>46072</v>
      </c>
    </row>
    <row r="100" spans="1:21">
      <c r="A100" s="143" t="s">
        <v>953</v>
      </c>
      <c r="B100" s="143" t="s">
        <v>2349</v>
      </c>
      <c r="C100" s="143" t="s">
        <v>953</v>
      </c>
      <c r="D100" s="143">
        <v>20440798</v>
      </c>
      <c r="E100" s="143" t="s">
        <v>2252</v>
      </c>
      <c r="F100" s="143" t="s">
        <v>2256</v>
      </c>
      <c r="G100" s="143" t="s">
        <v>2290</v>
      </c>
      <c r="H100" s="143" t="s">
        <v>591</v>
      </c>
      <c r="I100" s="143" t="s">
        <v>2350</v>
      </c>
      <c r="J100" s="144">
        <v>46057</v>
      </c>
      <c r="K100" s="144">
        <v>46057</v>
      </c>
      <c r="L100" s="144">
        <v>46057</v>
      </c>
      <c r="S100" s="144">
        <v>46058</v>
      </c>
      <c r="U100" s="144">
        <v>46069</v>
      </c>
    </row>
    <row r="101" spans="1:21">
      <c r="A101" s="143" t="s">
        <v>953</v>
      </c>
      <c r="B101" s="143" t="s">
        <v>2349</v>
      </c>
      <c r="C101" s="143" t="s">
        <v>953</v>
      </c>
      <c r="D101" s="143">
        <v>20441010</v>
      </c>
      <c r="E101" s="143" t="s">
        <v>1100</v>
      </c>
      <c r="F101" s="143" t="s">
        <v>2256</v>
      </c>
      <c r="G101" s="143" t="s">
        <v>2250</v>
      </c>
      <c r="H101" s="143" t="s">
        <v>587</v>
      </c>
      <c r="J101" s="144">
        <v>46057</v>
      </c>
      <c r="K101" s="144">
        <v>46057</v>
      </c>
      <c r="U101" s="144">
        <v>46057</v>
      </c>
    </row>
    <row r="102" spans="1:21">
      <c r="A102" s="143" t="s">
        <v>953</v>
      </c>
      <c r="B102" s="143" t="s">
        <v>2351</v>
      </c>
      <c r="C102" s="143" t="s">
        <v>953</v>
      </c>
      <c r="D102" s="143">
        <v>20450541</v>
      </c>
      <c r="E102" s="143" t="s">
        <v>2245</v>
      </c>
      <c r="F102" s="143" t="s">
        <v>2256</v>
      </c>
      <c r="G102" s="143" t="s">
        <v>2248</v>
      </c>
      <c r="H102" s="143" t="s">
        <v>592</v>
      </c>
      <c r="J102" s="144">
        <v>46070</v>
      </c>
      <c r="K102" s="144"/>
      <c r="L102" s="144"/>
      <c r="S102" s="144"/>
      <c r="U102" s="144">
        <v>46113</v>
      </c>
    </row>
    <row r="103" spans="1:21">
      <c r="A103" s="143" t="s">
        <v>953</v>
      </c>
      <c r="B103" s="143" t="s">
        <v>2352</v>
      </c>
      <c r="C103" s="143" t="s">
        <v>953</v>
      </c>
      <c r="D103" s="143">
        <v>20453775</v>
      </c>
      <c r="E103" s="143" t="s">
        <v>2245</v>
      </c>
      <c r="F103" s="143" t="s">
        <v>984</v>
      </c>
      <c r="G103" s="143" t="s">
        <v>2246</v>
      </c>
      <c r="H103" s="143" t="s">
        <v>587</v>
      </c>
      <c r="J103" s="144">
        <v>46072</v>
      </c>
      <c r="U103" s="144">
        <v>46072</v>
      </c>
    </row>
    <row r="104" spans="1:21">
      <c r="A104" s="143" t="s">
        <v>953</v>
      </c>
      <c r="B104" s="143" t="s">
        <v>2353</v>
      </c>
      <c r="C104" s="143" t="s">
        <v>953</v>
      </c>
      <c r="D104" s="143">
        <v>20440608</v>
      </c>
      <c r="E104" s="143" t="s">
        <v>2245</v>
      </c>
      <c r="F104" s="143" t="s">
        <v>984</v>
      </c>
      <c r="G104" s="143" t="s">
        <v>2246</v>
      </c>
      <c r="H104" s="143" t="s">
        <v>591</v>
      </c>
      <c r="J104" s="144">
        <v>46056</v>
      </c>
      <c r="U104" s="144">
        <v>46056</v>
      </c>
    </row>
    <row r="105" spans="1:21">
      <c r="A105" s="143" t="s">
        <v>953</v>
      </c>
      <c r="B105" s="143" t="s">
        <v>2354</v>
      </c>
      <c r="C105" s="143" t="s">
        <v>953</v>
      </c>
      <c r="D105" s="143">
        <v>20459687</v>
      </c>
      <c r="E105" s="143" t="s">
        <v>2245</v>
      </c>
      <c r="F105" s="143" t="s">
        <v>581</v>
      </c>
      <c r="G105" s="143" t="s">
        <v>1213</v>
      </c>
      <c r="H105" s="143" t="s">
        <v>587</v>
      </c>
      <c r="J105" s="144">
        <v>46081</v>
      </c>
      <c r="U105" s="144">
        <v>46101</v>
      </c>
    </row>
    <row r="106" spans="1:21">
      <c r="A106" s="143" t="s">
        <v>953</v>
      </c>
      <c r="B106" s="143" t="s">
        <v>2355</v>
      </c>
      <c r="C106" s="143" t="s">
        <v>953</v>
      </c>
      <c r="D106" s="143">
        <v>20456717</v>
      </c>
      <c r="E106" s="143" t="s">
        <v>2245</v>
      </c>
      <c r="F106" s="143" t="s">
        <v>579</v>
      </c>
      <c r="G106" s="143" t="s">
        <v>2248</v>
      </c>
      <c r="H106" s="143" t="s">
        <v>592</v>
      </c>
      <c r="J106" s="144">
        <v>46077</v>
      </c>
      <c r="U106" s="144">
        <v>46077</v>
      </c>
    </row>
    <row r="107" spans="1:21">
      <c r="A107" s="143" t="s">
        <v>953</v>
      </c>
      <c r="B107" s="143" t="s">
        <v>2356</v>
      </c>
      <c r="C107" s="143" t="s">
        <v>953</v>
      </c>
      <c r="D107" s="143">
        <v>20446981</v>
      </c>
      <c r="E107" s="143" t="s">
        <v>2245</v>
      </c>
      <c r="F107" s="143" t="s">
        <v>581</v>
      </c>
      <c r="G107" s="143" t="s">
        <v>1213</v>
      </c>
      <c r="H107" s="143" t="s">
        <v>587</v>
      </c>
      <c r="J107" s="144">
        <v>46064</v>
      </c>
      <c r="U107" s="144">
        <v>46113</v>
      </c>
    </row>
    <row r="108" spans="1:21">
      <c r="A108" s="143" t="s">
        <v>953</v>
      </c>
      <c r="B108" s="143" t="s">
        <v>2357</v>
      </c>
      <c r="C108" s="143" t="s">
        <v>953</v>
      </c>
      <c r="D108" s="143">
        <v>20455489</v>
      </c>
      <c r="E108" s="143" t="s">
        <v>2245</v>
      </c>
      <c r="F108" s="143" t="s">
        <v>581</v>
      </c>
      <c r="G108" s="143" t="s">
        <v>2290</v>
      </c>
      <c r="H108" s="143" t="s">
        <v>587</v>
      </c>
      <c r="J108" s="144">
        <v>46076</v>
      </c>
      <c r="U108" s="144">
        <v>46132</v>
      </c>
    </row>
    <row r="109" spans="1:21">
      <c r="A109" s="143" t="s">
        <v>953</v>
      </c>
      <c r="B109" s="143" t="s">
        <v>2358</v>
      </c>
      <c r="C109" s="143" t="s">
        <v>953</v>
      </c>
      <c r="D109" s="143">
        <v>20450723</v>
      </c>
      <c r="E109" s="143" t="s">
        <v>2245</v>
      </c>
      <c r="F109" s="143" t="s">
        <v>984</v>
      </c>
      <c r="G109" s="143" t="s">
        <v>2246</v>
      </c>
      <c r="H109" s="143" t="s">
        <v>587</v>
      </c>
      <c r="J109" s="144">
        <v>46070</v>
      </c>
      <c r="U109" s="144">
        <v>46213</v>
      </c>
    </row>
    <row r="110" spans="1:21">
      <c r="A110" s="143" t="s">
        <v>953</v>
      </c>
      <c r="B110" s="143" t="s">
        <v>2359</v>
      </c>
      <c r="C110" s="143" t="s">
        <v>953</v>
      </c>
      <c r="D110" s="143">
        <v>20415697</v>
      </c>
      <c r="E110" s="143" t="s">
        <v>2252</v>
      </c>
      <c r="F110" s="143" t="s">
        <v>578</v>
      </c>
      <c r="G110" s="143" t="s">
        <v>2250</v>
      </c>
      <c r="H110" s="143" t="s">
        <v>587</v>
      </c>
      <c r="I110" s="143" t="s">
        <v>1118</v>
      </c>
      <c r="J110" s="144">
        <v>46022</v>
      </c>
      <c r="K110" s="144">
        <v>46022</v>
      </c>
      <c r="L110" s="144">
        <v>46022</v>
      </c>
      <c r="S110" s="144">
        <v>46062</v>
      </c>
      <c r="U110" s="144">
        <v>46081</v>
      </c>
    </row>
    <row r="111" spans="1:21">
      <c r="A111" s="143" t="s">
        <v>953</v>
      </c>
      <c r="B111" s="143" t="s">
        <v>1119</v>
      </c>
      <c r="C111" s="143" t="s">
        <v>953</v>
      </c>
      <c r="D111" s="143">
        <v>20451157</v>
      </c>
      <c r="E111" s="143" t="s">
        <v>1100</v>
      </c>
      <c r="F111" s="143" t="s">
        <v>1115</v>
      </c>
      <c r="G111" s="143" t="s">
        <v>2250</v>
      </c>
      <c r="H111" s="143" t="s">
        <v>592</v>
      </c>
      <c r="I111" s="143" t="s">
        <v>1118</v>
      </c>
      <c r="J111" s="144">
        <v>46071</v>
      </c>
      <c r="K111" s="144">
        <v>46071</v>
      </c>
      <c r="L111" s="144"/>
      <c r="S111" s="144"/>
      <c r="U111" s="144">
        <v>46083</v>
      </c>
    </row>
    <row r="112" spans="1:21">
      <c r="A112" s="143" t="s">
        <v>953</v>
      </c>
      <c r="B112" s="143" t="s">
        <v>2360</v>
      </c>
      <c r="C112" s="143" t="s">
        <v>953</v>
      </c>
      <c r="D112" s="143">
        <v>20443424</v>
      </c>
      <c r="E112" s="143" t="s">
        <v>2252</v>
      </c>
      <c r="F112" s="143" t="s">
        <v>579</v>
      </c>
      <c r="G112" s="143" t="s">
        <v>2250</v>
      </c>
      <c r="H112" s="143" t="s">
        <v>2361</v>
      </c>
      <c r="I112" s="143" t="s">
        <v>1366</v>
      </c>
      <c r="J112" s="144">
        <v>46061</v>
      </c>
      <c r="K112" s="144">
        <v>46061</v>
      </c>
      <c r="L112" s="144">
        <v>46061</v>
      </c>
      <c r="R112" s="144">
        <v>46076</v>
      </c>
      <c r="U112" s="144">
        <v>46078</v>
      </c>
    </row>
    <row r="113" spans="1:21">
      <c r="A113" s="143" t="s">
        <v>953</v>
      </c>
      <c r="B113" s="143" t="s">
        <v>2360</v>
      </c>
      <c r="C113" s="143" t="s">
        <v>953</v>
      </c>
      <c r="D113" s="143">
        <v>20439903</v>
      </c>
      <c r="E113" s="143" t="s">
        <v>1100</v>
      </c>
      <c r="F113" s="143" t="s">
        <v>579</v>
      </c>
      <c r="G113" s="143" t="s">
        <v>1213</v>
      </c>
      <c r="H113" s="143" t="s">
        <v>2361</v>
      </c>
      <c r="J113" s="144">
        <v>46055</v>
      </c>
      <c r="K113" s="144">
        <v>46062</v>
      </c>
      <c r="U113" s="144">
        <v>46078</v>
      </c>
    </row>
    <row r="114" spans="1:21">
      <c r="A114" s="143" t="s">
        <v>953</v>
      </c>
      <c r="B114" s="143" t="s">
        <v>2362</v>
      </c>
      <c r="C114" s="143" t="s">
        <v>953</v>
      </c>
      <c r="D114" s="143">
        <v>20455472</v>
      </c>
      <c r="E114" s="143" t="s">
        <v>2245</v>
      </c>
      <c r="F114" s="143" t="s">
        <v>984</v>
      </c>
      <c r="G114" s="143" t="s">
        <v>2246</v>
      </c>
      <c r="H114" s="143" t="s">
        <v>587</v>
      </c>
      <c r="J114" s="144">
        <v>46076</v>
      </c>
      <c r="K114" s="144"/>
      <c r="L114" s="144"/>
      <c r="R114" s="144"/>
      <c r="U114" s="144">
        <v>46153</v>
      </c>
    </row>
    <row r="115" spans="1:21">
      <c r="A115" s="143" t="s">
        <v>953</v>
      </c>
      <c r="B115" s="143" t="s">
        <v>2363</v>
      </c>
      <c r="C115" s="143" t="s">
        <v>953</v>
      </c>
      <c r="D115" s="143">
        <v>20450235</v>
      </c>
      <c r="E115" s="143" t="s">
        <v>2245</v>
      </c>
      <c r="F115" s="143" t="s">
        <v>984</v>
      </c>
      <c r="G115" s="143" t="s">
        <v>2259</v>
      </c>
      <c r="H115" s="143" t="s">
        <v>587</v>
      </c>
      <c r="J115" s="144">
        <v>46070</v>
      </c>
      <c r="U115" s="144">
        <v>46070</v>
      </c>
    </row>
    <row r="116" spans="1:21">
      <c r="A116" s="143" t="s">
        <v>953</v>
      </c>
      <c r="B116" s="143" t="s">
        <v>2364</v>
      </c>
      <c r="C116" s="143" t="s">
        <v>953</v>
      </c>
      <c r="D116" s="143">
        <v>20448254</v>
      </c>
      <c r="E116" s="143" t="s">
        <v>1100</v>
      </c>
      <c r="F116" s="143" t="s">
        <v>984</v>
      </c>
      <c r="G116" s="143" t="s">
        <v>2250</v>
      </c>
      <c r="H116" s="143" t="s">
        <v>587</v>
      </c>
      <c r="J116" s="144">
        <v>46066</v>
      </c>
      <c r="K116" s="144">
        <v>46066</v>
      </c>
      <c r="U116" s="144">
        <v>46066</v>
      </c>
    </row>
    <row r="117" spans="1:21">
      <c r="A117" s="143" t="s">
        <v>953</v>
      </c>
      <c r="B117" s="143" t="s">
        <v>2365</v>
      </c>
      <c r="C117" s="143" t="s">
        <v>953</v>
      </c>
      <c r="D117" s="143">
        <v>20443572</v>
      </c>
      <c r="E117" s="143" t="s">
        <v>2245</v>
      </c>
      <c r="F117" s="143" t="s">
        <v>578</v>
      </c>
      <c r="G117" s="143" t="s">
        <v>1213</v>
      </c>
      <c r="H117" s="143" t="s">
        <v>591</v>
      </c>
      <c r="J117" s="144">
        <v>46062</v>
      </c>
      <c r="K117" s="144"/>
      <c r="U117" s="144">
        <v>46275</v>
      </c>
    </row>
    <row r="118" spans="1:21">
      <c r="A118" s="143" t="s">
        <v>953</v>
      </c>
      <c r="B118" s="143" t="s">
        <v>2366</v>
      </c>
      <c r="C118" s="143" t="s">
        <v>953</v>
      </c>
      <c r="D118" s="143">
        <v>20449493</v>
      </c>
      <c r="E118" s="143" t="s">
        <v>2245</v>
      </c>
      <c r="F118" s="143" t="s">
        <v>581</v>
      </c>
      <c r="G118" s="143" t="s">
        <v>1213</v>
      </c>
      <c r="H118" s="143" t="s">
        <v>587</v>
      </c>
      <c r="J118" s="144">
        <v>46068</v>
      </c>
      <c r="U118" s="144">
        <v>46111</v>
      </c>
    </row>
    <row r="119" spans="1:21">
      <c r="A119" s="143" t="s">
        <v>953</v>
      </c>
      <c r="B119" s="143" t="s">
        <v>2367</v>
      </c>
      <c r="C119" s="143" t="s">
        <v>953</v>
      </c>
      <c r="D119" s="143">
        <v>20454998</v>
      </c>
      <c r="E119" s="143" t="s">
        <v>2245</v>
      </c>
      <c r="F119" s="143" t="s">
        <v>581</v>
      </c>
      <c r="G119" s="143" t="s">
        <v>2290</v>
      </c>
      <c r="H119" s="143" t="s">
        <v>587</v>
      </c>
      <c r="J119" s="144">
        <v>46074</v>
      </c>
      <c r="U119" s="144">
        <v>46235</v>
      </c>
    </row>
    <row r="120" spans="1:21">
      <c r="A120" s="143" t="s">
        <v>953</v>
      </c>
      <c r="B120" s="143" t="s">
        <v>2368</v>
      </c>
      <c r="C120" s="143" t="s">
        <v>953</v>
      </c>
      <c r="D120" s="143">
        <v>20459589</v>
      </c>
      <c r="E120" s="143" t="s">
        <v>2245</v>
      </c>
      <c r="F120" s="143" t="s">
        <v>578</v>
      </c>
      <c r="G120" s="143" t="s">
        <v>2248</v>
      </c>
      <c r="H120" s="143" t="s">
        <v>589</v>
      </c>
      <c r="J120" s="144">
        <v>46081</v>
      </c>
      <c r="U120" s="144">
        <v>46081</v>
      </c>
    </row>
    <row r="121" spans="1:21">
      <c r="A121" s="143" t="s">
        <v>953</v>
      </c>
      <c r="B121" s="143" t="s">
        <v>2369</v>
      </c>
      <c r="C121" s="143" t="s">
        <v>953</v>
      </c>
      <c r="D121" s="143">
        <v>20450749</v>
      </c>
      <c r="E121" s="143" t="s">
        <v>1110</v>
      </c>
      <c r="F121" s="143" t="s">
        <v>1001</v>
      </c>
      <c r="G121" s="143" t="s">
        <v>2248</v>
      </c>
      <c r="H121" s="143" t="s">
        <v>588</v>
      </c>
      <c r="I121" s="143" t="s">
        <v>1332</v>
      </c>
      <c r="J121" s="144">
        <v>46070</v>
      </c>
      <c r="K121" s="144">
        <v>46070</v>
      </c>
      <c r="L121" s="144">
        <v>46070</v>
      </c>
      <c r="U121" s="144">
        <v>46101</v>
      </c>
    </row>
    <row r="122" spans="1:21">
      <c r="A122" s="143" t="s">
        <v>953</v>
      </c>
      <c r="B122" s="143" t="s">
        <v>2370</v>
      </c>
      <c r="C122" s="143" t="s">
        <v>953</v>
      </c>
      <c r="D122" s="143">
        <v>20448146</v>
      </c>
      <c r="E122" s="143" t="s">
        <v>2245</v>
      </c>
      <c r="F122" s="143" t="s">
        <v>984</v>
      </c>
      <c r="G122" s="143" t="s">
        <v>1213</v>
      </c>
      <c r="H122" s="143" t="s">
        <v>587</v>
      </c>
      <c r="J122" s="144">
        <v>46065</v>
      </c>
      <c r="K122" s="144"/>
      <c r="L122" s="144"/>
      <c r="U122" s="144">
        <v>46095</v>
      </c>
    </row>
    <row r="123" spans="1:21">
      <c r="A123" s="143" t="s">
        <v>953</v>
      </c>
      <c r="B123" s="143" t="s">
        <v>2371</v>
      </c>
      <c r="C123" s="143" t="s">
        <v>953</v>
      </c>
      <c r="D123" s="143">
        <v>20458244</v>
      </c>
      <c r="E123" s="143" t="s">
        <v>2245</v>
      </c>
      <c r="F123" s="143" t="s">
        <v>579</v>
      </c>
      <c r="G123" s="143" t="s">
        <v>2248</v>
      </c>
      <c r="H123" s="143" t="s">
        <v>592</v>
      </c>
      <c r="J123" s="144">
        <v>46079</v>
      </c>
      <c r="U123" s="144">
        <v>46079</v>
      </c>
    </row>
    <row r="124" spans="1:21">
      <c r="A124" s="143" t="s">
        <v>953</v>
      </c>
      <c r="B124" s="143" t="s">
        <v>2372</v>
      </c>
      <c r="C124" s="143" t="s">
        <v>953</v>
      </c>
      <c r="D124" s="143">
        <v>20457690</v>
      </c>
      <c r="E124" s="143" t="s">
        <v>1100</v>
      </c>
      <c r="F124" s="143" t="s">
        <v>581</v>
      </c>
      <c r="G124" s="143" t="s">
        <v>2250</v>
      </c>
      <c r="H124" s="143" t="s">
        <v>587</v>
      </c>
      <c r="I124" s="143" t="s">
        <v>1010</v>
      </c>
      <c r="J124" s="144">
        <v>46078</v>
      </c>
      <c r="K124" s="144">
        <v>46078</v>
      </c>
      <c r="U124" s="144">
        <v>46101</v>
      </c>
    </row>
    <row r="125" spans="1:21">
      <c r="A125" s="143" t="s">
        <v>953</v>
      </c>
      <c r="B125" s="143" t="s">
        <v>2372</v>
      </c>
      <c r="C125" s="143" t="s">
        <v>953</v>
      </c>
      <c r="D125" s="143">
        <v>20442016</v>
      </c>
      <c r="E125" s="143" t="s">
        <v>1110</v>
      </c>
      <c r="F125" s="143" t="s">
        <v>577</v>
      </c>
      <c r="G125" s="143" t="s">
        <v>2250</v>
      </c>
      <c r="H125" s="143" t="s">
        <v>587</v>
      </c>
      <c r="I125" s="143" t="s">
        <v>2373</v>
      </c>
      <c r="J125" s="144">
        <v>46059</v>
      </c>
      <c r="K125" s="144">
        <v>46059</v>
      </c>
      <c r="L125" s="144">
        <v>46059</v>
      </c>
      <c r="U125" s="144">
        <v>46093</v>
      </c>
    </row>
    <row r="126" spans="1:21">
      <c r="A126" s="143" t="s">
        <v>953</v>
      </c>
      <c r="B126" s="143" t="s">
        <v>2374</v>
      </c>
      <c r="C126" s="143" t="s">
        <v>953</v>
      </c>
      <c r="D126" s="143">
        <v>20455817</v>
      </c>
      <c r="E126" s="143" t="s">
        <v>2245</v>
      </c>
      <c r="F126" s="143" t="s">
        <v>984</v>
      </c>
      <c r="G126" s="143" t="s">
        <v>2246</v>
      </c>
      <c r="H126" s="143" t="s">
        <v>587</v>
      </c>
      <c r="J126" s="144">
        <v>46076</v>
      </c>
      <c r="K126" s="144"/>
      <c r="U126" s="144">
        <v>46082</v>
      </c>
    </row>
    <row r="127" spans="1:21">
      <c r="A127" s="143" t="s">
        <v>953</v>
      </c>
      <c r="B127" s="143" t="s">
        <v>2375</v>
      </c>
      <c r="C127" s="143" t="s">
        <v>953</v>
      </c>
      <c r="D127" s="143">
        <v>20447715</v>
      </c>
      <c r="E127" s="143" t="s">
        <v>2245</v>
      </c>
      <c r="F127" s="143" t="s">
        <v>2256</v>
      </c>
      <c r="G127" s="143" t="s">
        <v>2248</v>
      </c>
      <c r="H127" s="143" t="s">
        <v>588</v>
      </c>
      <c r="J127" s="144">
        <v>46065</v>
      </c>
      <c r="U127" s="144">
        <v>46065</v>
      </c>
    </row>
    <row r="128" spans="1:21">
      <c r="A128" s="143" t="s">
        <v>953</v>
      </c>
      <c r="B128" s="143" t="s">
        <v>2376</v>
      </c>
      <c r="C128" s="143" t="s">
        <v>953</v>
      </c>
      <c r="D128" s="143">
        <v>20446215</v>
      </c>
      <c r="E128" s="143" t="s">
        <v>2245</v>
      </c>
      <c r="F128" s="143" t="s">
        <v>581</v>
      </c>
      <c r="G128" s="143" t="s">
        <v>2259</v>
      </c>
      <c r="H128" s="143" t="s">
        <v>1144</v>
      </c>
      <c r="J128" s="144">
        <v>46064</v>
      </c>
      <c r="U128" s="144">
        <v>46064</v>
      </c>
    </row>
    <row r="129" spans="1:21">
      <c r="A129" s="143" t="s">
        <v>953</v>
      </c>
      <c r="B129" s="143" t="s">
        <v>2377</v>
      </c>
      <c r="C129" s="143" t="s">
        <v>953</v>
      </c>
      <c r="D129" s="143">
        <v>20457133</v>
      </c>
      <c r="E129" s="143" t="s">
        <v>2245</v>
      </c>
      <c r="F129" s="143" t="s">
        <v>984</v>
      </c>
      <c r="G129" s="143" t="s">
        <v>2246</v>
      </c>
      <c r="H129" s="143" t="s">
        <v>587</v>
      </c>
      <c r="J129" s="144">
        <v>46078</v>
      </c>
      <c r="U129" s="144">
        <v>46082</v>
      </c>
    </row>
    <row r="130" spans="1:21">
      <c r="A130" s="143" t="s">
        <v>953</v>
      </c>
      <c r="B130" s="143" t="s">
        <v>2378</v>
      </c>
      <c r="C130" s="143" t="s">
        <v>953</v>
      </c>
      <c r="D130" s="143">
        <v>20449106</v>
      </c>
      <c r="E130" s="143" t="s">
        <v>2245</v>
      </c>
      <c r="F130" s="143" t="s">
        <v>581</v>
      </c>
      <c r="G130" s="143" t="s">
        <v>2290</v>
      </c>
      <c r="H130" s="143" t="s">
        <v>587</v>
      </c>
      <c r="J130" s="144">
        <v>46067</v>
      </c>
      <c r="U130" s="144">
        <v>46081</v>
      </c>
    </row>
    <row r="131" spans="1:21">
      <c r="A131" s="143" t="s">
        <v>953</v>
      </c>
      <c r="B131" s="143" t="s">
        <v>2379</v>
      </c>
      <c r="C131" s="143" t="s">
        <v>953</v>
      </c>
      <c r="D131" s="143">
        <v>20450141</v>
      </c>
      <c r="E131" s="143" t="s">
        <v>2245</v>
      </c>
      <c r="F131" s="143" t="s">
        <v>581</v>
      </c>
      <c r="G131" s="143" t="s">
        <v>2246</v>
      </c>
      <c r="H131" s="143" t="s">
        <v>587</v>
      </c>
      <c r="J131" s="144">
        <v>46069</v>
      </c>
      <c r="U131" s="144">
        <v>46087</v>
      </c>
    </row>
    <row r="132" spans="1:21">
      <c r="A132" s="143" t="s">
        <v>953</v>
      </c>
      <c r="B132" s="143" t="s">
        <v>2380</v>
      </c>
      <c r="C132" s="143" t="s">
        <v>953</v>
      </c>
      <c r="D132" s="143">
        <v>20459519</v>
      </c>
      <c r="E132" s="143" t="s">
        <v>2245</v>
      </c>
      <c r="F132" s="143" t="s">
        <v>578</v>
      </c>
      <c r="G132" s="143" t="s">
        <v>2248</v>
      </c>
      <c r="H132" s="143" t="s">
        <v>588</v>
      </c>
      <c r="J132" s="144">
        <v>46081</v>
      </c>
      <c r="U132" s="144">
        <v>46081</v>
      </c>
    </row>
    <row r="133" spans="1:21">
      <c r="A133" s="143" t="s">
        <v>953</v>
      </c>
      <c r="B133" s="143" t="s">
        <v>2381</v>
      </c>
      <c r="C133" s="143" t="s">
        <v>953</v>
      </c>
      <c r="D133" s="143">
        <v>20442055</v>
      </c>
      <c r="E133" s="143" t="s">
        <v>2252</v>
      </c>
      <c r="F133" s="143" t="s">
        <v>579</v>
      </c>
      <c r="G133" s="143" t="s">
        <v>2250</v>
      </c>
      <c r="H133" s="143" t="s">
        <v>587</v>
      </c>
      <c r="I133" s="143" t="s">
        <v>2285</v>
      </c>
      <c r="J133" s="144">
        <v>46059</v>
      </c>
      <c r="K133" s="144">
        <v>46059</v>
      </c>
      <c r="L133" s="144">
        <v>46063</v>
      </c>
      <c r="R133" s="144">
        <v>46076</v>
      </c>
      <c r="U133" s="144">
        <v>46081</v>
      </c>
    </row>
    <row r="134" spans="1:21">
      <c r="A134" s="143" t="s">
        <v>953</v>
      </c>
      <c r="B134" s="143" t="s">
        <v>1696</v>
      </c>
      <c r="C134" s="143" t="s">
        <v>953</v>
      </c>
      <c r="D134" s="143">
        <v>20448528</v>
      </c>
      <c r="E134" s="143" t="s">
        <v>2245</v>
      </c>
      <c r="F134" s="143" t="s">
        <v>984</v>
      </c>
      <c r="G134" s="143" t="s">
        <v>2246</v>
      </c>
      <c r="H134" s="143" t="s">
        <v>2361</v>
      </c>
      <c r="J134" s="144">
        <v>46066</v>
      </c>
      <c r="K134" s="144"/>
      <c r="L134" s="144"/>
      <c r="R134" s="144"/>
      <c r="U134" s="144">
        <v>46066</v>
      </c>
    </row>
    <row r="135" spans="1:21">
      <c r="A135" s="143" t="s">
        <v>953</v>
      </c>
      <c r="B135" s="143" t="s">
        <v>2382</v>
      </c>
      <c r="C135" s="143" t="s">
        <v>953</v>
      </c>
      <c r="D135" s="143">
        <v>20456145</v>
      </c>
      <c r="E135" s="143" t="s">
        <v>2245</v>
      </c>
      <c r="F135" s="143" t="s">
        <v>984</v>
      </c>
      <c r="G135" s="143" t="s">
        <v>2246</v>
      </c>
      <c r="H135" s="143" t="s">
        <v>587</v>
      </c>
      <c r="J135" s="144">
        <v>46076</v>
      </c>
      <c r="U135" s="144">
        <v>46188</v>
      </c>
    </row>
    <row r="136" spans="1:21">
      <c r="A136" s="143" t="s">
        <v>953</v>
      </c>
      <c r="B136" s="143" t="s">
        <v>2383</v>
      </c>
      <c r="C136" s="143" t="s">
        <v>953</v>
      </c>
      <c r="D136" s="143">
        <v>20443810</v>
      </c>
      <c r="E136" s="143" t="s">
        <v>1100</v>
      </c>
      <c r="F136" s="143" t="s">
        <v>579</v>
      </c>
      <c r="G136" s="143" t="s">
        <v>2248</v>
      </c>
      <c r="H136" s="143" t="s">
        <v>591</v>
      </c>
      <c r="J136" s="144">
        <v>46062</v>
      </c>
      <c r="K136" s="144">
        <v>46062</v>
      </c>
      <c r="U136" s="144">
        <v>46062</v>
      </c>
    </row>
    <row r="137" spans="1:21">
      <c r="A137" s="143" t="s">
        <v>953</v>
      </c>
      <c r="B137" s="143" t="s">
        <v>2384</v>
      </c>
      <c r="C137" s="143" t="s">
        <v>953</v>
      </c>
      <c r="D137" s="143">
        <v>20456021</v>
      </c>
      <c r="E137" s="143" t="s">
        <v>1100</v>
      </c>
      <c r="F137" s="143" t="s">
        <v>1115</v>
      </c>
      <c r="G137" s="143" t="s">
        <v>2250</v>
      </c>
      <c r="H137" s="143" t="s">
        <v>587</v>
      </c>
      <c r="I137" s="143" t="s">
        <v>1167</v>
      </c>
      <c r="J137" s="144">
        <v>46076</v>
      </c>
      <c r="K137" s="144">
        <v>46076</v>
      </c>
      <c r="U137" s="144">
        <v>46076</v>
      </c>
    </row>
    <row r="138" spans="1:21">
      <c r="A138" s="143" t="s">
        <v>953</v>
      </c>
      <c r="B138" s="143" t="s">
        <v>2384</v>
      </c>
      <c r="C138" s="143" t="s">
        <v>953</v>
      </c>
      <c r="D138" s="143">
        <v>20448931</v>
      </c>
      <c r="E138" s="143" t="s">
        <v>1100</v>
      </c>
      <c r="F138" s="143" t="s">
        <v>579</v>
      </c>
      <c r="G138" s="143" t="s">
        <v>2248</v>
      </c>
      <c r="H138" s="143" t="s">
        <v>589</v>
      </c>
      <c r="J138" s="144">
        <v>46067</v>
      </c>
      <c r="K138" s="144">
        <v>46076</v>
      </c>
      <c r="U138" s="144">
        <v>46067</v>
      </c>
    </row>
    <row r="139" spans="1:21">
      <c r="A139" s="143" t="s">
        <v>953</v>
      </c>
      <c r="B139" s="143" t="s">
        <v>2385</v>
      </c>
      <c r="C139" s="143" t="s">
        <v>953</v>
      </c>
      <c r="D139" s="143">
        <v>20453252</v>
      </c>
      <c r="E139" s="143" t="s">
        <v>2245</v>
      </c>
      <c r="F139" s="143" t="s">
        <v>579</v>
      </c>
      <c r="G139" s="143" t="s">
        <v>2248</v>
      </c>
      <c r="H139" s="143" t="s">
        <v>588</v>
      </c>
      <c r="J139" s="144">
        <v>46072</v>
      </c>
      <c r="K139" s="144"/>
      <c r="U139" s="144">
        <v>46072</v>
      </c>
    </row>
    <row r="140" spans="1:21">
      <c r="A140" s="143" t="s">
        <v>953</v>
      </c>
      <c r="B140" s="143" t="s">
        <v>2386</v>
      </c>
      <c r="C140" s="143" t="s">
        <v>953</v>
      </c>
      <c r="D140" s="143">
        <v>20455547</v>
      </c>
      <c r="E140" s="143" t="s">
        <v>2245</v>
      </c>
      <c r="F140" s="143" t="s">
        <v>579</v>
      </c>
      <c r="G140" s="143" t="s">
        <v>2259</v>
      </c>
      <c r="H140" s="143" t="s">
        <v>2287</v>
      </c>
      <c r="J140" s="144">
        <v>46076</v>
      </c>
      <c r="U140" s="144">
        <v>46076</v>
      </c>
    </row>
    <row r="141" spans="1:21">
      <c r="A141" s="143" t="s">
        <v>953</v>
      </c>
      <c r="B141" s="143" t="s">
        <v>2387</v>
      </c>
      <c r="C141" s="143" t="s">
        <v>953</v>
      </c>
      <c r="D141" s="143">
        <v>20439680</v>
      </c>
      <c r="E141" s="143" t="s">
        <v>2252</v>
      </c>
      <c r="F141" s="143" t="s">
        <v>1115</v>
      </c>
      <c r="G141" s="143" t="s">
        <v>2250</v>
      </c>
      <c r="H141" s="143" t="s">
        <v>589</v>
      </c>
      <c r="J141" s="144">
        <v>46055</v>
      </c>
      <c r="K141" s="144">
        <v>46055</v>
      </c>
      <c r="R141" s="144">
        <v>46056</v>
      </c>
      <c r="U141" s="144">
        <v>46055</v>
      </c>
    </row>
    <row r="142" spans="1:21">
      <c r="A142" s="143" t="s">
        <v>953</v>
      </c>
      <c r="B142" s="143" t="s">
        <v>2387</v>
      </c>
      <c r="C142" s="143" t="s">
        <v>953</v>
      </c>
      <c r="D142" s="143">
        <v>20459330</v>
      </c>
      <c r="E142" s="143" t="s">
        <v>2245</v>
      </c>
      <c r="F142" s="143" t="s">
        <v>984</v>
      </c>
      <c r="G142" s="143" t="s">
        <v>2259</v>
      </c>
      <c r="H142" s="143" t="s">
        <v>2388</v>
      </c>
      <c r="J142" s="144">
        <v>46081</v>
      </c>
      <c r="K142" s="144"/>
      <c r="R142" s="144"/>
      <c r="U142" s="144">
        <v>46081</v>
      </c>
    </row>
    <row r="143" spans="1:21">
      <c r="A143" s="143" t="s">
        <v>953</v>
      </c>
      <c r="B143" s="143" t="s">
        <v>2389</v>
      </c>
      <c r="C143" s="143" t="s">
        <v>953</v>
      </c>
      <c r="D143" s="143">
        <v>20421611</v>
      </c>
      <c r="E143" s="143" t="s">
        <v>2258</v>
      </c>
      <c r="F143" s="143" t="s">
        <v>577</v>
      </c>
      <c r="G143" s="143" t="s">
        <v>2246</v>
      </c>
      <c r="H143" s="143" t="s">
        <v>592</v>
      </c>
      <c r="J143" s="144">
        <v>46011</v>
      </c>
      <c r="R143" s="144">
        <v>46058</v>
      </c>
      <c r="U143" s="144">
        <v>46031</v>
      </c>
    </row>
    <row r="144" spans="1:21">
      <c r="A144" s="143" t="s">
        <v>953</v>
      </c>
      <c r="B144" s="143" t="s">
        <v>2390</v>
      </c>
      <c r="C144" s="143" t="s">
        <v>953</v>
      </c>
      <c r="D144" s="143">
        <v>20455023</v>
      </c>
      <c r="E144" s="143" t="s">
        <v>1100</v>
      </c>
      <c r="F144" s="143" t="s">
        <v>577</v>
      </c>
      <c r="G144" s="143" t="s">
        <v>2248</v>
      </c>
      <c r="H144" s="143" t="s">
        <v>588</v>
      </c>
      <c r="I144" s="143" t="s">
        <v>881</v>
      </c>
      <c r="J144" s="144">
        <v>46074</v>
      </c>
      <c r="K144" s="144">
        <v>46078</v>
      </c>
      <c r="R144" s="144"/>
      <c r="U144" s="144">
        <v>46108</v>
      </c>
    </row>
    <row r="145" spans="1:21">
      <c r="A145" s="143" t="s">
        <v>953</v>
      </c>
      <c r="B145" s="143" t="s">
        <v>2391</v>
      </c>
      <c r="C145" s="143" t="s">
        <v>953</v>
      </c>
      <c r="D145" s="143">
        <v>20447916</v>
      </c>
      <c r="E145" s="143" t="s">
        <v>2245</v>
      </c>
      <c r="F145" s="143" t="s">
        <v>581</v>
      </c>
      <c r="G145" s="143" t="s">
        <v>2290</v>
      </c>
      <c r="H145" s="143" t="s">
        <v>587</v>
      </c>
      <c r="J145" s="144">
        <v>46065</v>
      </c>
      <c r="K145" s="144"/>
      <c r="U145" s="144">
        <v>46066</v>
      </c>
    </row>
    <row r="146" spans="1:21">
      <c r="A146" s="143" t="s">
        <v>953</v>
      </c>
      <c r="B146" s="143" t="s">
        <v>2392</v>
      </c>
      <c r="C146" s="143" t="s">
        <v>953</v>
      </c>
      <c r="D146" s="143">
        <v>20440960</v>
      </c>
      <c r="E146" s="143" t="s">
        <v>2245</v>
      </c>
      <c r="F146" s="143" t="s">
        <v>579</v>
      </c>
      <c r="G146" s="143" t="s">
        <v>2248</v>
      </c>
      <c r="H146" s="143" t="s">
        <v>588</v>
      </c>
      <c r="J146" s="144">
        <v>46057</v>
      </c>
      <c r="U146" s="144">
        <v>46095</v>
      </c>
    </row>
    <row r="147" spans="1:21">
      <c r="A147" s="143" t="s">
        <v>953</v>
      </c>
      <c r="B147" s="143" t="s">
        <v>1103</v>
      </c>
      <c r="C147" s="143" t="s">
        <v>953</v>
      </c>
      <c r="D147" s="143">
        <v>20441173</v>
      </c>
      <c r="E147" s="143" t="s">
        <v>1104</v>
      </c>
      <c r="F147" s="143" t="s">
        <v>579</v>
      </c>
      <c r="G147" s="143" t="s">
        <v>2250</v>
      </c>
      <c r="H147" s="143" t="s">
        <v>588</v>
      </c>
      <c r="I147" s="143" t="s">
        <v>1102</v>
      </c>
      <c r="J147" s="144">
        <v>46057</v>
      </c>
      <c r="K147" s="144">
        <v>46057</v>
      </c>
      <c r="L147" s="144">
        <v>46058</v>
      </c>
      <c r="U147" s="144">
        <v>46088</v>
      </c>
    </row>
    <row r="148" spans="1:21">
      <c r="A148" s="143" t="s">
        <v>953</v>
      </c>
      <c r="B148" s="143" t="s">
        <v>2393</v>
      </c>
      <c r="C148" s="143" t="s">
        <v>953</v>
      </c>
      <c r="D148" s="143">
        <v>20449295</v>
      </c>
      <c r="E148" s="143" t="s">
        <v>2245</v>
      </c>
      <c r="F148" s="143" t="s">
        <v>581</v>
      </c>
      <c r="G148" s="143" t="s">
        <v>1213</v>
      </c>
      <c r="H148" s="143" t="s">
        <v>587</v>
      </c>
      <c r="J148" s="144">
        <v>46068</v>
      </c>
      <c r="K148" s="144"/>
      <c r="L148" s="144"/>
      <c r="U148" s="144">
        <v>46127</v>
      </c>
    </row>
    <row r="149" spans="1:21">
      <c r="A149" s="143" t="s">
        <v>953</v>
      </c>
      <c r="B149" s="143" t="s">
        <v>2394</v>
      </c>
      <c r="C149" s="143" t="s">
        <v>953</v>
      </c>
      <c r="D149" s="143">
        <v>20444500</v>
      </c>
      <c r="E149" s="143" t="s">
        <v>1110</v>
      </c>
      <c r="F149" s="143" t="s">
        <v>2256</v>
      </c>
      <c r="G149" s="143" t="s">
        <v>2250</v>
      </c>
      <c r="H149" s="143" t="s">
        <v>587</v>
      </c>
      <c r="I149" s="143" t="s">
        <v>1013</v>
      </c>
      <c r="J149" s="144">
        <v>46063</v>
      </c>
      <c r="K149" s="144">
        <v>46063</v>
      </c>
      <c r="L149" s="144">
        <v>46063</v>
      </c>
      <c r="U149" s="144">
        <v>46081</v>
      </c>
    </row>
    <row r="150" spans="1:21">
      <c r="A150" s="143" t="s">
        <v>953</v>
      </c>
      <c r="B150" s="143" t="s">
        <v>2395</v>
      </c>
      <c r="C150" s="143" t="s">
        <v>953</v>
      </c>
      <c r="D150" s="143">
        <v>20450536</v>
      </c>
      <c r="E150" s="143" t="s">
        <v>2324</v>
      </c>
      <c r="F150" s="143" t="s">
        <v>578</v>
      </c>
      <c r="G150" s="143" t="s">
        <v>2248</v>
      </c>
      <c r="H150" s="143" t="s">
        <v>591</v>
      </c>
      <c r="I150" s="143" t="s">
        <v>877</v>
      </c>
      <c r="J150" s="144">
        <v>46070</v>
      </c>
      <c r="K150" s="144">
        <v>46070</v>
      </c>
      <c r="L150" s="144">
        <v>46070</v>
      </c>
      <c r="M150" s="144">
        <v>46080</v>
      </c>
      <c r="N150" s="144">
        <v>46080</v>
      </c>
      <c r="P150" s="144">
        <v>46080</v>
      </c>
      <c r="Q150" s="144">
        <v>46080</v>
      </c>
      <c r="U150" s="144">
        <v>46080</v>
      </c>
    </row>
    <row r="151" spans="1:21">
      <c r="A151" s="143" t="s">
        <v>953</v>
      </c>
      <c r="B151" s="143" t="s">
        <v>2396</v>
      </c>
      <c r="C151" s="143" t="s">
        <v>953</v>
      </c>
      <c r="D151" s="143">
        <v>20453239</v>
      </c>
      <c r="E151" s="143" t="s">
        <v>2245</v>
      </c>
      <c r="F151" s="143" t="s">
        <v>984</v>
      </c>
      <c r="G151" s="143" t="s">
        <v>2259</v>
      </c>
      <c r="H151" s="143" t="s">
        <v>593</v>
      </c>
      <c r="J151" s="144">
        <v>46072</v>
      </c>
      <c r="K151" s="144"/>
      <c r="L151" s="144"/>
      <c r="M151" s="144"/>
      <c r="N151" s="144"/>
      <c r="P151" s="144"/>
      <c r="Q151" s="144"/>
      <c r="U151" s="144">
        <v>46072</v>
      </c>
    </row>
    <row r="152" spans="1:21">
      <c r="A152" s="143" t="s">
        <v>953</v>
      </c>
      <c r="B152" s="143" t="s">
        <v>2397</v>
      </c>
      <c r="C152" s="143" t="s">
        <v>953</v>
      </c>
      <c r="D152" s="143">
        <v>20442867</v>
      </c>
      <c r="E152" s="143" t="s">
        <v>1100</v>
      </c>
      <c r="F152" s="143" t="s">
        <v>581</v>
      </c>
      <c r="G152" s="143" t="s">
        <v>2248</v>
      </c>
      <c r="H152" s="143" t="s">
        <v>588</v>
      </c>
      <c r="I152" s="143" t="s">
        <v>2285</v>
      </c>
      <c r="J152" s="144">
        <v>46060</v>
      </c>
      <c r="K152" s="144">
        <v>46062</v>
      </c>
      <c r="U152" s="144">
        <v>46067</v>
      </c>
    </row>
    <row r="153" spans="1:21">
      <c r="A153" s="143" t="s">
        <v>953</v>
      </c>
      <c r="B153" s="143" t="s">
        <v>2398</v>
      </c>
      <c r="C153" s="143" t="s">
        <v>953</v>
      </c>
      <c r="D153" s="143">
        <v>20450699</v>
      </c>
      <c r="E153" s="143" t="s">
        <v>2252</v>
      </c>
      <c r="F153" s="143" t="s">
        <v>2256</v>
      </c>
      <c r="G153" s="143" t="s">
        <v>2248</v>
      </c>
      <c r="H153" s="143" t="s">
        <v>588</v>
      </c>
      <c r="I153" s="143" t="s">
        <v>894</v>
      </c>
      <c r="J153" s="144">
        <v>46070</v>
      </c>
      <c r="K153" s="144">
        <v>46070</v>
      </c>
      <c r="R153" s="144">
        <v>46072</v>
      </c>
      <c r="U153" s="144">
        <v>46094</v>
      </c>
    </row>
    <row r="154" spans="1:21">
      <c r="A154" s="143" t="s">
        <v>953</v>
      </c>
      <c r="B154" s="143" t="s">
        <v>2399</v>
      </c>
      <c r="C154" s="143" t="s">
        <v>953</v>
      </c>
      <c r="D154" s="143">
        <v>20441362</v>
      </c>
      <c r="E154" s="143" t="s">
        <v>2245</v>
      </c>
      <c r="F154" s="143" t="s">
        <v>581</v>
      </c>
      <c r="G154" s="143" t="s">
        <v>2290</v>
      </c>
      <c r="H154" s="143" t="s">
        <v>587</v>
      </c>
      <c r="J154" s="144">
        <v>46058</v>
      </c>
      <c r="K154" s="144"/>
      <c r="R154" s="144"/>
      <c r="U154" s="144">
        <v>46204</v>
      </c>
    </row>
    <row r="155" spans="1:21">
      <c r="A155" s="143" t="s">
        <v>953</v>
      </c>
      <c r="B155" s="143" t="s">
        <v>2400</v>
      </c>
      <c r="C155" s="143" t="s">
        <v>953</v>
      </c>
      <c r="D155" s="143">
        <v>20442335</v>
      </c>
      <c r="E155" s="143" t="s">
        <v>2245</v>
      </c>
      <c r="F155" s="143" t="s">
        <v>581</v>
      </c>
      <c r="G155" s="143" t="s">
        <v>2246</v>
      </c>
      <c r="H155" s="143" t="s">
        <v>587</v>
      </c>
      <c r="J155" s="144">
        <v>46059</v>
      </c>
      <c r="U155" s="144">
        <v>46082</v>
      </c>
    </row>
    <row r="156" spans="1:21">
      <c r="A156" s="143" t="s">
        <v>953</v>
      </c>
      <c r="B156" s="143" t="s">
        <v>2401</v>
      </c>
      <c r="C156" s="143" t="s">
        <v>953</v>
      </c>
      <c r="D156" s="143">
        <v>20456528</v>
      </c>
      <c r="E156" s="143" t="s">
        <v>2245</v>
      </c>
      <c r="F156" s="143" t="s">
        <v>581</v>
      </c>
      <c r="G156" s="143" t="s">
        <v>2290</v>
      </c>
      <c r="H156" s="143" t="s">
        <v>587</v>
      </c>
      <c r="J156" s="144">
        <v>46077</v>
      </c>
      <c r="U156" s="144">
        <v>46133</v>
      </c>
    </row>
    <row r="157" spans="1:21">
      <c r="A157" s="143" t="s">
        <v>953</v>
      </c>
      <c r="B157" s="143" t="s">
        <v>1125</v>
      </c>
      <c r="C157" s="143" t="s">
        <v>953</v>
      </c>
      <c r="D157" s="143">
        <v>20456879</v>
      </c>
      <c r="E157" s="143" t="s">
        <v>1100</v>
      </c>
      <c r="F157" s="143" t="s">
        <v>577</v>
      </c>
      <c r="G157" s="143" t="s">
        <v>2248</v>
      </c>
      <c r="H157" s="143" t="s">
        <v>589</v>
      </c>
      <c r="I157" s="143" t="s">
        <v>1124</v>
      </c>
      <c r="J157" s="144">
        <v>46077</v>
      </c>
      <c r="K157" s="144">
        <v>46077</v>
      </c>
      <c r="U157" s="144">
        <v>46109</v>
      </c>
    </row>
    <row r="158" spans="1:21">
      <c r="A158" s="143" t="s">
        <v>953</v>
      </c>
      <c r="B158" s="143" t="s">
        <v>2402</v>
      </c>
      <c r="C158" s="143" t="s">
        <v>953</v>
      </c>
      <c r="D158" s="143">
        <v>20456646</v>
      </c>
      <c r="E158" s="143" t="s">
        <v>2258</v>
      </c>
      <c r="F158" s="143" t="s">
        <v>582</v>
      </c>
      <c r="G158" s="143" t="s">
        <v>2248</v>
      </c>
      <c r="H158" s="143" t="s">
        <v>588</v>
      </c>
      <c r="J158" s="144">
        <v>46077</v>
      </c>
      <c r="K158" s="144"/>
      <c r="R158" s="144">
        <v>46077</v>
      </c>
      <c r="U158" s="144">
        <v>46077</v>
      </c>
    </row>
    <row r="159" spans="1:21">
      <c r="A159" s="143" t="s">
        <v>953</v>
      </c>
      <c r="B159" s="143" t="s">
        <v>2403</v>
      </c>
      <c r="C159" s="143" t="s">
        <v>953</v>
      </c>
      <c r="D159" s="143">
        <v>20454108</v>
      </c>
      <c r="E159" s="143" t="s">
        <v>2245</v>
      </c>
      <c r="F159" s="143" t="s">
        <v>984</v>
      </c>
      <c r="G159" s="143" t="s">
        <v>2259</v>
      </c>
      <c r="H159" s="143" t="s">
        <v>593</v>
      </c>
      <c r="J159" s="144">
        <v>46073</v>
      </c>
      <c r="R159" s="144"/>
      <c r="U159" s="144">
        <v>46073</v>
      </c>
    </row>
    <row r="160" spans="1:21">
      <c r="A160" s="143" t="s">
        <v>953</v>
      </c>
      <c r="B160" s="143" t="s">
        <v>2404</v>
      </c>
      <c r="C160" s="143" t="s">
        <v>953</v>
      </c>
      <c r="D160" s="143">
        <v>20457573</v>
      </c>
      <c r="E160" s="143" t="s">
        <v>2245</v>
      </c>
      <c r="F160" s="143" t="s">
        <v>581</v>
      </c>
      <c r="G160" s="143" t="s">
        <v>2290</v>
      </c>
      <c r="H160" s="143" t="s">
        <v>587</v>
      </c>
      <c r="J160" s="144">
        <v>46078</v>
      </c>
      <c r="U160" s="144">
        <v>46284</v>
      </c>
    </row>
    <row r="161" spans="1:21">
      <c r="A161" s="143" t="s">
        <v>953</v>
      </c>
      <c r="B161" s="143" t="s">
        <v>2405</v>
      </c>
      <c r="C161" s="143" t="s">
        <v>953</v>
      </c>
      <c r="D161" s="143">
        <v>20444274</v>
      </c>
      <c r="E161" s="143" t="s">
        <v>2245</v>
      </c>
      <c r="F161" s="143" t="s">
        <v>581</v>
      </c>
      <c r="G161" s="143" t="s">
        <v>1213</v>
      </c>
      <c r="H161" s="143" t="s">
        <v>587</v>
      </c>
      <c r="J161" s="144">
        <v>46063</v>
      </c>
      <c r="U161" s="144">
        <v>46082</v>
      </c>
    </row>
    <row r="162" spans="1:21">
      <c r="A162" s="143" t="s">
        <v>953</v>
      </c>
      <c r="B162" s="143" t="s">
        <v>2406</v>
      </c>
      <c r="C162" s="143" t="s">
        <v>953</v>
      </c>
      <c r="D162" s="143">
        <v>20441167</v>
      </c>
      <c r="E162" s="143" t="s">
        <v>2245</v>
      </c>
      <c r="F162" s="143" t="s">
        <v>984</v>
      </c>
      <c r="G162" s="143" t="s">
        <v>2246</v>
      </c>
      <c r="H162" s="143" t="s">
        <v>587</v>
      </c>
      <c r="J162" s="144">
        <v>46057</v>
      </c>
      <c r="U162" s="144">
        <v>46143</v>
      </c>
    </row>
    <row r="163" spans="1:21">
      <c r="A163" s="143" t="s">
        <v>953</v>
      </c>
      <c r="B163" s="143" t="s">
        <v>2407</v>
      </c>
      <c r="C163" s="143" t="s">
        <v>953</v>
      </c>
      <c r="D163" s="143">
        <v>20447913</v>
      </c>
      <c r="E163" s="143" t="s">
        <v>2245</v>
      </c>
      <c r="F163" s="143" t="s">
        <v>579</v>
      </c>
      <c r="G163" s="143" t="s">
        <v>2248</v>
      </c>
      <c r="H163" s="143" t="s">
        <v>591</v>
      </c>
      <c r="J163" s="144">
        <v>46065</v>
      </c>
      <c r="U163" s="144">
        <v>46065</v>
      </c>
    </row>
    <row r="164" spans="1:21">
      <c r="A164" s="143" t="s">
        <v>953</v>
      </c>
      <c r="B164" s="143" t="s">
        <v>2408</v>
      </c>
      <c r="C164" s="143" t="s">
        <v>953</v>
      </c>
      <c r="D164" s="143">
        <v>20416808</v>
      </c>
      <c r="E164" s="143" t="s">
        <v>2252</v>
      </c>
      <c r="F164" s="143" t="s">
        <v>578</v>
      </c>
      <c r="G164" s="143" t="s">
        <v>2246</v>
      </c>
      <c r="H164" s="143" t="s">
        <v>2361</v>
      </c>
      <c r="I164" s="143" t="s">
        <v>2409</v>
      </c>
      <c r="J164" s="144">
        <v>46024</v>
      </c>
      <c r="K164" s="144">
        <v>46064</v>
      </c>
      <c r="L164" s="144">
        <v>46064</v>
      </c>
      <c r="R164" s="144">
        <v>46079</v>
      </c>
      <c r="U164" s="144">
        <v>46081</v>
      </c>
    </row>
    <row r="165" spans="1:21">
      <c r="A165" s="143" t="s">
        <v>953</v>
      </c>
      <c r="B165" s="143" t="s">
        <v>2410</v>
      </c>
      <c r="C165" s="143" t="s">
        <v>953</v>
      </c>
      <c r="D165" s="143">
        <v>20449099</v>
      </c>
      <c r="E165" s="143" t="s">
        <v>2245</v>
      </c>
      <c r="F165" s="143" t="s">
        <v>581</v>
      </c>
      <c r="G165" s="143" t="s">
        <v>2259</v>
      </c>
      <c r="H165" s="143" t="s">
        <v>593</v>
      </c>
      <c r="J165" s="144">
        <v>46067</v>
      </c>
      <c r="K165" s="144"/>
      <c r="L165" s="144"/>
      <c r="R165" s="144"/>
      <c r="U165" s="144">
        <v>46067</v>
      </c>
    </row>
    <row r="166" spans="1:21">
      <c r="A166" s="143" t="s">
        <v>953</v>
      </c>
      <c r="B166" s="143" t="s">
        <v>2411</v>
      </c>
      <c r="C166" s="143" t="s">
        <v>953</v>
      </c>
      <c r="D166" s="143">
        <v>20444743</v>
      </c>
      <c r="E166" s="143" t="s">
        <v>2245</v>
      </c>
      <c r="F166" s="143" t="s">
        <v>581</v>
      </c>
      <c r="G166" s="143" t="s">
        <v>1213</v>
      </c>
      <c r="H166" s="143" t="s">
        <v>2412</v>
      </c>
      <c r="J166" s="144">
        <v>46063</v>
      </c>
      <c r="U166" s="144">
        <v>46129</v>
      </c>
    </row>
    <row r="167" spans="1:21">
      <c r="A167" s="143" t="s">
        <v>953</v>
      </c>
      <c r="B167" s="143" t="s">
        <v>2413</v>
      </c>
      <c r="C167" s="143" t="s">
        <v>953</v>
      </c>
      <c r="D167" s="143">
        <v>20459496</v>
      </c>
      <c r="E167" s="143" t="s">
        <v>2245</v>
      </c>
      <c r="F167" s="143" t="s">
        <v>581</v>
      </c>
      <c r="G167" s="143" t="s">
        <v>1213</v>
      </c>
      <c r="H167" s="143" t="s">
        <v>587</v>
      </c>
      <c r="J167" s="144">
        <v>46081</v>
      </c>
      <c r="U167" s="144">
        <v>46082</v>
      </c>
    </row>
    <row r="168" spans="1:21">
      <c r="A168" s="143" t="s">
        <v>953</v>
      </c>
      <c r="B168" s="143" t="s">
        <v>2414</v>
      </c>
      <c r="C168" s="143" t="s">
        <v>953</v>
      </c>
      <c r="D168" s="143">
        <v>20455525</v>
      </c>
      <c r="E168" s="143" t="s">
        <v>1110</v>
      </c>
      <c r="F168" s="143" t="s">
        <v>577</v>
      </c>
      <c r="G168" s="143" t="s">
        <v>2250</v>
      </c>
      <c r="H168" s="143" t="s">
        <v>587</v>
      </c>
      <c r="I168" s="143" t="s">
        <v>570</v>
      </c>
      <c r="J168" s="144">
        <v>46076</v>
      </c>
      <c r="K168" s="144">
        <v>46076</v>
      </c>
      <c r="L168" s="144">
        <v>46076</v>
      </c>
      <c r="U168" s="144">
        <v>46081</v>
      </c>
    </row>
    <row r="169" spans="1:21">
      <c r="A169" s="143" t="s">
        <v>953</v>
      </c>
      <c r="B169" s="143" t="s">
        <v>2415</v>
      </c>
      <c r="C169" s="143" t="s">
        <v>953</v>
      </c>
      <c r="D169" s="143">
        <v>20457891</v>
      </c>
      <c r="E169" s="143" t="s">
        <v>2245</v>
      </c>
      <c r="F169" s="143" t="s">
        <v>984</v>
      </c>
      <c r="G169" s="143" t="s">
        <v>2246</v>
      </c>
      <c r="H169" s="143" t="s">
        <v>591</v>
      </c>
      <c r="J169" s="144">
        <v>46079</v>
      </c>
      <c r="K169" s="144"/>
      <c r="L169" s="144"/>
      <c r="U169" s="144">
        <v>46079</v>
      </c>
    </row>
    <row r="170" spans="1:21">
      <c r="A170" s="143" t="s">
        <v>953</v>
      </c>
      <c r="B170" s="143" t="s">
        <v>2416</v>
      </c>
      <c r="C170" s="143" t="s">
        <v>953</v>
      </c>
      <c r="D170" s="143">
        <v>20459732</v>
      </c>
      <c r="E170" s="143" t="s">
        <v>2245</v>
      </c>
      <c r="F170" s="143" t="s">
        <v>578</v>
      </c>
      <c r="G170" s="143" t="s">
        <v>2248</v>
      </c>
      <c r="H170" s="143" t="s">
        <v>589</v>
      </c>
      <c r="J170" s="144">
        <v>46081</v>
      </c>
      <c r="U170" s="144">
        <v>46081</v>
      </c>
    </row>
    <row r="171" spans="1:21">
      <c r="A171" s="143" t="s">
        <v>953</v>
      </c>
      <c r="B171" s="143" t="s">
        <v>2417</v>
      </c>
      <c r="C171" s="143" t="s">
        <v>953</v>
      </c>
      <c r="D171" s="143">
        <v>20455080</v>
      </c>
      <c r="E171" s="143" t="s">
        <v>2245</v>
      </c>
      <c r="F171" s="143" t="s">
        <v>984</v>
      </c>
      <c r="G171" s="143" t="s">
        <v>2246</v>
      </c>
      <c r="H171" s="143" t="s">
        <v>587</v>
      </c>
      <c r="J171" s="144">
        <v>46074</v>
      </c>
      <c r="U171" s="144">
        <v>46099</v>
      </c>
    </row>
    <row r="172" spans="1:21">
      <c r="A172" s="143" t="s">
        <v>953</v>
      </c>
      <c r="B172" s="143" t="s">
        <v>2418</v>
      </c>
      <c r="C172" s="143" t="s">
        <v>953</v>
      </c>
      <c r="D172" s="143">
        <v>20442683</v>
      </c>
      <c r="E172" s="143" t="s">
        <v>2245</v>
      </c>
      <c r="F172" s="143" t="s">
        <v>984</v>
      </c>
      <c r="G172" s="143" t="s">
        <v>2259</v>
      </c>
      <c r="H172" s="143" t="s">
        <v>592</v>
      </c>
      <c r="J172" s="144">
        <v>46060</v>
      </c>
      <c r="U172" s="144">
        <v>46060</v>
      </c>
    </row>
    <row r="173" spans="1:21">
      <c r="A173" s="143" t="s">
        <v>953</v>
      </c>
      <c r="B173" s="143" t="s">
        <v>2419</v>
      </c>
      <c r="C173" s="143" t="s">
        <v>953</v>
      </c>
      <c r="D173" s="143">
        <v>20459588</v>
      </c>
      <c r="E173" s="143" t="s">
        <v>1100</v>
      </c>
      <c r="F173" s="143" t="s">
        <v>1115</v>
      </c>
      <c r="G173" s="143" t="s">
        <v>2250</v>
      </c>
      <c r="H173" s="143" t="s">
        <v>587</v>
      </c>
      <c r="I173" s="143" t="s">
        <v>2420</v>
      </c>
      <c r="J173" s="144">
        <v>46081</v>
      </c>
      <c r="K173" s="144">
        <v>46081</v>
      </c>
      <c r="U173" s="144">
        <v>46081</v>
      </c>
    </row>
    <row r="174" spans="1:21">
      <c r="A174" s="143" t="s">
        <v>953</v>
      </c>
      <c r="B174" s="143" t="s">
        <v>2421</v>
      </c>
      <c r="C174" s="143" t="s">
        <v>953</v>
      </c>
      <c r="D174" s="143">
        <v>20459460</v>
      </c>
      <c r="E174" s="143" t="s">
        <v>2245</v>
      </c>
      <c r="F174" s="143" t="s">
        <v>578</v>
      </c>
      <c r="G174" s="143" t="s">
        <v>2248</v>
      </c>
      <c r="H174" s="143" t="s">
        <v>588</v>
      </c>
      <c r="J174" s="144">
        <v>46081</v>
      </c>
      <c r="K174" s="144"/>
      <c r="U174" s="144">
        <v>46081</v>
      </c>
    </row>
    <row r="175" spans="1:21">
      <c r="A175" s="143" t="s">
        <v>953</v>
      </c>
      <c r="B175" s="143" t="s">
        <v>2422</v>
      </c>
      <c r="C175" s="143" t="s">
        <v>953</v>
      </c>
      <c r="D175" s="143">
        <v>20450095</v>
      </c>
      <c r="E175" s="143" t="s">
        <v>2245</v>
      </c>
      <c r="F175" s="143" t="s">
        <v>984</v>
      </c>
      <c r="G175" s="143" t="s">
        <v>2246</v>
      </c>
      <c r="H175" s="143" t="s">
        <v>587</v>
      </c>
      <c r="J175" s="144">
        <v>46069</v>
      </c>
      <c r="U175" s="144">
        <v>46120</v>
      </c>
    </row>
    <row r="176" spans="1:21">
      <c r="A176" s="143" t="s">
        <v>953</v>
      </c>
      <c r="B176" s="143" t="s">
        <v>2423</v>
      </c>
      <c r="C176" s="143" t="s">
        <v>953</v>
      </c>
      <c r="D176" s="143">
        <v>20448051</v>
      </c>
      <c r="E176" s="143" t="s">
        <v>1100</v>
      </c>
      <c r="F176" s="143" t="s">
        <v>1115</v>
      </c>
      <c r="G176" s="143" t="s">
        <v>2250</v>
      </c>
      <c r="H176" s="143" t="s">
        <v>587</v>
      </c>
      <c r="J176" s="144">
        <v>46065</v>
      </c>
      <c r="K176" s="144">
        <v>46065</v>
      </c>
      <c r="U176" s="144">
        <v>46065</v>
      </c>
    </row>
    <row r="177" spans="1:21">
      <c r="A177" s="143" t="s">
        <v>953</v>
      </c>
      <c r="B177" s="143" t="s">
        <v>2424</v>
      </c>
      <c r="C177" s="143" t="s">
        <v>953</v>
      </c>
      <c r="D177" s="143">
        <v>20444029</v>
      </c>
      <c r="E177" s="143" t="s">
        <v>1110</v>
      </c>
      <c r="F177" s="143" t="s">
        <v>579</v>
      </c>
      <c r="G177" s="143" t="s">
        <v>2246</v>
      </c>
      <c r="H177" s="143" t="s">
        <v>587</v>
      </c>
      <c r="I177" s="143" t="s">
        <v>2425</v>
      </c>
      <c r="J177" s="144">
        <v>46062</v>
      </c>
      <c r="K177" s="144">
        <v>46064</v>
      </c>
      <c r="L177" s="144">
        <v>46065</v>
      </c>
      <c r="U177" s="144">
        <v>46109</v>
      </c>
    </row>
    <row r="178" spans="1:21">
      <c r="A178" s="143" t="s">
        <v>953</v>
      </c>
      <c r="B178" s="143" t="s">
        <v>2424</v>
      </c>
      <c r="C178" s="143" t="s">
        <v>953</v>
      </c>
      <c r="D178" s="143">
        <v>20444302</v>
      </c>
      <c r="E178" s="143" t="s">
        <v>1104</v>
      </c>
      <c r="F178" s="143" t="s">
        <v>1115</v>
      </c>
      <c r="G178" s="143" t="s">
        <v>2250</v>
      </c>
      <c r="H178" s="143" t="s">
        <v>587</v>
      </c>
      <c r="I178" s="143" t="s">
        <v>892</v>
      </c>
      <c r="J178" s="144">
        <v>46063</v>
      </c>
      <c r="K178" s="144">
        <v>46063</v>
      </c>
      <c r="L178" s="144">
        <v>46063</v>
      </c>
      <c r="U178" s="144">
        <v>46126</v>
      </c>
    </row>
    <row r="179" spans="1:21">
      <c r="A179" s="143" t="s">
        <v>953</v>
      </c>
      <c r="B179" s="143" t="s">
        <v>2426</v>
      </c>
      <c r="C179" s="143" t="s">
        <v>953</v>
      </c>
      <c r="D179" s="143">
        <v>20448353</v>
      </c>
      <c r="E179" s="143" t="s">
        <v>2252</v>
      </c>
      <c r="F179" s="143" t="s">
        <v>1115</v>
      </c>
      <c r="G179" s="143" t="s">
        <v>2250</v>
      </c>
      <c r="H179" s="143" t="s">
        <v>592</v>
      </c>
      <c r="I179" s="143" t="s">
        <v>982</v>
      </c>
      <c r="J179" s="144">
        <v>46066</v>
      </c>
      <c r="K179" s="144">
        <v>46066</v>
      </c>
      <c r="L179" s="144">
        <v>46066</v>
      </c>
      <c r="R179" s="144">
        <v>46066</v>
      </c>
      <c r="U179" s="144">
        <v>46087</v>
      </c>
    </row>
    <row r="180" spans="1:21">
      <c r="A180" s="143" t="s">
        <v>953</v>
      </c>
      <c r="B180" s="143" t="s">
        <v>2426</v>
      </c>
      <c r="C180" s="143" t="s">
        <v>953</v>
      </c>
      <c r="D180" s="143">
        <v>20448431</v>
      </c>
      <c r="E180" s="143" t="s">
        <v>1100</v>
      </c>
      <c r="F180" s="143" t="s">
        <v>581</v>
      </c>
      <c r="G180" s="143" t="s">
        <v>2250</v>
      </c>
      <c r="H180" s="143" t="s">
        <v>592</v>
      </c>
      <c r="I180" s="143" t="s">
        <v>982</v>
      </c>
      <c r="J180" s="144">
        <v>46066</v>
      </c>
      <c r="K180" s="144">
        <v>46066</v>
      </c>
      <c r="U180" s="144">
        <v>46066</v>
      </c>
    </row>
    <row r="181" spans="1:21">
      <c r="A181" s="143" t="s">
        <v>953</v>
      </c>
      <c r="B181" s="143" t="s">
        <v>2427</v>
      </c>
      <c r="C181" s="143" t="s">
        <v>953</v>
      </c>
      <c r="D181" s="143">
        <v>20453300</v>
      </c>
      <c r="E181" s="143" t="s">
        <v>2245</v>
      </c>
      <c r="F181" s="143" t="s">
        <v>984</v>
      </c>
      <c r="G181" s="143" t="s">
        <v>2259</v>
      </c>
      <c r="H181" s="143" t="s">
        <v>2428</v>
      </c>
      <c r="J181" s="144">
        <v>46072</v>
      </c>
      <c r="K181" s="144"/>
      <c r="L181" s="144"/>
      <c r="R181" s="144"/>
      <c r="U181" s="144">
        <v>46087</v>
      </c>
    </row>
    <row r="182" spans="1:21">
      <c r="A182" s="143" t="s">
        <v>953</v>
      </c>
      <c r="B182" s="143" t="s">
        <v>2429</v>
      </c>
      <c r="C182" s="143" t="s">
        <v>953</v>
      </c>
      <c r="D182" s="143">
        <v>20423041</v>
      </c>
      <c r="E182" s="143" t="s">
        <v>2252</v>
      </c>
      <c r="F182" s="143" t="s">
        <v>577</v>
      </c>
      <c r="G182" s="143" t="s">
        <v>2250</v>
      </c>
      <c r="H182" s="143" t="s">
        <v>587</v>
      </c>
      <c r="J182" s="144">
        <v>46034</v>
      </c>
      <c r="K182" s="144">
        <v>46034</v>
      </c>
      <c r="R182" s="144">
        <v>46077</v>
      </c>
      <c r="U182" s="144">
        <v>46045</v>
      </c>
    </row>
    <row r="183" spans="1:21">
      <c r="A183" s="143" t="s">
        <v>953</v>
      </c>
      <c r="B183" s="143" t="s">
        <v>2430</v>
      </c>
      <c r="C183" s="143" t="s">
        <v>953</v>
      </c>
      <c r="D183" s="143">
        <v>20453840</v>
      </c>
      <c r="E183" s="143" t="s">
        <v>2245</v>
      </c>
      <c r="F183" s="143" t="s">
        <v>984</v>
      </c>
      <c r="G183" s="143" t="s">
        <v>2290</v>
      </c>
      <c r="H183" s="143" t="s">
        <v>587</v>
      </c>
      <c r="J183" s="144">
        <v>46072</v>
      </c>
      <c r="K183" s="144"/>
      <c r="R183" s="144"/>
      <c r="U183" s="144">
        <v>46118</v>
      </c>
    </row>
    <row r="184" spans="1:21">
      <c r="A184" s="143" t="s">
        <v>953</v>
      </c>
      <c r="B184" s="143" t="s">
        <v>2431</v>
      </c>
      <c r="C184" s="143" t="s">
        <v>953</v>
      </c>
      <c r="D184" s="143">
        <v>20447882</v>
      </c>
      <c r="E184" s="143" t="s">
        <v>1110</v>
      </c>
      <c r="F184" s="143" t="s">
        <v>984</v>
      </c>
      <c r="G184" s="143" t="s">
        <v>2290</v>
      </c>
      <c r="H184" s="143" t="s">
        <v>587</v>
      </c>
      <c r="I184" s="143" t="s">
        <v>1042</v>
      </c>
      <c r="J184" s="144">
        <v>46065</v>
      </c>
      <c r="K184" s="144">
        <v>46075</v>
      </c>
      <c r="L184" s="144">
        <v>46075</v>
      </c>
      <c r="U184" s="144">
        <v>46094</v>
      </c>
    </row>
    <row r="185" spans="1:21">
      <c r="A185" s="143" t="s">
        <v>953</v>
      </c>
      <c r="B185" s="143" t="s">
        <v>2432</v>
      </c>
      <c r="C185" s="143" t="s">
        <v>953</v>
      </c>
      <c r="D185" s="143">
        <v>20443881</v>
      </c>
      <c r="E185" s="143" t="s">
        <v>2252</v>
      </c>
      <c r="F185" s="143" t="s">
        <v>579</v>
      </c>
      <c r="G185" s="143" t="s">
        <v>2250</v>
      </c>
      <c r="H185" s="143" t="s">
        <v>587</v>
      </c>
      <c r="I185" s="143" t="s">
        <v>1028</v>
      </c>
      <c r="J185" s="144">
        <v>46062</v>
      </c>
      <c r="K185" s="144">
        <v>46062</v>
      </c>
      <c r="L185" s="144">
        <v>46062</v>
      </c>
      <c r="S185" s="144">
        <v>46072</v>
      </c>
      <c r="U185" s="144">
        <v>46074</v>
      </c>
    </row>
    <row r="186" spans="1:21">
      <c r="A186" s="143" t="s">
        <v>953</v>
      </c>
      <c r="B186" s="143" t="s">
        <v>2433</v>
      </c>
      <c r="C186" s="143" t="s">
        <v>953</v>
      </c>
      <c r="D186" s="143">
        <v>20440444</v>
      </c>
      <c r="E186" s="143" t="s">
        <v>2245</v>
      </c>
      <c r="F186" s="143" t="s">
        <v>579</v>
      </c>
      <c r="G186" s="143" t="s">
        <v>2248</v>
      </c>
      <c r="H186" s="143" t="s">
        <v>591</v>
      </c>
      <c r="J186" s="144">
        <v>46056</v>
      </c>
      <c r="K186" s="144"/>
      <c r="L186" s="144"/>
      <c r="S186" s="144"/>
      <c r="U186" s="144">
        <v>46056</v>
      </c>
    </row>
    <row r="187" spans="1:21">
      <c r="A187" s="143" t="s">
        <v>953</v>
      </c>
      <c r="B187" s="143" t="s">
        <v>2433</v>
      </c>
      <c r="C187" s="143" t="s">
        <v>953</v>
      </c>
      <c r="D187" s="143">
        <v>20440473</v>
      </c>
      <c r="E187" s="143" t="s">
        <v>2252</v>
      </c>
      <c r="F187" s="143" t="s">
        <v>579</v>
      </c>
      <c r="G187" s="143" t="s">
        <v>2250</v>
      </c>
      <c r="H187" s="143" t="s">
        <v>587</v>
      </c>
      <c r="I187" s="143" t="s">
        <v>1156</v>
      </c>
      <c r="J187" s="144">
        <v>46056</v>
      </c>
      <c r="K187" s="144">
        <v>46056</v>
      </c>
      <c r="L187" s="144">
        <v>46056</v>
      </c>
      <c r="R187" s="144">
        <v>46072</v>
      </c>
      <c r="U187" s="144">
        <v>46081</v>
      </c>
    </row>
    <row r="188" spans="1:21">
      <c r="A188" s="143" t="s">
        <v>953</v>
      </c>
      <c r="B188" s="143" t="s">
        <v>2434</v>
      </c>
      <c r="C188" s="143" t="s">
        <v>953</v>
      </c>
      <c r="D188" s="143">
        <v>20453286</v>
      </c>
      <c r="E188" s="143" t="s">
        <v>2245</v>
      </c>
      <c r="F188" s="143" t="s">
        <v>579</v>
      </c>
      <c r="G188" s="143" t="s">
        <v>2259</v>
      </c>
      <c r="H188" s="143" t="s">
        <v>588</v>
      </c>
      <c r="J188" s="144">
        <v>46072</v>
      </c>
      <c r="K188" s="144"/>
      <c r="L188" s="144"/>
      <c r="R188" s="144"/>
      <c r="U188" s="144">
        <v>46101</v>
      </c>
    </row>
    <row r="189" spans="1:21">
      <c r="A189" s="143" t="s">
        <v>953</v>
      </c>
      <c r="B189" s="143" t="s">
        <v>2435</v>
      </c>
      <c r="C189" s="143" t="s">
        <v>953</v>
      </c>
      <c r="D189" s="143">
        <v>20449432</v>
      </c>
      <c r="E189" s="143" t="s">
        <v>2245</v>
      </c>
      <c r="F189" s="143" t="s">
        <v>984</v>
      </c>
      <c r="G189" s="143" t="s">
        <v>1213</v>
      </c>
      <c r="H189" s="143" t="s">
        <v>587</v>
      </c>
      <c r="J189" s="144">
        <v>46068</v>
      </c>
      <c r="U189" s="144">
        <v>46237</v>
      </c>
    </row>
    <row r="190" spans="1:21">
      <c r="A190" s="143" t="s">
        <v>953</v>
      </c>
      <c r="B190" s="143" t="s">
        <v>2436</v>
      </c>
      <c r="C190" s="143" t="s">
        <v>953</v>
      </c>
      <c r="D190" s="143">
        <v>20443361</v>
      </c>
      <c r="E190" s="143" t="s">
        <v>2245</v>
      </c>
      <c r="F190" s="143" t="s">
        <v>581</v>
      </c>
      <c r="G190" s="143" t="s">
        <v>2246</v>
      </c>
      <c r="H190" s="143" t="s">
        <v>587</v>
      </c>
      <c r="J190" s="144">
        <v>46061</v>
      </c>
      <c r="U190" s="144">
        <v>46157</v>
      </c>
    </row>
    <row r="191" spans="1:21">
      <c r="A191" s="143" t="s">
        <v>953</v>
      </c>
      <c r="B191" s="143" t="s">
        <v>1117</v>
      </c>
      <c r="C191" s="143" t="s">
        <v>953</v>
      </c>
      <c r="D191" s="143">
        <v>20449577</v>
      </c>
      <c r="E191" s="143" t="s">
        <v>1100</v>
      </c>
      <c r="F191" s="143" t="s">
        <v>1001</v>
      </c>
      <c r="G191" s="143" t="s">
        <v>2250</v>
      </c>
      <c r="H191" s="143" t="s">
        <v>587</v>
      </c>
      <c r="I191" s="143" t="s">
        <v>1116</v>
      </c>
      <c r="J191" s="144">
        <v>46068</v>
      </c>
      <c r="K191" s="144">
        <v>46068</v>
      </c>
      <c r="U191" s="144">
        <v>46069</v>
      </c>
    </row>
    <row r="192" spans="1:21">
      <c r="A192" s="143" t="s">
        <v>953</v>
      </c>
      <c r="B192" s="143" t="s">
        <v>2437</v>
      </c>
      <c r="C192" s="143" t="s">
        <v>953</v>
      </c>
      <c r="D192" s="143">
        <v>20458166</v>
      </c>
      <c r="E192" s="143" t="s">
        <v>1100</v>
      </c>
      <c r="F192" s="143" t="s">
        <v>1115</v>
      </c>
      <c r="G192" s="143" t="s">
        <v>2250</v>
      </c>
      <c r="H192" s="143" t="s">
        <v>587</v>
      </c>
      <c r="J192" s="144">
        <v>46079</v>
      </c>
      <c r="K192" s="144">
        <v>46079</v>
      </c>
      <c r="U192" s="144">
        <v>46079</v>
      </c>
    </row>
    <row r="193" spans="1:21">
      <c r="A193" s="143" t="s">
        <v>953</v>
      </c>
      <c r="B193" s="143" t="s">
        <v>2438</v>
      </c>
      <c r="C193" s="143" t="s">
        <v>953</v>
      </c>
      <c r="D193" s="143">
        <v>20446907</v>
      </c>
      <c r="E193" s="143" t="s">
        <v>2245</v>
      </c>
      <c r="F193" s="143" t="s">
        <v>984</v>
      </c>
      <c r="G193" s="143" t="s">
        <v>1213</v>
      </c>
      <c r="H193" s="143" t="s">
        <v>587</v>
      </c>
      <c r="J193" s="144">
        <v>46064</v>
      </c>
      <c r="K193" s="144"/>
      <c r="U193" s="144">
        <v>46083</v>
      </c>
    </row>
    <row r="194" spans="1:21">
      <c r="A194" s="143" t="s">
        <v>953</v>
      </c>
      <c r="B194" s="143" t="s">
        <v>2439</v>
      </c>
      <c r="C194" s="143" t="s">
        <v>953</v>
      </c>
      <c r="D194" s="143">
        <v>20448297</v>
      </c>
      <c r="E194" s="143" t="s">
        <v>2245</v>
      </c>
      <c r="F194" s="143" t="s">
        <v>984</v>
      </c>
      <c r="G194" s="143" t="s">
        <v>2259</v>
      </c>
      <c r="H194" s="143" t="s">
        <v>2388</v>
      </c>
      <c r="J194" s="144">
        <v>46066</v>
      </c>
      <c r="U194" s="144">
        <v>46066</v>
      </c>
    </row>
    <row r="195" spans="1:21">
      <c r="A195" s="143" t="s">
        <v>953</v>
      </c>
      <c r="B195" s="143" t="s">
        <v>2440</v>
      </c>
      <c r="C195" s="143" t="s">
        <v>953</v>
      </c>
      <c r="D195" s="143">
        <v>20441592</v>
      </c>
      <c r="E195" s="143" t="s">
        <v>2245</v>
      </c>
      <c r="F195" s="143" t="s">
        <v>581</v>
      </c>
      <c r="G195" s="143" t="s">
        <v>2259</v>
      </c>
      <c r="H195" s="143" t="s">
        <v>593</v>
      </c>
      <c r="J195" s="144">
        <v>46058</v>
      </c>
      <c r="U195" s="144">
        <v>46112</v>
      </c>
    </row>
    <row r="196" spans="1:21">
      <c r="A196" s="143" t="s">
        <v>953</v>
      </c>
      <c r="B196" s="143" t="s">
        <v>2441</v>
      </c>
      <c r="C196" s="143" t="s">
        <v>953</v>
      </c>
      <c r="D196" s="143">
        <v>20448539</v>
      </c>
      <c r="E196" s="143" t="s">
        <v>2245</v>
      </c>
      <c r="F196" s="143" t="s">
        <v>984</v>
      </c>
      <c r="G196" s="143" t="s">
        <v>2246</v>
      </c>
      <c r="H196" s="143" t="s">
        <v>591</v>
      </c>
      <c r="J196" s="144">
        <v>46066</v>
      </c>
      <c r="U196" s="144">
        <v>46113</v>
      </c>
    </row>
    <row r="197" spans="1:21">
      <c r="A197" s="143" t="s">
        <v>953</v>
      </c>
      <c r="B197" s="143" t="s">
        <v>2442</v>
      </c>
      <c r="C197" s="143" t="s">
        <v>953</v>
      </c>
      <c r="D197" s="143">
        <v>20443523</v>
      </c>
      <c r="E197" s="143" t="s">
        <v>1100</v>
      </c>
      <c r="F197" s="143" t="s">
        <v>579</v>
      </c>
      <c r="G197" s="143" t="s">
        <v>2250</v>
      </c>
      <c r="H197" s="143" t="s">
        <v>587</v>
      </c>
      <c r="J197" s="144">
        <v>46062</v>
      </c>
      <c r="K197" s="144">
        <v>46062</v>
      </c>
      <c r="U197" s="144">
        <v>46062</v>
      </c>
    </row>
    <row r="198" spans="1:21">
      <c r="A198" s="143" t="s">
        <v>953</v>
      </c>
      <c r="B198" s="143" t="s">
        <v>2442</v>
      </c>
      <c r="C198" s="143" t="s">
        <v>953</v>
      </c>
      <c r="D198" s="143">
        <v>20443511</v>
      </c>
      <c r="E198" s="143" t="s">
        <v>1100</v>
      </c>
      <c r="F198" s="143" t="s">
        <v>581</v>
      </c>
      <c r="G198" s="143" t="s">
        <v>2259</v>
      </c>
      <c r="H198" s="143" t="s">
        <v>592</v>
      </c>
      <c r="J198" s="144">
        <v>46062</v>
      </c>
      <c r="K198" s="144">
        <v>46062</v>
      </c>
      <c r="U198" s="144">
        <v>46062</v>
      </c>
    </row>
    <row r="199" spans="1:21">
      <c r="A199" s="143" t="s">
        <v>953</v>
      </c>
      <c r="B199" s="143" t="s">
        <v>2443</v>
      </c>
      <c r="C199" s="143" t="s">
        <v>953</v>
      </c>
      <c r="D199" s="143">
        <v>20457540</v>
      </c>
      <c r="E199" s="143" t="s">
        <v>2245</v>
      </c>
      <c r="F199" s="143" t="s">
        <v>577</v>
      </c>
      <c r="G199" s="143" t="s">
        <v>2248</v>
      </c>
      <c r="H199" s="143" t="s">
        <v>588</v>
      </c>
      <c r="J199" s="144">
        <v>46078</v>
      </c>
      <c r="K199" s="144"/>
      <c r="U199" s="144">
        <v>46078</v>
      </c>
    </row>
    <row r="200" spans="1:21">
      <c r="A200" s="143" t="s">
        <v>953</v>
      </c>
      <c r="B200" s="143" t="s">
        <v>2444</v>
      </c>
      <c r="C200" s="143" t="s">
        <v>953</v>
      </c>
      <c r="D200" s="143">
        <v>20438364</v>
      </c>
      <c r="E200" s="143" t="s">
        <v>2252</v>
      </c>
      <c r="F200" s="143" t="s">
        <v>578</v>
      </c>
      <c r="G200" s="143" t="s">
        <v>2250</v>
      </c>
      <c r="H200" s="143" t="s">
        <v>587</v>
      </c>
      <c r="I200" s="143" t="s">
        <v>2445</v>
      </c>
      <c r="J200" s="144">
        <v>46053</v>
      </c>
      <c r="K200" s="144">
        <v>46053</v>
      </c>
      <c r="L200" s="144">
        <v>46053</v>
      </c>
      <c r="R200" s="144">
        <v>46073</v>
      </c>
      <c r="U200" s="144">
        <v>46071</v>
      </c>
    </row>
    <row r="201" spans="1:21">
      <c r="A201" s="143" t="s">
        <v>953</v>
      </c>
      <c r="B201" s="143" t="s">
        <v>2444</v>
      </c>
      <c r="C201" s="143" t="s">
        <v>953</v>
      </c>
      <c r="D201" s="143">
        <v>20448080</v>
      </c>
      <c r="E201" s="143" t="s">
        <v>1110</v>
      </c>
      <c r="F201" s="143" t="s">
        <v>578</v>
      </c>
      <c r="G201" s="143" t="s">
        <v>2246</v>
      </c>
      <c r="H201" s="143" t="s">
        <v>591</v>
      </c>
      <c r="I201" s="143" t="s">
        <v>1386</v>
      </c>
      <c r="J201" s="144">
        <v>46065</v>
      </c>
      <c r="K201" s="144">
        <v>46069</v>
      </c>
      <c r="L201" s="144">
        <v>46069</v>
      </c>
      <c r="R201" s="144"/>
      <c r="U201" s="144">
        <v>46083</v>
      </c>
    </row>
    <row r="202" spans="1:21">
      <c r="A202" s="143" t="s">
        <v>953</v>
      </c>
      <c r="B202" s="143" t="s">
        <v>2444</v>
      </c>
      <c r="C202" s="143" t="s">
        <v>953</v>
      </c>
      <c r="D202" s="143">
        <v>20436284</v>
      </c>
      <c r="E202" s="143" t="s">
        <v>2252</v>
      </c>
      <c r="F202" s="143" t="s">
        <v>578</v>
      </c>
      <c r="G202" s="143" t="s">
        <v>2246</v>
      </c>
      <c r="H202" s="143" t="s">
        <v>591</v>
      </c>
      <c r="I202" s="143" t="s">
        <v>1798</v>
      </c>
      <c r="J202" s="144">
        <v>46050</v>
      </c>
      <c r="K202" s="144">
        <v>46053</v>
      </c>
      <c r="L202" s="144"/>
      <c r="R202" s="144">
        <v>46055</v>
      </c>
      <c r="U202" s="144">
        <v>46062</v>
      </c>
    </row>
    <row r="203" spans="1:21">
      <c r="A203" s="143" t="s">
        <v>953</v>
      </c>
      <c r="B203" s="143" t="s">
        <v>2444</v>
      </c>
      <c r="C203" s="143" t="s">
        <v>953</v>
      </c>
      <c r="D203" s="143">
        <v>20441115</v>
      </c>
      <c r="E203" s="143" t="s">
        <v>2252</v>
      </c>
      <c r="F203" s="143" t="s">
        <v>578</v>
      </c>
      <c r="G203" s="143" t="s">
        <v>2246</v>
      </c>
      <c r="H203" s="143" t="s">
        <v>591</v>
      </c>
      <c r="I203" s="143" t="s">
        <v>2315</v>
      </c>
      <c r="J203" s="144">
        <v>46057</v>
      </c>
      <c r="K203" s="144">
        <v>46057</v>
      </c>
      <c r="L203" s="144">
        <v>46057</v>
      </c>
      <c r="R203" s="144">
        <v>46063</v>
      </c>
      <c r="U203" s="144">
        <v>46066</v>
      </c>
    </row>
    <row r="204" spans="1:21">
      <c r="A204" s="143" t="s">
        <v>953</v>
      </c>
      <c r="B204" s="143" t="s">
        <v>2444</v>
      </c>
      <c r="C204" s="143" t="s">
        <v>953</v>
      </c>
      <c r="D204" s="143">
        <v>20438365</v>
      </c>
      <c r="E204" s="143" t="s">
        <v>2252</v>
      </c>
      <c r="F204" s="143" t="s">
        <v>578</v>
      </c>
      <c r="G204" s="143" t="s">
        <v>2250</v>
      </c>
      <c r="H204" s="143" t="s">
        <v>587</v>
      </c>
      <c r="J204" s="144">
        <v>46053</v>
      </c>
      <c r="K204" s="144">
        <v>46053</v>
      </c>
      <c r="L204" s="144"/>
      <c r="R204" s="144">
        <v>46055</v>
      </c>
      <c r="U204" s="144">
        <v>46053</v>
      </c>
    </row>
    <row r="205" spans="1:21">
      <c r="A205" s="143" t="s">
        <v>953</v>
      </c>
      <c r="B205" s="143" t="s">
        <v>2446</v>
      </c>
      <c r="C205" s="143" t="s">
        <v>953</v>
      </c>
      <c r="D205" s="143">
        <v>20450048</v>
      </c>
      <c r="E205" s="143" t="s">
        <v>2245</v>
      </c>
      <c r="F205" s="143" t="s">
        <v>984</v>
      </c>
      <c r="G205" s="143" t="s">
        <v>2246</v>
      </c>
      <c r="H205" s="143" t="s">
        <v>587</v>
      </c>
      <c r="J205" s="144">
        <v>46069</v>
      </c>
      <c r="K205" s="144"/>
      <c r="L205" s="144"/>
      <c r="R205" s="144"/>
      <c r="U205" s="144">
        <v>46070</v>
      </c>
    </row>
    <row r="206" spans="1:21">
      <c r="A206" s="143" t="s">
        <v>953</v>
      </c>
      <c r="B206" s="143" t="s">
        <v>2447</v>
      </c>
      <c r="C206" s="143" t="s">
        <v>953</v>
      </c>
      <c r="D206" s="143">
        <v>20414199</v>
      </c>
      <c r="E206" s="143" t="s">
        <v>2258</v>
      </c>
      <c r="F206" s="143" t="s">
        <v>984</v>
      </c>
      <c r="G206" s="143" t="s">
        <v>2246</v>
      </c>
      <c r="H206" s="143" t="s">
        <v>587</v>
      </c>
      <c r="J206" s="144">
        <v>46020</v>
      </c>
      <c r="R206" s="144">
        <v>46055</v>
      </c>
      <c r="U206" s="144">
        <v>46020</v>
      </c>
    </row>
    <row r="207" spans="1:21">
      <c r="A207" s="143" t="s">
        <v>953</v>
      </c>
      <c r="B207" s="143" t="s">
        <v>2448</v>
      </c>
      <c r="C207" s="143" t="s">
        <v>953</v>
      </c>
      <c r="D207" s="143">
        <v>20448736</v>
      </c>
      <c r="E207" s="143" t="s">
        <v>1110</v>
      </c>
      <c r="F207" s="143" t="s">
        <v>577</v>
      </c>
      <c r="G207" s="143" t="s">
        <v>2250</v>
      </c>
      <c r="H207" s="143" t="s">
        <v>590</v>
      </c>
      <c r="I207" s="143" t="s">
        <v>2285</v>
      </c>
      <c r="J207" s="144">
        <v>46066</v>
      </c>
      <c r="K207" s="144">
        <v>46066</v>
      </c>
      <c r="L207" s="144">
        <v>46066</v>
      </c>
      <c r="R207" s="144"/>
      <c r="U207" s="144">
        <v>46083</v>
      </c>
    </row>
    <row r="208" spans="1:21">
      <c r="A208" s="143" t="s">
        <v>953</v>
      </c>
      <c r="B208" s="143" t="s">
        <v>2448</v>
      </c>
      <c r="C208" s="143" t="s">
        <v>953</v>
      </c>
      <c r="D208" s="143">
        <v>20448762</v>
      </c>
      <c r="E208" s="143" t="s">
        <v>1100</v>
      </c>
      <c r="F208" s="143" t="s">
        <v>581</v>
      </c>
      <c r="G208" s="143" t="s">
        <v>2250</v>
      </c>
      <c r="H208" s="143" t="s">
        <v>590</v>
      </c>
      <c r="I208" s="143" t="s">
        <v>1154</v>
      </c>
      <c r="J208" s="144">
        <v>46066</v>
      </c>
      <c r="K208" s="144">
        <v>46066</v>
      </c>
      <c r="L208" s="144"/>
      <c r="U208" s="144">
        <v>46083</v>
      </c>
    </row>
    <row r="209" spans="1:21">
      <c r="A209" s="143" t="s">
        <v>953</v>
      </c>
      <c r="B209" s="143" t="s">
        <v>2449</v>
      </c>
      <c r="C209" s="143" t="s">
        <v>953</v>
      </c>
      <c r="D209" s="143">
        <v>20457003</v>
      </c>
      <c r="E209" s="143" t="s">
        <v>2245</v>
      </c>
      <c r="F209" s="143" t="s">
        <v>581</v>
      </c>
      <c r="G209" s="143" t="s">
        <v>2259</v>
      </c>
      <c r="H209" s="143" t="s">
        <v>2388</v>
      </c>
      <c r="J209" s="144">
        <v>46077</v>
      </c>
      <c r="K209" s="144"/>
      <c r="U209" s="144">
        <v>46077</v>
      </c>
    </row>
    <row r="210" spans="1:21">
      <c r="A210" s="143" t="s">
        <v>953</v>
      </c>
      <c r="B210" s="143" t="s">
        <v>2450</v>
      </c>
      <c r="C210" s="143" t="s">
        <v>953</v>
      </c>
      <c r="D210" s="143">
        <v>20454124</v>
      </c>
      <c r="E210" s="143" t="s">
        <v>2245</v>
      </c>
      <c r="F210" s="143" t="s">
        <v>984</v>
      </c>
      <c r="G210" s="143" t="s">
        <v>2246</v>
      </c>
      <c r="H210" s="143" t="s">
        <v>587</v>
      </c>
      <c r="J210" s="144">
        <v>46073</v>
      </c>
      <c r="U210" s="144">
        <v>46082</v>
      </c>
    </row>
    <row r="211" spans="1:21">
      <c r="A211" s="143" t="s">
        <v>953</v>
      </c>
      <c r="B211" s="143" t="s">
        <v>2451</v>
      </c>
      <c r="C211" s="143" t="s">
        <v>953</v>
      </c>
      <c r="D211" s="143">
        <v>20441675</v>
      </c>
      <c r="E211" s="143" t="s">
        <v>2245</v>
      </c>
      <c r="F211" s="143" t="s">
        <v>577</v>
      </c>
      <c r="G211" s="143" t="s">
        <v>1213</v>
      </c>
      <c r="H211" s="143" t="s">
        <v>592</v>
      </c>
      <c r="J211" s="144">
        <v>46058</v>
      </c>
      <c r="U211" s="144">
        <v>46080</v>
      </c>
    </row>
    <row r="212" spans="1:21">
      <c r="A212" s="143" t="s">
        <v>953</v>
      </c>
      <c r="B212" s="143" t="s">
        <v>2452</v>
      </c>
      <c r="C212" s="143" t="s">
        <v>953</v>
      </c>
      <c r="D212" s="143">
        <v>20456988</v>
      </c>
      <c r="E212" s="143" t="s">
        <v>1100</v>
      </c>
      <c r="F212" s="143" t="s">
        <v>1115</v>
      </c>
      <c r="G212" s="143" t="s">
        <v>2250</v>
      </c>
      <c r="H212" s="143" t="s">
        <v>2453</v>
      </c>
      <c r="I212" s="143" t="s">
        <v>2454</v>
      </c>
      <c r="J212" s="144">
        <v>46077</v>
      </c>
      <c r="K212" s="144">
        <v>46077</v>
      </c>
      <c r="U212" s="144">
        <v>46081</v>
      </c>
    </row>
    <row r="213" spans="1:21">
      <c r="A213" s="143" t="s">
        <v>953</v>
      </c>
      <c r="B213" s="143" t="s">
        <v>2455</v>
      </c>
      <c r="C213" s="143" t="s">
        <v>953</v>
      </c>
      <c r="D213" s="143">
        <v>20442547</v>
      </c>
      <c r="E213" s="143" t="s">
        <v>2245</v>
      </c>
      <c r="F213" s="143" t="s">
        <v>578</v>
      </c>
      <c r="G213" s="143" t="s">
        <v>2246</v>
      </c>
      <c r="H213" s="143" t="s">
        <v>587</v>
      </c>
      <c r="J213" s="144">
        <v>46059</v>
      </c>
      <c r="K213" s="144"/>
      <c r="U213" s="144">
        <v>46073</v>
      </c>
    </row>
    <row r="214" spans="1:21">
      <c r="A214" s="143" t="s">
        <v>953</v>
      </c>
      <c r="B214" s="143" t="s">
        <v>2456</v>
      </c>
      <c r="C214" s="143" t="s">
        <v>953</v>
      </c>
      <c r="D214" s="143">
        <v>20458398</v>
      </c>
      <c r="E214" s="143" t="s">
        <v>2245</v>
      </c>
      <c r="F214" s="143" t="s">
        <v>579</v>
      </c>
      <c r="G214" s="143" t="s">
        <v>2259</v>
      </c>
      <c r="H214" s="143" t="s">
        <v>592</v>
      </c>
      <c r="J214" s="144">
        <v>46079</v>
      </c>
      <c r="U214" s="144">
        <v>46079</v>
      </c>
    </row>
    <row r="215" spans="1:21">
      <c r="A215" s="143" t="s">
        <v>953</v>
      </c>
      <c r="B215" s="143" t="s">
        <v>2457</v>
      </c>
      <c r="C215" s="143" t="s">
        <v>953</v>
      </c>
      <c r="D215" s="143">
        <v>20443287</v>
      </c>
      <c r="E215" s="143" t="s">
        <v>2245</v>
      </c>
      <c r="F215" s="143" t="s">
        <v>581</v>
      </c>
      <c r="G215" s="143" t="s">
        <v>2246</v>
      </c>
      <c r="H215" s="143" t="s">
        <v>587</v>
      </c>
      <c r="J215" s="144">
        <v>46061</v>
      </c>
      <c r="U215" s="144">
        <v>46113</v>
      </c>
    </row>
    <row r="216" spans="1:21">
      <c r="A216" s="143" t="s">
        <v>953</v>
      </c>
      <c r="B216" s="143" t="s">
        <v>2458</v>
      </c>
      <c r="C216" s="143" t="s">
        <v>953</v>
      </c>
      <c r="D216" s="143">
        <v>20443187</v>
      </c>
      <c r="E216" s="143" t="s">
        <v>2245</v>
      </c>
      <c r="F216" s="143" t="s">
        <v>984</v>
      </c>
      <c r="G216" s="143" t="s">
        <v>2259</v>
      </c>
      <c r="H216" s="143" t="s">
        <v>593</v>
      </c>
      <c r="J216" s="144">
        <v>46061</v>
      </c>
      <c r="U216" s="144">
        <v>46082</v>
      </c>
    </row>
    <row r="217" spans="1:21">
      <c r="A217" s="143" t="s">
        <v>953</v>
      </c>
      <c r="B217" s="143" t="s">
        <v>2459</v>
      </c>
      <c r="C217" s="143" t="s">
        <v>953</v>
      </c>
      <c r="D217" s="143">
        <v>20444140</v>
      </c>
      <c r="E217" s="143" t="s">
        <v>2245</v>
      </c>
      <c r="F217" s="143" t="s">
        <v>984</v>
      </c>
      <c r="G217" s="143" t="s">
        <v>2246</v>
      </c>
      <c r="H217" s="143" t="s">
        <v>587</v>
      </c>
      <c r="J217" s="144">
        <v>46062</v>
      </c>
      <c r="U217" s="144">
        <v>46132</v>
      </c>
    </row>
    <row r="218" spans="1:21">
      <c r="A218" s="143" t="s">
        <v>953</v>
      </c>
      <c r="B218" s="143" t="s">
        <v>2460</v>
      </c>
      <c r="C218" s="143" t="s">
        <v>953</v>
      </c>
      <c r="D218" s="143">
        <v>20430744</v>
      </c>
      <c r="E218" s="143" t="s">
        <v>2252</v>
      </c>
      <c r="F218" s="143" t="s">
        <v>577</v>
      </c>
      <c r="G218" s="143" t="s">
        <v>2250</v>
      </c>
      <c r="H218" s="143" t="s">
        <v>592</v>
      </c>
      <c r="I218" s="143" t="s">
        <v>1020</v>
      </c>
      <c r="J218" s="144">
        <v>46042</v>
      </c>
      <c r="K218" s="144">
        <v>46042</v>
      </c>
      <c r="L218" s="144">
        <v>46052</v>
      </c>
      <c r="R218" s="144">
        <v>46077</v>
      </c>
      <c r="U218" s="144">
        <v>46081</v>
      </c>
    </row>
    <row r="219" spans="1:21">
      <c r="A219" s="143" t="s">
        <v>953</v>
      </c>
      <c r="B219" s="143" t="s">
        <v>2461</v>
      </c>
      <c r="C219" s="143" t="s">
        <v>953</v>
      </c>
      <c r="D219" s="143">
        <v>20438908</v>
      </c>
      <c r="E219" s="143" t="s">
        <v>1100</v>
      </c>
      <c r="F219" s="143" t="s">
        <v>581</v>
      </c>
      <c r="G219" s="143" t="s">
        <v>2250</v>
      </c>
      <c r="H219" s="143" t="s">
        <v>587</v>
      </c>
      <c r="J219" s="144">
        <v>46054</v>
      </c>
      <c r="K219" s="144">
        <v>46054</v>
      </c>
      <c r="L219" s="144"/>
      <c r="R219" s="144"/>
      <c r="U219" s="144">
        <v>46113</v>
      </c>
    </row>
    <row r="220" spans="1:21">
      <c r="A220" s="143" t="s">
        <v>953</v>
      </c>
      <c r="B220" s="143" t="s">
        <v>2462</v>
      </c>
      <c r="C220" s="143" t="s">
        <v>953</v>
      </c>
      <c r="D220" s="143">
        <v>20453937</v>
      </c>
      <c r="E220" s="143" t="s">
        <v>2252</v>
      </c>
      <c r="F220" s="143" t="s">
        <v>579</v>
      </c>
      <c r="G220" s="143" t="s">
        <v>2259</v>
      </c>
      <c r="H220" s="143" t="s">
        <v>592</v>
      </c>
      <c r="I220" s="143" t="s">
        <v>2463</v>
      </c>
      <c r="J220" s="144">
        <v>46073</v>
      </c>
      <c r="K220" s="144">
        <v>46073</v>
      </c>
      <c r="L220" s="144">
        <v>46073</v>
      </c>
      <c r="S220" s="144">
        <v>46076</v>
      </c>
      <c r="U220" s="144">
        <v>46081</v>
      </c>
    </row>
    <row r="221" spans="1:21">
      <c r="A221" s="143" t="s">
        <v>953</v>
      </c>
      <c r="B221" s="143" t="s">
        <v>2464</v>
      </c>
      <c r="C221" s="143" t="s">
        <v>953</v>
      </c>
      <c r="D221" s="143">
        <v>20443912</v>
      </c>
      <c r="E221" s="143" t="s">
        <v>2245</v>
      </c>
      <c r="F221" s="143" t="s">
        <v>577</v>
      </c>
      <c r="G221" s="143" t="s">
        <v>2248</v>
      </c>
      <c r="H221" s="143" t="s">
        <v>591</v>
      </c>
      <c r="I221" s="143" t="s">
        <v>2465</v>
      </c>
      <c r="J221" s="144">
        <v>46062</v>
      </c>
      <c r="K221" s="144"/>
      <c r="L221" s="144"/>
      <c r="S221" s="144"/>
      <c r="U221" s="144">
        <v>46143</v>
      </c>
    </row>
    <row r="222" spans="1:21">
      <c r="A222" s="143" t="s">
        <v>953</v>
      </c>
      <c r="B222" s="143" t="s">
        <v>2466</v>
      </c>
      <c r="C222" s="143" t="s">
        <v>953</v>
      </c>
      <c r="D222" s="143">
        <v>20442804</v>
      </c>
      <c r="E222" s="143" t="s">
        <v>2245</v>
      </c>
      <c r="F222" s="143" t="s">
        <v>984</v>
      </c>
      <c r="G222" s="143" t="s">
        <v>2246</v>
      </c>
      <c r="H222" s="143" t="s">
        <v>587</v>
      </c>
      <c r="J222" s="144">
        <v>46060</v>
      </c>
      <c r="U222" s="144">
        <v>46063</v>
      </c>
    </row>
    <row r="223" spans="1:21">
      <c r="A223" s="143" t="s">
        <v>953</v>
      </c>
      <c r="B223" s="143" t="s">
        <v>2467</v>
      </c>
      <c r="C223" s="143" t="s">
        <v>953</v>
      </c>
      <c r="D223" s="143">
        <v>20444534</v>
      </c>
      <c r="E223" s="143" t="s">
        <v>2245</v>
      </c>
      <c r="F223" s="143" t="s">
        <v>579</v>
      </c>
      <c r="G223" s="143" t="s">
        <v>2248</v>
      </c>
      <c r="H223" s="143" t="s">
        <v>588</v>
      </c>
      <c r="J223" s="144">
        <v>46063</v>
      </c>
      <c r="U223" s="144">
        <v>46063</v>
      </c>
    </row>
    <row r="224" spans="1:21">
      <c r="A224" s="143" t="s">
        <v>953</v>
      </c>
      <c r="B224" s="143" t="s">
        <v>2468</v>
      </c>
      <c r="C224" s="143" t="s">
        <v>953</v>
      </c>
      <c r="D224" s="143">
        <v>20442172</v>
      </c>
      <c r="E224" s="143" t="s">
        <v>2252</v>
      </c>
      <c r="F224" s="143" t="s">
        <v>577</v>
      </c>
      <c r="G224" s="143" t="s">
        <v>2250</v>
      </c>
      <c r="H224" s="143" t="s">
        <v>587</v>
      </c>
      <c r="I224" s="143" t="s">
        <v>986</v>
      </c>
      <c r="J224" s="144">
        <v>46059</v>
      </c>
      <c r="K224" s="144">
        <v>46059</v>
      </c>
      <c r="L224" s="144">
        <v>46060</v>
      </c>
      <c r="R224" s="144">
        <v>46077</v>
      </c>
      <c r="U224" s="144">
        <v>46078</v>
      </c>
    </row>
    <row r="225" spans="1:21">
      <c r="A225" s="143" t="s">
        <v>953</v>
      </c>
      <c r="B225" s="143" t="s">
        <v>2468</v>
      </c>
      <c r="C225" s="143" t="s">
        <v>953</v>
      </c>
      <c r="D225" s="143">
        <v>20442171</v>
      </c>
      <c r="E225" s="143" t="s">
        <v>1100</v>
      </c>
      <c r="F225" s="143" t="s">
        <v>1115</v>
      </c>
      <c r="G225" s="143" t="s">
        <v>2250</v>
      </c>
      <c r="H225" s="143" t="s">
        <v>587</v>
      </c>
      <c r="J225" s="144">
        <v>46059</v>
      </c>
      <c r="K225" s="144">
        <v>46059</v>
      </c>
      <c r="U225" s="144">
        <v>46064</v>
      </c>
    </row>
    <row r="226" spans="1:21">
      <c r="A226" s="143" t="s">
        <v>953</v>
      </c>
      <c r="B226" s="143" t="s">
        <v>2468</v>
      </c>
      <c r="C226" s="143" t="s">
        <v>953</v>
      </c>
      <c r="D226" s="143">
        <v>20441302</v>
      </c>
      <c r="E226" s="143" t="s">
        <v>1100</v>
      </c>
      <c r="F226" s="143" t="s">
        <v>577</v>
      </c>
      <c r="G226" s="143" t="s">
        <v>2248</v>
      </c>
      <c r="H226" s="143" t="s">
        <v>2469</v>
      </c>
      <c r="J226" s="144">
        <v>46057</v>
      </c>
      <c r="K226" s="144">
        <v>46059</v>
      </c>
      <c r="U226" s="144">
        <v>46064</v>
      </c>
    </row>
    <row r="227" spans="1:21">
      <c r="A227" s="143" t="s">
        <v>953</v>
      </c>
      <c r="B227" s="143" t="s">
        <v>2470</v>
      </c>
      <c r="C227" s="143" t="s">
        <v>953</v>
      </c>
      <c r="D227" s="143">
        <v>20449581</v>
      </c>
      <c r="E227" s="143" t="s">
        <v>2245</v>
      </c>
      <c r="F227" s="143" t="s">
        <v>581</v>
      </c>
      <c r="G227" s="143" t="s">
        <v>2290</v>
      </c>
      <c r="H227" s="143" t="s">
        <v>587</v>
      </c>
      <c r="J227" s="144">
        <v>46068</v>
      </c>
      <c r="K227" s="144"/>
      <c r="L227" s="144"/>
      <c r="R227" s="144"/>
      <c r="U227" s="144">
        <v>46265</v>
      </c>
    </row>
    <row r="228" spans="1:21">
      <c r="A228" s="143" t="s">
        <v>953</v>
      </c>
      <c r="B228" s="143" t="s">
        <v>1337</v>
      </c>
      <c r="C228" s="143" t="s">
        <v>953</v>
      </c>
      <c r="D228" s="143">
        <v>20426402</v>
      </c>
      <c r="E228" s="143" t="s">
        <v>2252</v>
      </c>
      <c r="F228" s="143" t="s">
        <v>577</v>
      </c>
      <c r="G228" s="143" t="s">
        <v>1213</v>
      </c>
      <c r="H228" s="143" t="s">
        <v>587</v>
      </c>
      <c r="I228" s="143" t="s">
        <v>1336</v>
      </c>
      <c r="J228" s="144">
        <v>46037</v>
      </c>
      <c r="K228" s="144">
        <v>46037</v>
      </c>
      <c r="L228" s="144">
        <v>46037</v>
      </c>
      <c r="S228" s="144">
        <v>46062</v>
      </c>
      <c r="U228" s="144">
        <v>46067</v>
      </c>
    </row>
    <row r="229" spans="1:21">
      <c r="A229" s="143" t="s">
        <v>953</v>
      </c>
      <c r="B229" s="143" t="s">
        <v>1337</v>
      </c>
      <c r="C229" s="143" t="s">
        <v>953</v>
      </c>
      <c r="D229" s="143">
        <v>20424577</v>
      </c>
      <c r="E229" s="143" t="s">
        <v>2252</v>
      </c>
      <c r="F229" s="143" t="s">
        <v>577</v>
      </c>
      <c r="G229" s="143" t="s">
        <v>1213</v>
      </c>
      <c r="H229" s="143" t="s">
        <v>2345</v>
      </c>
      <c r="I229" s="143" t="s">
        <v>1336</v>
      </c>
      <c r="J229" s="144">
        <v>46035</v>
      </c>
      <c r="K229" s="144">
        <v>46035</v>
      </c>
      <c r="L229" s="144"/>
      <c r="R229" s="144">
        <v>46059</v>
      </c>
      <c r="S229" s="144"/>
      <c r="U229" s="144">
        <v>46035</v>
      </c>
    </row>
    <row r="230" spans="1:21">
      <c r="A230" s="143" t="s">
        <v>953</v>
      </c>
      <c r="B230" s="143" t="s">
        <v>2471</v>
      </c>
      <c r="C230" s="143" t="s">
        <v>953</v>
      </c>
      <c r="D230" s="143">
        <v>20443014</v>
      </c>
      <c r="E230" s="143" t="s">
        <v>2245</v>
      </c>
      <c r="F230" s="143" t="s">
        <v>984</v>
      </c>
      <c r="G230" s="143" t="s">
        <v>2246</v>
      </c>
      <c r="H230" s="143" t="s">
        <v>591</v>
      </c>
      <c r="J230" s="144">
        <v>46060</v>
      </c>
      <c r="K230" s="144"/>
      <c r="R230" s="144"/>
      <c r="U230" s="144">
        <v>46163</v>
      </c>
    </row>
    <row r="231" spans="1:21">
      <c r="A231" s="143" t="s">
        <v>953</v>
      </c>
      <c r="B231" s="143" t="s">
        <v>2472</v>
      </c>
      <c r="C231" s="143" t="s">
        <v>953</v>
      </c>
      <c r="D231" s="143">
        <v>20411269</v>
      </c>
      <c r="E231" s="143" t="s">
        <v>2258</v>
      </c>
      <c r="F231" s="143" t="s">
        <v>984</v>
      </c>
      <c r="G231" s="143" t="s">
        <v>2246</v>
      </c>
      <c r="H231" s="143" t="s">
        <v>593</v>
      </c>
      <c r="J231" s="144">
        <v>46013</v>
      </c>
      <c r="R231" s="144">
        <v>46057</v>
      </c>
      <c r="U231" s="144">
        <v>46015</v>
      </c>
    </row>
    <row r="232" spans="1:21">
      <c r="A232" s="143" t="s">
        <v>953</v>
      </c>
      <c r="B232" s="143" t="s">
        <v>2473</v>
      </c>
      <c r="C232" s="143" t="s">
        <v>953</v>
      </c>
      <c r="D232" s="143">
        <v>20421917</v>
      </c>
      <c r="E232" s="143" t="s">
        <v>2258</v>
      </c>
      <c r="F232" s="143" t="s">
        <v>577</v>
      </c>
      <c r="G232" s="143" t="s">
        <v>2246</v>
      </c>
      <c r="H232" s="143" t="s">
        <v>592</v>
      </c>
      <c r="J232" s="144">
        <v>46012</v>
      </c>
      <c r="R232" s="144">
        <v>46058</v>
      </c>
      <c r="U232" s="144">
        <v>46031</v>
      </c>
    </row>
    <row r="233" spans="1:21">
      <c r="A233" s="143" t="s">
        <v>953</v>
      </c>
      <c r="B233" s="143" t="s">
        <v>2474</v>
      </c>
      <c r="C233" s="143" t="s">
        <v>953</v>
      </c>
      <c r="D233" s="143">
        <v>20449224</v>
      </c>
      <c r="E233" s="143" t="s">
        <v>2245</v>
      </c>
      <c r="F233" s="143" t="s">
        <v>984</v>
      </c>
      <c r="G233" s="143" t="s">
        <v>1213</v>
      </c>
      <c r="H233" s="143" t="s">
        <v>591</v>
      </c>
      <c r="J233" s="144">
        <v>46067</v>
      </c>
      <c r="R233" s="144"/>
      <c r="U233" s="144">
        <v>46067</v>
      </c>
    </row>
    <row r="234" spans="1:21">
      <c r="A234" s="143" t="s">
        <v>953</v>
      </c>
      <c r="B234" s="143" t="s">
        <v>2475</v>
      </c>
      <c r="C234" s="143" t="s">
        <v>953</v>
      </c>
      <c r="D234" s="143">
        <v>20442365</v>
      </c>
      <c r="E234" s="143" t="s">
        <v>1100</v>
      </c>
      <c r="F234" s="143" t="s">
        <v>1115</v>
      </c>
      <c r="G234" s="143" t="s">
        <v>2250</v>
      </c>
      <c r="H234" s="143" t="s">
        <v>587</v>
      </c>
      <c r="J234" s="144">
        <v>46059</v>
      </c>
      <c r="K234" s="144">
        <v>46059</v>
      </c>
      <c r="U234" s="144">
        <v>46080</v>
      </c>
    </row>
    <row r="235" spans="1:21">
      <c r="A235" s="143" t="s">
        <v>953</v>
      </c>
      <c r="B235" s="143" t="s">
        <v>2476</v>
      </c>
      <c r="C235" s="143" t="s">
        <v>953</v>
      </c>
      <c r="D235" s="143">
        <v>20443070</v>
      </c>
      <c r="E235" s="143" t="s">
        <v>2245</v>
      </c>
      <c r="F235" s="143" t="s">
        <v>984</v>
      </c>
      <c r="G235" s="143" t="s">
        <v>2246</v>
      </c>
      <c r="H235" s="143" t="s">
        <v>587</v>
      </c>
      <c r="J235" s="144">
        <v>46060</v>
      </c>
      <c r="K235" s="144"/>
      <c r="U235" s="144">
        <v>46068</v>
      </c>
    </row>
    <row r="236" spans="1:21">
      <c r="A236" s="143" t="s">
        <v>953</v>
      </c>
      <c r="B236" s="143" t="s">
        <v>2477</v>
      </c>
      <c r="C236" s="143" t="s">
        <v>953</v>
      </c>
      <c r="D236" s="143">
        <v>20444578</v>
      </c>
      <c r="E236" s="143" t="s">
        <v>2245</v>
      </c>
      <c r="F236" s="143" t="s">
        <v>984</v>
      </c>
      <c r="G236" s="143" t="s">
        <v>1213</v>
      </c>
      <c r="H236" s="143" t="s">
        <v>587</v>
      </c>
      <c r="J236" s="144">
        <v>46063</v>
      </c>
      <c r="U236" s="144">
        <v>46072</v>
      </c>
    </row>
    <row r="237" spans="1:21">
      <c r="A237" s="143" t="s">
        <v>953</v>
      </c>
      <c r="B237" s="143" t="s">
        <v>2478</v>
      </c>
      <c r="C237" s="143" t="s">
        <v>953</v>
      </c>
      <c r="D237" s="143">
        <v>20423794</v>
      </c>
      <c r="E237" s="143" t="s">
        <v>2324</v>
      </c>
      <c r="F237" s="143" t="s">
        <v>2256</v>
      </c>
      <c r="G237" s="143" t="s">
        <v>2259</v>
      </c>
      <c r="H237" s="143" t="s">
        <v>593</v>
      </c>
      <c r="I237" s="143" t="s">
        <v>2479</v>
      </c>
      <c r="J237" s="144">
        <v>46035</v>
      </c>
      <c r="K237" s="144">
        <v>46035</v>
      </c>
      <c r="L237" s="144">
        <v>46035</v>
      </c>
      <c r="M237" s="144">
        <v>46055</v>
      </c>
      <c r="N237" s="144">
        <v>46055</v>
      </c>
      <c r="O237" s="144">
        <v>46055</v>
      </c>
      <c r="P237" s="144">
        <v>46055</v>
      </c>
      <c r="Q237" s="144">
        <v>46055</v>
      </c>
      <c r="U237" s="144">
        <v>46055</v>
      </c>
    </row>
    <row r="238" spans="1:21">
      <c r="A238" s="143" t="s">
        <v>953</v>
      </c>
      <c r="B238" s="143" t="s">
        <v>2480</v>
      </c>
      <c r="C238" s="143" t="s">
        <v>953</v>
      </c>
      <c r="D238" s="143">
        <v>20458719</v>
      </c>
      <c r="E238" s="143" t="s">
        <v>2258</v>
      </c>
      <c r="F238" s="143" t="s">
        <v>579</v>
      </c>
      <c r="G238" s="143" t="s">
        <v>2248</v>
      </c>
      <c r="H238" s="143" t="s">
        <v>2287</v>
      </c>
      <c r="J238" s="144">
        <v>46080</v>
      </c>
      <c r="K238" s="144"/>
      <c r="L238" s="144"/>
      <c r="M238" s="144"/>
      <c r="N238" s="144"/>
      <c r="O238" s="144"/>
      <c r="P238" s="144"/>
      <c r="Q238" s="144"/>
      <c r="R238" s="144">
        <v>46080</v>
      </c>
      <c r="U238" s="144">
        <v>46080</v>
      </c>
    </row>
    <row r="239" spans="1:21">
      <c r="A239" s="143" t="s">
        <v>953</v>
      </c>
      <c r="B239" s="143" t="s">
        <v>2481</v>
      </c>
      <c r="C239" s="143" t="s">
        <v>953</v>
      </c>
      <c r="D239" s="143">
        <v>20452705</v>
      </c>
      <c r="E239" s="143" t="s">
        <v>2245</v>
      </c>
      <c r="F239" s="143" t="s">
        <v>984</v>
      </c>
      <c r="G239" s="143" t="s">
        <v>2246</v>
      </c>
      <c r="H239" s="143" t="s">
        <v>587</v>
      </c>
      <c r="J239" s="144">
        <v>46071</v>
      </c>
      <c r="R239" s="144"/>
      <c r="U239" s="144">
        <v>46083</v>
      </c>
    </row>
    <row r="240" spans="1:21">
      <c r="A240" s="143" t="s">
        <v>953</v>
      </c>
      <c r="B240" s="143" t="s">
        <v>2482</v>
      </c>
      <c r="C240" s="143" t="s">
        <v>953</v>
      </c>
      <c r="D240" s="143">
        <v>20455911</v>
      </c>
      <c r="E240" s="143" t="s">
        <v>2245</v>
      </c>
      <c r="F240" s="143" t="s">
        <v>984</v>
      </c>
      <c r="G240" s="143" t="s">
        <v>2248</v>
      </c>
      <c r="H240" s="143" t="s">
        <v>588</v>
      </c>
      <c r="J240" s="144">
        <v>46076</v>
      </c>
      <c r="U240" s="144">
        <v>46157</v>
      </c>
    </row>
    <row r="241" spans="1:21">
      <c r="A241" s="143" t="s">
        <v>953</v>
      </c>
      <c r="B241" s="143" t="s">
        <v>2483</v>
      </c>
      <c r="C241" s="143" t="s">
        <v>953</v>
      </c>
      <c r="D241" s="143">
        <v>20455295</v>
      </c>
      <c r="E241" s="143" t="s">
        <v>2245</v>
      </c>
      <c r="F241" s="143" t="s">
        <v>984</v>
      </c>
      <c r="G241" s="143" t="s">
        <v>2246</v>
      </c>
      <c r="H241" s="143" t="s">
        <v>587</v>
      </c>
      <c r="J241" s="144">
        <v>46075</v>
      </c>
      <c r="U241" s="144">
        <v>46174</v>
      </c>
    </row>
    <row r="242" spans="1:21">
      <c r="A242" s="143" t="s">
        <v>953</v>
      </c>
      <c r="B242" s="143" t="s">
        <v>2484</v>
      </c>
      <c r="C242" s="143" t="s">
        <v>953</v>
      </c>
      <c r="D242" s="143">
        <v>20441373</v>
      </c>
      <c r="E242" s="143" t="s">
        <v>2245</v>
      </c>
      <c r="F242" s="143" t="s">
        <v>581</v>
      </c>
      <c r="G242" s="143" t="s">
        <v>2246</v>
      </c>
      <c r="H242" s="143" t="s">
        <v>587</v>
      </c>
      <c r="J242" s="144">
        <v>46058</v>
      </c>
      <c r="U242" s="144">
        <v>46335</v>
      </c>
    </row>
    <row r="243" spans="1:21">
      <c r="A243" s="143" t="s">
        <v>953</v>
      </c>
      <c r="B243" s="143" t="s">
        <v>2485</v>
      </c>
      <c r="C243" s="143" t="s">
        <v>953</v>
      </c>
      <c r="D243" s="143">
        <v>20454196</v>
      </c>
      <c r="E243" s="143" t="s">
        <v>1100</v>
      </c>
      <c r="F243" s="143" t="s">
        <v>1115</v>
      </c>
      <c r="G243" s="143" t="s">
        <v>2250</v>
      </c>
      <c r="H243" s="143" t="s">
        <v>587</v>
      </c>
      <c r="J243" s="144">
        <v>46073</v>
      </c>
      <c r="K243" s="144">
        <v>46073</v>
      </c>
      <c r="U243" s="144">
        <v>46073</v>
      </c>
    </row>
    <row r="244" spans="1:21">
      <c r="A244" s="143" t="s">
        <v>953</v>
      </c>
      <c r="B244" s="143" t="s">
        <v>2486</v>
      </c>
      <c r="C244" s="143" t="s">
        <v>953</v>
      </c>
      <c r="D244" s="143">
        <v>20449730</v>
      </c>
      <c r="E244" s="143" t="s">
        <v>2252</v>
      </c>
      <c r="F244" s="143" t="s">
        <v>579</v>
      </c>
      <c r="G244" s="143" t="s">
        <v>2250</v>
      </c>
      <c r="H244" s="143" t="s">
        <v>590</v>
      </c>
      <c r="I244" s="143" t="s">
        <v>2487</v>
      </c>
      <c r="J244" s="144">
        <v>46069</v>
      </c>
      <c r="K244" s="144">
        <v>46069</v>
      </c>
      <c r="L244" s="144">
        <v>46069</v>
      </c>
      <c r="S244" s="144">
        <v>46080</v>
      </c>
      <c r="U244" s="144">
        <v>46081</v>
      </c>
    </row>
    <row r="245" spans="1:21">
      <c r="A245" s="143" t="s">
        <v>953</v>
      </c>
      <c r="B245" s="143" t="s">
        <v>2488</v>
      </c>
      <c r="C245" s="143" t="s">
        <v>953</v>
      </c>
      <c r="D245" s="143">
        <v>20439987</v>
      </c>
      <c r="E245" s="143" t="s">
        <v>1110</v>
      </c>
      <c r="F245" s="143" t="s">
        <v>578</v>
      </c>
      <c r="G245" s="143" t="s">
        <v>2250</v>
      </c>
      <c r="H245" s="143" t="s">
        <v>587</v>
      </c>
      <c r="I245" s="143" t="s">
        <v>560</v>
      </c>
      <c r="J245" s="144">
        <v>46056</v>
      </c>
      <c r="K245" s="144">
        <v>46056</v>
      </c>
      <c r="L245" s="144">
        <v>46056</v>
      </c>
      <c r="M245" s="144">
        <v>46079</v>
      </c>
      <c r="S245" s="144"/>
      <c r="U245" s="144">
        <v>46087</v>
      </c>
    </row>
    <row r="246" spans="1:21">
      <c r="A246" s="143" t="s">
        <v>953</v>
      </c>
      <c r="B246" s="143" t="s">
        <v>2489</v>
      </c>
      <c r="C246" s="143" t="s">
        <v>953</v>
      </c>
      <c r="D246" s="143">
        <v>20445900</v>
      </c>
      <c r="E246" s="143" t="s">
        <v>2245</v>
      </c>
      <c r="F246" s="143" t="s">
        <v>581</v>
      </c>
      <c r="G246" s="143" t="s">
        <v>1213</v>
      </c>
      <c r="H246" s="143" t="s">
        <v>587</v>
      </c>
      <c r="J246" s="144">
        <v>46064</v>
      </c>
      <c r="K246" s="144"/>
      <c r="L246" s="144"/>
      <c r="M246" s="144"/>
      <c r="U246" s="144">
        <v>46099</v>
      </c>
    </row>
    <row r="247" spans="1:21">
      <c r="A247" s="143" t="s">
        <v>953</v>
      </c>
      <c r="B247" s="143" t="s">
        <v>2490</v>
      </c>
      <c r="C247" s="143" t="s">
        <v>953</v>
      </c>
      <c r="D247" s="143">
        <v>20452237</v>
      </c>
      <c r="E247" s="143" t="s">
        <v>2245</v>
      </c>
      <c r="F247" s="143" t="s">
        <v>984</v>
      </c>
      <c r="G247" s="143" t="s">
        <v>2246</v>
      </c>
      <c r="H247" s="143" t="s">
        <v>587</v>
      </c>
      <c r="J247" s="144">
        <v>46071</v>
      </c>
      <c r="U247" s="144">
        <v>46173</v>
      </c>
    </row>
    <row r="248" spans="1:21">
      <c r="A248" s="143" t="s">
        <v>953</v>
      </c>
      <c r="B248" s="143" t="s">
        <v>2491</v>
      </c>
      <c r="C248" s="143" t="s">
        <v>953</v>
      </c>
      <c r="D248" s="143">
        <v>20442545</v>
      </c>
      <c r="E248" s="143" t="s">
        <v>2245</v>
      </c>
      <c r="F248" s="143" t="s">
        <v>579</v>
      </c>
      <c r="G248" s="143" t="s">
        <v>2246</v>
      </c>
      <c r="H248" s="143" t="s">
        <v>2361</v>
      </c>
      <c r="J248" s="144">
        <v>46059</v>
      </c>
      <c r="U248" s="144">
        <v>46059</v>
      </c>
    </row>
    <row r="249" spans="1:21">
      <c r="A249" s="143" t="s">
        <v>953</v>
      </c>
      <c r="B249" s="143" t="s">
        <v>2491</v>
      </c>
      <c r="C249" s="143" t="s">
        <v>953</v>
      </c>
      <c r="D249" s="143">
        <v>20442548</v>
      </c>
      <c r="E249" s="143" t="s">
        <v>2252</v>
      </c>
      <c r="F249" s="143" t="s">
        <v>579</v>
      </c>
      <c r="G249" s="143" t="s">
        <v>2250</v>
      </c>
      <c r="H249" s="143" t="s">
        <v>587</v>
      </c>
      <c r="I249" s="143" t="s">
        <v>1007</v>
      </c>
      <c r="J249" s="144">
        <v>46059</v>
      </c>
      <c r="K249" s="144">
        <v>46059</v>
      </c>
      <c r="L249" s="144">
        <v>46059</v>
      </c>
      <c r="R249" s="144">
        <v>46073</v>
      </c>
      <c r="U249" s="144">
        <v>46092</v>
      </c>
    </row>
    <row r="250" spans="1:21">
      <c r="A250" s="143" t="s">
        <v>953</v>
      </c>
      <c r="B250" s="143" t="s">
        <v>2492</v>
      </c>
      <c r="C250" s="143" t="s">
        <v>953</v>
      </c>
      <c r="D250" s="143">
        <v>20447752</v>
      </c>
      <c r="E250" s="143" t="s">
        <v>2245</v>
      </c>
      <c r="F250" s="143" t="s">
        <v>581</v>
      </c>
      <c r="G250" s="143" t="s">
        <v>2248</v>
      </c>
      <c r="H250" s="143" t="s">
        <v>588</v>
      </c>
      <c r="J250" s="144">
        <v>46065</v>
      </c>
      <c r="K250" s="144"/>
      <c r="L250" s="144"/>
      <c r="R250" s="144"/>
      <c r="U250" s="144">
        <v>46108</v>
      </c>
    </row>
    <row r="251" spans="1:21">
      <c r="A251" s="143" t="s">
        <v>953</v>
      </c>
      <c r="B251" s="143" t="s">
        <v>2493</v>
      </c>
      <c r="C251" s="143" t="s">
        <v>953</v>
      </c>
      <c r="D251" s="143">
        <v>20442646</v>
      </c>
      <c r="E251" s="143" t="s">
        <v>2245</v>
      </c>
      <c r="F251" s="143" t="s">
        <v>984</v>
      </c>
      <c r="G251" s="143" t="s">
        <v>2259</v>
      </c>
      <c r="H251" s="143" t="s">
        <v>592</v>
      </c>
      <c r="J251" s="144">
        <v>46060</v>
      </c>
      <c r="U251" s="144">
        <v>46143</v>
      </c>
    </row>
    <row r="252" spans="1:21">
      <c r="A252" s="143" t="s">
        <v>953</v>
      </c>
      <c r="B252" s="143" t="s">
        <v>2494</v>
      </c>
      <c r="C252" s="143" t="s">
        <v>953</v>
      </c>
      <c r="D252" s="143">
        <v>20442316</v>
      </c>
      <c r="E252" s="143" t="s">
        <v>2245</v>
      </c>
      <c r="F252" s="143" t="s">
        <v>984</v>
      </c>
      <c r="G252" s="143" t="s">
        <v>2248</v>
      </c>
      <c r="H252" s="143" t="s">
        <v>2287</v>
      </c>
      <c r="J252" s="144">
        <v>46059</v>
      </c>
      <c r="U252" s="144">
        <v>46073</v>
      </c>
    </row>
    <row r="253" spans="1:21">
      <c r="A253" s="143" t="s">
        <v>953</v>
      </c>
      <c r="B253" s="143" t="s">
        <v>2495</v>
      </c>
      <c r="C253" s="143" t="s">
        <v>953</v>
      </c>
      <c r="D253" s="143">
        <v>20448370</v>
      </c>
      <c r="E253" s="143" t="s">
        <v>1100</v>
      </c>
      <c r="F253" s="143" t="s">
        <v>1115</v>
      </c>
      <c r="G253" s="143" t="s">
        <v>2250</v>
      </c>
      <c r="H253" s="143" t="s">
        <v>591</v>
      </c>
      <c r="I253" s="143" t="s">
        <v>859</v>
      </c>
      <c r="J253" s="144">
        <v>46066</v>
      </c>
      <c r="K253" s="144">
        <v>46066</v>
      </c>
      <c r="U253" s="144">
        <v>46081</v>
      </c>
    </row>
    <row r="254" spans="1:21">
      <c r="A254" s="143" t="s">
        <v>953</v>
      </c>
      <c r="B254" s="143" t="s">
        <v>2495</v>
      </c>
      <c r="C254" s="143" t="s">
        <v>953</v>
      </c>
      <c r="D254" s="143">
        <v>20448313</v>
      </c>
      <c r="E254" s="143" t="s">
        <v>1100</v>
      </c>
      <c r="F254" s="143" t="s">
        <v>2256</v>
      </c>
      <c r="G254" s="143" t="s">
        <v>2248</v>
      </c>
      <c r="H254" s="143" t="s">
        <v>591</v>
      </c>
      <c r="J254" s="144">
        <v>46066</v>
      </c>
      <c r="K254" s="144">
        <v>46066</v>
      </c>
      <c r="U254" s="144">
        <v>46081</v>
      </c>
    </row>
    <row r="255" spans="1:21">
      <c r="A255" s="143" t="s">
        <v>953</v>
      </c>
      <c r="B255" s="143" t="s">
        <v>2496</v>
      </c>
      <c r="C255" s="143" t="s">
        <v>953</v>
      </c>
      <c r="D255" s="143">
        <v>20448797</v>
      </c>
      <c r="E255" s="143" t="s">
        <v>2252</v>
      </c>
      <c r="F255" s="143" t="s">
        <v>2256</v>
      </c>
      <c r="G255" s="143" t="s">
        <v>2250</v>
      </c>
      <c r="H255" s="143" t="s">
        <v>587</v>
      </c>
      <c r="I255" s="143" t="s">
        <v>1327</v>
      </c>
      <c r="J255" s="144">
        <v>46066</v>
      </c>
      <c r="K255" s="144">
        <v>46066</v>
      </c>
      <c r="L255" s="144">
        <v>46066</v>
      </c>
      <c r="R255" s="144">
        <v>46078</v>
      </c>
      <c r="U255" s="144">
        <v>46081</v>
      </c>
    </row>
    <row r="256" spans="1:21">
      <c r="A256" s="143" t="s">
        <v>953</v>
      </c>
      <c r="B256" s="143" t="s">
        <v>2497</v>
      </c>
      <c r="C256" s="143" t="s">
        <v>953</v>
      </c>
      <c r="D256" s="143">
        <v>20453458</v>
      </c>
      <c r="E256" s="143" t="s">
        <v>2252</v>
      </c>
      <c r="F256" s="143" t="s">
        <v>579</v>
      </c>
      <c r="G256" s="143" t="s">
        <v>2248</v>
      </c>
      <c r="H256" s="143" t="s">
        <v>588</v>
      </c>
      <c r="I256" s="143" t="s">
        <v>2335</v>
      </c>
      <c r="J256" s="144">
        <v>46072</v>
      </c>
      <c r="K256" s="144">
        <v>46073</v>
      </c>
      <c r="L256" s="144">
        <v>46073</v>
      </c>
      <c r="R256" s="144">
        <v>46080</v>
      </c>
      <c r="U256" s="144">
        <v>46079</v>
      </c>
    </row>
    <row r="257" spans="1:21">
      <c r="A257" s="143" t="s">
        <v>953</v>
      </c>
      <c r="B257" s="143" t="s">
        <v>2498</v>
      </c>
      <c r="C257" s="143" t="s">
        <v>953</v>
      </c>
      <c r="D257" s="143">
        <v>20444279</v>
      </c>
      <c r="E257" s="143" t="s">
        <v>2245</v>
      </c>
      <c r="F257" s="143" t="s">
        <v>984</v>
      </c>
      <c r="G257" s="143" t="s">
        <v>2259</v>
      </c>
      <c r="H257" s="143" t="s">
        <v>592</v>
      </c>
      <c r="J257" s="144">
        <v>46063</v>
      </c>
      <c r="K257" s="144"/>
      <c r="L257" s="144"/>
      <c r="R257" s="144"/>
      <c r="U257" s="144">
        <v>46078</v>
      </c>
    </row>
    <row r="258" spans="1:21">
      <c r="A258" s="143" t="s">
        <v>953</v>
      </c>
      <c r="B258" s="143" t="s">
        <v>2499</v>
      </c>
      <c r="C258" s="143" t="s">
        <v>953</v>
      </c>
      <c r="D258" s="143">
        <v>20449857</v>
      </c>
      <c r="E258" s="143" t="s">
        <v>2245</v>
      </c>
      <c r="F258" s="143" t="s">
        <v>984</v>
      </c>
      <c r="G258" s="143" t="s">
        <v>2246</v>
      </c>
      <c r="H258" s="143" t="s">
        <v>587</v>
      </c>
      <c r="J258" s="144">
        <v>46069</v>
      </c>
      <c r="U258" s="144">
        <v>46081</v>
      </c>
    </row>
    <row r="259" spans="1:21">
      <c r="A259" s="143" t="s">
        <v>953</v>
      </c>
      <c r="B259" s="143" t="s">
        <v>2500</v>
      </c>
      <c r="C259" s="143" t="s">
        <v>953</v>
      </c>
      <c r="D259" s="143">
        <v>20443104</v>
      </c>
      <c r="E259" s="143" t="s">
        <v>2245</v>
      </c>
      <c r="F259" s="143" t="s">
        <v>581</v>
      </c>
      <c r="G259" s="143" t="s">
        <v>1213</v>
      </c>
      <c r="H259" s="143" t="s">
        <v>591</v>
      </c>
      <c r="J259" s="144">
        <v>46060</v>
      </c>
      <c r="U259" s="144">
        <v>46060</v>
      </c>
    </row>
    <row r="260" spans="1:21">
      <c r="A260" s="143" t="s">
        <v>953</v>
      </c>
      <c r="B260" s="143" t="s">
        <v>2501</v>
      </c>
      <c r="C260" s="143" t="s">
        <v>953</v>
      </c>
      <c r="D260" s="143">
        <v>20436900</v>
      </c>
      <c r="E260" s="143" t="s">
        <v>2252</v>
      </c>
      <c r="F260" s="143" t="s">
        <v>578</v>
      </c>
      <c r="G260" s="143" t="s">
        <v>2250</v>
      </c>
      <c r="H260" s="143" t="s">
        <v>587</v>
      </c>
      <c r="I260" s="143" t="s">
        <v>567</v>
      </c>
      <c r="J260" s="144">
        <v>46051</v>
      </c>
      <c r="K260" s="144">
        <v>46051</v>
      </c>
      <c r="L260" s="144">
        <v>46051</v>
      </c>
      <c r="R260" s="144">
        <v>46066</v>
      </c>
      <c r="U260" s="144">
        <v>46081</v>
      </c>
    </row>
    <row r="261" spans="1:21">
      <c r="A261" s="143" t="s">
        <v>953</v>
      </c>
      <c r="B261" s="143" t="s">
        <v>2502</v>
      </c>
      <c r="C261" s="143" t="s">
        <v>953</v>
      </c>
      <c r="D261" s="143">
        <v>20451081</v>
      </c>
      <c r="E261" s="143" t="s">
        <v>2245</v>
      </c>
      <c r="F261" s="143" t="s">
        <v>581</v>
      </c>
      <c r="G261" s="143" t="s">
        <v>1213</v>
      </c>
      <c r="H261" s="143" t="s">
        <v>587</v>
      </c>
      <c r="J261" s="144">
        <v>46070</v>
      </c>
      <c r="K261" s="144"/>
      <c r="L261" s="144"/>
      <c r="R261" s="144"/>
      <c r="U261" s="144">
        <v>46238</v>
      </c>
    </row>
    <row r="262" spans="1:21">
      <c r="A262" s="143" t="s">
        <v>953</v>
      </c>
      <c r="B262" s="143" t="s">
        <v>2503</v>
      </c>
      <c r="C262" s="143" t="s">
        <v>953</v>
      </c>
      <c r="D262" s="143">
        <v>20442104</v>
      </c>
      <c r="E262" s="143" t="s">
        <v>2245</v>
      </c>
      <c r="F262" s="143" t="s">
        <v>984</v>
      </c>
      <c r="G262" s="143" t="s">
        <v>2246</v>
      </c>
      <c r="H262" s="143" t="s">
        <v>587</v>
      </c>
      <c r="J262" s="144">
        <v>46059</v>
      </c>
      <c r="U262" s="144">
        <v>46150</v>
      </c>
    </row>
    <row r="263" spans="1:21">
      <c r="A263" s="143" t="s">
        <v>953</v>
      </c>
      <c r="B263" s="143" t="s">
        <v>2504</v>
      </c>
      <c r="C263" s="143" t="s">
        <v>953</v>
      </c>
      <c r="D263" s="143">
        <v>20456038</v>
      </c>
      <c r="E263" s="143" t="s">
        <v>2245</v>
      </c>
      <c r="F263" s="143" t="s">
        <v>984</v>
      </c>
      <c r="G263" s="143" t="s">
        <v>2246</v>
      </c>
      <c r="H263" s="143" t="s">
        <v>587</v>
      </c>
      <c r="J263" s="144">
        <v>46076</v>
      </c>
      <c r="U263" s="144">
        <v>46203</v>
      </c>
    </row>
    <row r="264" spans="1:21">
      <c r="A264" s="143" t="s">
        <v>953</v>
      </c>
      <c r="B264" s="143" t="s">
        <v>2505</v>
      </c>
      <c r="C264" s="143" t="s">
        <v>953</v>
      </c>
      <c r="D264" s="143">
        <v>20449565</v>
      </c>
      <c r="E264" s="143" t="s">
        <v>2245</v>
      </c>
      <c r="F264" s="143" t="s">
        <v>984</v>
      </c>
      <c r="G264" s="143" t="s">
        <v>2290</v>
      </c>
      <c r="H264" s="143" t="s">
        <v>592</v>
      </c>
      <c r="I264" s="143" t="s">
        <v>1128</v>
      </c>
      <c r="J264" s="144">
        <v>46068</v>
      </c>
      <c r="U264" s="144">
        <v>46068</v>
      </c>
    </row>
    <row r="265" spans="1:21">
      <c r="A265" s="143" t="s">
        <v>953</v>
      </c>
      <c r="B265" s="143" t="s">
        <v>2506</v>
      </c>
      <c r="C265" s="143" t="s">
        <v>953</v>
      </c>
      <c r="D265" s="143">
        <v>20456433</v>
      </c>
      <c r="E265" s="143" t="s">
        <v>2245</v>
      </c>
      <c r="F265" s="143" t="s">
        <v>984</v>
      </c>
      <c r="G265" s="143" t="s">
        <v>2246</v>
      </c>
      <c r="H265" s="143" t="s">
        <v>587</v>
      </c>
      <c r="J265" s="144">
        <v>46077</v>
      </c>
      <c r="U265" s="144">
        <v>46200</v>
      </c>
    </row>
    <row r="266" spans="1:21">
      <c r="A266" s="143" t="s">
        <v>953</v>
      </c>
      <c r="B266" s="143" t="s">
        <v>2507</v>
      </c>
      <c r="C266" s="143" t="s">
        <v>953</v>
      </c>
      <c r="D266" s="143">
        <v>20443233</v>
      </c>
      <c r="E266" s="143" t="s">
        <v>2252</v>
      </c>
      <c r="F266" s="143" t="s">
        <v>579</v>
      </c>
      <c r="G266" s="143" t="s">
        <v>2250</v>
      </c>
      <c r="H266" s="143" t="s">
        <v>590</v>
      </c>
      <c r="I266" s="143" t="s">
        <v>2508</v>
      </c>
      <c r="J266" s="144">
        <v>46061</v>
      </c>
      <c r="K266" s="144">
        <v>46061</v>
      </c>
      <c r="L266" s="144">
        <v>46062</v>
      </c>
      <c r="R266" s="144">
        <v>46076</v>
      </c>
      <c r="U266" s="144">
        <v>46090</v>
      </c>
    </row>
    <row r="267" spans="1:21">
      <c r="A267" s="143" t="s">
        <v>953</v>
      </c>
      <c r="B267" s="143" t="s">
        <v>2509</v>
      </c>
      <c r="C267" s="143" t="s">
        <v>953</v>
      </c>
      <c r="D267" s="143">
        <v>20457479</v>
      </c>
      <c r="E267" s="143" t="s">
        <v>2245</v>
      </c>
      <c r="F267" s="143" t="s">
        <v>581</v>
      </c>
      <c r="G267" s="143" t="s">
        <v>1213</v>
      </c>
      <c r="H267" s="143" t="s">
        <v>587</v>
      </c>
      <c r="J267" s="144">
        <v>46078</v>
      </c>
      <c r="K267" s="144"/>
      <c r="L267" s="144"/>
      <c r="R267" s="144"/>
      <c r="U267" s="144">
        <v>46136</v>
      </c>
    </row>
    <row r="268" spans="1:21">
      <c r="A268" s="143" t="s">
        <v>953</v>
      </c>
      <c r="B268" s="143" t="s">
        <v>2510</v>
      </c>
      <c r="C268" s="143" t="s">
        <v>953</v>
      </c>
      <c r="D268" s="143">
        <v>20443611</v>
      </c>
      <c r="E268" s="143" t="s">
        <v>2252</v>
      </c>
      <c r="F268" s="143" t="s">
        <v>2256</v>
      </c>
      <c r="G268" s="143" t="s">
        <v>2250</v>
      </c>
      <c r="H268" s="143" t="s">
        <v>587</v>
      </c>
      <c r="I268" s="143" t="s">
        <v>2511</v>
      </c>
      <c r="J268" s="144">
        <v>46062</v>
      </c>
      <c r="K268" s="144">
        <v>46062</v>
      </c>
      <c r="L268" s="144">
        <v>46062</v>
      </c>
      <c r="R268" s="144">
        <v>46070</v>
      </c>
      <c r="U268" s="144">
        <v>46081</v>
      </c>
    </row>
    <row r="269" spans="1:21">
      <c r="A269" s="143" t="s">
        <v>953</v>
      </c>
      <c r="B269" s="143" t="s">
        <v>2512</v>
      </c>
      <c r="C269" s="143" t="s">
        <v>953</v>
      </c>
      <c r="D269" s="143">
        <v>20459043</v>
      </c>
      <c r="E269" s="143" t="s">
        <v>2245</v>
      </c>
      <c r="F269" s="143" t="s">
        <v>984</v>
      </c>
      <c r="G269" s="143" t="s">
        <v>2259</v>
      </c>
      <c r="H269" s="143" t="s">
        <v>2388</v>
      </c>
      <c r="J269" s="144">
        <v>46080</v>
      </c>
      <c r="K269" s="144"/>
      <c r="L269" s="144"/>
      <c r="R269" s="144"/>
      <c r="U269" s="144">
        <v>46080</v>
      </c>
    </row>
    <row r="270" spans="1:21">
      <c r="A270" s="143" t="s">
        <v>953</v>
      </c>
      <c r="B270" s="143" t="s">
        <v>2513</v>
      </c>
      <c r="C270" s="143" t="s">
        <v>953</v>
      </c>
      <c r="D270" s="143">
        <v>20447357</v>
      </c>
      <c r="E270" s="143" t="s">
        <v>2324</v>
      </c>
      <c r="F270" s="143" t="s">
        <v>579</v>
      </c>
      <c r="G270" s="143" t="s">
        <v>2250</v>
      </c>
      <c r="H270" s="143" t="s">
        <v>592</v>
      </c>
      <c r="I270" s="143" t="s">
        <v>2511</v>
      </c>
      <c r="J270" s="144">
        <v>46064</v>
      </c>
      <c r="K270" s="144">
        <v>46064</v>
      </c>
      <c r="L270" s="144">
        <v>46065</v>
      </c>
      <c r="M270" s="144">
        <v>46078</v>
      </c>
      <c r="N270" s="144">
        <v>46079</v>
      </c>
      <c r="O270" s="144">
        <v>46080</v>
      </c>
      <c r="P270" s="144">
        <v>46079</v>
      </c>
      <c r="Q270" s="144">
        <v>46081</v>
      </c>
      <c r="U270" s="144">
        <v>46081</v>
      </c>
    </row>
    <row r="271" spans="1:21">
      <c r="A271" s="143" t="s">
        <v>953</v>
      </c>
      <c r="B271" s="143" t="s">
        <v>2513</v>
      </c>
      <c r="C271" s="143" t="s">
        <v>953</v>
      </c>
      <c r="D271" s="143">
        <v>20440239</v>
      </c>
      <c r="E271" s="143" t="s">
        <v>2252</v>
      </c>
      <c r="F271" s="143" t="s">
        <v>579</v>
      </c>
      <c r="G271" s="143" t="s">
        <v>2248</v>
      </c>
      <c r="H271" s="143" t="s">
        <v>592</v>
      </c>
      <c r="I271" s="143" t="s">
        <v>1122</v>
      </c>
      <c r="J271" s="144">
        <v>46056</v>
      </c>
      <c r="K271" s="144">
        <v>46062</v>
      </c>
      <c r="L271" s="144">
        <v>46062</v>
      </c>
      <c r="R271" s="144">
        <v>46070</v>
      </c>
      <c r="U271" s="144">
        <v>46081</v>
      </c>
    </row>
    <row r="272" spans="1:21">
      <c r="A272" s="143" t="s">
        <v>953</v>
      </c>
      <c r="B272" s="143" t="s">
        <v>2514</v>
      </c>
      <c r="C272" s="143" t="s">
        <v>953</v>
      </c>
      <c r="D272" s="143">
        <v>20442939</v>
      </c>
      <c r="E272" s="143" t="s">
        <v>2245</v>
      </c>
      <c r="F272" s="143" t="s">
        <v>984</v>
      </c>
      <c r="G272" s="143" t="s">
        <v>2246</v>
      </c>
      <c r="H272" s="143" t="s">
        <v>587</v>
      </c>
      <c r="J272" s="144">
        <v>46060</v>
      </c>
      <c r="K272" s="144"/>
      <c r="L272" s="144"/>
      <c r="M272" s="144"/>
      <c r="N272" s="144"/>
      <c r="O272" s="144"/>
      <c r="P272" s="144"/>
      <c r="Q272" s="144"/>
      <c r="U272" s="144">
        <v>46082</v>
      </c>
    </row>
    <row r="273" spans="1:21">
      <c r="A273" s="143" t="s">
        <v>953</v>
      </c>
      <c r="B273" s="143" t="s">
        <v>2515</v>
      </c>
      <c r="C273" s="143" t="s">
        <v>953</v>
      </c>
      <c r="D273" s="143">
        <v>20453813</v>
      </c>
      <c r="E273" s="143" t="s">
        <v>1100</v>
      </c>
      <c r="F273" s="143" t="s">
        <v>1115</v>
      </c>
      <c r="G273" s="143" t="s">
        <v>2250</v>
      </c>
      <c r="H273" s="143" t="s">
        <v>587</v>
      </c>
      <c r="J273" s="144">
        <v>46072</v>
      </c>
      <c r="K273" s="144">
        <v>46072</v>
      </c>
      <c r="U273" s="144">
        <v>46072</v>
      </c>
    </row>
    <row r="274" spans="1:21">
      <c r="A274" s="143" t="s">
        <v>953</v>
      </c>
      <c r="B274" s="143" t="s">
        <v>2515</v>
      </c>
      <c r="C274" s="143" t="s">
        <v>953</v>
      </c>
      <c r="D274" s="143">
        <v>20453335</v>
      </c>
      <c r="E274" s="143" t="s">
        <v>1100</v>
      </c>
      <c r="F274" s="143" t="s">
        <v>577</v>
      </c>
      <c r="G274" s="143" t="s">
        <v>2248</v>
      </c>
      <c r="H274" s="143" t="s">
        <v>591</v>
      </c>
      <c r="J274" s="144">
        <v>46072</v>
      </c>
      <c r="K274" s="144">
        <v>46072</v>
      </c>
      <c r="U274" s="144">
        <v>46072</v>
      </c>
    </row>
    <row r="275" spans="1:21">
      <c r="A275" s="143" t="s">
        <v>953</v>
      </c>
      <c r="B275" s="143" t="s">
        <v>2516</v>
      </c>
      <c r="C275" s="143" t="s">
        <v>953</v>
      </c>
      <c r="D275" s="143">
        <v>20444066</v>
      </c>
      <c r="E275" s="143" t="s">
        <v>2245</v>
      </c>
      <c r="F275" s="143" t="s">
        <v>984</v>
      </c>
      <c r="G275" s="143" t="s">
        <v>2246</v>
      </c>
      <c r="H275" s="143" t="s">
        <v>587</v>
      </c>
      <c r="J275" s="144">
        <v>46062</v>
      </c>
      <c r="K275" s="144"/>
      <c r="U275" s="144">
        <v>46080</v>
      </c>
    </row>
    <row r="276" spans="1:21">
      <c r="A276" s="143" t="s">
        <v>953</v>
      </c>
      <c r="B276" s="143" t="s">
        <v>2517</v>
      </c>
      <c r="C276" s="143" t="s">
        <v>953</v>
      </c>
      <c r="D276" s="143">
        <v>20446012</v>
      </c>
      <c r="E276" s="143" t="s">
        <v>2245</v>
      </c>
      <c r="F276" s="143" t="s">
        <v>581</v>
      </c>
      <c r="G276" s="143" t="s">
        <v>1213</v>
      </c>
      <c r="H276" s="143" t="s">
        <v>587</v>
      </c>
      <c r="J276" s="144">
        <v>46064</v>
      </c>
      <c r="U276" s="144">
        <v>46073</v>
      </c>
    </row>
    <row r="277" spans="1:21">
      <c r="A277" s="143" t="s">
        <v>953</v>
      </c>
      <c r="B277" s="143" t="s">
        <v>2518</v>
      </c>
      <c r="C277" s="143" t="s">
        <v>953</v>
      </c>
      <c r="D277" s="143">
        <v>20441241</v>
      </c>
      <c r="E277" s="143" t="s">
        <v>2245</v>
      </c>
      <c r="F277" s="143" t="s">
        <v>581</v>
      </c>
      <c r="G277" s="143" t="s">
        <v>2246</v>
      </c>
      <c r="H277" s="143" t="s">
        <v>587</v>
      </c>
      <c r="J277" s="144">
        <v>46057</v>
      </c>
      <c r="U277" s="144">
        <v>46078</v>
      </c>
    </row>
    <row r="278" spans="1:21">
      <c r="A278" s="143" t="s">
        <v>953</v>
      </c>
      <c r="B278" s="143" t="s">
        <v>2519</v>
      </c>
      <c r="C278" s="143" t="s">
        <v>953</v>
      </c>
      <c r="D278" s="143">
        <v>20450060</v>
      </c>
      <c r="E278" s="143" t="s">
        <v>2245</v>
      </c>
      <c r="F278" s="143" t="s">
        <v>984</v>
      </c>
      <c r="G278" s="143" t="s">
        <v>2246</v>
      </c>
      <c r="H278" s="143" t="s">
        <v>587</v>
      </c>
      <c r="J278" s="144">
        <v>46069</v>
      </c>
      <c r="U278" s="144">
        <v>46135</v>
      </c>
    </row>
    <row r="279" spans="1:21">
      <c r="A279" s="143" t="s">
        <v>953</v>
      </c>
      <c r="B279" s="143" t="s">
        <v>2520</v>
      </c>
      <c r="C279" s="143" t="s">
        <v>953</v>
      </c>
      <c r="D279" s="143">
        <v>20442635</v>
      </c>
      <c r="E279" s="143" t="s">
        <v>2245</v>
      </c>
      <c r="F279" s="143" t="s">
        <v>581</v>
      </c>
      <c r="G279" s="143" t="s">
        <v>2290</v>
      </c>
      <c r="H279" s="143" t="s">
        <v>587</v>
      </c>
      <c r="J279" s="144">
        <v>46060</v>
      </c>
      <c r="U279" s="144">
        <v>46082</v>
      </c>
    </row>
    <row r="280" spans="1:21">
      <c r="A280" s="143" t="s">
        <v>953</v>
      </c>
      <c r="B280" s="143" t="s">
        <v>2521</v>
      </c>
      <c r="C280" s="143" t="s">
        <v>953</v>
      </c>
      <c r="D280" s="143">
        <v>20448138</v>
      </c>
      <c r="E280" s="143" t="s">
        <v>2245</v>
      </c>
      <c r="F280" s="143" t="s">
        <v>581</v>
      </c>
      <c r="G280" s="143" t="s">
        <v>1213</v>
      </c>
      <c r="H280" s="143" t="s">
        <v>587</v>
      </c>
      <c r="J280" s="144">
        <v>46065</v>
      </c>
      <c r="U280" s="144">
        <v>46080</v>
      </c>
    </row>
    <row r="281" spans="1:21">
      <c r="A281" s="143" t="s">
        <v>953</v>
      </c>
      <c r="B281" s="143" t="s">
        <v>2522</v>
      </c>
      <c r="C281" s="143" t="s">
        <v>953</v>
      </c>
      <c r="D281" s="143">
        <v>20445946</v>
      </c>
      <c r="E281" s="143" t="s">
        <v>2245</v>
      </c>
      <c r="F281" s="143" t="s">
        <v>581</v>
      </c>
      <c r="G281" s="143" t="s">
        <v>1213</v>
      </c>
      <c r="H281" s="143" t="s">
        <v>587</v>
      </c>
      <c r="J281" s="144">
        <v>46064</v>
      </c>
      <c r="U281" s="144">
        <v>46071</v>
      </c>
    </row>
    <row r="282" spans="1:21">
      <c r="A282" s="143" t="s">
        <v>953</v>
      </c>
      <c r="B282" s="143" t="s">
        <v>2523</v>
      </c>
      <c r="C282" s="143" t="s">
        <v>953</v>
      </c>
      <c r="D282" s="143">
        <v>20453164</v>
      </c>
      <c r="E282" s="143" t="s">
        <v>2245</v>
      </c>
      <c r="F282" s="143" t="s">
        <v>984</v>
      </c>
      <c r="G282" s="143" t="s">
        <v>2246</v>
      </c>
      <c r="H282" s="143" t="s">
        <v>587</v>
      </c>
      <c r="J282" s="144">
        <v>46072</v>
      </c>
      <c r="U282" s="144">
        <v>46109</v>
      </c>
    </row>
    <row r="283" spans="1:21">
      <c r="A283" s="143" t="s">
        <v>953</v>
      </c>
      <c r="B283" s="143" t="s">
        <v>2524</v>
      </c>
      <c r="C283" s="143" t="s">
        <v>953</v>
      </c>
      <c r="D283" s="143">
        <v>20453908</v>
      </c>
      <c r="E283" s="143" t="s">
        <v>2245</v>
      </c>
      <c r="F283" s="143" t="s">
        <v>984</v>
      </c>
      <c r="G283" s="143" t="s">
        <v>2290</v>
      </c>
      <c r="H283" s="143" t="s">
        <v>592</v>
      </c>
      <c r="J283" s="144">
        <v>46073</v>
      </c>
      <c r="U283" s="144">
        <v>46091</v>
      </c>
    </row>
    <row r="284" spans="1:21">
      <c r="A284" s="143" t="s">
        <v>953</v>
      </c>
      <c r="B284" s="143" t="s">
        <v>2525</v>
      </c>
      <c r="C284" s="143" t="s">
        <v>953</v>
      </c>
      <c r="D284" s="143">
        <v>20447869</v>
      </c>
      <c r="E284" s="143" t="s">
        <v>1100</v>
      </c>
      <c r="F284" s="143" t="s">
        <v>577</v>
      </c>
      <c r="G284" s="143" t="s">
        <v>2250</v>
      </c>
      <c r="H284" s="143" t="s">
        <v>587</v>
      </c>
      <c r="J284" s="144">
        <v>46065</v>
      </c>
      <c r="K284" s="144">
        <v>46065</v>
      </c>
      <c r="U284" s="144">
        <v>46065</v>
      </c>
    </row>
    <row r="285" spans="1:21">
      <c r="A285" s="143" t="s">
        <v>953</v>
      </c>
      <c r="B285" s="143" t="s">
        <v>2526</v>
      </c>
      <c r="C285" s="143" t="s">
        <v>953</v>
      </c>
      <c r="D285" s="143">
        <v>20447835</v>
      </c>
      <c r="E285" s="143" t="s">
        <v>1110</v>
      </c>
      <c r="F285" s="143" t="s">
        <v>577</v>
      </c>
      <c r="G285" s="143" t="s">
        <v>2250</v>
      </c>
      <c r="H285" s="143" t="s">
        <v>587</v>
      </c>
      <c r="I285" s="143" t="s">
        <v>565</v>
      </c>
      <c r="J285" s="144">
        <v>46065</v>
      </c>
      <c r="K285" s="144">
        <v>46065</v>
      </c>
      <c r="L285" s="144">
        <v>46065</v>
      </c>
      <c r="U285" s="144">
        <v>46078</v>
      </c>
    </row>
    <row r="286" spans="1:21">
      <c r="A286" s="143" t="s">
        <v>953</v>
      </c>
      <c r="B286" s="143" t="s">
        <v>2526</v>
      </c>
      <c r="C286" s="143" t="s">
        <v>953</v>
      </c>
      <c r="D286" s="143">
        <v>20447739</v>
      </c>
      <c r="E286" s="143" t="s">
        <v>2258</v>
      </c>
      <c r="F286" s="143" t="s">
        <v>984</v>
      </c>
      <c r="G286" s="143" t="s">
        <v>2259</v>
      </c>
      <c r="H286" s="143" t="s">
        <v>593</v>
      </c>
      <c r="J286" s="144">
        <v>46065</v>
      </c>
      <c r="K286" s="144">
        <v>46065</v>
      </c>
      <c r="R286" s="144">
        <v>46065</v>
      </c>
      <c r="U286" s="144">
        <v>46065</v>
      </c>
    </row>
    <row r="287" spans="1:21">
      <c r="A287" s="143" t="s">
        <v>953</v>
      </c>
      <c r="B287" s="143" t="s">
        <v>1107</v>
      </c>
      <c r="C287" s="143" t="s">
        <v>953</v>
      </c>
      <c r="D287" s="143">
        <v>20441505</v>
      </c>
      <c r="E287" s="143" t="s">
        <v>2245</v>
      </c>
      <c r="F287" s="143" t="s">
        <v>984</v>
      </c>
      <c r="G287" s="143" t="s">
        <v>2259</v>
      </c>
      <c r="H287" s="143" t="s">
        <v>592</v>
      </c>
      <c r="I287" s="143" t="s">
        <v>1034</v>
      </c>
      <c r="J287" s="144">
        <v>46058</v>
      </c>
      <c r="K287" s="144"/>
      <c r="L287" s="144"/>
      <c r="U287" s="144">
        <v>46081</v>
      </c>
    </row>
    <row r="288" spans="1:21">
      <c r="A288" s="143" t="s">
        <v>953</v>
      </c>
      <c r="B288" s="143" t="s">
        <v>2527</v>
      </c>
      <c r="C288" s="143" t="s">
        <v>953</v>
      </c>
      <c r="D288" s="143">
        <v>20446849</v>
      </c>
      <c r="E288" s="143" t="s">
        <v>2245</v>
      </c>
      <c r="F288" s="143" t="s">
        <v>581</v>
      </c>
      <c r="G288" s="143" t="s">
        <v>2248</v>
      </c>
      <c r="H288" s="143" t="s">
        <v>588</v>
      </c>
      <c r="I288" s="143" t="s">
        <v>1034</v>
      </c>
      <c r="J288" s="144">
        <v>46064</v>
      </c>
      <c r="U288" s="144">
        <v>46142</v>
      </c>
    </row>
    <row r="289" spans="1:21">
      <c r="A289" s="143" t="s">
        <v>953</v>
      </c>
      <c r="B289" s="143" t="s">
        <v>2528</v>
      </c>
      <c r="C289" s="143" t="s">
        <v>953</v>
      </c>
      <c r="D289" s="143">
        <v>20441055</v>
      </c>
      <c r="E289" s="143" t="s">
        <v>2252</v>
      </c>
      <c r="F289" s="143" t="s">
        <v>578</v>
      </c>
      <c r="G289" s="143" t="s">
        <v>2250</v>
      </c>
      <c r="H289" s="143" t="s">
        <v>587</v>
      </c>
      <c r="I289" s="143" t="s">
        <v>1138</v>
      </c>
      <c r="J289" s="144">
        <v>46057</v>
      </c>
      <c r="K289" s="144">
        <v>46057</v>
      </c>
      <c r="L289" s="144">
        <v>46058</v>
      </c>
      <c r="S289" s="144">
        <v>46079</v>
      </c>
      <c r="U289" s="144">
        <v>46081</v>
      </c>
    </row>
    <row r="290" spans="1:21">
      <c r="A290" s="143" t="s">
        <v>953</v>
      </c>
      <c r="B290" s="143" t="s">
        <v>2529</v>
      </c>
      <c r="C290" s="143" t="s">
        <v>953</v>
      </c>
      <c r="D290" s="143">
        <v>20442656</v>
      </c>
      <c r="E290" s="143" t="s">
        <v>2245</v>
      </c>
      <c r="F290" s="143" t="s">
        <v>984</v>
      </c>
      <c r="G290" s="143" t="s">
        <v>2246</v>
      </c>
      <c r="H290" s="143" t="s">
        <v>587</v>
      </c>
      <c r="J290" s="144">
        <v>46060</v>
      </c>
      <c r="K290" s="144"/>
      <c r="L290" s="144"/>
      <c r="S290" s="144"/>
      <c r="U290" s="144">
        <v>46174</v>
      </c>
    </row>
    <row r="291" spans="1:21">
      <c r="A291" s="143" t="s">
        <v>953</v>
      </c>
      <c r="B291" s="143" t="s">
        <v>2530</v>
      </c>
      <c r="C291" s="143" t="s">
        <v>953</v>
      </c>
      <c r="D291" s="143">
        <v>20442736</v>
      </c>
      <c r="E291" s="143" t="s">
        <v>2252</v>
      </c>
      <c r="F291" s="143" t="s">
        <v>579</v>
      </c>
      <c r="G291" s="143" t="s">
        <v>2248</v>
      </c>
      <c r="H291" s="143" t="s">
        <v>591</v>
      </c>
      <c r="I291" s="143" t="s">
        <v>2420</v>
      </c>
      <c r="J291" s="144">
        <v>46060</v>
      </c>
      <c r="K291" s="144">
        <v>46060</v>
      </c>
      <c r="L291" s="144">
        <v>46060</v>
      </c>
      <c r="M291" s="144">
        <v>46076</v>
      </c>
      <c r="R291" s="144">
        <v>46078</v>
      </c>
      <c r="U291" s="144">
        <v>46081</v>
      </c>
    </row>
    <row r="292" spans="1:21">
      <c r="A292" s="143" t="s">
        <v>953</v>
      </c>
      <c r="B292" s="143" t="s">
        <v>2531</v>
      </c>
      <c r="C292" s="143" t="s">
        <v>953</v>
      </c>
      <c r="D292" s="143">
        <v>20426429</v>
      </c>
      <c r="E292" s="143" t="s">
        <v>2324</v>
      </c>
      <c r="F292" s="143" t="s">
        <v>577</v>
      </c>
      <c r="G292" s="143" t="s">
        <v>2246</v>
      </c>
      <c r="H292" s="143" t="s">
        <v>592</v>
      </c>
      <c r="I292" s="143" t="s">
        <v>1353</v>
      </c>
      <c r="J292" s="144">
        <v>46037</v>
      </c>
      <c r="K292" s="144">
        <v>46050</v>
      </c>
      <c r="L292" s="144">
        <v>46050</v>
      </c>
      <c r="M292" s="144">
        <v>46062</v>
      </c>
      <c r="N292" s="144">
        <v>46063</v>
      </c>
      <c r="P292" s="144">
        <v>46063</v>
      </c>
      <c r="Q292" s="144">
        <v>46063</v>
      </c>
      <c r="R292" s="144"/>
      <c r="U292" s="144">
        <v>46070</v>
      </c>
    </row>
    <row r="293" spans="1:21">
      <c r="A293" s="143" t="s">
        <v>953</v>
      </c>
      <c r="B293" s="143" t="s">
        <v>2532</v>
      </c>
      <c r="C293" s="143" t="s">
        <v>953</v>
      </c>
      <c r="D293" s="143">
        <v>20444547</v>
      </c>
      <c r="E293" s="143" t="s">
        <v>2245</v>
      </c>
      <c r="F293" s="143" t="s">
        <v>581</v>
      </c>
      <c r="G293" s="143" t="s">
        <v>1213</v>
      </c>
      <c r="H293" s="143" t="s">
        <v>587</v>
      </c>
      <c r="J293" s="144">
        <v>46063</v>
      </c>
      <c r="K293" s="144"/>
      <c r="L293" s="144"/>
      <c r="M293" s="144"/>
      <c r="N293" s="144"/>
      <c r="P293" s="144"/>
      <c r="Q293" s="144"/>
      <c r="U293" s="144">
        <v>46122</v>
      </c>
    </row>
    <row r="294" spans="1:21">
      <c r="A294" s="143" t="s">
        <v>953</v>
      </c>
      <c r="B294" s="143" t="s">
        <v>2533</v>
      </c>
      <c r="C294" s="143" t="s">
        <v>953</v>
      </c>
      <c r="D294" s="143">
        <v>20459311</v>
      </c>
      <c r="E294" s="143" t="s">
        <v>1100</v>
      </c>
      <c r="F294" s="143" t="s">
        <v>1115</v>
      </c>
      <c r="G294" s="143" t="s">
        <v>2250</v>
      </c>
      <c r="H294" s="143" t="s">
        <v>587</v>
      </c>
      <c r="J294" s="144">
        <v>46081</v>
      </c>
      <c r="K294" s="144">
        <v>46081</v>
      </c>
      <c r="U294" s="144">
        <v>46191</v>
      </c>
    </row>
    <row r="295" spans="1:21">
      <c r="A295" s="143" t="s">
        <v>953</v>
      </c>
      <c r="B295" s="143" t="s">
        <v>2534</v>
      </c>
      <c r="C295" s="143" t="s">
        <v>953</v>
      </c>
      <c r="D295" s="143">
        <v>20423136</v>
      </c>
      <c r="E295" s="143" t="s">
        <v>1110</v>
      </c>
      <c r="F295" s="143" t="s">
        <v>984</v>
      </c>
      <c r="G295" s="143" t="s">
        <v>2246</v>
      </c>
      <c r="H295" s="143" t="s">
        <v>592</v>
      </c>
      <c r="I295" s="143" t="s">
        <v>2288</v>
      </c>
      <c r="J295" s="144">
        <v>46034</v>
      </c>
      <c r="K295" s="144">
        <v>46074</v>
      </c>
      <c r="L295" s="144">
        <v>46078</v>
      </c>
      <c r="U295" s="144">
        <v>46174</v>
      </c>
    </row>
    <row r="296" spans="1:21">
      <c r="A296" s="143" t="s">
        <v>953</v>
      </c>
      <c r="B296" s="143" t="s">
        <v>2534</v>
      </c>
      <c r="C296" s="143" t="s">
        <v>953</v>
      </c>
      <c r="D296" s="143">
        <v>20454865</v>
      </c>
      <c r="E296" s="143" t="s">
        <v>1100</v>
      </c>
      <c r="F296" s="143" t="s">
        <v>1115</v>
      </c>
      <c r="G296" s="143" t="s">
        <v>2250</v>
      </c>
      <c r="H296" s="143" t="s">
        <v>592</v>
      </c>
      <c r="J296" s="144">
        <v>46074</v>
      </c>
      <c r="K296" s="144">
        <v>46074</v>
      </c>
      <c r="L296" s="144"/>
      <c r="U296" s="144">
        <v>46074</v>
      </c>
    </row>
    <row r="297" spans="1:21">
      <c r="A297" s="143" t="s">
        <v>953</v>
      </c>
      <c r="B297" s="143" t="s">
        <v>2535</v>
      </c>
      <c r="C297" s="143" t="s">
        <v>953</v>
      </c>
      <c r="D297" s="143">
        <v>20450635</v>
      </c>
      <c r="E297" s="143" t="s">
        <v>2245</v>
      </c>
      <c r="F297" s="143" t="s">
        <v>984</v>
      </c>
      <c r="G297" s="143" t="s">
        <v>2259</v>
      </c>
      <c r="H297" s="143" t="s">
        <v>2388</v>
      </c>
      <c r="J297" s="144">
        <v>46070</v>
      </c>
      <c r="K297" s="144"/>
      <c r="U297" s="144">
        <v>46116</v>
      </c>
    </row>
    <row r="298" spans="1:21">
      <c r="A298" s="143" t="s">
        <v>953</v>
      </c>
      <c r="B298" s="143" t="s">
        <v>2536</v>
      </c>
      <c r="C298" s="143" t="s">
        <v>953</v>
      </c>
      <c r="D298" s="143">
        <v>20444709</v>
      </c>
      <c r="E298" s="143" t="s">
        <v>1100</v>
      </c>
      <c r="F298" s="143" t="s">
        <v>1115</v>
      </c>
      <c r="G298" s="143" t="s">
        <v>2250</v>
      </c>
      <c r="H298" s="143" t="s">
        <v>587</v>
      </c>
      <c r="I298" s="143" t="s">
        <v>859</v>
      </c>
      <c r="J298" s="144">
        <v>46063</v>
      </c>
      <c r="K298" s="144">
        <v>46063</v>
      </c>
      <c r="U298" s="144">
        <v>46079</v>
      </c>
    </row>
    <row r="299" spans="1:21">
      <c r="A299" s="143" t="s">
        <v>953</v>
      </c>
      <c r="B299" s="143" t="s">
        <v>1131</v>
      </c>
      <c r="C299" s="143" t="s">
        <v>953</v>
      </c>
      <c r="D299" s="143">
        <v>20458158</v>
      </c>
      <c r="E299" s="143" t="s">
        <v>2245</v>
      </c>
      <c r="F299" s="143" t="s">
        <v>579</v>
      </c>
      <c r="G299" s="143" t="s">
        <v>2248</v>
      </c>
      <c r="H299" s="143" t="s">
        <v>590</v>
      </c>
      <c r="J299" s="144">
        <v>46079</v>
      </c>
      <c r="K299" s="144"/>
      <c r="U299" s="144">
        <v>46079</v>
      </c>
    </row>
    <row r="300" spans="1:21">
      <c r="A300" s="143" t="s">
        <v>953</v>
      </c>
      <c r="B300" s="143" t="s">
        <v>2537</v>
      </c>
      <c r="C300" s="143" t="s">
        <v>953</v>
      </c>
      <c r="D300" s="143">
        <v>20452337</v>
      </c>
      <c r="E300" s="143" t="s">
        <v>1110</v>
      </c>
      <c r="F300" s="143" t="s">
        <v>984</v>
      </c>
      <c r="G300" s="143" t="s">
        <v>2248</v>
      </c>
      <c r="H300" s="143" t="s">
        <v>588</v>
      </c>
      <c r="I300" s="143" t="s">
        <v>567</v>
      </c>
      <c r="J300" s="144">
        <v>46071</v>
      </c>
      <c r="K300" s="144">
        <v>46071</v>
      </c>
      <c r="L300" s="144">
        <v>46072</v>
      </c>
      <c r="U300" s="144">
        <v>46081</v>
      </c>
    </row>
    <row r="301" spans="1:21">
      <c r="A301" s="143" t="s">
        <v>953</v>
      </c>
      <c r="B301" s="143" t="s">
        <v>2538</v>
      </c>
      <c r="C301" s="143" t="s">
        <v>953</v>
      </c>
      <c r="D301" s="143">
        <v>20455891</v>
      </c>
      <c r="E301" s="143" t="s">
        <v>2245</v>
      </c>
      <c r="F301" s="143" t="s">
        <v>984</v>
      </c>
      <c r="G301" s="143" t="s">
        <v>2246</v>
      </c>
      <c r="H301" s="143" t="s">
        <v>2539</v>
      </c>
      <c r="J301" s="144">
        <v>46076</v>
      </c>
      <c r="K301" s="144"/>
      <c r="L301" s="144"/>
      <c r="U301" s="144">
        <v>46088</v>
      </c>
    </row>
    <row r="302" spans="1:21">
      <c r="A302" s="143" t="s">
        <v>953</v>
      </c>
      <c r="B302" s="143" t="s">
        <v>2540</v>
      </c>
      <c r="C302" s="143" t="s">
        <v>953</v>
      </c>
      <c r="D302" s="143">
        <v>20439108</v>
      </c>
      <c r="E302" s="143" t="s">
        <v>2245</v>
      </c>
      <c r="F302" s="143" t="s">
        <v>984</v>
      </c>
      <c r="G302" s="143" t="s">
        <v>2259</v>
      </c>
      <c r="H302" s="143" t="s">
        <v>591</v>
      </c>
      <c r="J302" s="144">
        <v>46054</v>
      </c>
      <c r="U302" s="144">
        <v>46055</v>
      </c>
    </row>
    <row r="303" spans="1:21">
      <c r="A303" s="143" t="s">
        <v>953</v>
      </c>
      <c r="B303" s="143" t="s">
        <v>2541</v>
      </c>
      <c r="C303" s="143" t="s">
        <v>953</v>
      </c>
      <c r="D303" s="143">
        <v>20449363</v>
      </c>
      <c r="E303" s="143" t="s">
        <v>2245</v>
      </c>
      <c r="F303" s="143" t="s">
        <v>581</v>
      </c>
      <c r="G303" s="143" t="s">
        <v>2290</v>
      </c>
      <c r="H303" s="143" t="s">
        <v>591</v>
      </c>
      <c r="J303" s="144">
        <v>46068</v>
      </c>
      <c r="U303" s="144">
        <v>46082</v>
      </c>
    </row>
    <row r="304" spans="1:21">
      <c r="A304" s="143" t="s">
        <v>953</v>
      </c>
      <c r="B304" s="143" t="s">
        <v>2542</v>
      </c>
      <c r="C304" s="143" t="s">
        <v>953</v>
      </c>
      <c r="D304" s="143">
        <v>20440351</v>
      </c>
      <c r="E304" s="143" t="s">
        <v>2245</v>
      </c>
      <c r="F304" s="143" t="s">
        <v>578</v>
      </c>
      <c r="G304" s="143" t="s">
        <v>2246</v>
      </c>
      <c r="H304" s="143" t="s">
        <v>593</v>
      </c>
      <c r="J304" s="144">
        <v>46056</v>
      </c>
      <c r="U304" s="144">
        <v>46062</v>
      </c>
    </row>
    <row r="305" spans="1:21">
      <c r="A305" s="143" t="s">
        <v>953</v>
      </c>
      <c r="B305" s="143" t="s">
        <v>2543</v>
      </c>
      <c r="C305" s="143" t="s">
        <v>953</v>
      </c>
      <c r="D305" s="143">
        <v>20443917</v>
      </c>
      <c r="E305" s="143" t="s">
        <v>2245</v>
      </c>
      <c r="F305" s="143" t="s">
        <v>581</v>
      </c>
      <c r="G305" s="143" t="s">
        <v>2290</v>
      </c>
      <c r="H305" s="143" t="s">
        <v>591</v>
      </c>
      <c r="J305" s="144">
        <v>46062</v>
      </c>
      <c r="U305" s="144">
        <v>46062</v>
      </c>
    </row>
    <row r="306" spans="1:21">
      <c r="A306" s="143" t="s">
        <v>953</v>
      </c>
      <c r="B306" s="143" t="s">
        <v>2544</v>
      </c>
      <c r="C306" s="143" t="s">
        <v>953</v>
      </c>
      <c r="D306" s="143">
        <v>20436600</v>
      </c>
      <c r="E306" s="143" t="s">
        <v>2252</v>
      </c>
      <c r="F306" s="143" t="s">
        <v>577</v>
      </c>
      <c r="G306" s="143" t="s">
        <v>2250</v>
      </c>
      <c r="H306" s="143" t="s">
        <v>589</v>
      </c>
      <c r="I306" s="143" t="s">
        <v>2545</v>
      </c>
      <c r="J306" s="144">
        <v>46050</v>
      </c>
      <c r="K306" s="144">
        <v>46050</v>
      </c>
      <c r="L306" s="144">
        <v>46053</v>
      </c>
      <c r="R306" s="144">
        <v>46076</v>
      </c>
      <c r="U306" s="144">
        <v>46081</v>
      </c>
    </row>
    <row r="307" spans="1:21">
      <c r="A307" s="143" t="s">
        <v>953</v>
      </c>
      <c r="B307" s="143" t="s">
        <v>2546</v>
      </c>
      <c r="C307" s="143" t="s">
        <v>953</v>
      </c>
      <c r="D307" s="143">
        <v>20448159</v>
      </c>
      <c r="E307" s="143" t="s">
        <v>1100</v>
      </c>
      <c r="F307" s="143" t="s">
        <v>581</v>
      </c>
      <c r="G307" s="143" t="s">
        <v>2250</v>
      </c>
      <c r="H307" s="143" t="s">
        <v>589</v>
      </c>
      <c r="I307" s="143" t="s">
        <v>898</v>
      </c>
      <c r="J307" s="144">
        <v>46065</v>
      </c>
      <c r="K307" s="144">
        <v>46065</v>
      </c>
      <c r="L307" s="144"/>
      <c r="R307" s="144"/>
      <c r="U307" s="144">
        <v>46065</v>
      </c>
    </row>
    <row r="308" spans="1:21">
      <c r="A308" s="143" t="s">
        <v>953</v>
      </c>
      <c r="B308" s="143" t="s">
        <v>2547</v>
      </c>
      <c r="C308" s="143" t="s">
        <v>953</v>
      </c>
      <c r="D308" s="143">
        <v>20414524</v>
      </c>
      <c r="E308" s="143" t="s">
        <v>2258</v>
      </c>
      <c r="F308" s="143" t="s">
        <v>579</v>
      </c>
      <c r="G308" s="143" t="s">
        <v>2248</v>
      </c>
      <c r="H308" s="143" t="s">
        <v>588</v>
      </c>
      <c r="J308" s="144">
        <v>46020</v>
      </c>
      <c r="K308" s="144"/>
      <c r="R308" s="144">
        <v>46056</v>
      </c>
      <c r="U308" s="144">
        <v>46020</v>
      </c>
    </row>
    <row r="309" spans="1:21">
      <c r="A309" s="143" t="s">
        <v>953</v>
      </c>
      <c r="B309" s="143" t="s">
        <v>2548</v>
      </c>
      <c r="C309" s="143" t="s">
        <v>953</v>
      </c>
      <c r="D309" s="143">
        <v>20458359</v>
      </c>
      <c r="E309" s="143" t="s">
        <v>2245</v>
      </c>
      <c r="F309" s="143" t="s">
        <v>984</v>
      </c>
      <c r="G309" s="143" t="s">
        <v>2259</v>
      </c>
      <c r="H309" s="143" t="s">
        <v>592</v>
      </c>
      <c r="J309" s="144">
        <v>46079</v>
      </c>
      <c r="R309" s="144"/>
      <c r="U309" s="144">
        <v>46173</v>
      </c>
    </row>
    <row r="310" spans="1:21">
      <c r="A310" s="143" t="s">
        <v>953</v>
      </c>
      <c r="B310" s="143" t="s">
        <v>2549</v>
      </c>
      <c r="C310" s="143" t="s">
        <v>953</v>
      </c>
      <c r="D310" s="143">
        <v>20440430</v>
      </c>
      <c r="E310" s="143" t="s">
        <v>1100</v>
      </c>
      <c r="F310" s="143" t="s">
        <v>581</v>
      </c>
      <c r="G310" s="143" t="s">
        <v>2250</v>
      </c>
      <c r="H310" s="143" t="s">
        <v>589</v>
      </c>
      <c r="I310" s="143" t="s">
        <v>2550</v>
      </c>
      <c r="J310" s="144">
        <v>46056</v>
      </c>
      <c r="K310" s="144">
        <v>46056</v>
      </c>
      <c r="U310" s="144">
        <v>46056</v>
      </c>
    </row>
    <row r="311" spans="1:21">
      <c r="A311" s="143" t="s">
        <v>953</v>
      </c>
      <c r="B311" s="143" t="s">
        <v>2551</v>
      </c>
      <c r="C311" s="143" t="s">
        <v>953</v>
      </c>
      <c r="D311" s="143">
        <v>20456017</v>
      </c>
      <c r="E311" s="143" t="s">
        <v>2245</v>
      </c>
      <c r="F311" s="143" t="s">
        <v>579</v>
      </c>
      <c r="G311" s="143" t="s">
        <v>2248</v>
      </c>
      <c r="H311" s="143" t="s">
        <v>588</v>
      </c>
      <c r="J311" s="144">
        <v>46076</v>
      </c>
      <c r="K311" s="144"/>
      <c r="U311" s="144">
        <v>46076</v>
      </c>
    </row>
    <row r="312" spans="1:21">
      <c r="A312" s="143" t="s">
        <v>953</v>
      </c>
      <c r="B312" s="143" t="s">
        <v>2552</v>
      </c>
      <c r="C312" s="143" t="s">
        <v>953</v>
      </c>
      <c r="D312" s="143">
        <v>20459733</v>
      </c>
      <c r="E312" s="143" t="s">
        <v>2245</v>
      </c>
      <c r="F312" s="143" t="s">
        <v>578</v>
      </c>
      <c r="G312" s="143" t="s">
        <v>2248</v>
      </c>
      <c r="H312" s="143" t="s">
        <v>588</v>
      </c>
      <c r="J312" s="144">
        <v>46081</v>
      </c>
      <c r="U312" s="144">
        <v>46081</v>
      </c>
    </row>
    <row r="313" spans="1:21">
      <c r="A313" s="143" t="s">
        <v>953</v>
      </c>
      <c r="B313" s="143" t="s">
        <v>2553</v>
      </c>
      <c r="C313" s="143" t="s">
        <v>953</v>
      </c>
      <c r="D313" s="143">
        <v>20452346</v>
      </c>
      <c r="E313" s="143" t="s">
        <v>2245</v>
      </c>
      <c r="F313" s="143" t="s">
        <v>984</v>
      </c>
      <c r="G313" s="143" t="s">
        <v>2259</v>
      </c>
      <c r="H313" s="143" t="s">
        <v>593</v>
      </c>
      <c r="J313" s="144">
        <v>46071</v>
      </c>
      <c r="U313" s="144">
        <v>46072</v>
      </c>
    </row>
    <row r="314" spans="1:21">
      <c r="A314" s="143" t="s">
        <v>953</v>
      </c>
      <c r="B314" s="143" t="s">
        <v>2554</v>
      </c>
      <c r="C314" s="143" t="s">
        <v>953</v>
      </c>
      <c r="D314" s="143">
        <v>20449102</v>
      </c>
      <c r="E314" s="143" t="s">
        <v>2245</v>
      </c>
      <c r="F314" s="143" t="s">
        <v>579</v>
      </c>
      <c r="G314" s="143" t="s">
        <v>2248</v>
      </c>
      <c r="H314" s="143" t="s">
        <v>588</v>
      </c>
      <c r="J314" s="144">
        <v>46067</v>
      </c>
      <c r="U314" s="144">
        <v>46067</v>
      </c>
    </row>
    <row r="315" spans="1:21">
      <c r="A315" s="143" t="s">
        <v>953</v>
      </c>
      <c r="B315" s="143" t="s">
        <v>2555</v>
      </c>
      <c r="C315" s="143" t="s">
        <v>953</v>
      </c>
      <c r="D315" s="143">
        <v>20450950</v>
      </c>
      <c r="E315" s="143" t="s">
        <v>2252</v>
      </c>
      <c r="F315" s="143" t="s">
        <v>577</v>
      </c>
      <c r="G315" s="143" t="s">
        <v>2250</v>
      </c>
      <c r="H315" s="143" t="s">
        <v>590</v>
      </c>
      <c r="I315" s="143" t="s">
        <v>570</v>
      </c>
      <c r="J315" s="144">
        <v>46070</v>
      </c>
      <c r="K315" s="144">
        <v>46070</v>
      </c>
      <c r="L315" s="144">
        <v>46070</v>
      </c>
      <c r="S315" s="144">
        <v>46072</v>
      </c>
      <c r="U315" s="144">
        <v>46087</v>
      </c>
    </row>
    <row r="316" spans="1:21">
      <c r="A316" s="143" t="s">
        <v>953</v>
      </c>
      <c r="B316" s="143" t="s">
        <v>2556</v>
      </c>
      <c r="C316" s="143" t="s">
        <v>953</v>
      </c>
      <c r="D316" s="143">
        <v>20440253</v>
      </c>
      <c r="E316" s="143" t="s">
        <v>2245</v>
      </c>
      <c r="F316" s="143" t="s">
        <v>984</v>
      </c>
      <c r="G316" s="143" t="s">
        <v>2248</v>
      </c>
      <c r="H316" s="143" t="s">
        <v>591</v>
      </c>
      <c r="J316" s="144">
        <v>46056</v>
      </c>
      <c r="K316" s="144"/>
      <c r="L316" s="144"/>
      <c r="S316" s="144"/>
      <c r="U316" s="144">
        <v>46056</v>
      </c>
    </row>
    <row r="317" spans="1:21">
      <c r="A317" s="143" t="s">
        <v>953</v>
      </c>
      <c r="B317" s="143" t="s">
        <v>2557</v>
      </c>
      <c r="C317" s="143" t="s">
        <v>953</v>
      </c>
      <c r="D317" s="143">
        <v>20448910</v>
      </c>
      <c r="E317" s="143" t="s">
        <v>2245</v>
      </c>
      <c r="F317" s="143" t="s">
        <v>579</v>
      </c>
      <c r="G317" s="143" t="s">
        <v>2248</v>
      </c>
      <c r="H317" s="143" t="s">
        <v>591</v>
      </c>
      <c r="J317" s="144">
        <v>46067</v>
      </c>
      <c r="U317" s="144">
        <v>46067</v>
      </c>
    </row>
    <row r="318" spans="1:21">
      <c r="A318" s="143" t="s">
        <v>953</v>
      </c>
      <c r="B318" s="143" t="s">
        <v>2558</v>
      </c>
      <c r="C318" s="143" t="s">
        <v>953</v>
      </c>
      <c r="D318" s="143">
        <v>20448883</v>
      </c>
      <c r="E318" s="143" t="s">
        <v>2245</v>
      </c>
      <c r="F318" s="143" t="s">
        <v>581</v>
      </c>
      <c r="G318" s="143" t="s">
        <v>1213</v>
      </c>
      <c r="H318" s="143" t="s">
        <v>587</v>
      </c>
      <c r="J318" s="144">
        <v>46067</v>
      </c>
      <c r="U318" s="144">
        <v>46067</v>
      </c>
    </row>
    <row r="319" spans="1:21">
      <c r="A319" s="143" t="s">
        <v>953</v>
      </c>
      <c r="B319" s="143" t="s">
        <v>2559</v>
      </c>
      <c r="C319" s="143" t="s">
        <v>953</v>
      </c>
      <c r="D319" s="143">
        <v>20442245</v>
      </c>
      <c r="E319" s="143" t="s">
        <v>2245</v>
      </c>
      <c r="F319" s="143" t="s">
        <v>984</v>
      </c>
      <c r="G319" s="143" t="s">
        <v>2290</v>
      </c>
      <c r="H319" s="143" t="s">
        <v>2453</v>
      </c>
      <c r="J319" s="144">
        <v>46059</v>
      </c>
      <c r="U319" s="144">
        <v>46059</v>
      </c>
    </row>
    <row r="320" spans="1:21">
      <c r="A320" s="143" t="s">
        <v>953</v>
      </c>
      <c r="B320" s="143" t="s">
        <v>2560</v>
      </c>
      <c r="C320" s="143" t="s">
        <v>953</v>
      </c>
      <c r="D320" s="143">
        <v>20441535</v>
      </c>
      <c r="E320" s="143" t="s">
        <v>2245</v>
      </c>
      <c r="F320" s="143" t="s">
        <v>581</v>
      </c>
      <c r="G320" s="143" t="s">
        <v>2259</v>
      </c>
      <c r="H320" s="143" t="s">
        <v>590</v>
      </c>
      <c r="J320" s="144">
        <v>46058</v>
      </c>
      <c r="U320" s="144">
        <v>46058</v>
      </c>
    </row>
    <row r="321" spans="1:21">
      <c r="A321" s="143" t="s">
        <v>953</v>
      </c>
      <c r="B321" s="143" t="s">
        <v>2561</v>
      </c>
      <c r="C321" s="143" t="s">
        <v>953</v>
      </c>
      <c r="D321" s="143">
        <v>20442341</v>
      </c>
      <c r="E321" s="143" t="s">
        <v>2245</v>
      </c>
      <c r="F321" s="143" t="s">
        <v>579</v>
      </c>
      <c r="G321" s="143" t="s">
        <v>2248</v>
      </c>
      <c r="H321" s="143" t="s">
        <v>587</v>
      </c>
      <c r="J321" s="144">
        <v>46059</v>
      </c>
      <c r="U321" s="144">
        <v>46059</v>
      </c>
    </row>
    <row r="322" spans="1:21">
      <c r="A322" s="143" t="s">
        <v>953</v>
      </c>
      <c r="B322" s="143" t="s">
        <v>2562</v>
      </c>
      <c r="C322" s="143" t="s">
        <v>953</v>
      </c>
      <c r="D322" s="143">
        <v>20442494</v>
      </c>
      <c r="E322" s="143" t="s">
        <v>2245</v>
      </c>
      <c r="F322" s="143" t="s">
        <v>577</v>
      </c>
      <c r="G322" s="143" t="s">
        <v>2248</v>
      </c>
      <c r="H322" s="143" t="s">
        <v>2469</v>
      </c>
      <c r="J322" s="144">
        <v>46059</v>
      </c>
      <c r="U322" s="144">
        <v>46059</v>
      </c>
    </row>
    <row r="323" spans="1:21">
      <c r="A323" s="143" t="s">
        <v>953</v>
      </c>
      <c r="B323" s="143" t="s">
        <v>2563</v>
      </c>
      <c r="C323" s="143" t="s">
        <v>953</v>
      </c>
      <c r="D323" s="143">
        <v>20448090</v>
      </c>
      <c r="E323" s="143" t="s">
        <v>1100</v>
      </c>
      <c r="F323" s="143" t="s">
        <v>1115</v>
      </c>
      <c r="G323" s="143" t="s">
        <v>2250</v>
      </c>
      <c r="H323" s="143" t="s">
        <v>2564</v>
      </c>
      <c r="I323" s="143" t="s">
        <v>1132</v>
      </c>
      <c r="J323" s="144">
        <v>46065</v>
      </c>
      <c r="K323" s="144">
        <v>46065</v>
      </c>
      <c r="U323" s="144">
        <v>46081</v>
      </c>
    </row>
    <row r="324" spans="1:21">
      <c r="A324" s="143" t="s">
        <v>953</v>
      </c>
      <c r="B324" s="143" t="s">
        <v>2565</v>
      </c>
      <c r="C324" s="143" t="s">
        <v>953</v>
      </c>
      <c r="D324" s="143">
        <v>20459614</v>
      </c>
      <c r="E324" s="143" t="s">
        <v>2245</v>
      </c>
      <c r="F324" s="143" t="s">
        <v>581</v>
      </c>
      <c r="G324" s="143" t="s">
        <v>2259</v>
      </c>
      <c r="H324" s="143" t="s">
        <v>592</v>
      </c>
      <c r="J324" s="144">
        <v>46081</v>
      </c>
      <c r="K324" s="144"/>
      <c r="U324" s="144">
        <v>46081</v>
      </c>
    </row>
    <row r="325" spans="1:21">
      <c r="A325" s="143" t="s">
        <v>953</v>
      </c>
      <c r="B325" s="143" t="s">
        <v>2566</v>
      </c>
      <c r="C325" s="143" t="s">
        <v>953</v>
      </c>
      <c r="D325" s="143">
        <v>20439938</v>
      </c>
      <c r="E325" s="143" t="s">
        <v>2252</v>
      </c>
      <c r="F325" s="143" t="s">
        <v>2256</v>
      </c>
      <c r="G325" s="143" t="s">
        <v>2250</v>
      </c>
      <c r="H325" s="143" t="s">
        <v>592</v>
      </c>
      <c r="I325" s="143" t="s">
        <v>881</v>
      </c>
      <c r="J325" s="144">
        <v>46055</v>
      </c>
      <c r="K325" s="144">
        <v>46055</v>
      </c>
      <c r="L325" s="144">
        <v>46057</v>
      </c>
      <c r="R325" s="144">
        <v>46076</v>
      </c>
      <c r="U325" s="144">
        <v>46083</v>
      </c>
    </row>
    <row r="326" spans="1:21">
      <c r="A326" s="143" t="s">
        <v>953</v>
      </c>
      <c r="B326" s="143" t="s">
        <v>2567</v>
      </c>
      <c r="C326" s="143" t="s">
        <v>953</v>
      </c>
      <c r="D326" s="143">
        <v>20448852</v>
      </c>
      <c r="E326" s="143" t="s">
        <v>2245</v>
      </c>
      <c r="F326" s="143" t="s">
        <v>984</v>
      </c>
      <c r="G326" s="143" t="s">
        <v>2290</v>
      </c>
      <c r="H326" s="143" t="s">
        <v>591</v>
      </c>
      <c r="J326" s="144">
        <v>46067</v>
      </c>
      <c r="K326" s="144"/>
      <c r="L326" s="144"/>
      <c r="R326" s="144"/>
      <c r="U326" s="144">
        <v>46067</v>
      </c>
    </row>
    <row r="327" spans="1:21">
      <c r="A327" s="143" t="s">
        <v>953</v>
      </c>
      <c r="B327" s="143" t="s">
        <v>2568</v>
      </c>
      <c r="C327" s="143" t="s">
        <v>953</v>
      </c>
      <c r="D327" s="143">
        <v>20449834</v>
      </c>
      <c r="E327" s="143" t="s">
        <v>2245</v>
      </c>
      <c r="F327" s="143" t="s">
        <v>984</v>
      </c>
      <c r="G327" s="143" t="s">
        <v>2290</v>
      </c>
      <c r="H327" s="143" t="s">
        <v>591</v>
      </c>
      <c r="J327" s="144">
        <v>46069</v>
      </c>
      <c r="U327" s="144">
        <v>46174</v>
      </c>
    </row>
    <row r="328" spans="1:21">
      <c r="A328" s="143" t="s">
        <v>953</v>
      </c>
      <c r="B328" s="143" t="s">
        <v>2569</v>
      </c>
      <c r="C328" s="143" t="s">
        <v>953</v>
      </c>
      <c r="D328" s="143">
        <v>20443938</v>
      </c>
      <c r="E328" s="143" t="s">
        <v>2245</v>
      </c>
      <c r="F328" s="143" t="s">
        <v>581</v>
      </c>
      <c r="G328" s="143" t="s">
        <v>2248</v>
      </c>
      <c r="H328" s="143" t="s">
        <v>588</v>
      </c>
      <c r="J328" s="144">
        <v>46062</v>
      </c>
      <c r="U328" s="144">
        <v>46062</v>
      </c>
    </row>
    <row r="329" spans="1:21">
      <c r="A329" s="143" t="s">
        <v>953</v>
      </c>
      <c r="B329" s="143" t="s">
        <v>2570</v>
      </c>
      <c r="C329" s="143" t="s">
        <v>953</v>
      </c>
      <c r="D329" s="143">
        <v>20455506</v>
      </c>
      <c r="E329" s="143" t="s">
        <v>2245</v>
      </c>
      <c r="F329" s="143" t="s">
        <v>984</v>
      </c>
      <c r="G329" s="143" t="s">
        <v>2290</v>
      </c>
      <c r="H329" s="143" t="s">
        <v>587</v>
      </c>
      <c r="J329" s="144">
        <v>46076</v>
      </c>
      <c r="U329" s="144">
        <v>46171</v>
      </c>
    </row>
    <row r="330" spans="1:21">
      <c r="A330" s="143" t="s">
        <v>953</v>
      </c>
      <c r="B330" s="143" t="s">
        <v>2571</v>
      </c>
      <c r="C330" s="143" t="s">
        <v>953</v>
      </c>
      <c r="D330" s="143">
        <v>20443652</v>
      </c>
      <c r="E330" s="143" t="s">
        <v>2245</v>
      </c>
      <c r="F330" s="143" t="s">
        <v>984</v>
      </c>
      <c r="G330" s="143" t="s">
        <v>2246</v>
      </c>
      <c r="H330" s="143" t="s">
        <v>587</v>
      </c>
      <c r="J330" s="144">
        <v>46062</v>
      </c>
      <c r="U330" s="144">
        <v>46082</v>
      </c>
    </row>
    <row r="331" spans="1:21">
      <c r="A331" s="143" t="s">
        <v>953</v>
      </c>
      <c r="B331" s="143" t="s">
        <v>2572</v>
      </c>
      <c r="C331" s="143" t="s">
        <v>953</v>
      </c>
      <c r="D331" s="143">
        <v>20410543</v>
      </c>
      <c r="E331" s="143" t="s">
        <v>2258</v>
      </c>
      <c r="F331" s="143" t="s">
        <v>578</v>
      </c>
      <c r="G331" s="143" t="s">
        <v>2248</v>
      </c>
      <c r="H331" s="143" t="s">
        <v>592</v>
      </c>
      <c r="J331" s="144">
        <v>46011</v>
      </c>
      <c r="R331" s="144">
        <v>46058</v>
      </c>
      <c r="U331" s="144">
        <v>46011</v>
      </c>
    </row>
    <row r="332" spans="1:21">
      <c r="A332" s="143" t="s">
        <v>953</v>
      </c>
      <c r="B332" s="143" t="s">
        <v>2573</v>
      </c>
      <c r="C332" s="143" t="s">
        <v>953</v>
      </c>
      <c r="D332" s="143">
        <v>20454336</v>
      </c>
      <c r="E332" s="143" t="s">
        <v>2245</v>
      </c>
      <c r="F332" s="143" t="s">
        <v>984</v>
      </c>
      <c r="G332" s="143" t="s">
        <v>2246</v>
      </c>
      <c r="H332" s="143" t="s">
        <v>587</v>
      </c>
      <c r="J332" s="144">
        <v>46073</v>
      </c>
      <c r="R332" s="144"/>
      <c r="U332" s="144">
        <v>46080</v>
      </c>
    </row>
    <row r="333" spans="1:21">
      <c r="A333" s="143" t="s">
        <v>953</v>
      </c>
      <c r="B333" s="143" t="s">
        <v>2574</v>
      </c>
      <c r="C333" s="143" t="s">
        <v>953</v>
      </c>
      <c r="D333" s="143">
        <v>20411202</v>
      </c>
      <c r="E333" s="143" t="s">
        <v>1110</v>
      </c>
      <c r="F333" s="143" t="s">
        <v>579</v>
      </c>
      <c r="G333" s="143" t="s">
        <v>2250</v>
      </c>
      <c r="H333" s="143" t="s">
        <v>590</v>
      </c>
      <c r="I333" s="143" t="s">
        <v>2575</v>
      </c>
      <c r="J333" s="144">
        <v>46013</v>
      </c>
      <c r="K333" s="144">
        <v>46013</v>
      </c>
      <c r="L333" s="144">
        <v>46066</v>
      </c>
      <c r="U333" s="144">
        <v>46081</v>
      </c>
    </row>
    <row r="334" spans="1:21">
      <c r="A334" s="143" t="s">
        <v>953</v>
      </c>
      <c r="B334" s="143" t="s">
        <v>2576</v>
      </c>
      <c r="C334" s="143" t="s">
        <v>953</v>
      </c>
      <c r="D334" s="143">
        <v>20445988</v>
      </c>
      <c r="E334" s="143" t="s">
        <v>1100</v>
      </c>
      <c r="F334" s="143" t="s">
        <v>1115</v>
      </c>
      <c r="G334" s="143" t="s">
        <v>2250</v>
      </c>
      <c r="H334" s="143" t="s">
        <v>587</v>
      </c>
      <c r="I334" s="143" t="s">
        <v>1705</v>
      </c>
      <c r="J334" s="144">
        <v>46064</v>
      </c>
      <c r="K334" s="144">
        <v>46064</v>
      </c>
      <c r="L334" s="144"/>
      <c r="U334" s="144">
        <v>46086</v>
      </c>
    </row>
    <row r="335" spans="1:21">
      <c r="A335" s="143" t="s">
        <v>953</v>
      </c>
      <c r="B335" s="143" t="s">
        <v>2576</v>
      </c>
      <c r="C335" s="143" t="s">
        <v>953</v>
      </c>
      <c r="D335" s="143">
        <v>20445987</v>
      </c>
      <c r="E335" s="143" t="s">
        <v>1100</v>
      </c>
      <c r="F335" s="143" t="s">
        <v>581</v>
      </c>
      <c r="G335" s="143" t="s">
        <v>2290</v>
      </c>
      <c r="H335" s="143" t="s">
        <v>587</v>
      </c>
      <c r="J335" s="144">
        <v>46064</v>
      </c>
      <c r="K335" s="144">
        <v>46065</v>
      </c>
      <c r="U335" s="144">
        <v>46082</v>
      </c>
    </row>
    <row r="336" spans="1:21">
      <c r="A336" s="143" t="s">
        <v>953</v>
      </c>
      <c r="B336" s="143" t="s">
        <v>2577</v>
      </c>
      <c r="C336" s="143" t="s">
        <v>953</v>
      </c>
      <c r="D336" s="143">
        <v>20448962</v>
      </c>
      <c r="E336" s="143" t="s">
        <v>2252</v>
      </c>
      <c r="F336" s="143" t="s">
        <v>984</v>
      </c>
      <c r="G336" s="143" t="s">
        <v>2250</v>
      </c>
      <c r="H336" s="143" t="s">
        <v>587</v>
      </c>
      <c r="I336" s="143" t="s">
        <v>2578</v>
      </c>
      <c r="J336" s="144">
        <v>46067</v>
      </c>
      <c r="K336" s="144">
        <v>46067</v>
      </c>
      <c r="L336" s="144">
        <v>46067</v>
      </c>
      <c r="R336" s="144">
        <v>46076</v>
      </c>
      <c r="U336" s="144">
        <v>46081</v>
      </c>
    </row>
    <row r="337" spans="1:21">
      <c r="A337" s="143" t="s">
        <v>953</v>
      </c>
      <c r="B337" s="143" t="s">
        <v>2577</v>
      </c>
      <c r="C337" s="143" t="s">
        <v>953</v>
      </c>
      <c r="D337" s="143">
        <v>20448955</v>
      </c>
      <c r="E337" s="143" t="s">
        <v>1100</v>
      </c>
      <c r="F337" s="143" t="s">
        <v>984</v>
      </c>
      <c r="G337" s="143" t="s">
        <v>2290</v>
      </c>
      <c r="H337" s="143" t="s">
        <v>587</v>
      </c>
      <c r="J337" s="144">
        <v>46067</v>
      </c>
      <c r="K337" s="144">
        <v>46067</v>
      </c>
      <c r="U337" s="144">
        <v>46095</v>
      </c>
    </row>
    <row r="338" spans="1:21">
      <c r="A338" s="143" t="s">
        <v>953</v>
      </c>
      <c r="B338" s="143" t="s">
        <v>1017</v>
      </c>
      <c r="C338" s="143" t="s">
        <v>953</v>
      </c>
      <c r="D338" s="143">
        <v>20456660</v>
      </c>
      <c r="E338" s="143" t="s">
        <v>2258</v>
      </c>
      <c r="F338" s="143" t="s">
        <v>582</v>
      </c>
      <c r="G338" s="143" t="s">
        <v>2248</v>
      </c>
      <c r="H338" s="143" t="s">
        <v>1144</v>
      </c>
      <c r="J338" s="144">
        <v>46077</v>
      </c>
      <c r="K338" s="144"/>
      <c r="L338" s="144"/>
      <c r="R338" s="144">
        <v>46079</v>
      </c>
      <c r="U338" s="144">
        <v>46077</v>
      </c>
    </row>
    <row r="339" spans="1:21">
      <c r="A339" s="143" t="s">
        <v>953</v>
      </c>
      <c r="B339" s="143" t="s">
        <v>2579</v>
      </c>
      <c r="C339" s="143" t="s">
        <v>953</v>
      </c>
      <c r="D339" s="143">
        <v>20449354</v>
      </c>
      <c r="E339" s="143" t="s">
        <v>2245</v>
      </c>
      <c r="F339" s="143" t="s">
        <v>581</v>
      </c>
      <c r="G339" s="143" t="s">
        <v>2290</v>
      </c>
      <c r="H339" s="143" t="s">
        <v>587</v>
      </c>
      <c r="J339" s="144">
        <v>46068</v>
      </c>
      <c r="R339" s="144"/>
      <c r="U339" s="144">
        <v>46088</v>
      </c>
    </row>
    <row r="340" spans="1:21">
      <c r="A340" s="143" t="s">
        <v>953</v>
      </c>
      <c r="B340" s="143" t="s">
        <v>2580</v>
      </c>
      <c r="C340" s="143" t="s">
        <v>953</v>
      </c>
      <c r="D340" s="143">
        <v>20459641</v>
      </c>
      <c r="E340" s="143" t="s">
        <v>1100</v>
      </c>
      <c r="F340" s="143" t="s">
        <v>1115</v>
      </c>
      <c r="G340" s="143" t="s">
        <v>2250</v>
      </c>
      <c r="H340" s="143" t="s">
        <v>587</v>
      </c>
      <c r="I340" s="143" t="s">
        <v>2581</v>
      </c>
      <c r="J340" s="144">
        <v>46081</v>
      </c>
      <c r="K340" s="144">
        <v>46081</v>
      </c>
      <c r="U340" s="144">
        <v>46081</v>
      </c>
    </row>
    <row r="341" spans="1:21">
      <c r="A341" s="143" t="s">
        <v>953</v>
      </c>
      <c r="B341" s="143" t="s">
        <v>2582</v>
      </c>
      <c r="C341" s="143" t="s">
        <v>953</v>
      </c>
      <c r="D341" s="143">
        <v>20444115</v>
      </c>
      <c r="E341" s="143" t="s">
        <v>2245</v>
      </c>
      <c r="F341" s="143" t="s">
        <v>984</v>
      </c>
      <c r="G341" s="143" t="s">
        <v>2246</v>
      </c>
      <c r="H341" s="143" t="s">
        <v>587</v>
      </c>
      <c r="J341" s="144">
        <v>46062</v>
      </c>
      <c r="K341" s="144"/>
      <c r="U341" s="144">
        <v>46087</v>
      </c>
    </row>
    <row r="342" spans="1:21">
      <c r="A342" s="143" t="s">
        <v>953</v>
      </c>
      <c r="B342" s="143" t="s">
        <v>2583</v>
      </c>
      <c r="C342" s="143" t="s">
        <v>953</v>
      </c>
      <c r="D342" s="143">
        <v>20443745</v>
      </c>
      <c r="E342" s="143" t="s">
        <v>1110</v>
      </c>
      <c r="F342" s="143" t="s">
        <v>577</v>
      </c>
      <c r="G342" s="143" t="s">
        <v>2248</v>
      </c>
      <c r="H342" s="143" t="s">
        <v>589</v>
      </c>
      <c r="I342" s="143" t="s">
        <v>1034</v>
      </c>
      <c r="J342" s="144">
        <v>46062</v>
      </c>
      <c r="K342" s="144">
        <v>46066</v>
      </c>
      <c r="L342" s="144">
        <v>46071</v>
      </c>
      <c r="U342" s="144">
        <v>46081</v>
      </c>
    </row>
    <row r="343" spans="1:21">
      <c r="A343" s="143" t="s">
        <v>953</v>
      </c>
      <c r="B343" s="143" t="s">
        <v>2584</v>
      </c>
      <c r="C343" s="143" t="s">
        <v>953</v>
      </c>
      <c r="D343" s="143">
        <v>20449899</v>
      </c>
      <c r="E343" s="143" t="s">
        <v>2245</v>
      </c>
      <c r="F343" s="143" t="s">
        <v>581</v>
      </c>
      <c r="G343" s="143" t="s">
        <v>2290</v>
      </c>
      <c r="H343" s="143" t="s">
        <v>587</v>
      </c>
      <c r="J343" s="144">
        <v>46069</v>
      </c>
      <c r="K343" s="144"/>
      <c r="L343" s="144"/>
      <c r="U343" s="144">
        <v>46129</v>
      </c>
    </row>
    <row r="344" spans="1:21">
      <c r="A344" s="143" t="s">
        <v>953</v>
      </c>
      <c r="B344" s="143" t="s">
        <v>2585</v>
      </c>
      <c r="C344" s="143" t="s">
        <v>953</v>
      </c>
      <c r="D344" s="143">
        <v>20449533</v>
      </c>
      <c r="E344" s="143" t="s">
        <v>2245</v>
      </c>
      <c r="F344" s="143" t="s">
        <v>984</v>
      </c>
      <c r="G344" s="143" t="s">
        <v>2290</v>
      </c>
      <c r="H344" s="143" t="s">
        <v>587</v>
      </c>
      <c r="J344" s="144">
        <v>46068</v>
      </c>
      <c r="U344" s="144">
        <v>46114</v>
      </c>
    </row>
    <row r="345" spans="1:21">
      <c r="A345" s="143" t="s">
        <v>953</v>
      </c>
      <c r="B345" s="143" t="s">
        <v>2586</v>
      </c>
      <c r="C345" s="143" t="s">
        <v>953</v>
      </c>
      <c r="D345" s="143">
        <v>20450053</v>
      </c>
      <c r="E345" s="143" t="s">
        <v>2245</v>
      </c>
      <c r="F345" s="143" t="s">
        <v>984</v>
      </c>
      <c r="G345" s="143" t="s">
        <v>2246</v>
      </c>
      <c r="H345" s="143" t="s">
        <v>587</v>
      </c>
      <c r="J345" s="144">
        <v>46069</v>
      </c>
      <c r="U345" s="144">
        <v>46120</v>
      </c>
    </row>
    <row r="346" spans="1:21">
      <c r="A346" s="143" t="s">
        <v>953</v>
      </c>
      <c r="B346" s="143" t="s">
        <v>2587</v>
      </c>
      <c r="C346" s="143" t="s">
        <v>953</v>
      </c>
      <c r="D346" s="143">
        <v>20447821</v>
      </c>
      <c r="E346" s="143" t="s">
        <v>2245</v>
      </c>
      <c r="F346" s="143" t="s">
        <v>581</v>
      </c>
      <c r="G346" s="143" t="s">
        <v>1213</v>
      </c>
      <c r="H346" s="143" t="s">
        <v>591</v>
      </c>
      <c r="J346" s="144">
        <v>46065</v>
      </c>
      <c r="U346" s="144">
        <v>46065</v>
      </c>
    </row>
    <row r="347" spans="1:21">
      <c r="A347" s="143" t="s">
        <v>953</v>
      </c>
      <c r="B347" s="143" t="s">
        <v>2588</v>
      </c>
      <c r="C347" s="143" t="s">
        <v>953</v>
      </c>
      <c r="D347" s="143">
        <v>20440521</v>
      </c>
      <c r="E347" s="143" t="s">
        <v>2252</v>
      </c>
      <c r="F347" s="143" t="s">
        <v>579</v>
      </c>
      <c r="G347" s="143" t="s">
        <v>2250</v>
      </c>
      <c r="H347" s="143" t="s">
        <v>587</v>
      </c>
      <c r="I347" s="143" t="s">
        <v>1010</v>
      </c>
      <c r="J347" s="144">
        <v>46056</v>
      </c>
      <c r="K347" s="144">
        <v>46056</v>
      </c>
      <c r="L347" s="144">
        <v>46056</v>
      </c>
      <c r="R347" s="144">
        <v>46077</v>
      </c>
      <c r="U347" s="144">
        <v>46081</v>
      </c>
    </row>
    <row r="348" spans="1:21">
      <c r="A348" s="143" t="s">
        <v>953</v>
      </c>
      <c r="B348" s="143" t="s">
        <v>2589</v>
      </c>
      <c r="C348" s="143" t="s">
        <v>953</v>
      </c>
      <c r="D348" s="143">
        <v>20439284</v>
      </c>
      <c r="E348" s="143" t="s">
        <v>2245</v>
      </c>
      <c r="F348" s="143" t="s">
        <v>581</v>
      </c>
      <c r="G348" s="143" t="s">
        <v>2259</v>
      </c>
      <c r="H348" s="143" t="s">
        <v>2388</v>
      </c>
      <c r="J348" s="144">
        <v>46055</v>
      </c>
      <c r="K348" s="144"/>
      <c r="L348" s="144"/>
      <c r="R348" s="144"/>
      <c r="U348" s="144">
        <v>46055</v>
      </c>
    </row>
    <row r="349" spans="1:21">
      <c r="A349" s="143" t="s">
        <v>953</v>
      </c>
      <c r="B349" s="143" t="s">
        <v>2590</v>
      </c>
      <c r="C349" s="143" t="s">
        <v>953</v>
      </c>
      <c r="D349" s="143">
        <v>20439510</v>
      </c>
      <c r="E349" s="143" t="s">
        <v>2245</v>
      </c>
      <c r="F349" s="143" t="s">
        <v>579</v>
      </c>
      <c r="G349" s="143" t="s">
        <v>2248</v>
      </c>
      <c r="H349" s="143" t="s">
        <v>592</v>
      </c>
      <c r="J349" s="144">
        <v>46055</v>
      </c>
      <c r="T349" s="144">
        <v>46056</v>
      </c>
      <c r="U349" s="144">
        <v>46055</v>
      </c>
    </row>
    <row r="350" spans="1:21">
      <c r="A350" s="143" t="s">
        <v>953</v>
      </c>
      <c r="B350" s="143" t="s">
        <v>2591</v>
      </c>
      <c r="C350" s="143" t="s">
        <v>953</v>
      </c>
      <c r="D350" s="143">
        <v>20443994</v>
      </c>
      <c r="E350" s="143" t="s">
        <v>2252</v>
      </c>
      <c r="F350" s="143" t="s">
        <v>1115</v>
      </c>
      <c r="G350" s="143" t="s">
        <v>2250</v>
      </c>
      <c r="H350" s="143" t="s">
        <v>587</v>
      </c>
      <c r="J350" s="144">
        <v>46062</v>
      </c>
      <c r="K350" s="144">
        <v>46062</v>
      </c>
      <c r="R350" s="144">
        <v>46062</v>
      </c>
      <c r="T350" s="144"/>
      <c r="U350" s="144">
        <v>46062</v>
      </c>
    </row>
    <row r="351" spans="1:21">
      <c r="A351" s="143" t="s">
        <v>953</v>
      </c>
      <c r="B351" s="143" t="s">
        <v>2592</v>
      </c>
      <c r="C351" s="143" t="s">
        <v>953</v>
      </c>
      <c r="D351" s="143">
        <v>20452638</v>
      </c>
      <c r="E351" s="143" t="s">
        <v>2245</v>
      </c>
      <c r="F351" s="143" t="s">
        <v>581</v>
      </c>
      <c r="G351" s="143" t="s">
        <v>2246</v>
      </c>
      <c r="H351" s="143" t="s">
        <v>587</v>
      </c>
      <c r="J351" s="144">
        <v>46071</v>
      </c>
      <c r="K351" s="144"/>
      <c r="R351" s="144"/>
      <c r="U351" s="144">
        <v>46102</v>
      </c>
    </row>
    <row r="352" spans="1:21">
      <c r="A352" s="143" t="s">
        <v>953</v>
      </c>
      <c r="B352" s="143" t="s">
        <v>2592</v>
      </c>
      <c r="C352" s="143" t="s">
        <v>953</v>
      </c>
      <c r="D352" s="143">
        <v>20454782</v>
      </c>
      <c r="E352" s="143" t="s">
        <v>1110</v>
      </c>
      <c r="F352" s="143" t="s">
        <v>578</v>
      </c>
      <c r="G352" s="143" t="s">
        <v>2250</v>
      </c>
      <c r="H352" s="143" t="s">
        <v>587</v>
      </c>
      <c r="I352" s="143" t="s">
        <v>2593</v>
      </c>
      <c r="J352" s="144">
        <v>46074</v>
      </c>
      <c r="K352" s="144">
        <v>46074</v>
      </c>
      <c r="L352" s="144">
        <v>46074</v>
      </c>
      <c r="U352" s="144">
        <v>46102</v>
      </c>
    </row>
    <row r="353" spans="1:21">
      <c r="A353" s="143" t="s">
        <v>953</v>
      </c>
      <c r="B353" s="143" t="s">
        <v>2594</v>
      </c>
      <c r="C353" s="143" t="s">
        <v>953</v>
      </c>
      <c r="D353" s="143">
        <v>20448505</v>
      </c>
      <c r="E353" s="143" t="s">
        <v>2245</v>
      </c>
      <c r="F353" s="143" t="s">
        <v>579</v>
      </c>
      <c r="G353" s="143" t="s">
        <v>2248</v>
      </c>
      <c r="H353" s="143" t="s">
        <v>592</v>
      </c>
      <c r="J353" s="144">
        <v>46066</v>
      </c>
      <c r="U353" s="144">
        <v>46066</v>
      </c>
    </row>
    <row r="354" spans="1:21">
      <c r="A354" s="143" t="s">
        <v>953</v>
      </c>
      <c r="B354" s="143" t="s">
        <v>2595</v>
      </c>
      <c r="C354" s="143" t="s">
        <v>953</v>
      </c>
      <c r="D354" s="143">
        <v>20441516</v>
      </c>
      <c r="E354" s="143" t="s">
        <v>1100</v>
      </c>
      <c r="F354" s="143" t="s">
        <v>1115</v>
      </c>
      <c r="G354" s="143" t="s">
        <v>2250</v>
      </c>
      <c r="H354" s="143" t="s">
        <v>587</v>
      </c>
      <c r="I354" s="143" t="s">
        <v>1132</v>
      </c>
      <c r="J354" s="144">
        <v>46058</v>
      </c>
      <c r="K354" s="144">
        <v>46058</v>
      </c>
      <c r="U354" s="144">
        <v>46083</v>
      </c>
    </row>
    <row r="355" spans="1:21">
      <c r="A355" s="143" t="s">
        <v>953</v>
      </c>
      <c r="B355" s="143" t="s">
        <v>2596</v>
      </c>
      <c r="C355" s="143" t="s">
        <v>953</v>
      </c>
      <c r="D355" s="143">
        <v>20444573</v>
      </c>
      <c r="E355" s="143" t="s">
        <v>2245</v>
      </c>
      <c r="F355" s="143" t="s">
        <v>581</v>
      </c>
      <c r="G355" s="143" t="s">
        <v>1213</v>
      </c>
      <c r="H355" s="143" t="s">
        <v>587</v>
      </c>
      <c r="J355" s="144">
        <v>46063</v>
      </c>
      <c r="K355" s="144"/>
      <c r="U355" s="144">
        <v>46113</v>
      </c>
    </row>
    <row r="356" spans="1:21">
      <c r="A356" s="143" t="s">
        <v>953</v>
      </c>
      <c r="B356" s="143" t="s">
        <v>2597</v>
      </c>
      <c r="C356" s="143" t="s">
        <v>953</v>
      </c>
      <c r="D356" s="143">
        <v>20456466</v>
      </c>
      <c r="E356" s="143" t="s">
        <v>1104</v>
      </c>
      <c r="F356" s="143" t="s">
        <v>577</v>
      </c>
      <c r="G356" s="143" t="s">
        <v>2250</v>
      </c>
      <c r="H356" s="143" t="s">
        <v>587</v>
      </c>
      <c r="I356" s="143" t="s">
        <v>2315</v>
      </c>
      <c r="J356" s="144">
        <v>46077</v>
      </c>
      <c r="K356" s="144">
        <v>46077</v>
      </c>
      <c r="L356" s="144">
        <v>46077</v>
      </c>
      <c r="U356" s="144">
        <v>46097</v>
      </c>
    </row>
    <row r="357" spans="1:21">
      <c r="A357" s="143" t="s">
        <v>953</v>
      </c>
      <c r="B357" s="143" t="s">
        <v>2598</v>
      </c>
      <c r="C357" s="143" t="s">
        <v>953</v>
      </c>
      <c r="D357" s="143">
        <v>20449470</v>
      </c>
      <c r="E357" s="143" t="s">
        <v>2245</v>
      </c>
      <c r="F357" s="143" t="s">
        <v>581</v>
      </c>
      <c r="G357" s="143" t="s">
        <v>2290</v>
      </c>
      <c r="H357" s="143" t="s">
        <v>587</v>
      </c>
      <c r="J357" s="144">
        <v>46068</v>
      </c>
      <c r="K357" s="144"/>
      <c r="L357" s="144"/>
      <c r="U357" s="144">
        <v>46113</v>
      </c>
    </row>
    <row r="358" spans="1:21">
      <c r="A358" s="143" t="s">
        <v>953</v>
      </c>
      <c r="B358" s="143" t="s">
        <v>2599</v>
      </c>
      <c r="C358" s="143" t="s">
        <v>953</v>
      </c>
      <c r="D358" s="143">
        <v>20441182</v>
      </c>
      <c r="E358" s="143" t="s">
        <v>2245</v>
      </c>
      <c r="F358" s="143" t="s">
        <v>581</v>
      </c>
      <c r="G358" s="143" t="s">
        <v>2246</v>
      </c>
      <c r="H358" s="143" t="s">
        <v>587</v>
      </c>
      <c r="J358" s="144">
        <v>46057</v>
      </c>
      <c r="U358" s="144">
        <v>46174</v>
      </c>
    </row>
    <row r="359" spans="1:21">
      <c r="A359" s="143" t="s">
        <v>953</v>
      </c>
      <c r="B359" s="143" t="s">
        <v>2600</v>
      </c>
      <c r="C359" s="143" t="s">
        <v>953</v>
      </c>
      <c r="D359" s="143">
        <v>20441358</v>
      </c>
      <c r="E359" s="143" t="s">
        <v>2245</v>
      </c>
      <c r="F359" s="143" t="s">
        <v>984</v>
      </c>
      <c r="G359" s="143" t="s">
        <v>2246</v>
      </c>
      <c r="H359" s="143" t="s">
        <v>587</v>
      </c>
      <c r="J359" s="144">
        <v>46058</v>
      </c>
      <c r="U359" s="144">
        <v>46155</v>
      </c>
    </row>
    <row r="360" spans="1:21">
      <c r="A360" s="143" t="s">
        <v>953</v>
      </c>
      <c r="B360" s="143" t="s">
        <v>2601</v>
      </c>
      <c r="C360" s="143" t="s">
        <v>953</v>
      </c>
      <c r="D360" s="143">
        <v>20450443</v>
      </c>
      <c r="E360" s="143" t="s">
        <v>2245</v>
      </c>
      <c r="F360" s="143" t="s">
        <v>984</v>
      </c>
      <c r="G360" s="143" t="s">
        <v>2290</v>
      </c>
      <c r="H360" s="143" t="s">
        <v>587</v>
      </c>
      <c r="J360" s="144">
        <v>46070</v>
      </c>
      <c r="U360" s="144">
        <v>46113</v>
      </c>
    </row>
    <row r="361" spans="1:21">
      <c r="A361" s="143" t="s">
        <v>953</v>
      </c>
      <c r="B361" s="143" t="s">
        <v>2602</v>
      </c>
      <c r="C361" s="143" t="s">
        <v>953</v>
      </c>
      <c r="D361" s="143">
        <v>20456836</v>
      </c>
      <c r="E361" s="143" t="s">
        <v>2245</v>
      </c>
      <c r="F361" s="143" t="s">
        <v>579</v>
      </c>
      <c r="G361" s="143" t="s">
        <v>2248</v>
      </c>
      <c r="H361" s="143" t="s">
        <v>588</v>
      </c>
      <c r="J361" s="144">
        <v>46077</v>
      </c>
      <c r="U361" s="144">
        <v>46077</v>
      </c>
    </row>
    <row r="362" spans="1:21">
      <c r="A362" s="143" t="s">
        <v>953</v>
      </c>
      <c r="B362" s="143" t="s">
        <v>2603</v>
      </c>
      <c r="C362" s="143" t="s">
        <v>953</v>
      </c>
      <c r="D362" s="143">
        <v>20444324</v>
      </c>
      <c r="E362" s="143" t="s">
        <v>2258</v>
      </c>
      <c r="F362" s="143" t="s">
        <v>579</v>
      </c>
      <c r="G362" s="143" t="s">
        <v>2248</v>
      </c>
      <c r="H362" s="143" t="s">
        <v>588</v>
      </c>
      <c r="J362" s="144">
        <v>46063</v>
      </c>
      <c r="R362" s="144">
        <v>46063</v>
      </c>
      <c r="U362" s="144">
        <v>46063</v>
      </c>
    </row>
    <row r="363" spans="1:21">
      <c r="A363" s="143" t="s">
        <v>953</v>
      </c>
      <c r="B363" s="143" t="s">
        <v>2604</v>
      </c>
      <c r="C363" s="143" t="s">
        <v>953</v>
      </c>
      <c r="D363" s="143">
        <v>20452968</v>
      </c>
      <c r="E363" s="143" t="s">
        <v>2245</v>
      </c>
      <c r="F363" s="143" t="s">
        <v>579</v>
      </c>
      <c r="G363" s="143" t="s">
        <v>2248</v>
      </c>
      <c r="H363" s="143" t="s">
        <v>588</v>
      </c>
      <c r="J363" s="144">
        <v>46072</v>
      </c>
      <c r="R363" s="144"/>
      <c r="U363" s="144">
        <v>46088</v>
      </c>
    </row>
    <row r="364" spans="1:21">
      <c r="A364" s="143" t="s">
        <v>953</v>
      </c>
      <c r="B364" s="143" t="s">
        <v>2605</v>
      </c>
      <c r="C364" s="143" t="s">
        <v>953</v>
      </c>
      <c r="D364" s="143">
        <v>20452027</v>
      </c>
      <c r="E364" s="143" t="s">
        <v>1110</v>
      </c>
      <c r="F364" s="143" t="s">
        <v>577</v>
      </c>
      <c r="G364" s="143" t="s">
        <v>2248</v>
      </c>
      <c r="H364" s="143" t="s">
        <v>588</v>
      </c>
      <c r="I364" s="143" t="s">
        <v>1151</v>
      </c>
      <c r="J364" s="144">
        <v>46071</v>
      </c>
      <c r="K364" s="144">
        <v>46078</v>
      </c>
      <c r="L364" s="144">
        <v>46079</v>
      </c>
      <c r="U364" s="144">
        <v>46086</v>
      </c>
    </row>
    <row r="365" spans="1:21">
      <c r="A365" s="143" t="s">
        <v>953</v>
      </c>
      <c r="B365" s="143" t="s">
        <v>2606</v>
      </c>
      <c r="C365" s="143" t="s">
        <v>953</v>
      </c>
      <c r="D365" s="143">
        <v>20444508</v>
      </c>
      <c r="E365" s="143" t="s">
        <v>1100</v>
      </c>
      <c r="F365" s="143" t="s">
        <v>1115</v>
      </c>
      <c r="G365" s="143" t="s">
        <v>2250</v>
      </c>
      <c r="H365" s="143" t="s">
        <v>589</v>
      </c>
      <c r="J365" s="144">
        <v>46063</v>
      </c>
      <c r="K365" s="144">
        <v>46063</v>
      </c>
      <c r="L365" s="144"/>
      <c r="U365" s="144">
        <v>46063</v>
      </c>
    </row>
    <row r="366" spans="1:21">
      <c r="A366" s="143" t="s">
        <v>953</v>
      </c>
      <c r="B366" s="143" t="s">
        <v>2607</v>
      </c>
      <c r="C366" s="143" t="s">
        <v>953</v>
      </c>
      <c r="D366" s="143">
        <v>20410046</v>
      </c>
      <c r="E366" s="143" t="s">
        <v>2258</v>
      </c>
      <c r="F366" s="143" t="s">
        <v>2256</v>
      </c>
      <c r="G366" s="143" t="s">
        <v>2248</v>
      </c>
      <c r="H366" s="143" t="s">
        <v>588</v>
      </c>
      <c r="J366" s="144">
        <v>46010</v>
      </c>
      <c r="K366" s="144"/>
      <c r="R366" s="144">
        <v>46058</v>
      </c>
      <c r="U366" s="144">
        <v>46010</v>
      </c>
    </row>
    <row r="367" spans="1:21">
      <c r="A367" s="143" t="s">
        <v>953</v>
      </c>
      <c r="B367" s="143" t="s">
        <v>2608</v>
      </c>
      <c r="C367" s="143" t="s">
        <v>953</v>
      </c>
      <c r="D367" s="143">
        <v>20442539</v>
      </c>
      <c r="E367" s="143" t="s">
        <v>2245</v>
      </c>
      <c r="F367" s="143" t="s">
        <v>581</v>
      </c>
      <c r="G367" s="143" t="s">
        <v>2246</v>
      </c>
      <c r="H367" s="143" t="s">
        <v>587</v>
      </c>
      <c r="J367" s="144">
        <v>46059</v>
      </c>
      <c r="R367" s="144"/>
      <c r="U367" s="144">
        <v>46160</v>
      </c>
    </row>
    <row r="368" spans="1:21">
      <c r="A368" s="143" t="s">
        <v>953</v>
      </c>
      <c r="B368" s="143" t="s">
        <v>2609</v>
      </c>
      <c r="C368" s="143" t="s">
        <v>953</v>
      </c>
      <c r="D368" s="143">
        <v>20446847</v>
      </c>
      <c r="E368" s="143" t="s">
        <v>2245</v>
      </c>
      <c r="F368" s="143" t="s">
        <v>578</v>
      </c>
      <c r="G368" s="143" t="s">
        <v>2248</v>
      </c>
      <c r="H368" s="143" t="s">
        <v>588</v>
      </c>
      <c r="J368" s="144">
        <v>46064</v>
      </c>
      <c r="U368" s="144">
        <v>46064</v>
      </c>
    </row>
    <row r="369" spans="1:21">
      <c r="A369" s="143" t="s">
        <v>953</v>
      </c>
      <c r="B369" s="143" t="s">
        <v>2610</v>
      </c>
      <c r="C369" s="143" t="s">
        <v>953</v>
      </c>
      <c r="D369" s="143">
        <v>20449462</v>
      </c>
      <c r="E369" s="143" t="s">
        <v>2245</v>
      </c>
      <c r="F369" s="143" t="s">
        <v>984</v>
      </c>
      <c r="G369" s="143" t="s">
        <v>1213</v>
      </c>
      <c r="H369" s="143" t="s">
        <v>587</v>
      </c>
      <c r="J369" s="144">
        <v>46068</v>
      </c>
      <c r="U369" s="144">
        <v>46082</v>
      </c>
    </row>
    <row r="370" spans="1:21">
      <c r="A370" s="143" t="s">
        <v>953</v>
      </c>
      <c r="B370" s="143" t="s">
        <v>2611</v>
      </c>
      <c r="C370" s="143" t="s">
        <v>953</v>
      </c>
      <c r="D370" s="143">
        <v>20457433</v>
      </c>
      <c r="E370" s="143" t="s">
        <v>2245</v>
      </c>
      <c r="F370" s="143" t="s">
        <v>984</v>
      </c>
      <c r="G370" s="143" t="s">
        <v>2259</v>
      </c>
      <c r="H370" s="143" t="s">
        <v>592</v>
      </c>
      <c r="J370" s="144">
        <v>46078</v>
      </c>
      <c r="U370" s="144">
        <v>46081</v>
      </c>
    </row>
    <row r="371" spans="1:21">
      <c r="A371" s="143" t="s">
        <v>953</v>
      </c>
      <c r="B371" s="143" t="s">
        <v>2612</v>
      </c>
      <c r="C371" s="143" t="s">
        <v>953</v>
      </c>
      <c r="D371" s="143">
        <v>20458834</v>
      </c>
      <c r="E371" s="143" t="s">
        <v>2245</v>
      </c>
      <c r="F371" s="143" t="s">
        <v>581</v>
      </c>
      <c r="G371" s="143" t="s">
        <v>1213</v>
      </c>
      <c r="H371" s="143" t="s">
        <v>591</v>
      </c>
      <c r="J371" s="144">
        <v>46080</v>
      </c>
      <c r="U371" s="144">
        <v>46080</v>
      </c>
    </row>
    <row r="372" spans="1:21">
      <c r="A372" s="143" t="s">
        <v>953</v>
      </c>
      <c r="B372" s="143" t="s">
        <v>2613</v>
      </c>
      <c r="C372" s="143" t="s">
        <v>953</v>
      </c>
      <c r="D372" s="143">
        <v>20439638</v>
      </c>
      <c r="E372" s="143" t="s">
        <v>2245</v>
      </c>
      <c r="F372" s="143" t="s">
        <v>579</v>
      </c>
      <c r="G372" s="143" t="s">
        <v>2248</v>
      </c>
      <c r="H372" s="143" t="s">
        <v>588</v>
      </c>
      <c r="J372" s="144">
        <v>46055</v>
      </c>
      <c r="U372" s="144">
        <v>46055</v>
      </c>
    </row>
    <row r="373" spans="1:21">
      <c r="A373" s="143" t="s">
        <v>953</v>
      </c>
      <c r="B373" s="143" t="s">
        <v>2614</v>
      </c>
      <c r="C373" s="143" t="s">
        <v>953</v>
      </c>
      <c r="D373" s="143">
        <v>20448263</v>
      </c>
      <c r="E373" s="143" t="s">
        <v>2245</v>
      </c>
      <c r="F373" s="143" t="s">
        <v>581</v>
      </c>
      <c r="G373" s="143" t="s">
        <v>2259</v>
      </c>
      <c r="H373" s="143" t="s">
        <v>592</v>
      </c>
      <c r="J373" s="144">
        <v>46066</v>
      </c>
      <c r="U373" s="144">
        <v>46068</v>
      </c>
    </row>
    <row r="374" spans="1:21">
      <c r="A374" s="143" t="s">
        <v>953</v>
      </c>
      <c r="B374" s="143" t="s">
        <v>2615</v>
      </c>
      <c r="C374" s="143" t="s">
        <v>953</v>
      </c>
      <c r="D374" s="143">
        <v>20458502</v>
      </c>
      <c r="E374" s="143" t="s">
        <v>2245</v>
      </c>
      <c r="F374" s="143" t="s">
        <v>984</v>
      </c>
      <c r="G374" s="143" t="s">
        <v>2290</v>
      </c>
      <c r="H374" s="143" t="s">
        <v>587</v>
      </c>
      <c r="J374" s="144">
        <v>46079</v>
      </c>
      <c r="U374" s="144">
        <v>46110</v>
      </c>
    </row>
    <row r="375" spans="1:21">
      <c r="A375" s="143" t="s">
        <v>953</v>
      </c>
      <c r="B375" s="143" t="s">
        <v>2616</v>
      </c>
      <c r="C375" s="143" t="s">
        <v>953</v>
      </c>
      <c r="D375" s="143">
        <v>20444577</v>
      </c>
      <c r="E375" s="143" t="s">
        <v>2245</v>
      </c>
      <c r="F375" s="143" t="s">
        <v>581</v>
      </c>
      <c r="G375" s="143" t="s">
        <v>1213</v>
      </c>
      <c r="H375" s="143" t="s">
        <v>587</v>
      </c>
      <c r="J375" s="144">
        <v>46063</v>
      </c>
      <c r="U375" s="144">
        <v>46069</v>
      </c>
    </row>
    <row r="376" spans="1:21">
      <c r="A376" s="143" t="s">
        <v>953</v>
      </c>
      <c r="B376" s="143" t="s">
        <v>2617</v>
      </c>
      <c r="C376" s="143" t="s">
        <v>953</v>
      </c>
      <c r="D376" s="143">
        <v>20442594</v>
      </c>
      <c r="E376" s="143" t="s">
        <v>2245</v>
      </c>
      <c r="F376" s="143" t="s">
        <v>581</v>
      </c>
      <c r="G376" s="143" t="s">
        <v>2246</v>
      </c>
      <c r="H376" s="143" t="s">
        <v>587</v>
      </c>
      <c r="J376" s="144">
        <v>46060</v>
      </c>
      <c r="U376" s="144">
        <v>46191</v>
      </c>
    </row>
    <row r="377" spans="1:21">
      <c r="A377" s="143" t="s">
        <v>953</v>
      </c>
      <c r="B377" s="143" t="s">
        <v>2618</v>
      </c>
      <c r="C377" s="143" t="s">
        <v>953</v>
      </c>
      <c r="D377" s="143">
        <v>20455225</v>
      </c>
      <c r="E377" s="143" t="s">
        <v>2245</v>
      </c>
      <c r="F377" s="143" t="s">
        <v>581</v>
      </c>
      <c r="G377" s="143" t="s">
        <v>2290</v>
      </c>
      <c r="H377" s="143" t="s">
        <v>591</v>
      </c>
      <c r="J377" s="144">
        <v>46075</v>
      </c>
      <c r="U377" s="144">
        <v>46075</v>
      </c>
    </row>
    <row r="378" spans="1:21">
      <c r="A378" s="143" t="s">
        <v>953</v>
      </c>
      <c r="B378" s="143" t="s">
        <v>2619</v>
      </c>
      <c r="C378" s="143" t="s">
        <v>953</v>
      </c>
      <c r="D378" s="143">
        <v>20439220</v>
      </c>
      <c r="E378" s="143" t="s">
        <v>2245</v>
      </c>
      <c r="F378" s="143" t="s">
        <v>578</v>
      </c>
      <c r="G378" s="143" t="s">
        <v>2259</v>
      </c>
      <c r="H378" s="143" t="s">
        <v>592</v>
      </c>
      <c r="J378" s="144">
        <v>46055</v>
      </c>
      <c r="U378" s="144">
        <v>46060</v>
      </c>
    </row>
    <row r="379" spans="1:21">
      <c r="A379" s="143" t="s">
        <v>953</v>
      </c>
      <c r="B379" s="143" t="s">
        <v>2620</v>
      </c>
      <c r="C379" s="143" t="s">
        <v>953</v>
      </c>
      <c r="D379" s="143">
        <v>20411050</v>
      </c>
      <c r="E379" s="143" t="s">
        <v>2252</v>
      </c>
      <c r="F379" s="143" t="s">
        <v>579</v>
      </c>
      <c r="G379" s="143" t="s">
        <v>2259</v>
      </c>
      <c r="H379" s="143" t="s">
        <v>2361</v>
      </c>
      <c r="I379" s="143" t="s">
        <v>558</v>
      </c>
      <c r="J379" s="144">
        <v>46013</v>
      </c>
      <c r="K379" s="144">
        <v>46032</v>
      </c>
      <c r="L379" s="144">
        <v>46032</v>
      </c>
      <c r="S379" s="144">
        <v>46062</v>
      </c>
      <c r="U379" s="144">
        <v>46067</v>
      </c>
    </row>
    <row r="380" spans="1:21">
      <c r="A380" s="143" t="s">
        <v>953</v>
      </c>
      <c r="B380" s="143" t="s">
        <v>2621</v>
      </c>
      <c r="C380" s="143" t="s">
        <v>953</v>
      </c>
      <c r="D380" s="143">
        <v>20456299</v>
      </c>
      <c r="E380" s="143" t="s">
        <v>2245</v>
      </c>
      <c r="F380" s="143" t="s">
        <v>984</v>
      </c>
      <c r="G380" s="143" t="s">
        <v>2246</v>
      </c>
      <c r="H380" s="143" t="s">
        <v>587</v>
      </c>
      <c r="J380" s="144">
        <v>46077</v>
      </c>
      <c r="U380" s="144">
        <v>46082</v>
      </c>
    </row>
    <row r="381" spans="1:21">
      <c r="A381" s="143" t="s">
        <v>953</v>
      </c>
      <c r="B381" s="143" t="s">
        <v>2622</v>
      </c>
      <c r="C381" s="143" t="s">
        <v>953</v>
      </c>
      <c r="D381" s="143">
        <v>20438122</v>
      </c>
      <c r="E381" s="143" t="s">
        <v>2252</v>
      </c>
      <c r="F381" s="143" t="s">
        <v>578</v>
      </c>
      <c r="G381" s="143" t="s">
        <v>2250</v>
      </c>
      <c r="H381" s="143" t="s">
        <v>587</v>
      </c>
      <c r="I381" s="143" t="s">
        <v>1378</v>
      </c>
      <c r="J381" s="144">
        <v>46052</v>
      </c>
      <c r="K381" s="144">
        <v>46052</v>
      </c>
      <c r="L381" s="144">
        <v>46052</v>
      </c>
      <c r="R381" s="144">
        <v>46079</v>
      </c>
      <c r="U381" s="144">
        <v>46076</v>
      </c>
    </row>
    <row r="382" spans="1:21">
      <c r="A382" s="143" t="s">
        <v>953</v>
      </c>
      <c r="B382" s="143" t="s">
        <v>2622</v>
      </c>
      <c r="C382" s="143" t="s">
        <v>953</v>
      </c>
      <c r="D382" s="143">
        <v>20454112</v>
      </c>
      <c r="E382" s="143" t="s">
        <v>1104</v>
      </c>
      <c r="F382" s="143" t="s">
        <v>581</v>
      </c>
      <c r="G382" s="143" t="s">
        <v>2250</v>
      </c>
      <c r="H382" s="143" t="s">
        <v>587</v>
      </c>
      <c r="I382" s="143" t="s">
        <v>1378</v>
      </c>
      <c r="J382" s="144">
        <v>46073</v>
      </c>
      <c r="K382" s="144">
        <v>46073</v>
      </c>
      <c r="L382" s="144">
        <v>46080</v>
      </c>
      <c r="U382" s="144">
        <v>46083</v>
      </c>
    </row>
    <row r="383" spans="1:21">
      <c r="A383" s="143" t="s">
        <v>953</v>
      </c>
      <c r="B383" s="143" t="s">
        <v>2623</v>
      </c>
      <c r="C383" s="143" t="s">
        <v>953</v>
      </c>
      <c r="D383" s="143">
        <v>20443286</v>
      </c>
      <c r="E383" s="143" t="s">
        <v>2245</v>
      </c>
      <c r="F383" s="143" t="s">
        <v>984</v>
      </c>
      <c r="G383" s="143" t="s">
        <v>2290</v>
      </c>
      <c r="H383" s="143" t="s">
        <v>587</v>
      </c>
      <c r="J383" s="144">
        <v>46061</v>
      </c>
      <c r="U383" s="144">
        <v>46082</v>
      </c>
    </row>
    <row r="384" spans="1:21">
      <c r="A384" s="143" t="s">
        <v>953</v>
      </c>
      <c r="B384" s="143" t="s">
        <v>2624</v>
      </c>
      <c r="C384" s="143" t="s">
        <v>953</v>
      </c>
      <c r="D384" s="143">
        <v>20443131</v>
      </c>
      <c r="E384" s="143" t="s">
        <v>2245</v>
      </c>
      <c r="F384" s="143" t="s">
        <v>984</v>
      </c>
      <c r="G384" s="143" t="s">
        <v>2246</v>
      </c>
      <c r="H384" s="143" t="s">
        <v>587</v>
      </c>
      <c r="J384" s="144">
        <v>46061</v>
      </c>
      <c r="U384" s="144">
        <v>46112</v>
      </c>
    </row>
    <row r="385" spans="1:21">
      <c r="A385" s="143" t="s">
        <v>953</v>
      </c>
      <c r="B385" s="143" t="s">
        <v>2625</v>
      </c>
      <c r="C385" s="143" t="s">
        <v>953</v>
      </c>
      <c r="D385" s="143">
        <v>20446496</v>
      </c>
      <c r="E385" s="143" t="s">
        <v>2245</v>
      </c>
      <c r="F385" s="143" t="s">
        <v>984</v>
      </c>
      <c r="G385" s="143" t="s">
        <v>2259</v>
      </c>
      <c r="H385" s="143" t="s">
        <v>587</v>
      </c>
      <c r="J385" s="144">
        <v>46064</v>
      </c>
      <c r="U385" s="144">
        <v>46069</v>
      </c>
    </row>
    <row r="386" spans="1:21">
      <c r="A386" s="143" t="s">
        <v>953</v>
      </c>
      <c r="B386" s="143" t="s">
        <v>2626</v>
      </c>
      <c r="C386" s="143" t="s">
        <v>953</v>
      </c>
      <c r="D386" s="143">
        <v>20451683</v>
      </c>
      <c r="E386" s="143" t="s">
        <v>2245</v>
      </c>
      <c r="F386" s="143" t="s">
        <v>984</v>
      </c>
      <c r="G386" s="143" t="s">
        <v>2246</v>
      </c>
      <c r="H386" s="143" t="s">
        <v>587</v>
      </c>
      <c r="J386" s="144">
        <v>46071</v>
      </c>
      <c r="U386" s="144">
        <v>46073</v>
      </c>
    </row>
    <row r="387" spans="1:21">
      <c r="A387" s="143" t="s">
        <v>953</v>
      </c>
      <c r="B387" s="143" t="s">
        <v>2627</v>
      </c>
      <c r="C387" s="143" t="s">
        <v>953</v>
      </c>
      <c r="D387" s="143">
        <v>20441455</v>
      </c>
      <c r="E387" s="143" t="s">
        <v>2245</v>
      </c>
      <c r="F387" s="143" t="s">
        <v>581</v>
      </c>
      <c r="G387" s="143" t="s">
        <v>2246</v>
      </c>
      <c r="H387" s="143" t="s">
        <v>587</v>
      </c>
      <c r="J387" s="144">
        <v>46058</v>
      </c>
      <c r="U387" s="144">
        <v>46058</v>
      </c>
    </row>
    <row r="388" spans="1:21">
      <c r="A388" s="143" t="s">
        <v>953</v>
      </c>
      <c r="B388" s="143" t="s">
        <v>2628</v>
      </c>
      <c r="C388" s="143" t="s">
        <v>953</v>
      </c>
      <c r="D388" s="143">
        <v>20441640</v>
      </c>
      <c r="E388" s="143" t="s">
        <v>2245</v>
      </c>
      <c r="F388" s="143" t="s">
        <v>581</v>
      </c>
      <c r="G388" s="143" t="s">
        <v>2290</v>
      </c>
      <c r="H388" s="143" t="s">
        <v>591</v>
      </c>
      <c r="J388" s="144">
        <v>46058</v>
      </c>
      <c r="U388" s="144">
        <v>46082</v>
      </c>
    </row>
    <row r="389" spans="1:21">
      <c r="A389" s="143" t="s">
        <v>953</v>
      </c>
      <c r="B389" s="143" t="s">
        <v>2629</v>
      </c>
      <c r="C389" s="143" t="s">
        <v>953</v>
      </c>
      <c r="D389" s="143">
        <v>20456041</v>
      </c>
      <c r="E389" s="143" t="s">
        <v>2245</v>
      </c>
      <c r="F389" s="143" t="s">
        <v>984</v>
      </c>
      <c r="G389" s="143" t="s">
        <v>2246</v>
      </c>
      <c r="H389" s="143" t="s">
        <v>588</v>
      </c>
      <c r="J389" s="144">
        <v>46076</v>
      </c>
      <c r="U389" s="144">
        <v>46146</v>
      </c>
    </row>
    <row r="390" spans="1:21">
      <c r="A390" s="143" t="s">
        <v>953</v>
      </c>
      <c r="B390" s="143" t="s">
        <v>2630</v>
      </c>
      <c r="C390" s="143" t="s">
        <v>953</v>
      </c>
      <c r="D390" s="143">
        <v>20449315</v>
      </c>
      <c r="E390" s="143" t="s">
        <v>2245</v>
      </c>
      <c r="F390" s="143" t="s">
        <v>984</v>
      </c>
      <c r="G390" s="143" t="s">
        <v>1213</v>
      </c>
      <c r="H390" s="143" t="s">
        <v>587</v>
      </c>
      <c r="J390" s="144">
        <v>46068</v>
      </c>
      <c r="U390" s="144">
        <v>46143</v>
      </c>
    </row>
    <row r="391" spans="1:21">
      <c r="A391" s="143" t="s">
        <v>953</v>
      </c>
      <c r="B391" s="143" t="s">
        <v>2631</v>
      </c>
      <c r="C391" s="143" t="s">
        <v>953</v>
      </c>
      <c r="D391" s="143">
        <v>20453911</v>
      </c>
      <c r="E391" s="143" t="s">
        <v>2245</v>
      </c>
      <c r="F391" s="143" t="s">
        <v>579</v>
      </c>
      <c r="G391" s="143" t="s">
        <v>2259</v>
      </c>
      <c r="H391" s="143" t="s">
        <v>593</v>
      </c>
      <c r="J391" s="144">
        <v>46073</v>
      </c>
      <c r="U391" s="144">
        <v>46096</v>
      </c>
    </row>
    <row r="392" spans="1:21">
      <c r="A392" s="143" t="s">
        <v>953</v>
      </c>
      <c r="B392" s="143" t="s">
        <v>2632</v>
      </c>
      <c r="C392" s="143" t="s">
        <v>953</v>
      </c>
      <c r="D392" s="143">
        <v>20444539</v>
      </c>
      <c r="E392" s="143" t="s">
        <v>2245</v>
      </c>
      <c r="F392" s="143" t="s">
        <v>581</v>
      </c>
      <c r="G392" s="143" t="s">
        <v>1213</v>
      </c>
      <c r="H392" s="143" t="s">
        <v>587</v>
      </c>
      <c r="J392" s="144">
        <v>46063</v>
      </c>
      <c r="U392" s="144">
        <v>46113</v>
      </c>
    </row>
    <row r="393" spans="1:21">
      <c r="A393" s="143" t="s">
        <v>953</v>
      </c>
      <c r="B393" s="143" t="s">
        <v>2633</v>
      </c>
      <c r="C393" s="143" t="s">
        <v>953</v>
      </c>
      <c r="D393" s="143">
        <v>20447638</v>
      </c>
      <c r="E393" s="143" t="s">
        <v>2245</v>
      </c>
      <c r="F393" s="143" t="s">
        <v>581</v>
      </c>
      <c r="G393" s="143" t="s">
        <v>1213</v>
      </c>
      <c r="H393" s="143" t="s">
        <v>591</v>
      </c>
      <c r="J393" s="144">
        <v>46065</v>
      </c>
      <c r="U393" s="144">
        <v>46174</v>
      </c>
    </row>
    <row r="394" spans="1:21">
      <c r="A394" s="143" t="s">
        <v>953</v>
      </c>
      <c r="B394" s="143" t="s">
        <v>2634</v>
      </c>
      <c r="C394" s="143" t="s">
        <v>953</v>
      </c>
      <c r="D394" s="143">
        <v>20443375</v>
      </c>
      <c r="E394" s="143" t="s">
        <v>2258</v>
      </c>
      <c r="F394" s="143" t="s">
        <v>581</v>
      </c>
      <c r="G394" s="143" t="s">
        <v>2290</v>
      </c>
      <c r="H394" s="143" t="s">
        <v>587</v>
      </c>
      <c r="I394" s="143" t="s">
        <v>2508</v>
      </c>
      <c r="J394" s="144">
        <v>46061</v>
      </c>
      <c r="R394" s="144">
        <v>46067</v>
      </c>
      <c r="U394" s="144">
        <v>46102</v>
      </c>
    </row>
    <row r="395" spans="1:21">
      <c r="A395" s="143" t="s">
        <v>953</v>
      </c>
      <c r="B395" s="143" t="s">
        <v>1109</v>
      </c>
      <c r="C395" s="143" t="s">
        <v>953</v>
      </c>
      <c r="D395" s="143">
        <v>20442666</v>
      </c>
      <c r="E395" s="143" t="s">
        <v>1110</v>
      </c>
      <c r="F395" s="143" t="s">
        <v>578</v>
      </c>
      <c r="G395" s="143" t="s">
        <v>2250</v>
      </c>
      <c r="H395" s="143" t="s">
        <v>592</v>
      </c>
      <c r="I395" s="143" t="s">
        <v>1108</v>
      </c>
      <c r="J395" s="144">
        <v>46060</v>
      </c>
      <c r="K395" s="144">
        <v>46060</v>
      </c>
      <c r="L395" s="144">
        <v>46060</v>
      </c>
      <c r="M395" s="144">
        <v>46073</v>
      </c>
      <c r="U395" s="144">
        <v>46084</v>
      </c>
    </row>
    <row r="396" spans="1:21">
      <c r="A396" s="143" t="s">
        <v>953</v>
      </c>
      <c r="B396" s="143" t="s">
        <v>2635</v>
      </c>
      <c r="C396" s="143" t="s">
        <v>953</v>
      </c>
      <c r="D396" s="143">
        <v>20455996</v>
      </c>
      <c r="E396" s="143" t="s">
        <v>2245</v>
      </c>
      <c r="F396" s="143" t="s">
        <v>577</v>
      </c>
      <c r="G396" s="143" t="s">
        <v>2248</v>
      </c>
      <c r="H396" s="143" t="s">
        <v>587</v>
      </c>
      <c r="J396" s="144">
        <v>46076</v>
      </c>
      <c r="U396" s="144">
        <v>46076</v>
      </c>
    </row>
    <row r="397" spans="1:21">
      <c r="A397" s="143" t="s">
        <v>953</v>
      </c>
      <c r="B397" s="143" t="s">
        <v>2636</v>
      </c>
      <c r="C397" s="143" t="s">
        <v>953</v>
      </c>
      <c r="D397" s="143">
        <v>20455647</v>
      </c>
      <c r="E397" s="143" t="s">
        <v>2245</v>
      </c>
      <c r="F397" s="143" t="s">
        <v>577</v>
      </c>
      <c r="G397" s="143" t="s">
        <v>2248</v>
      </c>
      <c r="H397" s="143" t="s">
        <v>588</v>
      </c>
      <c r="J397" s="144">
        <v>46076</v>
      </c>
      <c r="U397" s="144">
        <v>46076</v>
      </c>
    </row>
    <row r="398" spans="1:21">
      <c r="A398" s="143" t="s">
        <v>953</v>
      </c>
      <c r="B398" s="143" t="s">
        <v>2637</v>
      </c>
      <c r="C398" s="143" t="s">
        <v>953</v>
      </c>
      <c r="D398" s="143">
        <v>20443308</v>
      </c>
      <c r="E398" s="143" t="s">
        <v>2245</v>
      </c>
      <c r="F398" s="143" t="s">
        <v>984</v>
      </c>
      <c r="G398" s="143" t="s">
        <v>2246</v>
      </c>
      <c r="H398" s="143" t="s">
        <v>587</v>
      </c>
      <c r="J398" s="144">
        <v>46061</v>
      </c>
      <c r="U398" s="144">
        <v>46153</v>
      </c>
    </row>
    <row r="399" spans="1:21">
      <c r="A399" s="143" t="s">
        <v>953</v>
      </c>
      <c r="B399" s="143" t="s">
        <v>2638</v>
      </c>
      <c r="C399" s="143" t="s">
        <v>953</v>
      </c>
      <c r="D399" s="143">
        <v>20453276</v>
      </c>
      <c r="E399" s="143" t="s">
        <v>2245</v>
      </c>
      <c r="F399" s="143" t="s">
        <v>2256</v>
      </c>
      <c r="G399" s="143" t="s">
        <v>2248</v>
      </c>
      <c r="H399" s="143" t="s">
        <v>2453</v>
      </c>
      <c r="J399" s="144">
        <v>46072</v>
      </c>
      <c r="U399" s="144">
        <v>46112</v>
      </c>
    </row>
    <row r="400" spans="1:21">
      <c r="A400" s="143" t="s">
        <v>953</v>
      </c>
      <c r="B400" s="143" t="s">
        <v>1123</v>
      </c>
      <c r="C400" s="143" t="s">
        <v>953</v>
      </c>
      <c r="D400" s="143">
        <v>20448815</v>
      </c>
      <c r="E400" s="143" t="s">
        <v>1100</v>
      </c>
      <c r="F400" s="143" t="s">
        <v>581</v>
      </c>
      <c r="G400" s="143" t="s">
        <v>1213</v>
      </c>
      <c r="H400" s="143" t="s">
        <v>587</v>
      </c>
      <c r="I400" s="143" t="s">
        <v>859</v>
      </c>
      <c r="J400" s="144">
        <v>46066</v>
      </c>
      <c r="K400" s="144">
        <v>46072</v>
      </c>
      <c r="L400" s="144"/>
      <c r="U400" s="144">
        <v>46097</v>
      </c>
    </row>
    <row r="401" spans="1:21">
      <c r="A401" s="143" t="s">
        <v>953</v>
      </c>
      <c r="B401" s="143" t="s">
        <v>1123</v>
      </c>
      <c r="C401" s="143" t="s">
        <v>953</v>
      </c>
      <c r="D401" s="143">
        <v>20453635</v>
      </c>
      <c r="E401" s="143" t="s">
        <v>1110</v>
      </c>
      <c r="F401" s="143" t="s">
        <v>579</v>
      </c>
      <c r="G401" s="143" t="s">
        <v>2250</v>
      </c>
      <c r="H401" s="143" t="s">
        <v>592</v>
      </c>
      <c r="I401" s="143" t="s">
        <v>1122</v>
      </c>
      <c r="J401" s="144">
        <v>46072</v>
      </c>
      <c r="K401" s="144">
        <v>46072</v>
      </c>
      <c r="L401" s="144">
        <v>46072</v>
      </c>
      <c r="U401" s="144">
        <v>46090</v>
      </c>
    </row>
    <row r="402" spans="1:21">
      <c r="A402" s="143" t="s">
        <v>953</v>
      </c>
      <c r="B402" s="143" t="s">
        <v>2639</v>
      </c>
      <c r="C402" s="143" t="s">
        <v>953</v>
      </c>
      <c r="D402" s="143">
        <v>20443300</v>
      </c>
      <c r="E402" s="143" t="s">
        <v>2245</v>
      </c>
      <c r="F402" s="143" t="s">
        <v>984</v>
      </c>
      <c r="G402" s="143" t="s">
        <v>2290</v>
      </c>
      <c r="H402" s="143" t="s">
        <v>587</v>
      </c>
      <c r="J402" s="144">
        <v>46061</v>
      </c>
      <c r="U402" s="144">
        <v>46082</v>
      </c>
    </row>
    <row r="403" spans="1:21">
      <c r="A403" s="143" t="s">
        <v>953</v>
      </c>
      <c r="B403" s="143" t="s">
        <v>2640</v>
      </c>
      <c r="C403" s="143" t="s">
        <v>953</v>
      </c>
      <c r="D403" s="143">
        <v>20409813</v>
      </c>
      <c r="E403" s="143" t="s">
        <v>2258</v>
      </c>
      <c r="F403" s="143" t="s">
        <v>579</v>
      </c>
      <c r="G403" s="143" t="s">
        <v>2248</v>
      </c>
      <c r="H403" s="143" t="s">
        <v>588</v>
      </c>
      <c r="J403" s="144">
        <v>46010</v>
      </c>
      <c r="R403" s="144">
        <v>46058</v>
      </c>
      <c r="U403" s="144">
        <v>46010</v>
      </c>
    </row>
    <row r="404" spans="1:21">
      <c r="A404" s="143" t="s">
        <v>953</v>
      </c>
      <c r="B404" s="143" t="s">
        <v>2641</v>
      </c>
      <c r="C404" s="143" t="s">
        <v>953</v>
      </c>
      <c r="D404" s="143">
        <v>20442460</v>
      </c>
      <c r="E404" s="143" t="s">
        <v>2245</v>
      </c>
      <c r="F404" s="143" t="s">
        <v>581</v>
      </c>
      <c r="G404" s="143" t="s">
        <v>2246</v>
      </c>
      <c r="H404" s="143" t="s">
        <v>587</v>
      </c>
      <c r="J404" s="144">
        <v>46059</v>
      </c>
      <c r="U404" s="144">
        <v>46061</v>
      </c>
    </row>
    <row r="405" spans="1:21">
      <c r="A405" s="143" t="s">
        <v>953</v>
      </c>
      <c r="B405" s="143" t="s">
        <v>2642</v>
      </c>
      <c r="C405" s="143" t="s">
        <v>953</v>
      </c>
      <c r="D405" s="143">
        <v>20448322</v>
      </c>
      <c r="E405" s="143" t="s">
        <v>2245</v>
      </c>
      <c r="F405" s="143" t="s">
        <v>984</v>
      </c>
      <c r="G405" s="143" t="s">
        <v>2259</v>
      </c>
      <c r="H405" s="143" t="s">
        <v>2388</v>
      </c>
      <c r="J405" s="144">
        <v>46066</v>
      </c>
      <c r="U405" s="144">
        <v>46066</v>
      </c>
    </row>
    <row r="406" spans="1:21">
      <c r="A406" s="143" t="s">
        <v>953</v>
      </c>
      <c r="B406" s="143" t="s">
        <v>2643</v>
      </c>
      <c r="C406" s="143" t="s">
        <v>953</v>
      </c>
      <c r="D406" s="143">
        <v>20459091</v>
      </c>
      <c r="E406" s="143" t="s">
        <v>2245</v>
      </c>
      <c r="F406" s="143" t="s">
        <v>577</v>
      </c>
      <c r="G406" s="143" t="s">
        <v>2248</v>
      </c>
      <c r="H406" s="143" t="s">
        <v>588</v>
      </c>
      <c r="J406" s="144">
        <v>46080</v>
      </c>
      <c r="U406" s="144">
        <v>46080</v>
      </c>
    </row>
    <row r="407" spans="1:21">
      <c r="A407" s="143" t="s">
        <v>953</v>
      </c>
      <c r="B407" s="143" t="s">
        <v>2644</v>
      </c>
      <c r="C407" s="143" t="s">
        <v>953</v>
      </c>
      <c r="D407" s="143">
        <v>20446038</v>
      </c>
      <c r="E407" s="143" t="s">
        <v>2245</v>
      </c>
      <c r="F407" s="143" t="s">
        <v>581</v>
      </c>
      <c r="G407" s="143" t="s">
        <v>1213</v>
      </c>
      <c r="H407" s="143" t="s">
        <v>587</v>
      </c>
      <c r="J407" s="144">
        <v>46064</v>
      </c>
      <c r="R407" s="144"/>
      <c r="U407" s="144">
        <v>46082</v>
      </c>
    </row>
    <row r="408" spans="1:21">
      <c r="A408" s="143" t="s">
        <v>953</v>
      </c>
      <c r="B408" s="143" t="s">
        <v>2645</v>
      </c>
      <c r="C408" s="143" t="s">
        <v>953</v>
      </c>
      <c r="D408" s="143">
        <v>20409572</v>
      </c>
      <c r="E408" s="143" t="s">
        <v>2258</v>
      </c>
      <c r="F408" s="143" t="s">
        <v>578</v>
      </c>
      <c r="G408" s="143" t="s">
        <v>2290</v>
      </c>
      <c r="H408" s="143" t="s">
        <v>592</v>
      </c>
      <c r="J408" s="144">
        <v>46009</v>
      </c>
      <c r="K408" s="144"/>
      <c r="L408" s="144"/>
      <c r="R408" s="144">
        <v>46055</v>
      </c>
      <c r="U408" s="144">
        <v>46009</v>
      </c>
    </row>
    <row r="409" spans="1:21">
      <c r="A409" s="143" t="s">
        <v>953</v>
      </c>
      <c r="B409" s="143" t="s">
        <v>2646</v>
      </c>
      <c r="C409" s="143" t="s">
        <v>953</v>
      </c>
      <c r="D409" s="143">
        <v>20455772</v>
      </c>
      <c r="E409" s="143" t="s">
        <v>1110</v>
      </c>
      <c r="F409" s="143" t="s">
        <v>579</v>
      </c>
      <c r="G409" s="143" t="s">
        <v>2259</v>
      </c>
      <c r="H409" s="143" t="s">
        <v>2287</v>
      </c>
      <c r="I409" s="143" t="s">
        <v>1023</v>
      </c>
      <c r="J409" s="144">
        <v>46076</v>
      </c>
      <c r="K409" s="144">
        <v>46076</v>
      </c>
      <c r="L409" s="144">
        <v>46078</v>
      </c>
      <c r="U409" s="144">
        <v>46109</v>
      </c>
    </row>
    <row r="410" spans="1:21">
      <c r="A410" s="143" t="s">
        <v>953</v>
      </c>
      <c r="B410" s="143" t="s">
        <v>2647</v>
      </c>
      <c r="C410" s="143" t="s">
        <v>953</v>
      </c>
      <c r="D410" s="143">
        <v>20449671</v>
      </c>
      <c r="E410" s="143" t="s">
        <v>1100</v>
      </c>
      <c r="F410" s="143" t="s">
        <v>579</v>
      </c>
      <c r="G410" s="143" t="s">
        <v>2250</v>
      </c>
      <c r="H410" s="143" t="s">
        <v>589</v>
      </c>
      <c r="I410" s="143" t="s">
        <v>1397</v>
      </c>
      <c r="J410" s="144">
        <v>46069</v>
      </c>
      <c r="K410" s="144">
        <v>46069</v>
      </c>
      <c r="R410" s="144"/>
      <c r="U410" s="144">
        <v>46077</v>
      </c>
    </row>
    <row r="411" spans="1:21">
      <c r="A411" s="143" t="s">
        <v>953</v>
      </c>
      <c r="B411" s="143" t="s">
        <v>2648</v>
      </c>
      <c r="C411" s="143" t="s">
        <v>953</v>
      </c>
      <c r="D411" s="143">
        <v>20443976</v>
      </c>
      <c r="E411" s="143" t="s">
        <v>2258</v>
      </c>
      <c r="F411" s="143" t="s">
        <v>1001</v>
      </c>
      <c r="G411" s="143" t="s">
        <v>2246</v>
      </c>
      <c r="H411" s="143" t="s">
        <v>2361</v>
      </c>
      <c r="J411" s="144">
        <v>46062</v>
      </c>
      <c r="R411" s="144">
        <v>46062</v>
      </c>
      <c r="U411" s="144">
        <v>46062</v>
      </c>
    </row>
    <row r="412" spans="1:21">
      <c r="A412" s="143" t="s">
        <v>953</v>
      </c>
      <c r="B412" s="143" t="s">
        <v>2649</v>
      </c>
      <c r="C412" s="143" t="s">
        <v>953</v>
      </c>
      <c r="D412" s="143">
        <v>20442136</v>
      </c>
      <c r="E412" s="143" t="s">
        <v>2245</v>
      </c>
      <c r="F412" s="143" t="s">
        <v>984</v>
      </c>
      <c r="G412" s="143" t="s">
        <v>2248</v>
      </c>
      <c r="H412" s="143" t="s">
        <v>2453</v>
      </c>
      <c r="I412" s="143" t="s">
        <v>1034</v>
      </c>
      <c r="J412" s="144">
        <v>46059</v>
      </c>
      <c r="U412" s="144">
        <v>46059</v>
      </c>
    </row>
    <row r="413" spans="1:21">
      <c r="A413" s="143" t="s">
        <v>953</v>
      </c>
      <c r="B413" s="143" t="s">
        <v>2650</v>
      </c>
      <c r="C413" s="143" t="s">
        <v>953</v>
      </c>
      <c r="D413" s="143">
        <v>20441280</v>
      </c>
      <c r="E413" s="143" t="s">
        <v>2245</v>
      </c>
      <c r="F413" s="143" t="s">
        <v>581</v>
      </c>
      <c r="G413" s="143" t="s">
        <v>2246</v>
      </c>
      <c r="H413" s="143" t="s">
        <v>587</v>
      </c>
      <c r="J413" s="144">
        <v>46057</v>
      </c>
      <c r="U413" s="144">
        <v>46061</v>
      </c>
    </row>
    <row r="414" spans="1:21">
      <c r="A414" s="143" t="s">
        <v>953</v>
      </c>
      <c r="B414" s="143" t="s">
        <v>2651</v>
      </c>
      <c r="C414" s="143" t="s">
        <v>953</v>
      </c>
      <c r="D414" s="143">
        <v>20444526</v>
      </c>
      <c r="E414" s="143" t="s">
        <v>2245</v>
      </c>
      <c r="F414" s="143" t="s">
        <v>984</v>
      </c>
      <c r="G414" s="143" t="s">
        <v>2290</v>
      </c>
      <c r="H414" s="143" t="s">
        <v>591</v>
      </c>
      <c r="J414" s="144">
        <v>46063</v>
      </c>
      <c r="U414" s="144">
        <v>46063</v>
      </c>
    </row>
    <row r="415" spans="1:21">
      <c r="A415" s="143" t="s">
        <v>953</v>
      </c>
      <c r="B415" s="143" t="s">
        <v>2652</v>
      </c>
      <c r="C415" s="143" t="s">
        <v>953</v>
      </c>
      <c r="D415" s="143">
        <v>20442643</v>
      </c>
      <c r="E415" s="143" t="s">
        <v>2245</v>
      </c>
      <c r="F415" s="143" t="s">
        <v>984</v>
      </c>
      <c r="G415" s="143" t="s">
        <v>2290</v>
      </c>
      <c r="H415" s="143" t="s">
        <v>587</v>
      </c>
      <c r="J415" s="144">
        <v>46060</v>
      </c>
      <c r="K415" s="144"/>
      <c r="U415" s="144">
        <v>46114</v>
      </c>
    </row>
    <row r="416" spans="1:21">
      <c r="A416" s="143" t="s">
        <v>953</v>
      </c>
      <c r="B416" s="143" t="s">
        <v>2653</v>
      </c>
      <c r="C416" s="143" t="s">
        <v>953</v>
      </c>
      <c r="D416" s="143">
        <v>20451880</v>
      </c>
      <c r="E416" s="143" t="s">
        <v>2252</v>
      </c>
      <c r="F416" s="143" t="s">
        <v>2256</v>
      </c>
      <c r="G416" s="143" t="s">
        <v>2248</v>
      </c>
      <c r="H416" s="143" t="s">
        <v>591</v>
      </c>
      <c r="J416" s="144">
        <v>46071</v>
      </c>
      <c r="K416" s="144">
        <v>46073</v>
      </c>
      <c r="R416" s="144">
        <v>46074</v>
      </c>
      <c r="U416" s="144">
        <v>46071</v>
      </c>
    </row>
    <row r="417" spans="1:21">
      <c r="A417" s="143" t="s">
        <v>953</v>
      </c>
      <c r="B417" s="143" t="s">
        <v>2653</v>
      </c>
      <c r="C417" s="143" t="s">
        <v>953</v>
      </c>
      <c r="D417" s="143">
        <v>20453904</v>
      </c>
      <c r="E417" s="143" t="s">
        <v>1100</v>
      </c>
      <c r="F417" s="143" t="s">
        <v>1115</v>
      </c>
      <c r="G417" s="143" t="s">
        <v>2250</v>
      </c>
      <c r="H417" s="143" t="s">
        <v>591</v>
      </c>
      <c r="J417" s="144">
        <v>46073</v>
      </c>
      <c r="K417" s="144">
        <v>46073</v>
      </c>
      <c r="U417" s="144">
        <v>46081</v>
      </c>
    </row>
    <row r="418" spans="1:21">
      <c r="A418" s="143" t="s">
        <v>953</v>
      </c>
      <c r="B418" s="143" t="s">
        <v>2654</v>
      </c>
      <c r="C418" s="143" t="s">
        <v>953</v>
      </c>
      <c r="D418" s="143">
        <v>20455603</v>
      </c>
      <c r="E418" s="143" t="s">
        <v>2245</v>
      </c>
      <c r="F418" s="143" t="s">
        <v>581</v>
      </c>
      <c r="G418" s="143" t="s">
        <v>2259</v>
      </c>
      <c r="H418" s="143" t="s">
        <v>2388</v>
      </c>
      <c r="J418" s="144">
        <v>46076</v>
      </c>
      <c r="K418" s="144"/>
      <c r="U418" s="144">
        <v>46167</v>
      </c>
    </row>
    <row r="419" spans="1:21">
      <c r="A419" s="143" t="s">
        <v>953</v>
      </c>
      <c r="B419" s="143" t="s">
        <v>2655</v>
      </c>
      <c r="C419" s="143" t="s">
        <v>953</v>
      </c>
      <c r="D419" s="143">
        <v>20457011</v>
      </c>
      <c r="E419" s="143" t="s">
        <v>1100</v>
      </c>
      <c r="F419" s="143" t="s">
        <v>1115</v>
      </c>
      <c r="G419" s="143" t="s">
        <v>2250</v>
      </c>
      <c r="H419" s="143" t="s">
        <v>587</v>
      </c>
      <c r="J419" s="144">
        <v>46077</v>
      </c>
      <c r="K419" s="144">
        <v>46077</v>
      </c>
      <c r="U419" s="144">
        <v>46077</v>
      </c>
    </row>
    <row r="420" spans="1:21">
      <c r="A420" s="143" t="s">
        <v>953</v>
      </c>
      <c r="B420" s="143" t="s">
        <v>2656</v>
      </c>
      <c r="C420" s="143" t="s">
        <v>953</v>
      </c>
      <c r="D420" s="143">
        <v>20450764</v>
      </c>
      <c r="E420" s="143" t="s">
        <v>2245</v>
      </c>
      <c r="F420" s="143" t="s">
        <v>2256</v>
      </c>
      <c r="G420" s="143" t="s">
        <v>2248</v>
      </c>
      <c r="H420" s="143" t="s">
        <v>588</v>
      </c>
      <c r="J420" s="144">
        <v>46070</v>
      </c>
      <c r="U420" s="144">
        <v>46070</v>
      </c>
    </row>
    <row r="421" spans="1:21">
      <c r="A421" s="143" t="s">
        <v>953</v>
      </c>
      <c r="B421" s="143" t="s">
        <v>2657</v>
      </c>
      <c r="C421" s="143" t="s">
        <v>953</v>
      </c>
      <c r="D421" s="143">
        <v>20455558</v>
      </c>
      <c r="E421" s="143" t="s">
        <v>2245</v>
      </c>
      <c r="F421" s="143" t="s">
        <v>579</v>
      </c>
      <c r="G421" s="143" t="s">
        <v>2259</v>
      </c>
      <c r="H421" s="143" t="s">
        <v>593</v>
      </c>
      <c r="J421" s="144">
        <v>46076</v>
      </c>
      <c r="K421" s="144"/>
      <c r="U421" s="144">
        <v>46143</v>
      </c>
    </row>
    <row r="422" spans="1:21">
      <c r="A422" s="143" t="s">
        <v>953</v>
      </c>
      <c r="B422" s="143" t="s">
        <v>2658</v>
      </c>
      <c r="C422" s="143" t="s">
        <v>953</v>
      </c>
      <c r="D422" s="143">
        <v>20452708</v>
      </c>
      <c r="E422" s="143" t="s">
        <v>1100</v>
      </c>
      <c r="F422" s="143" t="s">
        <v>1115</v>
      </c>
      <c r="G422" s="143" t="s">
        <v>2250</v>
      </c>
      <c r="H422" s="143" t="s">
        <v>587</v>
      </c>
      <c r="J422" s="144">
        <v>46071</v>
      </c>
      <c r="K422" s="144">
        <v>46071</v>
      </c>
      <c r="U422" s="144">
        <v>46071</v>
      </c>
    </row>
    <row r="423" spans="1:21">
      <c r="A423" s="143" t="s">
        <v>953</v>
      </c>
      <c r="B423" s="143" t="s">
        <v>2659</v>
      </c>
      <c r="C423" s="143" t="s">
        <v>953</v>
      </c>
      <c r="D423" s="143">
        <v>20440228</v>
      </c>
      <c r="E423" s="143" t="s">
        <v>2245</v>
      </c>
      <c r="F423" s="143" t="s">
        <v>578</v>
      </c>
      <c r="G423" s="143" t="s">
        <v>1213</v>
      </c>
      <c r="H423" s="143" t="s">
        <v>591</v>
      </c>
      <c r="J423" s="144">
        <v>46056</v>
      </c>
      <c r="U423" s="144">
        <v>46090</v>
      </c>
    </row>
    <row r="424" spans="1:21">
      <c r="A424" s="143" t="s">
        <v>953</v>
      </c>
      <c r="B424" s="143" t="s">
        <v>2660</v>
      </c>
      <c r="C424" s="143" t="s">
        <v>953</v>
      </c>
      <c r="D424" s="143">
        <v>20444241</v>
      </c>
      <c r="E424" s="143" t="s">
        <v>2245</v>
      </c>
      <c r="F424" s="143" t="s">
        <v>984</v>
      </c>
      <c r="G424" s="143" t="s">
        <v>2259</v>
      </c>
      <c r="H424" s="143" t="s">
        <v>592</v>
      </c>
      <c r="J424" s="144">
        <v>46063</v>
      </c>
      <c r="U424" s="144">
        <v>46073</v>
      </c>
    </row>
    <row r="425" spans="1:21">
      <c r="A425" s="143" t="s">
        <v>953</v>
      </c>
      <c r="B425" s="143" t="s">
        <v>2661</v>
      </c>
      <c r="C425" s="143" t="s">
        <v>953</v>
      </c>
      <c r="D425" s="143">
        <v>20441394</v>
      </c>
      <c r="E425" s="143" t="s">
        <v>2245</v>
      </c>
      <c r="F425" s="143" t="s">
        <v>984</v>
      </c>
      <c r="G425" s="143" t="s">
        <v>2259</v>
      </c>
      <c r="H425" s="143" t="s">
        <v>592</v>
      </c>
      <c r="J425" s="144">
        <v>46058</v>
      </c>
      <c r="U425" s="144">
        <v>46082</v>
      </c>
    </row>
    <row r="426" spans="1:21">
      <c r="A426" s="143" t="s">
        <v>953</v>
      </c>
      <c r="B426" s="143" t="s">
        <v>2661</v>
      </c>
      <c r="C426" s="143" t="s">
        <v>953</v>
      </c>
      <c r="D426" s="143">
        <v>20450683</v>
      </c>
      <c r="E426" s="143" t="s">
        <v>2245</v>
      </c>
      <c r="F426" s="143" t="s">
        <v>984</v>
      </c>
      <c r="G426" s="143" t="s">
        <v>2259</v>
      </c>
      <c r="H426" s="143" t="s">
        <v>2388</v>
      </c>
      <c r="J426" s="144">
        <v>46070</v>
      </c>
      <c r="U426" s="144">
        <v>46070</v>
      </c>
    </row>
    <row r="427" spans="1:21">
      <c r="A427" s="143" t="s">
        <v>953</v>
      </c>
      <c r="B427" s="143" t="s">
        <v>2662</v>
      </c>
      <c r="C427" s="143" t="s">
        <v>953</v>
      </c>
      <c r="D427" s="143">
        <v>20445944</v>
      </c>
      <c r="E427" s="143" t="s">
        <v>2245</v>
      </c>
      <c r="F427" s="143" t="s">
        <v>984</v>
      </c>
      <c r="G427" s="143" t="s">
        <v>2259</v>
      </c>
      <c r="H427" s="143" t="s">
        <v>2388</v>
      </c>
      <c r="J427" s="144">
        <v>46064</v>
      </c>
      <c r="U427" s="144">
        <v>46064</v>
      </c>
    </row>
    <row r="428" spans="1:21">
      <c r="A428" s="143" t="s">
        <v>953</v>
      </c>
      <c r="B428" s="143" t="s">
        <v>2663</v>
      </c>
      <c r="C428" s="143" t="s">
        <v>953</v>
      </c>
      <c r="D428" s="143">
        <v>20447991</v>
      </c>
      <c r="E428" s="143" t="s">
        <v>2245</v>
      </c>
      <c r="F428" s="143" t="s">
        <v>984</v>
      </c>
      <c r="G428" s="143" t="s">
        <v>2259</v>
      </c>
      <c r="H428" s="143" t="s">
        <v>2388</v>
      </c>
      <c r="J428" s="144">
        <v>46065</v>
      </c>
      <c r="U428" s="144">
        <v>46065</v>
      </c>
    </row>
    <row r="429" spans="1:21">
      <c r="A429" s="143" t="s">
        <v>953</v>
      </c>
      <c r="B429" s="143" t="s">
        <v>2663</v>
      </c>
      <c r="C429" s="143" t="s">
        <v>953</v>
      </c>
      <c r="D429" s="143">
        <v>20447693</v>
      </c>
      <c r="E429" s="143" t="s">
        <v>2245</v>
      </c>
      <c r="F429" s="143" t="s">
        <v>984</v>
      </c>
      <c r="G429" s="143" t="s">
        <v>2259</v>
      </c>
      <c r="H429" s="143" t="s">
        <v>593</v>
      </c>
      <c r="J429" s="144">
        <v>46065</v>
      </c>
      <c r="U429" s="144">
        <v>46065</v>
      </c>
    </row>
    <row r="430" spans="1:21">
      <c r="A430" s="143" t="s">
        <v>953</v>
      </c>
      <c r="B430" s="143" t="s">
        <v>2664</v>
      </c>
      <c r="C430" s="143" t="s">
        <v>953</v>
      </c>
      <c r="D430" s="143">
        <v>20450302</v>
      </c>
      <c r="E430" s="143" t="s">
        <v>2245</v>
      </c>
      <c r="F430" s="143" t="s">
        <v>984</v>
      </c>
      <c r="G430" s="143" t="s">
        <v>2259</v>
      </c>
      <c r="H430" s="143" t="s">
        <v>593</v>
      </c>
      <c r="J430" s="144">
        <v>46070</v>
      </c>
      <c r="U430" s="144">
        <v>46070</v>
      </c>
    </row>
    <row r="431" spans="1:21">
      <c r="A431" s="143" t="s">
        <v>953</v>
      </c>
      <c r="B431" s="143" t="s">
        <v>2665</v>
      </c>
      <c r="C431" s="143" t="s">
        <v>953</v>
      </c>
      <c r="D431" s="143">
        <v>20457134</v>
      </c>
      <c r="E431" s="143" t="s">
        <v>2245</v>
      </c>
      <c r="F431" s="143" t="s">
        <v>984</v>
      </c>
      <c r="G431" s="143" t="s">
        <v>2259</v>
      </c>
      <c r="H431" s="143" t="s">
        <v>592</v>
      </c>
      <c r="J431" s="144">
        <v>46078</v>
      </c>
      <c r="U431" s="144">
        <v>46081</v>
      </c>
    </row>
    <row r="432" spans="1:21">
      <c r="A432" s="143" t="s">
        <v>953</v>
      </c>
      <c r="B432" s="143" t="s">
        <v>2666</v>
      </c>
      <c r="C432" s="143" t="s">
        <v>953</v>
      </c>
      <c r="D432" s="143">
        <v>20458732</v>
      </c>
      <c r="E432" s="143" t="s">
        <v>2245</v>
      </c>
      <c r="F432" s="143" t="s">
        <v>581</v>
      </c>
      <c r="G432" s="143" t="s">
        <v>2259</v>
      </c>
      <c r="H432" s="143" t="s">
        <v>593</v>
      </c>
      <c r="J432" s="144">
        <v>46080</v>
      </c>
      <c r="U432" s="144">
        <v>46113</v>
      </c>
    </row>
    <row r="433" spans="1:21">
      <c r="A433" s="143" t="s">
        <v>953</v>
      </c>
      <c r="B433" s="143" t="s">
        <v>2667</v>
      </c>
      <c r="C433" s="143" t="s">
        <v>953</v>
      </c>
      <c r="D433" s="143">
        <v>20444631</v>
      </c>
      <c r="E433" s="143" t="s">
        <v>2245</v>
      </c>
      <c r="F433" s="143" t="s">
        <v>984</v>
      </c>
      <c r="G433" s="143" t="s">
        <v>2259</v>
      </c>
      <c r="H433" s="143" t="s">
        <v>2388</v>
      </c>
      <c r="J433" s="144">
        <v>46063</v>
      </c>
      <c r="U433" s="144">
        <v>46063</v>
      </c>
    </row>
    <row r="434" spans="1:21">
      <c r="A434" s="143" t="s">
        <v>953</v>
      </c>
      <c r="B434" s="143" t="s">
        <v>2668</v>
      </c>
      <c r="C434" s="143" t="s">
        <v>953</v>
      </c>
      <c r="D434" s="143">
        <v>20450223</v>
      </c>
      <c r="E434" s="143" t="s">
        <v>2245</v>
      </c>
      <c r="F434" s="143" t="s">
        <v>984</v>
      </c>
      <c r="G434" s="143" t="s">
        <v>2259</v>
      </c>
      <c r="H434" s="143" t="s">
        <v>2388</v>
      </c>
      <c r="J434" s="144">
        <v>46070</v>
      </c>
      <c r="U434" s="144">
        <v>46070</v>
      </c>
    </row>
    <row r="435" spans="1:21">
      <c r="A435" s="143" t="s">
        <v>953</v>
      </c>
      <c r="B435" s="143" t="s">
        <v>2669</v>
      </c>
      <c r="C435" s="143" t="s">
        <v>953</v>
      </c>
      <c r="D435" s="143">
        <v>20440025</v>
      </c>
      <c r="E435" s="143" t="s">
        <v>2245</v>
      </c>
      <c r="F435" s="143" t="s">
        <v>984</v>
      </c>
      <c r="G435" s="143" t="s">
        <v>2259</v>
      </c>
      <c r="H435" s="143" t="s">
        <v>2388</v>
      </c>
      <c r="J435" s="144">
        <v>46056</v>
      </c>
      <c r="U435" s="144">
        <v>46058</v>
      </c>
    </row>
    <row r="436" spans="1:21">
      <c r="A436" s="143" t="s">
        <v>953</v>
      </c>
      <c r="B436" s="143" t="s">
        <v>2670</v>
      </c>
      <c r="C436" s="143" t="s">
        <v>953</v>
      </c>
      <c r="D436" s="143">
        <v>20456554</v>
      </c>
      <c r="E436" s="143" t="s">
        <v>2245</v>
      </c>
      <c r="F436" s="143" t="s">
        <v>984</v>
      </c>
      <c r="G436" s="143" t="s">
        <v>2259</v>
      </c>
      <c r="H436" s="143" t="s">
        <v>593</v>
      </c>
      <c r="J436" s="144">
        <v>46077</v>
      </c>
      <c r="U436" s="144">
        <v>46077</v>
      </c>
    </row>
    <row r="437" spans="1:21">
      <c r="A437" s="143" t="s">
        <v>953</v>
      </c>
      <c r="B437" s="143" t="s">
        <v>2671</v>
      </c>
      <c r="C437" s="143" t="s">
        <v>953</v>
      </c>
      <c r="D437" s="143">
        <v>20450194</v>
      </c>
      <c r="E437" s="143" t="s">
        <v>2245</v>
      </c>
      <c r="F437" s="143" t="s">
        <v>984</v>
      </c>
      <c r="G437" s="143" t="s">
        <v>2259</v>
      </c>
      <c r="H437" s="143" t="s">
        <v>2388</v>
      </c>
      <c r="J437" s="144">
        <v>46070</v>
      </c>
      <c r="U437" s="144">
        <v>46070</v>
      </c>
    </row>
    <row r="438" spans="1:21">
      <c r="A438" s="143" t="s">
        <v>953</v>
      </c>
      <c r="B438" s="143" t="s">
        <v>2672</v>
      </c>
      <c r="C438" s="143" t="s">
        <v>953</v>
      </c>
      <c r="D438" s="143">
        <v>20454854</v>
      </c>
      <c r="E438" s="143" t="s">
        <v>2245</v>
      </c>
      <c r="F438" s="143" t="s">
        <v>984</v>
      </c>
      <c r="G438" s="143" t="s">
        <v>2259</v>
      </c>
      <c r="H438" s="143" t="s">
        <v>593</v>
      </c>
      <c r="J438" s="144">
        <v>46074</v>
      </c>
      <c r="R438" s="144"/>
      <c r="U438" s="144">
        <v>46074</v>
      </c>
    </row>
    <row r="439" spans="1:21">
      <c r="A439" s="143" t="s">
        <v>953</v>
      </c>
      <c r="B439" s="143" t="s">
        <v>2673</v>
      </c>
      <c r="C439" s="143" t="s">
        <v>953</v>
      </c>
      <c r="D439" s="143">
        <v>20414549</v>
      </c>
      <c r="E439" s="143" t="s">
        <v>2258</v>
      </c>
      <c r="F439" s="143" t="s">
        <v>984</v>
      </c>
      <c r="G439" s="143" t="s">
        <v>2259</v>
      </c>
      <c r="H439" s="143" t="s">
        <v>592</v>
      </c>
      <c r="J439" s="144">
        <v>46020</v>
      </c>
      <c r="R439" s="144">
        <v>46055</v>
      </c>
      <c r="U439" s="144">
        <v>46020</v>
      </c>
    </row>
    <row r="440" spans="1:21">
      <c r="A440" s="143" t="s">
        <v>953</v>
      </c>
      <c r="B440" s="143" t="s">
        <v>2674</v>
      </c>
      <c r="C440" s="143" t="s">
        <v>953</v>
      </c>
      <c r="D440" s="143">
        <v>20438887</v>
      </c>
      <c r="E440" s="143" t="s">
        <v>2245</v>
      </c>
      <c r="F440" s="143" t="s">
        <v>984</v>
      </c>
      <c r="G440" s="143" t="s">
        <v>2259</v>
      </c>
      <c r="H440" s="143" t="s">
        <v>2388</v>
      </c>
      <c r="J440" s="144">
        <v>46054</v>
      </c>
      <c r="U440" s="144">
        <v>46113</v>
      </c>
    </row>
    <row r="441" spans="1:21">
      <c r="A441" s="143" t="s">
        <v>953</v>
      </c>
      <c r="B441" s="143" t="s">
        <v>2675</v>
      </c>
      <c r="C441" s="143" t="s">
        <v>953</v>
      </c>
      <c r="D441" s="143">
        <v>20452023</v>
      </c>
      <c r="E441" s="143" t="s">
        <v>2245</v>
      </c>
      <c r="F441" s="143" t="s">
        <v>581</v>
      </c>
      <c r="G441" s="143" t="s">
        <v>2259</v>
      </c>
      <c r="H441" s="143" t="s">
        <v>592</v>
      </c>
      <c r="J441" s="144">
        <v>46071</v>
      </c>
      <c r="U441" s="144">
        <v>46082</v>
      </c>
    </row>
    <row r="442" spans="1:21">
      <c r="A442" s="143" t="s">
        <v>953</v>
      </c>
      <c r="B442" s="143" t="s">
        <v>2676</v>
      </c>
      <c r="C442" s="143" t="s">
        <v>953</v>
      </c>
      <c r="D442" s="143">
        <v>20444389</v>
      </c>
      <c r="E442" s="143" t="s">
        <v>2245</v>
      </c>
      <c r="F442" s="143" t="s">
        <v>581</v>
      </c>
      <c r="G442" s="143" t="s">
        <v>2259</v>
      </c>
      <c r="H442" s="143" t="s">
        <v>593</v>
      </c>
      <c r="J442" s="144">
        <v>46063</v>
      </c>
      <c r="U442" s="144">
        <v>46063</v>
      </c>
    </row>
    <row r="443" spans="1:21">
      <c r="A443" s="143" t="s">
        <v>953</v>
      </c>
      <c r="B443" s="143" t="s">
        <v>2677</v>
      </c>
      <c r="C443" s="143" t="s">
        <v>953</v>
      </c>
      <c r="D443" s="143">
        <v>20444338</v>
      </c>
      <c r="E443" s="143" t="s">
        <v>2245</v>
      </c>
      <c r="F443" s="143" t="s">
        <v>984</v>
      </c>
      <c r="G443" s="143" t="s">
        <v>2259</v>
      </c>
      <c r="H443" s="143" t="s">
        <v>2388</v>
      </c>
      <c r="J443" s="144">
        <v>46063</v>
      </c>
      <c r="U443" s="144">
        <v>46063</v>
      </c>
    </row>
    <row r="444" spans="1:21">
      <c r="A444" s="143" t="s">
        <v>953</v>
      </c>
      <c r="B444" s="143" t="s">
        <v>2678</v>
      </c>
      <c r="C444" s="143" t="s">
        <v>953</v>
      </c>
      <c r="D444" s="143">
        <v>20443578</v>
      </c>
      <c r="E444" s="143" t="s">
        <v>2245</v>
      </c>
      <c r="F444" s="143" t="s">
        <v>984</v>
      </c>
      <c r="G444" s="143" t="s">
        <v>2259</v>
      </c>
      <c r="H444" s="143" t="s">
        <v>2388</v>
      </c>
      <c r="J444" s="144">
        <v>46062</v>
      </c>
      <c r="U444" s="144">
        <v>46062</v>
      </c>
    </row>
    <row r="445" spans="1:21">
      <c r="A445" s="143" t="s">
        <v>953</v>
      </c>
      <c r="B445" s="143" t="s">
        <v>2679</v>
      </c>
      <c r="C445" s="143" t="s">
        <v>953</v>
      </c>
      <c r="D445" s="143">
        <v>20455951</v>
      </c>
      <c r="E445" s="143" t="s">
        <v>2245</v>
      </c>
      <c r="F445" s="143" t="s">
        <v>984</v>
      </c>
      <c r="G445" s="143" t="s">
        <v>2259</v>
      </c>
      <c r="H445" s="143" t="s">
        <v>2388</v>
      </c>
      <c r="J445" s="144">
        <v>46076</v>
      </c>
      <c r="U445" s="144">
        <v>46076</v>
      </c>
    </row>
    <row r="446" spans="1:21">
      <c r="A446" s="143" t="s">
        <v>953</v>
      </c>
      <c r="B446" s="143" t="s">
        <v>2680</v>
      </c>
      <c r="C446" s="143" t="s">
        <v>953</v>
      </c>
      <c r="D446" s="143">
        <v>20453023</v>
      </c>
      <c r="E446" s="143" t="s">
        <v>2245</v>
      </c>
      <c r="F446" s="143" t="s">
        <v>984</v>
      </c>
      <c r="G446" s="143" t="s">
        <v>2259</v>
      </c>
      <c r="H446" s="143" t="s">
        <v>2388</v>
      </c>
      <c r="J446" s="144">
        <v>46072</v>
      </c>
      <c r="U446" s="144">
        <v>46072</v>
      </c>
    </row>
    <row r="447" spans="1:21">
      <c r="A447" s="143" t="s">
        <v>953</v>
      </c>
      <c r="B447" s="143" t="s">
        <v>2681</v>
      </c>
      <c r="C447" s="143" t="s">
        <v>953</v>
      </c>
      <c r="D447" s="143">
        <v>20453025</v>
      </c>
      <c r="E447" s="143" t="s">
        <v>2245</v>
      </c>
      <c r="F447" s="143" t="s">
        <v>581</v>
      </c>
      <c r="G447" s="143" t="s">
        <v>2259</v>
      </c>
      <c r="H447" s="143" t="s">
        <v>592</v>
      </c>
      <c r="J447" s="144">
        <v>46072</v>
      </c>
      <c r="U447" s="144">
        <v>46082</v>
      </c>
    </row>
    <row r="448" spans="1:21">
      <c r="A448" s="143" t="s">
        <v>953</v>
      </c>
      <c r="B448" s="143" t="s">
        <v>2682</v>
      </c>
      <c r="C448" s="143" t="s">
        <v>953</v>
      </c>
      <c r="D448" s="143">
        <v>20450578</v>
      </c>
      <c r="E448" s="143" t="s">
        <v>2245</v>
      </c>
      <c r="F448" s="143" t="s">
        <v>984</v>
      </c>
      <c r="G448" s="143" t="s">
        <v>2259</v>
      </c>
      <c r="H448" s="143" t="s">
        <v>2388</v>
      </c>
      <c r="J448" s="144">
        <v>46070</v>
      </c>
      <c r="U448" s="144">
        <v>46173</v>
      </c>
    </row>
    <row r="449" spans="1:21">
      <c r="A449" s="143" t="s">
        <v>953</v>
      </c>
      <c r="B449" s="143" t="s">
        <v>2683</v>
      </c>
      <c r="C449" s="143" t="s">
        <v>953</v>
      </c>
      <c r="D449" s="143">
        <v>20451966</v>
      </c>
      <c r="E449" s="143" t="s">
        <v>2245</v>
      </c>
      <c r="F449" s="143" t="s">
        <v>984</v>
      </c>
      <c r="G449" s="143" t="s">
        <v>2259</v>
      </c>
      <c r="H449" s="143" t="s">
        <v>2388</v>
      </c>
      <c r="J449" s="144">
        <v>46071</v>
      </c>
      <c r="U449" s="144">
        <v>46071</v>
      </c>
    </row>
    <row r="450" spans="1:21">
      <c r="A450" s="143" t="s">
        <v>953</v>
      </c>
      <c r="B450" s="143" t="s">
        <v>2684</v>
      </c>
      <c r="C450" s="143" t="s">
        <v>953</v>
      </c>
      <c r="D450" s="143">
        <v>20448070</v>
      </c>
      <c r="E450" s="143" t="s">
        <v>2245</v>
      </c>
      <c r="F450" s="143" t="s">
        <v>984</v>
      </c>
      <c r="G450" s="143" t="s">
        <v>2290</v>
      </c>
      <c r="H450" s="143" t="s">
        <v>587</v>
      </c>
      <c r="J450" s="144">
        <v>46065</v>
      </c>
      <c r="U450" s="144">
        <v>46132</v>
      </c>
    </row>
    <row r="451" spans="1:21">
      <c r="A451" s="143" t="s">
        <v>953</v>
      </c>
      <c r="B451" s="143" t="s">
        <v>2685</v>
      </c>
      <c r="C451" s="143" t="s">
        <v>953</v>
      </c>
      <c r="D451" s="143">
        <v>20454892</v>
      </c>
      <c r="E451" s="143" t="s">
        <v>2245</v>
      </c>
      <c r="F451" s="143" t="s">
        <v>581</v>
      </c>
      <c r="G451" s="143" t="s">
        <v>2259</v>
      </c>
      <c r="H451" s="143" t="s">
        <v>2388</v>
      </c>
      <c r="J451" s="144">
        <v>46074</v>
      </c>
      <c r="U451" s="144">
        <v>46157</v>
      </c>
    </row>
    <row r="452" spans="1:21">
      <c r="A452" s="143" t="s">
        <v>953</v>
      </c>
      <c r="B452" s="143" t="s">
        <v>2686</v>
      </c>
      <c r="C452" s="143" t="s">
        <v>953</v>
      </c>
      <c r="D452" s="143">
        <v>20453026</v>
      </c>
      <c r="E452" s="143" t="s">
        <v>2245</v>
      </c>
      <c r="F452" s="143" t="s">
        <v>984</v>
      </c>
      <c r="G452" s="143" t="s">
        <v>2259</v>
      </c>
      <c r="H452" s="143" t="s">
        <v>593</v>
      </c>
      <c r="J452" s="144">
        <v>46072</v>
      </c>
      <c r="U452" s="144">
        <v>46094</v>
      </c>
    </row>
    <row r="453" spans="1:21">
      <c r="A453" s="143" t="s">
        <v>953</v>
      </c>
      <c r="B453" s="143" t="s">
        <v>2687</v>
      </c>
      <c r="C453" s="143" t="s">
        <v>953</v>
      </c>
      <c r="D453" s="143">
        <v>20439505</v>
      </c>
      <c r="E453" s="143" t="s">
        <v>2245</v>
      </c>
      <c r="F453" s="143" t="s">
        <v>984</v>
      </c>
      <c r="G453" s="143" t="s">
        <v>2259</v>
      </c>
      <c r="H453" s="143" t="s">
        <v>2388</v>
      </c>
      <c r="J453" s="144">
        <v>46055</v>
      </c>
      <c r="R453" s="144"/>
      <c r="U453" s="144">
        <v>46063</v>
      </c>
    </row>
    <row r="454" spans="1:21">
      <c r="A454" s="143" t="s">
        <v>953</v>
      </c>
      <c r="B454" s="143" t="s">
        <v>2688</v>
      </c>
      <c r="C454" s="143" t="s">
        <v>953</v>
      </c>
      <c r="D454" s="143">
        <v>20411916</v>
      </c>
      <c r="E454" s="143" t="s">
        <v>2258</v>
      </c>
      <c r="F454" s="143" t="s">
        <v>984</v>
      </c>
      <c r="G454" s="143" t="s">
        <v>2259</v>
      </c>
      <c r="H454" s="143" t="s">
        <v>587</v>
      </c>
      <c r="J454" s="144">
        <v>46014</v>
      </c>
      <c r="R454" s="144">
        <v>46057</v>
      </c>
      <c r="U454" s="144">
        <v>46014</v>
      </c>
    </row>
    <row r="455" spans="1:21">
      <c r="A455" s="143" t="s">
        <v>953</v>
      </c>
      <c r="B455" s="143" t="s">
        <v>2689</v>
      </c>
      <c r="C455" s="143" t="s">
        <v>953</v>
      </c>
      <c r="D455" s="143">
        <v>20459657</v>
      </c>
      <c r="E455" s="143" t="s">
        <v>2245</v>
      </c>
      <c r="F455" s="143" t="s">
        <v>581</v>
      </c>
      <c r="G455" s="143" t="s">
        <v>2259</v>
      </c>
      <c r="H455" s="143" t="s">
        <v>593</v>
      </c>
      <c r="J455" s="144">
        <v>46081</v>
      </c>
      <c r="U455" s="144">
        <v>46113</v>
      </c>
    </row>
    <row r="456" spans="1:21">
      <c r="A456" s="143" t="s">
        <v>953</v>
      </c>
      <c r="B456" s="143" t="s">
        <v>2690</v>
      </c>
      <c r="C456" s="143" t="s">
        <v>953</v>
      </c>
      <c r="D456" s="143">
        <v>20441105</v>
      </c>
      <c r="E456" s="143" t="s">
        <v>2245</v>
      </c>
      <c r="F456" s="143" t="s">
        <v>984</v>
      </c>
      <c r="G456" s="143" t="s">
        <v>2259</v>
      </c>
      <c r="H456" s="143" t="s">
        <v>2388</v>
      </c>
      <c r="J456" s="144">
        <v>46057</v>
      </c>
      <c r="U456" s="144">
        <v>46057</v>
      </c>
    </row>
    <row r="457" spans="1:21">
      <c r="A457" s="143" t="s">
        <v>953</v>
      </c>
      <c r="B457" s="143" t="s">
        <v>2691</v>
      </c>
      <c r="C457" s="143" t="s">
        <v>953</v>
      </c>
      <c r="D457" s="143">
        <v>20457414</v>
      </c>
      <c r="E457" s="143" t="s">
        <v>2245</v>
      </c>
      <c r="F457" s="143" t="s">
        <v>984</v>
      </c>
      <c r="G457" s="143" t="s">
        <v>2259</v>
      </c>
      <c r="H457" s="143" t="s">
        <v>593</v>
      </c>
      <c r="J457" s="144">
        <v>46078</v>
      </c>
      <c r="U457" s="144">
        <v>46078</v>
      </c>
    </row>
    <row r="458" spans="1:21">
      <c r="A458" s="143" t="s">
        <v>953</v>
      </c>
      <c r="B458" s="143" t="s">
        <v>2692</v>
      </c>
      <c r="C458" s="143" t="s">
        <v>953</v>
      </c>
      <c r="D458" s="143">
        <v>20454149</v>
      </c>
      <c r="E458" s="143" t="s">
        <v>2245</v>
      </c>
      <c r="F458" s="143" t="s">
        <v>581</v>
      </c>
      <c r="G458" s="143" t="s">
        <v>2259</v>
      </c>
      <c r="H458" s="143" t="s">
        <v>592</v>
      </c>
      <c r="I458" s="143" t="s">
        <v>1034</v>
      </c>
      <c r="J458" s="144">
        <v>46073</v>
      </c>
      <c r="U458" s="144">
        <v>46082</v>
      </c>
    </row>
    <row r="459" spans="1:21">
      <c r="A459" s="143" t="s">
        <v>953</v>
      </c>
      <c r="B459" s="143" t="s">
        <v>2693</v>
      </c>
      <c r="C459" s="143" t="s">
        <v>953</v>
      </c>
      <c r="D459" s="143">
        <v>20454419</v>
      </c>
      <c r="E459" s="143" t="s">
        <v>2245</v>
      </c>
      <c r="F459" s="143" t="s">
        <v>984</v>
      </c>
      <c r="G459" s="143" t="s">
        <v>2259</v>
      </c>
      <c r="H459" s="143" t="s">
        <v>2388</v>
      </c>
      <c r="J459" s="144">
        <v>46073</v>
      </c>
      <c r="U459" s="144">
        <v>46086</v>
      </c>
    </row>
    <row r="460" spans="1:21">
      <c r="A460" s="143" t="s">
        <v>953</v>
      </c>
      <c r="B460" s="143" t="s">
        <v>2694</v>
      </c>
      <c r="C460" s="143" t="s">
        <v>953</v>
      </c>
      <c r="D460" s="143">
        <v>20442293</v>
      </c>
      <c r="E460" s="143" t="s">
        <v>2245</v>
      </c>
      <c r="F460" s="143" t="s">
        <v>581</v>
      </c>
      <c r="G460" s="143" t="s">
        <v>2259</v>
      </c>
      <c r="H460" s="143" t="s">
        <v>2388</v>
      </c>
      <c r="J460" s="144">
        <v>46059</v>
      </c>
      <c r="U460" s="144">
        <v>46088</v>
      </c>
    </row>
    <row r="461" spans="1:21">
      <c r="A461" s="143" t="s">
        <v>953</v>
      </c>
      <c r="B461" s="143" t="s">
        <v>2695</v>
      </c>
      <c r="C461" s="143" t="s">
        <v>953</v>
      </c>
      <c r="D461" s="143">
        <v>20459139</v>
      </c>
      <c r="E461" s="143" t="s">
        <v>2245</v>
      </c>
      <c r="F461" s="143" t="s">
        <v>984</v>
      </c>
      <c r="G461" s="143" t="s">
        <v>2259</v>
      </c>
      <c r="H461" s="143" t="s">
        <v>587</v>
      </c>
      <c r="J461" s="144">
        <v>46080</v>
      </c>
      <c r="U461" s="144">
        <v>46080</v>
      </c>
    </row>
    <row r="462" spans="1:21">
      <c r="A462" s="143" t="s">
        <v>953</v>
      </c>
      <c r="B462" s="143" t="s">
        <v>2696</v>
      </c>
      <c r="C462" s="143" t="s">
        <v>953</v>
      </c>
      <c r="D462" s="143">
        <v>20444303</v>
      </c>
      <c r="E462" s="143" t="s">
        <v>2245</v>
      </c>
      <c r="F462" s="143" t="s">
        <v>984</v>
      </c>
      <c r="G462" s="143" t="s">
        <v>2259</v>
      </c>
      <c r="H462" s="143" t="s">
        <v>2388</v>
      </c>
      <c r="J462" s="144">
        <v>46063</v>
      </c>
      <c r="U462" s="144">
        <v>46063</v>
      </c>
    </row>
    <row r="463" spans="1:21">
      <c r="A463" s="143" t="s">
        <v>953</v>
      </c>
      <c r="B463" s="143" t="s">
        <v>2697</v>
      </c>
      <c r="C463" s="143" t="s">
        <v>953</v>
      </c>
      <c r="D463" s="143">
        <v>20450558</v>
      </c>
      <c r="E463" s="143" t="s">
        <v>2245</v>
      </c>
      <c r="F463" s="143" t="s">
        <v>581</v>
      </c>
      <c r="G463" s="143" t="s">
        <v>2259</v>
      </c>
      <c r="H463" s="143" t="s">
        <v>592</v>
      </c>
      <c r="J463" s="144">
        <v>46070</v>
      </c>
      <c r="U463" s="144">
        <v>46070</v>
      </c>
    </row>
    <row r="464" spans="1:21">
      <c r="A464" s="143" t="s">
        <v>953</v>
      </c>
      <c r="B464" s="143" t="s">
        <v>2698</v>
      </c>
      <c r="C464" s="143" t="s">
        <v>953</v>
      </c>
      <c r="D464" s="143">
        <v>20454081</v>
      </c>
      <c r="E464" s="143" t="s">
        <v>2245</v>
      </c>
      <c r="F464" s="143" t="s">
        <v>581</v>
      </c>
      <c r="G464" s="143" t="s">
        <v>2259</v>
      </c>
      <c r="H464" s="143" t="s">
        <v>592</v>
      </c>
      <c r="J464" s="144">
        <v>46073</v>
      </c>
      <c r="U464" s="144">
        <v>46094</v>
      </c>
    </row>
    <row r="465" spans="1:21">
      <c r="A465" s="143" t="s">
        <v>953</v>
      </c>
      <c r="B465" s="143" t="s">
        <v>2699</v>
      </c>
      <c r="C465" s="143" t="s">
        <v>953</v>
      </c>
      <c r="D465" s="143">
        <v>20454107</v>
      </c>
      <c r="E465" s="143" t="s">
        <v>2245</v>
      </c>
      <c r="F465" s="143" t="s">
        <v>984</v>
      </c>
      <c r="G465" s="143" t="s">
        <v>2259</v>
      </c>
      <c r="H465" s="143" t="s">
        <v>2428</v>
      </c>
      <c r="J465" s="144">
        <v>46073</v>
      </c>
      <c r="U465" s="144">
        <v>46073</v>
      </c>
    </row>
    <row r="466" spans="1:21">
      <c r="A466" s="143" t="s">
        <v>953</v>
      </c>
      <c r="B466" s="143" t="s">
        <v>2700</v>
      </c>
      <c r="C466" s="143" t="s">
        <v>953</v>
      </c>
      <c r="D466" s="143">
        <v>20442856</v>
      </c>
      <c r="E466" s="143" t="s">
        <v>2245</v>
      </c>
      <c r="F466" s="143" t="s">
        <v>581</v>
      </c>
      <c r="G466" s="143" t="s">
        <v>2259</v>
      </c>
      <c r="H466" s="143" t="s">
        <v>593</v>
      </c>
      <c r="J466" s="144">
        <v>46060</v>
      </c>
      <c r="R466" s="144"/>
      <c r="U466" s="144">
        <v>46082</v>
      </c>
    </row>
    <row r="467" spans="1:21">
      <c r="A467" s="143" t="s">
        <v>953</v>
      </c>
      <c r="B467" s="143" t="s">
        <v>2701</v>
      </c>
      <c r="C467" s="143" t="s">
        <v>953</v>
      </c>
      <c r="D467" s="143">
        <v>20443769</v>
      </c>
      <c r="E467" s="143" t="s">
        <v>2245</v>
      </c>
      <c r="F467" s="143" t="s">
        <v>984</v>
      </c>
      <c r="G467" s="143" t="s">
        <v>2259</v>
      </c>
      <c r="H467" s="143" t="s">
        <v>592</v>
      </c>
      <c r="J467" s="144">
        <v>46062</v>
      </c>
      <c r="U467" s="144">
        <v>46062</v>
      </c>
    </row>
    <row r="468" spans="1:21">
      <c r="A468" s="143" t="s">
        <v>953</v>
      </c>
      <c r="B468" s="143" t="s">
        <v>2701</v>
      </c>
      <c r="C468" s="143" t="s">
        <v>953</v>
      </c>
      <c r="D468" s="143">
        <v>20435999</v>
      </c>
      <c r="E468" s="143" t="s">
        <v>2258</v>
      </c>
      <c r="F468" s="143" t="s">
        <v>984</v>
      </c>
      <c r="G468" s="143" t="s">
        <v>2259</v>
      </c>
      <c r="H468" s="143" t="s">
        <v>593</v>
      </c>
      <c r="J468" s="144">
        <v>46050</v>
      </c>
      <c r="R468" s="144">
        <v>46058</v>
      </c>
      <c r="U468" s="144">
        <v>46050</v>
      </c>
    </row>
    <row r="469" spans="1:21">
      <c r="A469" s="143" t="s">
        <v>953</v>
      </c>
      <c r="B469" s="143" t="s">
        <v>2702</v>
      </c>
      <c r="C469" s="143" t="s">
        <v>953</v>
      </c>
      <c r="D469" s="143">
        <v>20440861</v>
      </c>
      <c r="E469" s="143" t="s">
        <v>2245</v>
      </c>
      <c r="F469" s="143" t="s">
        <v>577</v>
      </c>
      <c r="G469" s="143" t="s">
        <v>2259</v>
      </c>
      <c r="H469" s="143" t="s">
        <v>2388</v>
      </c>
      <c r="J469" s="144">
        <v>46057</v>
      </c>
      <c r="U469" s="144">
        <v>46057</v>
      </c>
    </row>
    <row r="470" spans="1:21">
      <c r="A470" s="143" t="s">
        <v>953</v>
      </c>
      <c r="B470" s="143" t="s">
        <v>2703</v>
      </c>
      <c r="C470" s="143" t="s">
        <v>953</v>
      </c>
      <c r="D470" s="143">
        <v>20446820</v>
      </c>
      <c r="E470" s="143" t="s">
        <v>2245</v>
      </c>
      <c r="F470" s="143" t="s">
        <v>984</v>
      </c>
      <c r="G470" s="143" t="s">
        <v>2259</v>
      </c>
      <c r="H470" s="143" t="s">
        <v>2388</v>
      </c>
      <c r="J470" s="144">
        <v>46064</v>
      </c>
      <c r="U470" s="144">
        <v>46064</v>
      </c>
    </row>
    <row r="471" spans="1:21">
      <c r="A471" s="143" t="s">
        <v>953</v>
      </c>
      <c r="B471" s="143" t="s">
        <v>2704</v>
      </c>
      <c r="C471" s="143" t="s">
        <v>953</v>
      </c>
      <c r="D471" s="143">
        <v>20440770</v>
      </c>
      <c r="E471" s="143" t="s">
        <v>2245</v>
      </c>
      <c r="F471" s="143" t="s">
        <v>984</v>
      </c>
      <c r="G471" s="143" t="s">
        <v>2259</v>
      </c>
      <c r="H471" s="143" t="s">
        <v>593</v>
      </c>
      <c r="J471" s="144">
        <v>46057</v>
      </c>
      <c r="U471" s="144">
        <v>46073</v>
      </c>
    </row>
    <row r="472" spans="1:21">
      <c r="A472" s="143" t="s">
        <v>953</v>
      </c>
      <c r="B472" s="143" t="s">
        <v>2705</v>
      </c>
      <c r="C472" s="143" t="s">
        <v>953</v>
      </c>
      <c r="D472" s="143">
        <v>20447726</v>
      </c>
      <c r="E472" s="143" t="s">
        <v>2245</v>
      </c>
      <c r="F472" s="143" t="s">
        <v>984</v>
      </c>
      <c r="G472" s="143" t="s">
        <v>2259</v>
      </c>
      <c r="H472" s="143" t="s">
        <v>593</v>
      </c>
      <c r="J472" s="144">
        <v>46065</v>
      </c>
      <c r="U472" s="144">
        <v>46065</v>
      </c>
    </row>
    <row r="473" spans="1:21">
      <c r="A473" s="143" t="s">
        <v>953</v>
      </c>
      <c r="B473" s="143" t="s">
        <v>2706</v>
      </c>
      <c r="C473" s="143" t="s">
        <v>953</v>
      </c>
      <c r="D473" s="143">
        <v>20440340</v>
      </c>
      <c r="E473" s="143" t="s">
        <v>2245</v>
      </c>
      <c r="F473" s="143" t="s">
        <v>581</v>
      </c>
      <c r="G473" s="143" t="s">
        <v>2259</v>
      </c>
      <c r="H473" s="143" t="s">
        <v>2388</v>
      </c>
      <c r="J473" s="144">
        <v>46056</v>
      </c>
      <c r="U473" s="144">
        <v>46081</v>
      </c>
    </row>
    <row r="474" spans="1:21">
      <c r="A474" s="143" t="s">
        <v>953</v>
      </c>
      <c r="B474" s="143" t="s">
        <v>2707</v>
      </c>
      <c r="C474" s="143" t="s">
        <v>953</v>
      </c>
      <c r="D474" s="143">
        <v>20441704</v>
      </c>
      <c r="E474" s="143" t="s">
        <v>2245</v>
      </c>
      <c r="F474" s="143" t="s">
        <v>581</v>
      </c>
      <c r="G474" s="143" t="s">
        <v>2259</v>
      </c>
      <c r="H474" s="143" t="s">
        <v>593</v>
      </c>
      <c r="J474" s="144">
        <v>46058</v>
      </c>
      <c r="U474" s="144">
        <v>46058</v>
      </c>
    </row>
    <row r="475" spans="1:21">
      <c r="A475" s="143" t="s">
        <v>953</v>
      </c>
      <c r="B475" s="143" t="s">
        <v>2708</v>
      </c>
      <c r="C475" s="143" t="s">
        <v>953</v>
      </c>
      <c r="D475" s="143">
        <v>20455577</v>
      </c>
      <c r="E475" s="143" t="s">
        <v>2245</v>
      </c>
      <c r="F475" s="143" t="s">
        <v>984</v>
      </c>
      <c r="G475" s="143" t="s">
        <v>2259</v>
      </c>
      <c r="H475" s="143" t="s">
        <v>2388</v>
      </c>
      <c r="J475" s="144">
        <v>46076</v>
      </c>
      <c r="U475" s="144">
        <v>46076</v>
      </c>
    </row>
    <row r="476" spans="1:21">
      <c r="A476" s="143" t="s">
        <v>953</v>
      </c>
      <c r="B476" s="143" t="s">
        <v>2709</v>
      </c>
      <c r="C476" s="143" t="s">
        <v>953</v>
      </c>
      <c r="D476" s="143">
        <v>20446580</v>
      </c>
      <c r="E476" s="143" t="s">
        <v>2245</v>
      </c>
      <c r="F476" s="143" t="s">
        <v>984</v>
      </c>
      <c r="G476" s="143" t="s">
        <v>2259</v>
      </c>
      <c r="H476" s="143" t="s">
        <v>2388</v>
      </c>
      <c r="J476" s="144">
        <v>46064</v>
      </c>
      <c r="U476" s="144">
        <v>46064</v>
      </c>
    </row>
    <row r="477" spans="1:21">
      <c r="A477" s="143" t="s">
        <v>953</v>
      </c>
      <c r="B477" s="143" t="s">
        <v>2710</v>
      </c>
      <c r="C477" s="143" t="s">
        <v>953</v>
      </c>
      <c r="D477" s="143">
        <v>20456008</v>
      </c>
      <c r="E477" s="143" t="s">
        <v>2245</v>
      </c>
      <c r="F477" s="143" t="s">
        <v>984</v>
      </c>
      <c r="G477" s="143" t="s">
        <v>2259</v>
      </c>
      <c r="H477" s="143" t="s">
        <v>2388</v>
      </c>
      <c r="J477" s="144">
        <v>46076</v>
      </c>
      <c r="U477" s="144">
        <v>46082</v>
      </c>
    </row>
    <row r="478" spans="1:21">
      <c r="A478" s="143" t="s">
        <v>953</v>
      </c>
      <c r="B478" s="143" t="s">
        <v>2711</v>
      </c>
      <c r="C478" s="143" t="s">
        <v>953</v>
      </c>
      <c r="D478" s="143">
        <v>20443921</v>
      </c>
      <c r="E478" s="143" t="s">
        <v>2245</v>
      </c>
      <c r="F478" s="143" t="s">
        <v>984</v>
      </c>
      <c r="G478" s="143" t="s">
        <v>2259</v>
      </c>
      <c r="H478" s="143" t="s">
        <v>2388</v>
      </c>
      <c r="J478" s="144">
        <v>46062</v>
      </c>
      <c r="U478" s="144">
        <v>46062</v>
      </c>
    </row>
    <row r="479" spans="1:21">
      <c r="A479" s="143" t="s">
        <v>953</v>
      </c>
      <c r="B479" s="143" t="s">
        <v>2712</v>
      </c>
      <c r="C479" s="143" t="s">
        <v>953</v>
      </c>
      <c r="D479" s="143">
        <v>20449827</v>
      </c>
      <c r="E479" s="143" t="s">
        <v>2245</v>
      </c>
      <c r="F479" s="143" t="s">
        <v>984</v>
      </c>
      <c r="G479" s="143" t="s">
        <v>2259</v>
      </c>
      <c r="H479" s="143" t="s">
        <v>593</v>
      </c>
      <c r="J479" s="144">
        <v>46069</v>
      </c>
      <c r="U479" s="144">
        <v>46069</v>
      </c>
    </row>
    <row r="480" spans="1:21">
      <c r="A480" s="143" t="s">
        <v>953</v>
      </c>
      <c r="B480" s="143" t="s">
        <v>2713</v>
      </c>
      <c r="C480" s="143" t="s">
        <v>953</v>
      </c>
      <c r="D480" s="143">
        <v>20456479</v>
      </c>
      <c r="E480" s="143" t="s">
        <v>2245</v>
      </c>
      <c r="F480" s="143" t="s">
        <v>984</v>
      </c>
      <c r="G480" s="143" t="s">
        <v>2259</v>
      </c>
      <c r="H480" s="143" t="s">
        <v>593</v>
      </c>
      <c r="J480" s="144">
        <v>46077</v>
      </c>
      <c r="U480" s="144">
        <v>46077</v>
      </c>
    </row>
    <row r="481" spans="1:21">
      <c r="A481" s="143" t="s">
        <v>953</v>
      </c>
      <c r="B481" s="143" t="s">
        <v>2714</v>
      </c>
      <c r="C481" s="143" t="s">
        <v>953</v>
      </c>
      <c r="D481" s="143">
        <v>20453600</v>
      </c>
      <c r="E481" s="143" t="s">
        <v>2245</v>
      </c>
      <c r="F481" s="143" t="s">
        <v>984</v>
      </c>
      <c r="G481" s="143" t="s">
        <v>2259</v>
      </c>
      <c r="H481" s="143" t="s">
        <v>2388</v>
      </c>
      <c r="J481" s="144">
        <v>46072</v>
      </c>
      <c r="U481" s="144">
        <v>46072</v>
      </c>
    </row>
    <row r="482" spans="1:21">
      <c r="A482" s="143" t="s">
        <v>953</v>
      </c>
      <c r="B482" s="143" t="s">
        <v>2715</v>
      </c>
      <c r="C482" s="143" t="s">
        <v>953</v>
      </c>
      <c r="D482" s="143">
        <v>20449934</v>
      </c>
      <c r="E482" s="143" t="s">
        <v>2245</v>
      </c>
      <c r="F482" s="143" t="s">
        <v>984</v>
      </c>
      <c r="G482" s="143" t="s">
        <v>2259</v>
      </c>
      <c r="H482" s="143" t="s">
        <v>2388</v>
      </c>
      <c r="J482" s="144">
        <v>46069</v>
      </c>
      <c r="U482" s="144">
        <v>46069</v>
      </c>
    </row>
    <row r="483" spans="1:21">
      <c r="A483" s="143" t="s">
        <v>953</v>
      </c>
      <c r="B483" s="143" t="s">
        <v>2716</v>
      </c>
      <c r="C483" s="143" t="s">
        <v>953</v>
      </c>
      <c r="D483" s="143">
        <v>20442105</v>
      </c>
      <c r="E483" s="143" t="s">
        <v>2245</v>
      </c>
      <c r="F483" s="143" t="s">
        <v>984</v>
      </c>
      <c r="G483" s="143" t="s">
        <v>2259</v>
      </c>
      <c r="H483" s="143" t="s">
        <v>592</v>
      </c>
      <c r="J483" s="144">
        <v>46059</v>
      </c>
      <c r="U483" s="144">
        <v>46059</v>
      </c>
    </row>
    <row r="484" spans="1:21">
      <c r="A484" s="143" t="s">
        <v>953</v>
      </c>
      <c r="B484" s="143" t="s">
        <v>2717</v>
      </c>
      <c r="C484" s="143" t="s">
        <v>953</v>
      </c>
      <c r="D484" s="143">
        <v>20456615</v>
      </c>
      <c r="E484" s="143" t="s">
        <v>2245</v>
      </c>
      <c r="F484" s="143" t="s">
        <v>984</v>
      </c>
      <c r="G484" s="143" t="s">
        <v>2259</v>
      </c>
      <c r="H484" s="143" t="s">
        <v>593</v>
      </c>
      <c r="J484" s="144">
        <v>46077</v>
      </c>
      <c r="U484" s="144">
        <v>46081</v>
      </c>
    </row>
    <row r="485" spans="1:21">
      <c r="A485" s="143" t="s">
        <v>953</v>
      </c>
      <c r="B485" s="143" t="s">
        <v>2718</v>
      </c>
      <c r="C485" s="143" t="s">
        <v>953</v>
      </c>
      <c r="D485" s="143">
        <v>20440976</v>
      </c>
      <c r="E485" s="143" t="s">
        <v>2245</v>
      </c>
      <c r="F485" s="143" t="s">
        <v>984</v>
      </c>
      <c r="G485" s="143" t="s">
        <v>2259</v>
      </c>
      <c r="H485" s="143" t="s">
        <v>593</v>
      </c>
      <c r="J485" s="144">
        <v>46057</v>
      </c>
      <c r="U485" s="144">
        <v>46057</v>
      </c>
    </row>
    <row r="486" spans="1:21">
      <c r="A486" s="143" t="s">
        <v>953</v>
      </c>
      <c r="B486" s="143" t="s">
        <v>2719</v>
      </c>
      <c r="C486" s="143" t="s">
        <v>953</v>
      </c>
      <c r="D486" s="143">
        <v>20444472</v>
      </c>
      <c r="E486" s="143" t="s">
        <v>2245</v>
      </c>
      <c r="F486" s="143" t="s">
        <v>984</v>
      </c>
      <c r="G486" s="143" t="s">
        <v>2259</v>
      </c>
      <c r="H486" s="143" t="s">
        <v>593</v>
      </c>
      <c r="J486" s="144">
        <v>46063</v>
      </c>
      <c r="U486" s="144">
        <v>46063</v>
      </c>
    </row>
    <row r="487" spans="1:21">
      <c r="A487" s="143" t="s">
        <v>953</v>
      </c>
      <c r="B487" s="143" t="s">
        <v>2720</v>
      </c>
      <c r="C487" s="143" t="s">
        <v>953</v>
      </c>
      <c r="D487" s="143">
        <v>20440180</v>
      </c>
      <c r="E487" s="143" t="s">
        <v>2245</v>
      </c>
      <c r="F487" s="143" t="s">
        <v>578</v>
      </c>
      <c r="G487" s="143" t="s">
        <v>2259</v>
      </c>
      <c r="H487" s="143" t="s">
        <v>592</v>
      </c>
      <c r="J487" s="144">
        <v>46056</v>
      </c>
      <c r="U487" s="144">
        <v>46082</v>
      </c>
    </row>
    <row r="488" spans="1:21">
      <c r="A488" s="143" t="s">
        <v>953</v>
      </c>
      <c r="B488" s="143" t="s">
        <v>2721</v>
      </c>
      <c r="C488" s="143" t="s">
        <v>953</v>
      </c>
      <c r="D488" s="143">
        <v>20459018</v>
      </c>
      <c r="E488" s="143" t="s">
        <v>2245</v>
      </c>
      <c r="F488" s="143" t="s">
        <v>581</v>
      </c>
      <c r="G488" s="143" t="s">
        <v>2259</v>
      </c>
      <c r="H488" s="143" t="s">
        <v>2388</v>
      </c>
      <c r="J488" s="144">
        <v>46080</v>
      </c>
      <c r="U488" s="144">
        <v>46113</v>
      </c>
    </row>
    <row r="489" spans="1:21">
      <c r="A489" s="143" t="s">
        <v>953</v>
      </c>
      <c r="B489" s="143" t="s">
        <v>2722</v>
      </c>
      <c r="C489" s="143" t="s">
        <v>953</v>
      </c>
      <c r="D489" s="143">
        <v>20446923</v>
      </c>
      <c r="E489" s="143" t="s">
        <v>2245</v>
      </c>
      <c r="F489" s="143" t="s">
        <v>984</v>
      </c>
      <c r="G489" s="143" t="s">
        <v>2259</v>
      </c>
      <c r="H489" s="143" t="s">
        <v>592</v>
      </c>
      <c r="J489" s="144">
        <v>46064</v>
      </c>
      <c r="U489" s="144">
        <v>46076</v>
      </c>
    </row>
    <row r="490" spans="1:21">
      <c r="A490" s="143" t="s">
        <v>953</v>
      </c>
      <c r="B490" s="143" t="s">
        <v>2723</v>
      </c>
      <c r="C490" s="143" t="s">
        <v>953</v>
      </c>
      <c r="D490" s="143">
        <v>20450277</v>
      </c>
      <c r="E490" s="143" t="s">
        <v>2245</v>
      </c>
      <c r="F490" s="143" t="s">
        <v>984</v>
      </c>
      <c r="G490" s="143" t="s">
        <v>2259</v>
      </c>
      <c r="H490" s="143" t="s">
        <v>2388</v>
      </c>
      <c r="J490" s="144">
        <v>46070</v>
      </c>
      <c r="U490" s="144">
        <v>46080</v>
      </c>
    </row>
    <row r="491" spans="1:21">
      <c r="A491" s="143" t="s">
        <v>953</v>
      </c>
      <c r="B491" s="143" t="s">
        <v>2724</v>
      </c>
      <c r="C491" s="143" t="s">
        <v>953</v>
      </c>
      <c r="D491" s="143">
        <v>20454286</v>
      </c>
      <c r="E491" s="143" t="s">
        <v>2245</v>
      </c>
      <c r="F491" s="143" t="s">
        <v>984</v>
      </c>
      <c r="G491" s="143" t="s">
        <v>2259</v>
      </c>
      <c r="H491" s="143" t="s">
        <v>592</v>
      </c>
      <c r="J491" s="144">
        <v>46073</v>
      </c>
      <c r="U491" s="144">
        <v>46073</v>
      </c>
    </row>
    <row r="492" spans="1:21">
      <c r="A492" s="143" t="s">
        <v>953</v>
      </c>
      <c r="B492" s="143" t="s">
        <v>2725</v>
      </c>
      <c r="C492" s="143" t="s">
        <v>953</v>
      </c>
      <c r="D492" s="143">
        <v>20450359</v>
      </c>
      <c r="E492" s="143" t="s">
        <v>2245</v>
      </c>
      <c r="F492" s="143" t="s">
        <v>984</v>
      </c>
      <c r="G492" s="143" t="s">
        <v>2259</v>
      </c>
      <c r="H492" s="143" t="s">
        <v>2388</v>
      </c>
      <c r="J492" s="144">
        <v>46070</v>
      </c>
      <c r="U492" s="144">
        <v>46070</v>
      </c>
    </row>
    <row r="493" spans="1:21">
      <c r="A493" s="143" t="s">
        <v>953</v>
      </c>
      <c r="B493" s="143" t="s">
        <v>2726</v>
      </c>
      <c r="C493" s="143" t="s">
        <v>953</v>
      </c>
      <c r="D493" s="143">
        <v>20458652</v>
      </c>
      <c r="E493" s="143" t="s">
        <v>2245</v>
      </c>
      <c r="F493" s="143" t="s">
        <v>984</v>
      </c>
      <c r="G493" s="143" t="s">
        <v>2259</v>
      </c>
      <c r="H493" s="143" t="s">
        <v>593</v>
      </c>
      <c r="J493" s="144">
        <v>46080</v>
      </c>
      <c r="U493" s="144">
        <v>46080</v>
      </c>
    </row>
    <row r="494" spans="1:21">
      <c r="A494" s="143" t="s">
        <v>953</v>
      </c>
      <c r="B494" s="143" t="s">
        <v>2727</v>
      </c>
      <c r="C494" s="143" t="s">
        <v>953</v>
      </c>
      <c r="D494" s="143">
        <v>20440260</v>
      </c>
      <c r="E494" s="143" t="s">
        <v>2245</v>
      </c>
      <c r="F494" s="143" t="s">
        <v>2728</v>
      </c>
      <c r="G494" s="143" t="s">
        <v>2259</v>
      </c>
      <c r="H494" s="143" t="s">
        <v>2388</v>
      </c>
      <c r="J494" s="144">
        <v>46056</v>
      </c>
      <c r="U494" s="144">
        <v>46078</v>
      </c>
    </row>
    <row r="495" spans="1:21">
      <c r="A495" s="143" t="s">
        <v>953</v>
      </c>
      <c r="B495" s="143" t="s">
        <v>2729</v>
      </c>
      <c r="C495" s="143" t="s">
        <v>953</v>
      </c>
      <c r="D495" s="143">
        <v>20456835</v>
      </c>
      <c r="E495" s="143" t="s">
        <v>2245</v>
      </c>
      <c r="F495" s="143" t="s">
        <v>984</v>
      </c>
      <c r="G495" s="143" t="s">
        <v>2259</v>
      </c>
      <c r="H495" s="143" t="s">
        <v>2388</v>
      </c>
      <c r="J495" s="144">
        <v>46077</v>
      </c>
      <c r="U495" s="144">
        <v>46077</v>
      </c>
    </row>
    <row r="496" spans="1:21">
      <c r="A496" s="143" t="s">
        <v>953</v>
      </c>
      <c r="B496" s="143" t="s">
        <v>2730</v>
      </c>
      <c r="C496" s="143" t="s">
        <v>953</v>
      </c>
      <c r="D496" s="143">
        <v>20447695</v>
      </c>
      <c r="E496" s="143" t="s">
        <v>2245</v>
      </c>
      <c r="F496" s="143" t="s">
        <v>984</v>
      </c>
      <c r="G496" s="143" t="s">
        <v>2259</v>
      </c>
      <c r="H496" s="143" t="s">
        <v>2388</v>
      </c>
      <c r="J496" s="144">
        <v>46065</v>
      </c>
      <c r="U496" s="144">
        <v>46065</v>
      </c>
    </row>
    <row r="497" spans="1:21">
      <c r="A497" s="143" t="s">
        <v>953</v>
      </c>
      <c r="B497" s="143" t="s">
        <v>2731</v>
      </c>
      <c r="C497" s="143" t="s">
        <v>953</v>
      </c>
      <c r="D497" s="143">
        <v>20446843</v>
      </c>
      <c r="E497" s="143" t="s">
        <v>2245</v>
      </c>
      <c r="F497" s="143" t="s">
        <v>984</v>
      </c>
      <c r="G497" s="143" t="s">
        <v>2259</v>
      </c>
      <c r="H497" s="143" t="s">
        <v>2388</v>
      </c>
      <c r="J497" s="144">
        <v>46064</v>
      </c>
      <c r="U497" s="144">
        <v>46064</v>
      </c>
    </row>
    <row r="498" spans="1:21">
      <c r="A498" s="143" t="s">
        <v>953</v>
      </c>
      <c r="B498" s="143" t="s">
        <v>2732</v>
      </c>
      <c r="C498" s="143" t="s">
        <v>953</v>
      </c>
      <c r="D498" s="143">
        <v>20441170</v>
      </c>
      <c r="E498" s="143" t="s">
        <v>2245</v>
      </c>
      <c r="F498" s="143" t="s">
        <v>581</v>
      </c>
      <c r="G498" s="143" t="s">
        <v>2259</v>
      </c>
      <c r="H498" s="143" t="s">
        <v>592</v>
      </c>
      <c r="J498" s="144">
        <v>46057</v>
      </c>
      <c r="U498" s="144">
        <v>46266</v>
      </c>
    </row>
    <row r="499" spans="1:21">
      <c r="A499" s="143" t="s">
        <v>953</v>
      </c>
      <c r="B499" s="143" t="s">
        <v>2733</v>
      </c>
      <c r="C499" s="143" t="s">
        <v>953</v>
      </c>
      <c r="D499" s="143">
        <v>20446785</v>
      </c>
      <c r="E499" s="143" t="s">
        <v>2245</v>
      </c>
      <c r="F499" s="143" t="s">
        <v>984</v>
      </c>
      <c r="G499" s="143" t="s">
        <v>2259</v>
      </c>
      <c r="H499" s="143" t="s">
        <v>2388</v>
      </c>
      <c r="J499" s="144">
        <v>46064</v>
      </c>
      <c r="U499" s="144">
        <v>46064</v>
      </c>
    </row>
    <row r="500" spans="1:21">
      <c r="A500" s="143" t="s">
        <v>953</v>
      </c>
      <c r="B500" s="143" t="s">
        <v>2734</v>
      </c>
      <c r="C500" s="143" t="s">
        <v>953</v>
      </c>
      <c r="D500" s="143">
        <v>20456374</v>
      </c>
      <c r="E500" s="143" t="s">
        <v>2245</v>
      </c>
      <c r="F500" s="143" t="s">
        <v>984</v>
      </c>
      <c r="G500" s="143" t="s">
        <v>2259</v>
      </c>
      <c r="H500" s="143" t="s">
        <v>2388</v>
      </c>
      <c r="J500" s="144">
        <v>46077</v>
      </c>
      <c r="U500" s="144">
        <v>46077</v>
      </c>
    </row>
    <row r="501" spans="1:21">
      <c r="A501" s="143" t="s">
        <v>953</v>
      </c>
      <c r="B501" s="143" t="s">
        <v>2735</v>
      </c>
      <c r="C501" s="143" t="s">
        <v>953</v>
      </c>
      <c r="D501" s="143">
        <v>20449846</v>
      </c>
      <c r="E501" s="143" t="s">
        <v>2245</v>
      </c>
      <c r="F501" s="143" t="s">
        <v>984</v>
      </c>
      <c r="G501" s="143" t="s">
        <v>2259</v>
      </c>
      <c r="H501" s="143" t="s">
        <v>2388</v>
      </c>
      <c r="J501" s="144">
        <v>46069</v>
      </c>
      <c r="U501" s="144">
        <v>46069</v>
      </c>
    </row>
    <row r="502" spans="1:21">
      <c r="A502" s="143" t="s">
        <v>953</v>
      </c>
      <c r="B502" s="143" t="s">
        <v>2735</v>
      </c>
      <c r="C502" s="143" t="s">
        <v>953</v>
      </c>
      <c r="D502" s="143">
        <v>20442155</v>
      </c>
      <c r="E502" s="143" t="s">
        <v>2245</v>
      </c>
      <c r="F502" s="143" t="s">
        <v>984</v>
      </c>
      <c r="G502" s="143" t="s">
        <v>2259</v>
      </c>
      <c r="H502" s="143" t="s">
        <v>592</v>
      </c>
      <c r="J502" s="144">
        <v>46059</v>
      </c>
      <c r="R502" s="144"/>
      <c r="U502" s="144">
        <v>46074</v>
      </c>
    </row>
    <row r="503" spans="1:21">
      <c r="A503" s="143" t="s">
        <v>953</v>
      </c>
      <c r="B503" s="143" t="s">
        <v>2735</v>
      </c>
      <c r="C503" s="143" t="s">
        <v>953</v>
      </c>
      <c r="D503" s="143">
        <v>20441438</v>
      </c>
      <c r="E503" s="143" t="s">
        <v>2245</v>
      </c>
      <c r="F503" s="143" t="s">
        <v>579</v>
      </c>
      <c r="G503" s="143" t="s">
        <v>2259</v>
      </c>
      <c r="H503" s="143" t="s">
        <v>2388</v>
      </c>
      <c r="J503" s="144">
        <v>46058</v>
      </c>
      <c r="U503" s="144">
        <v>46058</v>
      </c>
    </row>
    <row r="504" spans="1:21">
      <c r="A504" s="143" t="s">
        <v>953</v>
      </c>
      <c r="B504" s="143" t="s">
        <v>2735</v>
      </c>
      <c r="C504" s="143" t="s">
        <v>953</v>
      </c>
      <c r="D504" s="143">
        <v>20442427</v>
      </c>
      <c r="E504" s="143" t="s">
        <v>2245</v>
      </c>
      <c r="F504" s="143" t="s">
        <v>581</v>
      </c>
      <c r="G504" s="143" t="s">
        <v>2259</v>
      </c>
      <c r="H504" s="143" t="s">
        <v>2388</v>
      </c>
      <c r="J504" s="144">
        <v>46059</v>
      </c>
      <c r="U504" s="144">
        <v>46059</v>
      </c>
    </row>
    <row r="505" spans="1:21">
      <c r="A505" s="143" t="s">
        <v>953</v>
      </c>
      <c r="B505" s="143" t="s">
        <v>2735</v>
      </c>
      <c r="C505" s="143" t="s">
        <v>953</v>
      </c>
      <c r="D505" s="143">
        <v>20449931</v>
      </c>
      <c r="E505" s="143" t="s">
        <v>2245</v>
      </c>
      <c r="F505" s="143" t="s">
        <v>984</v>
      </c>
      <c r="G505" s="143" t="s">
        <v>2259</v>
      </c>
      <c r="H505" s="143" t="s">
        <v>592</v>
      </c>
      <c r="J505" s="144">
        <v>46069</v>
      </c>
      <c r="U505" s="144">
        <v>46069</v>
      </c>
    </row>
    <row r="506" spans="1:21">
      <c r="A506" s="143" t="s">
        <v>953</v>
      </c>
      <c r="B506" s="143" t="s">
        <v>2735</v>
      </c>
      <c r="C506" s="143" t="s">
        <v>953</v>
      </c>
      <c r="D506" s="143">
        <v>20412772</v>
      </c>
      <c r="E506" s="143" t="s">
        <v>2258</v>
      </c>
      <c r="F506" s="143" t="s">
        <v>984</v>
      </c>
      <c r="G506" s="143" t="s">
        <v>2259</v>
      </c>
      <c r="H506" s="143" t="s">
        <v>592</v>
      </c>
      <c r="J506" s="144">
        <v>46017</v>
      </c>
      <c r="R506" s="144">
        <v>46056</v>
      </c>
      <c r="U506" s="144">
        <v>46017</v>
      </c>
    </row>
    <row r="507" spans="1:21">
      <c r="A507" s="143" t="s">
        <v>953</v>
      </c>
      <c r="B507" s="143" t="s">
        <v>2735</v>
      </c>
      <c r="C507" s="143" t="s">
        <v>953</v>
      </c>
      <c r="D507" s="143">
        <v>20453628</v>
      </c>
      <c r="E507" s="143" t="s">
        <v>2245</v>
      </c>
      <c r="F507" s="143" t="s">
        <v>984</v>
      </c>
      <c r="G507" s="143" t="s">
        <v>2259</v>
      </c>
      <c r="H507" s="143" t="s">
        <v>2388</v>
      </c>
      <c r="J507" s="144">
        <v>46072</v>
      </c>
      <c r="U507" s="144">
        <v>46072</v>
      </c>
    </row>
    <row r="508" spans="1:21">
      <c r="A508" s="143" t="s">
        <v>953</v>
      </c>
      <c r="B508" s="143" t="s">
        <v>2735</v>
      </c>
      <c r="C508" s="143" t="s">
        <v>953</v>
      </c>
      <c r="D508" s="143">
        <v>20448452</v>
      </c>
      <c r="E508" s="143" t="s">
        <v>2245</v>
      </c>
      <c r="F508" s="143" t="s">
        <v>984</v>
      </c>
      <c r="G508" s="143" t="s">
        <v>2259</v>
      </c>
      <c r="H508" s="143" t="s">
        <v>593</v>
      </c>
      <c r="J508" s="144">
        <v>46066</v>
      </c>
      <c r="U508" s="144">
        <v>46066</v>
      </c>
    </row>
    <row r="509" spans="1:21">
      <c r="A509" s="143" t="s">
        <v>953</v>
      </c>
      <c r="B509" s="143" t="s">
        <v>2735</v>
      </c>
      <c r="C509" s="143" t="s">
        <v>953</v>
      </c>
      <c r="D509" s="143">
        <v>20450466</v>
      </c>
      <c r="E509" s="143" t="s">
        <v>2245</v>
      </c>
      <c r="F509" s="143" t="s">
        <v>984</v>
      </c>
      <c r="G509" s="143" t="s">
        <v>2259</v>
      </c>
      <c r="H509" s="143" t="s">
        <v>2388</v>
      </c>
      <c r="J509" s="144">
        <v>46070</v>
      </c>
      <c r="U509" s="144">
        <v>46096</v>
      </c>
    </row>
    <row r="510" spans="1:21">
      <c r="A510" s="143" t="s">
        <v>953</v>
      </c>
      <c r="B510" s="143" t="s">
        <v>2735</v>
      </c>
      <c r="C510" s="143" t="s">
        <v>953</v>
      </c>
      <c r="D510" s="143">
        <v>20459633</v>
      </c>
      <c r="E510" s="143" t="s">
        <v>2245</v>
      </c>
      <c r="F510" s="143" t="s">
        <v>581</v>
      </c>
      <c r="G510" s="143" t="s">
        <v>2259</v>
      </c>
      <c r="H510" s="143" t="s">
        <v>592</v>
      </c>
      <c r="J510" s="144">
        <v>46081</v>
      </c>
      <c r="U510" s="144">
        <v>46096</v>
      </c>
    </row>
    <row r="511" spans="1:21">
      <c r="A511" s="143" t="s">
        <v>953</v>
      </c>
      <c r="B511" s="143" t="s">
        <v>2735</v>
      </c>
      <c r="C511" s="143" t="s">
        <v>953</v>
      </c>
      <c r="D511" s="143">
        <v>20454324</v>
      </c>
      <c r="E511" s="143" t="s">
        <v>2245</v>
      </c>
      <c r="F511" s="143" t="s">
        <v>984</v>
      </c>
      <c r="G511" s="143" t="s">
        <v>2259</v>
      </c>
      <c r="H511" s="143" t="s">
        <v>592</v>
      </c>
      <c r="J511" s="144">
        <v>46073</v>
      </c>
      <c r="U511" s="144">
        <v>46143</v>
      </c>
    </row>
    <row r="512" spans="1:21">
      <c r="A512" s="143" t="s">
        <v>953</v>
      </c>
      <c r="B512" s="143" t="s">
        <v>2736</v>
      </c>
      <c r="C512" s="143" t="s">
        <v>953</v>
      </c>
      <c r="D512" s="143">
        <v>20454260</v>
      </c>
      <c r="E512" s="143" t="s">
        <v>2245</v>
      </c>
      <c r="F512" s="143" t="s">
        <v>581</v>
      </c>
      <c r="G512" s="143" t="s">
        <v>1213</v>
      </c>
      <c r="H512" s="143" t="s">
        <v>587</v>
      </c>
      <c r="J512" s="144">
        <v>46073</v>
      </c>
      <c r="U512" s="144">
        <v>46142</v>
      </c>
    </row>
    <row r="513" spans="1:21">
      <c r="A513" s="143" t="s">
        <v>953</v>
      </c>
      <c r="B513" s="143" t="s">
        <v>2737</v>
      </c>
      <c r="C513" s="143" t="s">
        <v>953</v>
      </c>
      <c r="D513" s="143">
        <v>20459406</v>
      </c>
      <c r="E513" s="143" t="s">
        <v>2245</v>
      </c>
      <c r="F513" s="143" t="s">
        <v>984</v>
      </c>
      <c r="G513" s="143" t="s">
        <v>2259</v>
      </c>
      <c r="H513" s="143" t="s">
        <v>2388</v>
      </c>
      <c r="J513" s="144">
        <v>46081</v>
      </c>
      <c r="U513" s="144">
        <v>46081</v>
      </c>
    </row>
    <row r="514" spans="1:21">
      <c r="A514" s="143" t="s">
        <v>953</v>
      </c>
      <c r="B514" s="143" t="s">
        <v>2738</v>
      </c>
      <c r="C514" s="143" t="s">
        <v>953</v>
      </c>
      <c r="D514" s="143">
        <v>20447016</v>
      </c>
      <c r="E514" s="143" t="s">
        <v>2245</v>
      </c>
      <c r="F514" s="143" t="s">
        <v>581</v>
      </c>
      <c r="G514" s="143" t="s">
        <v>2259</v>
      </c>
      <c r="H514" s="143" t="s">
        <v>593</v>
      </c>
      <c r="J514" s="144">
        <v>46064</v>
      </c>
      <c r="U514" s="144">
        <v>46064</v>
      </c>
    </row>
    <row r="515" spans="1:21">
      <c r="A515" s="143" t="s">
        <v>953</v>
      </c>
      <c r="B515" s="143" t="s">
        <v>2739</v>
      </c>
      <c r="C515" s="143" t="s">
        <v>953</v>
      </c>
      <c r="D515" s="143">
        <v>20458849</v>
      </c>
      <c r="E515" s="143" t="s">
        <v>2245</v>
      </c>
      <c r="F515" s="143" t="s">
        <v>577</v>
      </c>
      <c r="G515" s="143" t="s">
        <v>2248</v>
      </c>
      <c r="H515" s="143" t="s">
        <v>588</v>
      </c>
      <c r="J515" s="144">
        <v>46080</v>
      </c>
      <c r="U515" s="144">
        <v>46080</v>
      </c>
    </row>
    <row r="516" spans="1:21">
      <c r="A516" s="143" t="s">
        <v>953</v>
      </c>
      <c r="B516" s="143" t="s">
        <v>2740</v>
      </c>
      <c r="C516" s="143" t="s">
        <v>953</v>
      </c>
      <c r="D516" s="143">
        <v>20455758</v>
      </c>
      <c r="E516" s="143" t="s">
        <v>2245</v>
      </c>
      <c r="F516" s="143" t="s">
        <v>984</v>
      </c>
      <c r="G516" s="143" t="s">
        <v>2248</v>
      </c>
      <c r="H516" s="143" t="s">
        <v>588</v>
      </c>
      <c r="J516" s="144">
        <v>46076</v>
      </c>
      <c r="U516" s="144">
        <v>46104</v>
      </c>
    </row>
    <row r="517" spans="1:21">
      <c r="A517" s="143" t="s">
        <v>953</v>
      </c>
      <c r="B517" s="143" t="s">
        <v>2741</v>
      </c>
      <c r="C517" s="143" t="s">
        <v>953</v>
      </c>
      <c r="D517" s="143">
        <v>20441372</v>
      </c>
      <c r="E517" s="143" t="s">
        <v>2245</v>
      </c>
      <c r="F517" s="143" t="s">
        <v>984</v>
      </c>
      <c r="G517" s="143" t="s">
        <v>2246</v>
      </c>
      <c r="H517" s="143" t="s">
        <v>587</v>
      </c>
      <c r="J517" s="144">
        <v>46058</v>
      </c>
      <c r="U517" s="144">
        <v>46068</v>
      </c>
    </row>
    <row r="518" spans="1:21">
      <c r="A518" s="143" t="s">
        <v>953</v>
      </c>
      <c r="B518" s="143" t="s">
        <v>2742</v>
      </c>
      <c r="C518" s="143" t="s">
        <v>953</v>
      </c>
      <c r="D518" s="143">
        <v>20451935</v>
      </c>
      <c r="E518" s="143" t="s">
        <v>2245</v>
      </c>
      <c r="F518" s="143" t="s">
        <v>581</v>
      </c>
      <c r="G518" s="143" t="s">
        <v>2259</v>
      </c>
      <c r="H518" s="143" t="s">
        <v>592</v>
      </c>
      <c r="J518" s="144">
        <v>46071</v>
      </c>
      <c r="U518" s="144">
        <v>46078</v>
      </c>
    </row>
    <row r="519" spans="1:21">
      <c r="A519" s="143" t="s">
        <v>953</v>
      </c>
      <c r="B519" s="143" t="s">
        <v>2742</v>
      </c>
      <c r="C519" s="143" t="s">
        <v>953</v>
      </c>
      <c r="D519" s="143">
        <v>20454209</v>
      </c>
      <c r="E519" s="143" t="s">
        <v>1100</v>
      </c>
      <c r="F519" s="143" t="s">
        <v>1115</v>
      </c>
      <c r="G519" s="143" t="s">
        <v>2250</v>
      </c>
      <c r="H519" s="143" t="s">
        <v>587</v>
      </c>
      <c r="J519" s="144">
        <v>46073</v>
      </c>
      <c r="K519" s="144">
        <v>46073</v>
      </c>
      <c r="U519" s="144">
        <v>46073</v>
      </c>
    </row>
    <row r="520" spans="1:21">
      <c r="A520" s="143" t="s">
        <v>953</v>
      </c>
      <c r="B520" s="143" t="s">
        <v>2743</v>
      </c>
      <c r="C520" s="143" t="s">
        <v>953</v>
      </c>
      <c r="D520" s="143">
        <v>20454211</v>
      </c>
      <c r="E520" s="143" t="s">
        <v>2245</v>
      </c>
      <c r="F520" s="143" t="s">
        <v>577</v>
      </c>
      <c r="G520" s="143" t="s">
        <v>2248</v>
      </c>
      <c r="H520" s="143" t="s">
        <v>588</v>
      </c>
      <c r="I520" s="143" t="s">
        <v>1028</v>
      </c>
      <c r="J520" s="144">
        <v>46073</v>
      </c>
      <c r="U520" s="144">
        <v>46079</v>
      </c>
    </row>
    <row r="521" spans="1:21">
      <c r="A521" s="143" t="s">
        <v>953</v>
      </c>
      <c r="B521" s="143" t="s">
        <v>2744</v>
      </c>
      <c r="C521" s="143" t="s">
        <v>953</v>
      </c>
      <c r="D521" s="143">
        <v>20454551</v>
      </c>
      <c r="E521" s="143" t="s">
        <v>2245</v>
      </c>
      <c r="F521" s="143" t="s">
        <v>984</v>
      </c>
      <c r="G521" s="143" t="s">
        <v>2246</v>
      </c>
      <c r="H521" s="143" t="s">
        <v>587</v>
      </c>
      <c r="J521" s="144">
        <v>46073</v>
      </c>
      <c r="U521" s="144">
        <v>46091</v>
      </c>
    </row>
    <row r="522" spans="1:21">
      <c r="A522" s="143" t="s">
        <v>953</v>
      </c>
      <c r="B522" s="143" t="s">
        <v>994</v>
      </c>
      <c r="C522" s="143" t="s">
        <v>953</v>
      </c>
      <c r="D522" s="143">
        <v>20448359</v>
      </c>
      <c r="E522" s="143" t="s">
        <v>2245</v>
      </c>
      <c r="F522" s="143" t="s">
        <v>578</v>
      </c>
      <c r="G522" s="143" t="s">
        <v>2248</v>
      </c>
      <c r="H522" s="143" t="s">
        <v>592</v>
      </c>
      <c r="J522" s="144">
        <v>46066</v>
      </c>
      <c r="K522" s="144"/>
      <c r="L522" s="144"/>
      <c r="U522" s="144">
        <v>46066</v>
      </c>
    </row>
    <row r="523" spans="1:21">
      <c r="A523" s="143" t="s">
        <v>953</v>
      </c>
      <c r="B523" s="143" t="s">
        <v>994</v>
      </c>
      <c r="C523" s="143" t="s">
        <v>953</v>
      </c>
      <c r="D523" s="143">
        <v>20448354</v>
      </c>
      <c r="E523" s="143" t="s">
        <v>1110</v>
      </c>
      <c r="F523" s="143" t="s">
        <v>578</v>
      </c>
      <c r="G523" s="143" t="s">
        <v>2250</v>
      </c>
      <c r="H523" s="143" t="s">
        <v>587</v>
      </c>
      <c r="I523" s="143" t="s">
        <v>993</v>
      </c>
      <c r="J523" s="144">
        <v>46066</v>
      </c>
      <c r="K523" s="144">
        <v>46066</v>
      </c>
      <c r="L523" s="144">
        <v>46066</v>
      </c>
      <c r="U523" s="144">
        <v>46087</v>
      </c>
    </row>
    <row r="524" spans="1:21">
      <c r="A524" s="143" t="s">
        <v>953</v>
      </c>
      <c r="B524" s="143" t="s">
        <v>2745</v>
      </c>
      <c r="C524" s="143" t="s">
        <v>953</v>
      </c>
      <c r="D524" s="143">
        <v>20441380</v>
      </c>
      <c r="E524" s="143" t="s">
        <v>2245</v>
      </c>
      <c r="F524" s="143" t="s">
        <v>984</v>
      </c>
      <c r="G524" s="143" t="s">
        <v>2246</v>
      </c>
      <c r="H524" s="143" t="s">
        <v>587</v>
      </c>
      <c r="J524" s="144">
        <v>46058</v>
      </c>
      <c r="U524" s="144">
        <v>46127</v>
      </c>
    </row>
    <row r="525" spans="1:21">
      <c r="A525" s="143" t="s">
        <v>953</v>
      </c>
      <c r="B525" s="143" t="s">
        <v>2746</v>
      </c>
      <c r="C525" s="143" t="s">
        <v>953</v>
      </c>
      <c r="D525" s="143">
        <v>20454855</v>
      </c>
      <c r="E525" s="143" t="s">
        <v>2245</v>
      </c>
      <c r="F525" s="143" t="s">
        <v>579</v>
      </c>
      <c r="G525" s="143" t="s">
        <v>2248</v>
      </c>
      <c r="H525" s="143" t="s">
        <v>588</v>
      </c>
      <c r="J525" s="144">
        <v>46074</v>
      </c>
      <c r="U525" s="144">
        <v>46074</v>
      </c>
    </row>
    <row r="526" spans="1:21">
      <c r="A526" s="143" t="s">
        <v>953</v>
      </c>
      <c r="B526" s="143" t="s">
        <v>2747</v>
      </c>
      <c r="C526" s="143" t="s">
        <v>953</v>
      </c>
      <c r="D526" s="143">
        <v>20440412</v>
      </c>
      <c r="E526" s="143" t="s">
        <v>1100</v>
      </c>
      <c r="F526" s="143" t="s">
        <v>578</v>
      </c>
      <c r="G526" s="143" t="s">
        <v>1213</v>
      </c>
      <c r="H526" s="143" t="s">
        <v>588</v>
      </c>
      <c r="I526" s="143" t="s">
        <v>894</v>
      </c>
      <c r="J526" s="144">
        <v>46056</v>
      </c>
      <c r="K526" s="144">
        <v>46056</v>
      </c>
      <c r="U526" s="144">
        <v>46081</v>
      </c>
    </row>
    <row r="527" spans="1:21">
      <c r="A527" s="143" t="s">
        <v>953</v>
      </c>
      <c r="B527" s="143" t="s">
        <v>1121</v>
      </c>
      <c r="C527" s="143" t="s">
        <v>953</v>
      </c>
      <c r="D527" s="143">
        <v>20453249</v>
      </c>
      <c r="E527" s="143" t="s">
        <v>1110</v>
      </c>
      <c r="F527" s="143" t="s">
        <v>579</v>
      </c>
      <c r="G527" s="143" t="s">
        <v>2250</v>
      </c>
      <c r="H527" s="143" t="s">
        <v>589</v>
      </c>
      <c r="I527" s="143" t="s">
        <v>1120</v>
      </c>
      <c r="J527" s="144">
        <v>46072</v>
      </c>
      <c r="K527" s="144">
        <v>46072</v>
      </c>
      <c r="L527" s="144">
        <v>46072</v>
      </c>
      <c r="U527" s="144">
        <v>46086</v>
      </c>
    </row>
    <row r="528" spans="1:21">
      <c r="A528" s="143" t="s">
        <v>953</v>
      </c>
      <c r="B528" s="143" t="s">
        <v>2748</v>
      </c>
      <c r="C528" s="143" t="s">
        <v>953</v>
      </c>
      <c r="D528" s="143">
        <v>20452419</v>
      </c>
      <c r="E528" s="143" t="s">
        <v>1110</v>
      </c>
      <c r="F528" s="143" t="s">
        <v>2256</v>
      </c>
      <c r="G528" s="143" t="s">
        <v>2248</v>
      </c>
      <c r="H528" s="143" t="s">
        <v>589</v>
      </c>
      <c r="I528" s="143" t="s">
        <v>1630</v>
      </c>
      <c r="J528" s="144">
        <v>46071</v>
      </c>
      <c r="K528" s="144">
        <v>46073</v>
      </c>
      <c r="L528" s="144">
        <v>46073</v>
      </c>
      <c r="U528" s="144">
        <v>46081</v>
      </c>
    </row>
    <row r="529" spans="1:21">
      <c r="A529" s="143" t="s">
        <v>953</v>
      </c>
      <c r="B529" s="143" t="s">
        <v>2749</v>
      </c>
      <c r="C529" s="143" t="s">
        <v>953</v>
      </c>
      <c r="D529" s="143">
        <v>20450711</v>
      </c>
      <c r="E529" s="143" t="s">
        <v>2245</v>
      </c>
      <c r="F529" s="143" t="s">
        <v>578</v>
      </c>
      <c r="G529" s="143" t="s">
        <v>2248</v>
      </c>
      <c r="H529" s="143" t="s">
        <v>592</v>
      </c>
      <c r="J529" s="144">
        <v>46070</v>
      </c>
      <c r="U529" s="144">
        <v>46070</v>
      </c>
    </row>
    <row r="530" spans="1:21">
      <c r="A530" s="143" t="s">
        <v>953</v>
      </c>
      <c r="B530" s="143" t="s">
        <v>2750</v>
      </c>
      <c r="C530" s="143" t="s">
        <v>953</v>
      </c>
      <c r="D530" s="143">
        <v>20453601</v>
      </c>
      <c r="E530" s="143" t="s">
        <v>1100</v>
      </c>
      <c r="F530" s="143" t="s">
        <v>1115</v>
      </c>
      <c r="G530" s="143" t="s">
        <v>2250</v>
      </c>
      <c r="H530" s="143" t="s">
        <v>587</v>
      </c>
      <c r="J530" s="144">
        <v>46072</v>
      </c>
      <c r="K530" s="144">
        <v>46072</v>
      </c>
      <c r="U530" s="144">
        <v>46072</v>
      </c>
    </row>
    <row r="531" spans="1:21">
      <c r="A531" s="143" t="s">
        <v>953</v>
      </c>
      <c r="B531" s="143" t="s">
        <v>2751</v>
      </c>
      <c r="C531" s="143" t="s">
        <v>953</v>
      </c>
      <c r="D531" s="143">
        <v>20442786</v>
      </c>
      <c r="E531" s="143" t="s">
        <v>2245</v>
      </c>
      <c r="F531" s="143" t="s">
        <v>581</v>
      </c>
      <c r="G531" s="143" t="s">
        <v>2248</v>
      </c>
      <c r="H531" s="143" t="s">
        <v>592</v>
      </c>
      <c r="J531" s="144">
        <v>46060</v>
      </c>
      <c r="U531" s="144">
        <v>46235</v>
      </c>
    </row>
    <row r="532" spans="1:21">
      <c r="A532" s="143" t="s">
        <v>953</v>
      </c>
      <c r="B532" s="143" t="s">
        <v>2752</v>
      </c>
      <c r="C532" s="143" t="s">
        <v>953</v>
      </c>
      <c r="D532" s="143">
        <v>20459601</v>
      </c>
      <c r="E532" s="143" t="s">
        <v>2245</v>
      </c>
      <c r="F532" s="143" t="s">
        <v>984</v>
      </c>
      <c r="G532" s="143" t="s">
        <v>2259</v>
      </c>
      <c r="H532" s="143" t="s">
        <v>2388</v>
      </c>
      <c r="J532" s="144">
        <v>46081</v>
      </c>
      <c r="U532" s="144">
        <v>46081</v>
      </c>
    </row>
    <row r="533" spans="1:21">
      <c r="A533" s="143" t="s">
        <v>953</v>
      </c>
      <c r="B533" s="143" t="s">
        <v>1112</v>
      </c>
      <c r="C533" s="143" t="s">
        <v>953</v>
      </c>
      <c r="D533" s="143">
        <v>20443508</v>
      </c>
      <c r="E533" s="143" t="s">
        <v>1100</v>
      </c>
      <c r="F533" s="143" t="s">
        <v>984</v>
      </c>
      <c r="G533" s="143" t="s">
        <v>2259</v>
      </c>
      <c r="H533" s="143" t="s">
        <v>592</v>
      </c>
      <c r="I533" s="143" t="s">
        <v>1111</v>
      </c>
      <c r="J533" s="144">
        <v>46062</v>
      </c>
      <c r="K533" s="144">
        <v>46062</v>
      </c>
      <c r="U533" s="144">
        <v>46088</v>
      </c>
    </row>
    <row r="534" spans="1:21">
      <c r="A534" s="143" t="s">
        <v>953</v>
      </c>
      <c r="B534" s="143" t="s">
        <v>2753</v>
      </c>
      <c r="C534" s="143" t="s">
        <v>953</v>
      </c>
      <c r="D534" s="143">
        <v>20450207</v>
      </c>
      <c r="E534" s="143" t="s">
        <v>2245</v>
      </c>
      <c r="F534" s="143" t="s">
        <v>984</v>
      </c>
      <c r="G534" s="143" t="s">
        <v>2259</v>
      </c>
      <c r="H534" s="143" t="s">
        <v>587</v>
      </c>
      <c r="J534" s="144">
        <v>46070</v>
      </c>
      <c r="U534" s="144">
        <v>46257</v>
      </c>
    </row>
    <row r="535" spans="1:21">
      <c r="A535" s="143" t="s">
        <v>953</v>
      </c>
      <c r="B535" s="143" t="s">
        <v>2754</v>
      </c>
      <c r="C535" s="143" t="s">
        <v>953</v>
      </c>
      <c r="D535" s="143">
        <v>20448753</v>
      </c>
      <c r="E535" s="143" t="s">
        <v>2245</v>
      </c>
      <c r="F535" s="143" t="s">
        <v>984</v>
      </c>
      <c r="G535" s="143" t="s">
        <v>1213</v>
      </c>
      <c r="H535" s="143" t="s">
        <v>587</v>
      </c>
      <c r="J535" s="144">
        <v>46066</v>
      </c>
      <c r="U535" s="144">
        <v>46081</v>
      </c>
    </row>
    <row r="536" spans="1:21">
      <c r="A536" s="143" t="s">
        <v>953</v>
      </c>
      <c r="B536" s="143" t="s">
        <v>2755</v>
      </c>
      <c r="C536" s="143" t="s">
        <v>953</v>
      </c>
      <c r="D536" s="143">
        <v>20453655</v>
      </c>
      <c r="E536" s="143" t="s">
        <v>2245</v>
      </c>
      <c r="F536" s="143" t="s">
        <v>984</v>
      </c>
      <c r="G536" s="143" t="s">
        <v>2246</v>
      </c>
      <c r="H536" s="143" t="s">
        <v>587</v>
      </c>
      <c r="J536" s="144">
        <v>46072</v>
      </c>
      <c r="U536" s="144">
        <v>46211</v>
      </c>
    </row>
    <row r="537" spans="1:21">
      <c r="A537" s="143" t="s">
        <v>953</v>
      </c>
      <c r="B537" s="143" t="s">
        <v>2756</v>
      </c>
      <c r="C537" s="143" t="s">
        <v>953</v>
      </c>
      <c r="D537" s="143">
        <v>20448865</v>
      </c>
      <c r="E537" s="143" t="s">
        <v>2245</v>
      </c>
      <c r="F537" s="143" t="s">
        <v>984</v>
      </c>
      <c r="G537" s="143" t="s">
        <v>1213</v>
      </c>
      <c r="H537" s="143" t="s">
        <v>587</v>
      </c>
      <c r="J537" s="144">
        <v>46067</v>
      </c>
      <c r="U537" s="144">
        <v>46084</v>
      </c>
    </row>
    <row r="538" spans="1:21">
      <c r="A538" s="143" t="s">
        <v>953</v>
      </c>
      <c r="B538" s="143" t="s">
        <v>2757</v>
      </c>
      <c r="C538" s="143" t="s">
        <v>953</v>
      </c>
      <c r="D538" s="143">
        <v>20437530</v>
      </c>
      <c r="E538" s="143" t="s">
        <v>2252</v>
      </c>
      <c r="F538" s="143" t="s">
        <v>577</v>
      </c>
      <c r="G538" s="143" t="s">
        <v>2250</v>
      </c>
      <c r="H538" s="143" t="s">
        <v>587</v>
      </c>
      <c r="I538" s="143" t="s">
        <v>1147</v>
      </c>
      <c r="J538" s="144">
        <v>46052</v>
      </c>
      <c r="K538" s="144">
        <v>46052</v>
      </c>
      <c r="L538" s="144">
        <v>46052</v>
      </c>
      <c r="R538" s="144">
        <v>46070</v>
      </c>
      <c r="U538" s="144">
        <v>46069</v>
      </c>
    </row>
    <row r="539" spans="1:21">
      <c r="A539" s="143" t="s">
        <v>953</v>
      </c>
      <c r="B539" s="143" t="s">
        <v>2757</v>
      </c>
      <c r="C539" s="143" t="s">
        <v>953</v>
      </c>
      <c r="D539" s="143">
        <v>20436335</v>
      </c>
      <c r="E539" s="143" t="s">
        <v>2252</v>
      </c>
      <c r="F539" s="143" t="s">
        <v>577</v>
      </c>
      <c r="G539" s="143" t="s">
        <v>2259</v>
      </c>
      <c r="H539" s="143" t="s">
        <v>592</v>
      </c>
      <c r="I539" s="143" t="s">
        <v>1138</v>
      </c>
      <c r="J539" s="144">
        <v>46050</v>
      </c>
      <c r="K539" s="144">
        <v>46052</v>
      </c>
      <c r="L539" s="144">
        <v>46052</v>
      </c>
      <c r="S539" s="144">
        <v>46065</v>
      </c>
      <c r="U539" s="144">
        <v>46069</v>
      </c>
    </row>
    <row r="540" spans="1:21">
      <c r="A540" s="143" t="s">
        <v>953</v>
      </c>
      <c r="B540" s="143" t="s">
        <v>2758</v>
      </c>
      <c r="C540" s="143" t="s">
        <v>953</v>
      </c>
      <c r="D540" s="143">
        <v>20444597</v>
      </c>
      <c r="E540" s="143" t="s">
        <v>2245</v>
      </c>
      <c r="F540" s="143" t="s">
        <v>581</v>
      </c>
      <c r="G540" s="143" t="s">
        <v>1213</v>
      </c>
      <c r="H540" s="143" t="s">
        <v>587</v>
      </c>
      <c r="J540" s="144">
        <v>46063</v>
      </c>
      <c r="U540" s="144">
        <v>46327</v>
      </c>
    </row>
    <row r="541" spans="1:21">
      <c r="A541" s="143" t="s">
        <v>953</v>
      </c>
      <c r="B541" s="143" t="s">
        <v>2759</v>
      </c>
      <c r="C541" s="143" t="s">
        <v>953</v>
      </c>
      <c r="D541" s="143">
        <v>20414286</v>
      </c>
      <c r="E541" s="143" t="s">
        <v>2258</v>
      </c>
      <c r="F541" s="143" t="s">
        <v>984</v>
      </c>
      <c r="G541" s="143" t="s">
        <v>2246</v>
      </c>
      <c r="H541" s="143" t="s">
        <v>2412</v>
      </c>
      <c r="J541" s="144">
        <v>46020</v>
      </c>
      <c r="R541" s="144">
        <v>46055</v>
      </c>
      <c r="U541" s="144">
        <v>46020</v>
      </c>
    </row>
    <row r="542" spans="1:21">
      <c r="A542" s="143" t="s">
        <v>953</v>
      </c>
      <c r="B542" s="143" t="s">
        <v>2760</v>
      </c>
      <c r="C542" s="143" t="s">
        <v>953</v>
      </c>
      <c r="D542" s="143">
        <v>20448685</v>
      </c>
      <c r="E542" s="143" t="s">
        <v>2245</v>
      </c>
      <c r="F542" s="143" t="s">
        <v>984</v>
      </c>
      <c r="G542" s="143" t="s">
        <v>2246</v>
      </c>
      <c r="H542" s="143" t="s">
        <v>587</v>
      </c>
      <c r="J542" s="144">
        <v>46066</v>
      </c>
      <c r="U542" s="144">
        <v>46296</v>
      </c>
    </row>
    <row r="543" spans="1:21">
      <c r="A543" s="143" t="s">
        <v>953</v>
      </c>
      <c r="B543" s="143" t="s">
        <v>2761</v>
      </c>
      <c r="C543" s="143" t="s">
        <v>953</v>
      </c>
      <c r="D543" s="143">
        <v>20445911</v>
      </c>
      <c r="E543" s="143" t="s">
        <v>2245</v>
      </c>
      <c r="F543" s="143" t="s">
        <v>581</v>
      </c>
      <c r="G543" s="143" t="s">
        <v>1213</v>
      </c>
      <c r="H543" s="143" t="s">
        <v>587</v>
      </c>
      <c r="J543" s="144">
        <v>46064</v>
      </c>
      <c r="U543" s="144">
        <v>46101</v>
      </c>
    </row>
    <row r="544" spans="1:21">
      <c r="A544" s="143" t="s">
        <v>953</v>
      </c>
      <c r="B544" s="143" t="s">
        <v>2762</v>
      </c>
      <c r="C544" s="143" t="s">
        <v>953</v>
      </c>
      <c r="D544" s="143">
        <v>20441366</v>
      </c>
      <c r="E544" s="143" t="s">
        <v>1110</v>
      </c>
      <c r="F544" s="143" t="s">
        <v>577</v>
      </c>
      <c r="G544" s="143" t="s">
        <v>2250</v>
      </c>
      <c r="H544" s="143" t="s">
        <v>587</v>
      </c>
      <c r="I544" s="143" t="s">
        <v>563</v>
      </c>
      <c r="J544" s="144">
        <v>46058</v>
      </c>
      <c r="K544" s="144">
        <v>46058</v>
      </c>
      <c r="L544" s="144">
        <v>46058</v>
      </c>
      <c r="U544" s="144">
        <v>46088</v>
      </c>
    </row>
    <row r="545" spans="1:21">
      <c r="A545" s="143" t="s">
        <v>953</v>
      </c>
      <c r="B545" s="143" t="s">
        <v>2763</v>
      </c>
      <c r="C545" s="143" t="s">
        <v>953</v>
      </c>
      <c r="D545" s="143">
        <v>20455030</v>
      </c>
      <c r="E545" s="143" t="s">
        <v>2245</v>
      </c>
      <c r="F545" s="143" t="s">
        <v>984</v>
      </c>
      <c r="G545" s="143" t="s">
        <v>2246</v>
      </c>
      <c r="H545" s="143" t="s">
        <v>587</v>
      </c>
      <c r="J545" s="144">
        <v>46074</v>
      </c>
      <c r="U545" s="144">
        <v>46106</v>
      </c>
    </row>
    <row r="546" spans="1:21">
      <c r="A546" s="143" t="s">
        <v>953</v>
      </c>
      <c r="B546" s="143" t="s">
        <v>2764</v>
      </c>
      <c r="C546" s="143" t="s">
        <v>953</v>
      </c>
      <c r="D546" s="143">
        <v>20432306</v>
      </c>
      <c r="E546" s="143" t="s">
        <v>2324</v>
      </c>
      <c r="F546" s="143" t="s">
        <v>577</v>
      </c>
      <c r="G546" s="143" t="s">
        <v>2250</v>
      </c>
      <c r="H546" s="143" t="s">
        <v>2765</v>
      </c>
      <c r="I546" s="143" t="s">
        <v>2766</v>
      </c>
      <c r="J546" s="144">
        <v>46044</v>
      </c>
      <c r="K546" s="144">
        <v>46044</v>
      </c>
      <c r="L546" s="144">
        <v>46044</v>
      </c>
      <c r="M546" s="144">
        <v>46058</v>
      </c>
      <c r="N546" s="144">
        <v>46059</v>
      </c>
      <c r="O546" s="144">
        <v>46059</v>
      </c>
      <c r="P546" s="144">
        <v>46059</v>
      </c>
      <c r="Q546" s="144">
        <v>46059</v>
      </c>
      <c r="U546" s="144">
        <v>46060</v>
      </c>
    </row>
    <row r="547" spans="1:21">
      <c r="A547" s="143" t="s">
        <v>953</v>
      </c>
      <c r="B547" s="143" t="s">
        <v>2767</v>
      </c>
      <c r="C547" s="143" t="s">
        <v>953</v>
      </c>
      <c r="D547" s="143">
        <v>20458281</v>
      </c>
      <c r="E547" s="143" t="s">
        <v>2245</v>
      </c>
      <c r="F547" s="143" t="s">
        <v>579</v>
      </c>
      <c r="G547" s="143" t="s">
        <v>2248</v>
      </c>
      <c r="H547" s="143" t="s">
        <v>592</v>
      </c>
      <c r="J547" s="144">
        <v>46079</v>
      </c>
      <c r="U547" s="144">
        <v>46079</v>
      </c>
    </row>
    <row r="548" spans="1:21">
      <c r="A548" s="143" t="s">
        <v>953</v>
      </c>
      <c r="B548" s="143" t="s">
        <v>2768</v>
      </c>
      <c r="C548" s="143" t="s">
        <v>953</v>
      </c>
      <c r="D548" s="143">
        <v>20423935</v>
      </c>
      <c r="E548" s="143" t="s">
        <v>2324</v>
      </c>
      <c r="F548" s="143" t="s">
        <v>578</v>
      </c>
      <c r="G548" s="143" t="s">
        <v>2250</v>
      </c>
      <c r="H548" s="143" t="s">
        <v>587</v>
      </c>
      <c r="I548" s="143" t="s">
        <v>2769</v>
      </c>
      <c r="J548" s="144">
        <v>46035</v>
      </c>
      <c r="K548" s="144">
        <v>46035</v>
      </c>
      <c r="L548" s="144">
        <v>46037</v>
      </c>
      <c r="M548" s="144">
        <v>46052</v>
      </c>
      <c r="N548" s="144">
        <v>46052</v>
      </c>
      <c r="P548" s="144">
        <v>46053</v>
      </c>
      <c r="Q548" s="144">
        <v>46054</v>
      </c>
      <c r="U548" s="144">
        <v>46083</v>
      </c>
    </row>
    <row r="549" spans="1:21">
      <c r="A549" s="143" t="s">
        <v>953</v>
      </c>
      <c r="B549" s="143" t="s">
        <v>2770</v>
      </c>
      <c r="C549" s="143" t="s">
        <v>953</v>
      </c>
      <c r="D549" s="143">
        <v>20441630</v>
      </c>
      <c r="E549" s="143" t="s">
        <v>1110</v>
      </c>
      <c r="F549" s="143" t="s">
        <v>578</v>
      </c>
      <c r="G549" s="143" t="s">
        <v>2259</v>
      </c>
      <c r="H549" s="143" t="s">
        <v>593</v>
      </c>
      <c r="I549" s="143" t="s">
        <v>2771</v>
      </c>
      <c r="J549" s="144">
        <v>46058</v>
      </c>
      <c r="K549" s="144">
        <v>46059</v>
      </c>
      <c r="L549" s="144">
        <v>46062</v>
      </c>
      <c r="U549" s="144">
        <v>46088</v>
      </c>
    </row>
    <row r="550" spans="1:21">
      <c r="A550" s="143" t="s">
        <v>953</v>
      </c>
      <c r="B550" s="143" t="s">
        <v>2770</v>
      </c>
      <c r="C550" s="143" t="s">
        <v>953</v>
      </c>
      <c r="D550" s="143">
        <v>20442431</v>
      </c>
      <c r="E550" s="143" t="s">
        <v>2252</v>
      </c>
      <c r="F550" s="143" t="s">
        <v>984</v>
      </c>
      <c r="G550" s="143" t="s">
        <v>2250</v>
      </c>
      <c r="H550" s="143" t="s">
        <v>593</v>
      </c>
      <c r="I550" s="143" t="s">
        <v>1705</v>
      </c>
      <c r="J550" s="144">
        <v>46059</v>
      </c>
      <c r="K550" s="144">
        <v>46059</v>
      </c>
      <c r="L550" s="144">
        <v>46066</v>
      </c>
      <c r="R550" s="144">
        <v>46070</v>
      </c>
      <c r="U550" s="144">
        <v>46081</v>
      </c>
    </row>
    <row r="551" spans="1:21">
      <c r="A551" s="143" t="s">
        <v>953</v>
      </c>
      <c r="B551" s="143" t="s">
        <v>2772</v>
      </c>
      <c r="C551" s="143" t="s">
        <v>953</v>
      </c>
      <c r="D551" s="143">
        <v>20444194</v>
      </c>
      <c r="E551" s="143" t="s">
        <v>2245</v>
      </c>
      <c r="F551" s="143" t="s">
        <v>581</v>
      </c>
      <c r="G551" s="143" t="s">
        <v>1213</v>
      </c>
      <c r="H551" s="143" t="s">
        <v>587</v>
      </c>
      <c r="J551" s="144">
        <v>46063</v>
      </c>
      <c r="U551" s="144">
        <v>46072</v>
      </c>
    </row>
    <row r="552" spans="1:21">
      <c r="A552" s="143" t="s">
        <v>953</v>
      </c>
      <c r="B552" s="143" t="s">
        <v>2773</v>
      </c>
      <c r="C552" s="143" t="s">
        <v>953</v>
      </c>
      <c r="D552" s="143">
        <v>20446002</v>
      </c>
      <c r="E552" s="143" t="s">
        <v>2245</v>
      </c>
      <c r="F552" s="143" t="s">
        <v>581</v>
      </c>
      <c r="G552" s="143" t="s">
        <v>2259</v>
      </c>
      <c r="H552" s="143" t="s">
        <v>593</v>
      </c>
      <c r="I552" s="143" t="s">
        <v>1128</v>
      </c>
      <c r="J552" s="144">
        <v>46064</v>
      </c>
      <c r="U552" s="144">
        <v>46065</v>
      </c>
    </row>
    <row r="553" spans="1:21">
      <c r="A553" s="143" t="s">
        <v>953</v>
      </c>
      <c r="B553" s="143" t="s">
        <v>2774</v>
      </c>
      <c r="C553" s="143" t="s">
        <v>953</v>
      </c>
      <c r="D553" s="143">
        <v>20446362</v>
      </c>
      <c r="E553" s="143" t="s">
        <v>2245</v>
      </c>
      <c r="F553" s="143" t="s">
        <v>581</v>
      </c>
      <c r="G553" s="143" t="s">
        <v>2259</v>
      </c>
      <c r="H553" s="143" t="s">
        <v>587</v>
      </c>
      <c r="J553" s="144">
        <v>46064</v>
      </c>
      <c r="U553" s="144">
        <v>46124</v>
      </c>
    </row>
    <row r="554" spans="1:21">
      <c r="A554" s="143" t="s">
        <v>953</v>
      </c>
      <c r="B554" s="143" t="s">
        <v>1129</v>
      </c>
      <c r="C554" s="143" t="s">
        <v>953</v>
      </c>
      <c r="D554" s="143">
        <v>20458554</v>
      </c>
      <c r="E554" s="143" t="s">
        <v>1110</v>
      </c>
      <c r="F554" s="143" t="s">
        <v>577</v>
      </c>
      <c r="G554" s="143" t="s">
        <v>2250</v>
      </c>
      <c r="H554" s="143" t="s">
        <v>588</v>
      </c>
      <c r="I554" s="143" t="s">
        <v>1128</v>
      </c>
      <c r="J554" s="144">
        <v>46079</v>
      </c>
      <c r="K554" s="144">
        <v>46079</v>
      </c>
      <c r="L554" s="144">
        <v>46079</v>
      </c>
      <c r="U554" s="144">
        <v>46094</v>
      </c>
    </row>
    <row r="555" spans="1:21">
      <c r="A555" s="143" t="s">
        <v>953</v>
      </c>
      <c r="B555" s="143" t="s">
        <v>1129</v>
      </c>
      <c r="C555" s="143" t="s">
        <v>953</v>
      </c>
      <c r="D555" s="143">
        <v>20457272</v>
      </c>
      <c r="E555" s="143" t="s">
        <v>2245</v>
      </c>
      <c r="F555" s="143" t="s">
        <v>582</v>
      </c>
      <c r="G555" s="143" t="s">
        <v>2248</v>
      </c>
      <c r="H555" s="143" t="s">
        <v>588</v>
      </c>
      <c r="J555" s="144">
        <v>46078</v>
      </c>
      <c r="U555" s="144">
        <v>46078</v>
      </c>
    </row>
    <row r="556" spans="1:21">
      <c r="A556" s="143" t="s">
        <v>953</v>
      </c>
      <c r="B556" s="143" t="s">
        <v>2775</v>
      </c>
      <c r="C556" s="143" t="s">
        <v>953</v>
      </c>
      <c r="D556" s="143">
        <v>20452600</v>
      </c>
      <c r="E556" s="143" t="s">
        <v>2245</v>
      </c>
      <c r="F556" s="143" t="s">
        <v>581</v>
      </c>
      <c r="G556" s="143" t="s">
        <v>2290</v>
      </c>
      <c r="H556" s="143" t="s">
        <v>591</v>
      </c>
      <c r="J556" s="144">
        <v>46071</v>
      </c>
      <c r="U556" s="144">
        <v>46071</v>
      </c>
    </row>
    <row r="557" spans="1:21">
      <c r="A557" s="143" t="s">
        <v>953</v>
      </c>
      <c r="B557" s="143" t="s">
        <v>2776</v>
      </c>
      <c r="C557" s="143" t="s">
        <v>953</v>
      </c>
      <c r="D557" s="143">
        <v>20443263</v>
      </c>
      <c r="E557" s="143" t="s">
        <v>2245</v>
      </c>
      <c r="F557" s="143" t="s">
        <v>984</v>
      </c>
      <c r="G557" s="143" t="s">
        <v>2246</v>
      </c>
      <c r="H557" s="143" t="s">
        <v>587</v>
      </c>
      <c r="J557" s="144">
        <v>46061</v>
      </c>
      <c r="U557" s="144">
        <v>46143</v>
      </c>
    </row>
    <row r="558" spans="1:21">
      <c r="A558" s="143" t="s">
        <v>953</v>
      </c>
      <c r="B558" s="143" t="s">
        <v>2777</v>
      </c>
      <c r="C558" s="143" t="s">
        <v>953</v>
      </c>
      <c r="D558" s="143">
        <v>20447944</v>
      </c>
      <c r="E558" s="143" t="s">
        <v>2252</v>
      </c>
      <c r="F558" s="143" t="s">
        <v>577</v>
      </c>
      <c r="G558" s="143" t="s">
        <v>2250</v>
      </c>
      <c r="H558" s="143" t="s">
        <v>587</v>
      </c>
      <c r="I558" s="143" t="s">
        <v>1169</v>
      </c>
      <c r="J558" s="144">
        <v>46065</v>
      </c>
      <c r="K558" s="144">
        <v>46065</v>
      </c>
      <c r="L558" s="144">
        <v>46066</v>
      </c>
      <c r="R558" s="144">
        <v>46079</v>
      </c>
      <c r="U558" s="144">
        <v>46080</v>
      </c>
    </row>
    <row r="559" spans="1:21">
      <c r="A559" s="143" t="s">
        <v>953</v>
      </c>
      <c r="B559" s="143" t="s">
        <v>2778</v>
      </c>
      <c r="C559" s="143" t="s">
        <v>953</v>
      </c>
      <c r="D559" s="143">
        <v>20443599</v>
      </c>
      <c r="E559" s="143" t="s">
        <v>2245</v>
      </c>
      <c r="F559" s="143" t="s">
        <v>984</v>
      </c>
      <c r="G559" s="143" t="s">
        <v>2259</v>
      </c>
      <c r="H559" s="143" t="s">
        <v>592</v>
      </c>
      <c r="J559" s="144">
        <v>46062</v>
      </c>
      <c r="U559" s="144">
        <v>46076</v>
      </c>
    </row>
    <row r="560" spans="1:21">
      <c r="A560" s="143" t="s">
        <v>953</v>
      </c>
      <c r="B560" s="143" t="s">
        <v>2779</v>
      </c>
      <c r="C560" s="143" t="s">
        <v>953</v>
      </c>
      <c r="D560" s="143">
        <v>20442975</v>
      </c>
      <c r="E560" s="143" t="s">
        <v>2258</v>
      </c>
      <c r="F560" s="143" t="s">
        <v>577</v>
      </c>
      <c r="G560" s="143" t="s">
        <v>2248</v>
      </c>
      <c r="H560" s="143" t="s">
        <v>588</v>
      </c>
      <c r="I560" s="143" t="s">
        <v>1034</v>
      </c>
      <c r="J560" s="144">
        <v>46060</v>
      </c>
      <c r="R560" s="144">
        <v>46060</v>
      </c>
      <c r="U560" s="144">
        <v>46080</v>
      </c>
    </row>
    <row r="561" spans="1:21">
      <c r="A561" s="143" t="s">
        <v>953</v>
      </c>
      <c r="B561" s="143" t="s">
        <v>2780</v>
      </c>
      <c r="C561" s="143" t="s">
        <v>953</v>
      </c>
      <c r="D561" s="143">
        <v>20456345</v>
      </c>
      <c r="E561" s="143" t="s">
        <v>1104</v>
      </c>
      <c r="F561" s="143" t="s">
        <v>578</v>
      </c>
      <c r="G561" s="143" t="s">
        <v>2259</v>
      </c>
      <c r="H561" s="143" t="s">
        <v>592</v>
      </c>
      <c r="I561" s="143" t="s">
        <v>1007</v>
      </c>
      <c r="J561" s="144">
        <v>46077</v>
      </c>
      <c r="K561" s="144">
        <v>46077</v>
      </c>
      <c r="L561" s="144">
        <v>46077</v>
      </c>
      <c r="U561" s="144">
        <v>46088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FFE3F-2D48-47AC-A55C-4E3A75E569CB}">
  <sheetPr>
    <tabColor theme="6" tint="-0.499984740745262"/>
  </sheetPr>
  <dimension ref="A1:U628"/>
  <sheetViews>
    <sheetView workbookViewId="0">
      <selection activeCell="D11" sqref="D11"/>
    </sheetView>
  </sheetViews>
  <sheetFormatPr defaultRowHeight="14.5"/>
  <sheetData>
    <row r="1" spans="1:21">
      <c r="A1" t="s">
        <v>2234</v>
      </c>
      <c r="B1" t="s">
        <v>963</v>
      </c>
      <c r="C1" t="s">
        <v>1536</v>
      </c>
      <c r="D1" t="s">
        <v>2235</v>
      </c>
      <c r="E1" t="s">
        <v>340</v>
      </c>
      <c r="F1" t="s">
        <v>573</v>
      </c>
      <c r="G1" t="s">
        <v>2236</v>
      </c>
      <c r="H1" t="s">
        <v>556</v>
      </c>
      <c r="I1" t="s">
        <v>962</v>
      </c>
      <c r="J1" t="s">
        <v>2237</v>
      </c>
      <c r="K1" t="s">
        <v>2238</v>
      </c>
      <c r="L1" t="s">
        <v>1527</v>
      </c>
      <c r="M1" t="s">
        <v>1531</v>
      </c>
      <c r="N1" t="s">
        <v>2239</v>
      </c>
      <c r="O1" t="s">
        <v>2240</v>
      </c>
      <c r="P1" t="s">
        <v>1533</v>
      </c>
      <c r="Q1" t="s">
        <v>1535</v>
      </c>
      <c r="R1" t="s">
        <v>2241</v>
      </c>
      <c r="S1" t="s">
        <v>2242</v>
      </c>
      <c r="T1" t="s">
        <v>2243</v>
      </c>
      <c r="U1" t="s">
        <v>1626</v>
      </c>
    </row>
    <row r="2" spans="1:21">
      <c r="A2" t="s">
        <v>953</v>
      </c>
      <c r="B2" t="s">
        <v>2781</v>
      </c>
      <c r="C2" t="s">
        <v>953</v>
      </c>
      <c r="D2">
        <v>20464585</v>
      </c>
      <c r="E2" t="s">
        <v>2245</v>
      </c>
      <c r="F2" t="s">
        <v>984</v>
      </c>
      <c r="G2" t="s">
        <v>2246</v>
      </c>
      <c r="H2" t="s">
        <v>587</v>
      </c>
      <c r="J2" s="519">
        <v>46088</v>
      </c>
      <c r="U2" s="519">
        <v>46116</v>
      </c>
    </row>
    <row r="3" spans="1:21">
      <c r="A3" t="s">
        <v>953</v>
      </c>
      <c r="B3" t="s">
        <v>2247</v>
      </c>
      <c r="C3" t="s">
        <v>953</v>
      </c>
      <c r="D3">
        <v>20456656</v>
      </c>
      <c r="E3" t="s">
        <v>2258</v>
      </c>
      <c r="F3" t="s">
        <v>577</v>
      </c>
      <c r="G3" t="s">
        <v>2248</v>
      </c>
      <c r="H3" t="s">
        <v>591</v>
      </c>
      <c r="J3" s="519">
        <v>46077</v>
      </c>
      <c r="R3" s="519">
        <v>46083</v>
      </c>
      <c r="U3" s="519">
        <v>46081</v>
      </c>
    </row>
    <row r="4" spans="1:21">
      <c r="A4" t="s">
        <v>953</v>
      </c>
      <c r="B4" t="s">
        <v>2249</v>
      </c>
      <c r="C4" t="s">
        <v>953</v>
      </c>
      <c r="D4">
        <v>20452401</v>
      </c>
      <c r="E4" t="s">
        <v>2252</v>
      </c>
      <c r="F4" t="s">
        <v>1115</v>
      </c>
      <c r="G4" t="s">
        <v>2250</v>
      </c>
      <c r="H4" t="s">
        <v>587</v>
      </c>
      <c r="I4" t="s">
        <v>1167</v>
      </c>
      <c r="J4" s="519">
        <v>46071</v>
      </c>
      <c r="K4" s="519">
        <v>46071</v>
      </c>
      <c r="L4" s="519">
        <v>46077</v>
      </c>
      <c r="M4" s="519">
        <v>46085</v>
      </c>
      <c r="R4" s="519">
        <v>46085</v>
      </c>
      <c r="U4" s="519">
        <v>46083</v>
      </c>
    </row>
    <row r="5" spans="1:21">
      <c r="A5" t="s">
        <v>953</v>
      </c>
      <c r="B5" t="s">
        <v>2782</v>
      </c>
      <c r="C5" t="s">
        <v>953</v>
      </c>
      <c r="D5">
        <v>20479012</v>
      </c>
      <c r="E5" t="s">
        <v>2245</v>
      </c>
      <c r="F5" t="s">
        <v>577</v>
      </c>
      <c r="G5" t="s">
        <v>2250</v>
      </c>
      <c r="H5" t="s">
        <v>592</v>
      </c>
      <c r="I5" t="s">
        <v>2783</v>
      </c>
      <c r="J5" s="519">
        <v>46105</v>
      </c>
      <c r="U5" s="519">
        <v>46106</v>
      </c>
    </row>
    <row r="6" spans="1:21">
      <c r="A6" t="s">
        <v>953</v>
      </c>
      <c r="B6" t="s">
        <v>2784</v>
      </c>
      <c r="C6" t="s">
        <v>953</v>
      </c>
      <c r="D6">
        <v>20473648</v>
      </c>
      <c r="E6" t="s">
        <v>2245</v>
      </c>
      <c r="F6" t="s">
        <v>984</v>
      </c>
      <c r="G6" t="s">
        <v>2250</v>
      </c>
      <c r="H6" t="s">
        <v>592</v>
      </c>
      <c r="J6" s="519">
        <v>46098</v>
      </c>
      <c r="U6" s="519">
        <v>46111</v>
      </c>
    </row>
    <row r="7" spans="1:21">
      <c r="A7" t="s">
        <v>953</v>
      </c>
      <c r="B7" t="s">
        <v>2785</v>
      </c>
      <c r="C7" t="s">
        <v>953</v>
      </c>
      <c r="D7">
        <v>20463771</v>
      </c>
      <c r="E7" t="s">
        <v>2245</v>
      </c>
      <c r="F7" t="s">
        <v>984</v>
      </c>
      <c r="G7" t="s">
        <v>2259</v>
      </c>
      <c r="H7" t="s">
        <v>593</v>
      </c>
      <c r="J7" s="519">
        <v>46087</v>
      </c>
      <c r="U7" s="519">
        <v>46088</v>
      </c>
    </row>
    <row r="8" spans="1:21">
      <c r="A8" t="s">
        <v>953</v>
      </c>
      <c r="B8" t="s">
        <v>2786</v>
      </c>
      <c r="C8" t="s">
        <v>953</v>
      </c>
      <c r="D8">
        <v>20471142</v>
      </c>
      <c r="E8" t="s">
        <v>2245</v>
      </c>
      <c r="F8" t="s">
        <v>984</v>
      </c>
      <c r="G8" t="s">
        <v>2250</v>
      </c>
      <c r="H8" t="s">
        <v>592</v>
      </c>
      <c r="J8" s="519">
        <v>46094</v>
      </c>
      <c r="U8" s="519">
        <v>46113</v>
      </c>
    </row>
    <row r="9" spans="1:21">
      <c r="A9" t="s">
        <v>953</v>
      </c>
      <c r="B9" t="s">
        <v>2787</v>
      </c>
      <c r="C9" t="s">
        <v>953</v>
      </c>
      <c r="D9">
        <v>20482039</v>
      </c>
      <c r="E9" t="s">
        <v>2245</v>
      </c>
      <c r="F9" t="s">
        <v>984</v>
      </c>
      <c r="G9" t="s">
        <v>2246</v>
      </c>
      <c r="H9" t="s">
        <v>588</v>
      </c>
      <c r="J9" s="519">
        <v>46109</v>
      </c>
      <c r="U9" s="519">
        <v>46109</v>
      </c>
    </row>
    <row r="10" spans="1:21">
      <c r="A10" t="s">
        <v>953</v>
      </c>
      <c r="B10" t="s">
        <v>2788</v>
      </c>
      <c r="C10" t="s">
        <v>953</v>
      </c>
      <c r="D10">
        <v>20476492</v>
      </c>
      <c r="E10" t="s">
        <v>2245</v>
      </c>
      <c r="F10" t="s">
        <v>984</v>
      </c>
      <c r="G10" t="s">
        <v>2250</v>
      </c>
      <c r="H10" t="s">
        <v>592</v>
      </c>
      <c r="J10" s="519">
        <v>46101</v>
      </c>
      <c r="U10" s="519">
        <v>46101</v>
      </c>
    </row>
    <row r="11" spans="1:21">
      <c r="A11" t="s">
        <v>953</v>
      </c>
      <c r="B11" t="s">
        <v>2789</v>
      </c>
      <c r="C11" t="s">
        <v>953</v>
      </c>
      <c r="D11">
        <v>20483723</v>
      </c>
      <c r="E11" t="s">
        <v>1100</v>
      </c>
      <c r="F11" t="s">
        <v>1115</v>
      </c>
      <c r="G11" t="s">
        <v>2250</v>
      </c>
      <c r="H11" t="s">
        <v>592</v>
      </c>
      <c r="J11" s="519">
        <v>46111</v>
      </c>
      <c r="K11" s="519">
        <v>46111</v>
      </c>
      <c r="U11" s="519">
        <v>46111</v>
      </c>
    </row>
    <row r="12" spans="1:21">
      <c r="A12" t="s">
        <v>953</v>
      </c>
      <c r="B12" t="s">
        <v>2789</v>
      </c>
      <c r="C12" t="s">
        <v>953</v>
      </c>
      <c r="D12">
        <v>20478007</v>
      </c>
      <c r="E12" t="s">
        <v>1100</v>
      </c>
      <c r="F12" t="s">
        <v>581</v>
      </c>
      <c r="G12" t="s">
        <v>2250</v>
      </c>
      <c r="H12" t="s">
        <v>592</v>
      </c>
      <c r="J12" s="519">
        <v>46103</v>
      </c>
      <c r="K12" s="519">
        <v>46111</v>
      </c>
      <c r="U12" s="519">
        <v>46164</v>
      </c>
    </row>
    <row r="13" spans="1:21">
      <c r="A13" t="s">
        <v>953</v>
      </c>
      <c r="B13" t="s">
        <v>1040</v>
      </c>
      <c r="C13" t="s">
        <v>953</v>
      </c>
      <c r="D13">
        <v>20443684</v>
      </c>
      <c r="E13" t="s">
        <v>1110</v>
      </c>
      <c r="F13" t="s">
        <v>577</v>
      </c>
      <c r="G13" t="s">
        <v>2248</v>
      </c>
      <c r="H13" t="s">
        <v>588</v>
      </c>
      <c r="I13" t="s">
        <v>872</v>
      </c>
      <c r="J13" s="519">
        <v>46062</v>
      </c>
      <c r="K13" s="519">
        <v>46090</v>
      </c>
      <c r="L13" s="519">
        <v>46104</v>
      </c>
      <c r="U13" s="519">
        <v>46123</v>
      </c>
    </row>
    <row r="14" spans="1:21">
      <c r="A14" t="s">
        <v>953</v>
      </c>
      <c r="B14" t="s">
        <v>2790</v>
      </c>
      <c r="C14" t="s">
        <v>953</v>
      </c>
      <c r="D14">
        <v>20476050</v>
      </c>
      <c r="E14" t="s">
        <v>2245</v>
      </c>
      <c r="F14" t="s">
        <v>581</v>
      </c>
      <c r="G14" t="s">
        <v>2250</v>
      </c>
      <c r="H14" t="s">
        <v>592</v>
      </c>
      <c r="J14" s="519">
        <v>46100</v>
      </c>
      <c r="U14" s="519">
        <v>46193</v>
      </c>
    </row>
    <row r="15" spans="1:21">
      <c r="A15" t="s">
        <v>953</v>
      </c>
      <c r="B15" t="s">
        <v>2791</v>
      </c>
      <c r="C15" t="s">
        <v>953</v>
      </c>
      <c r="D15">
        <v>20473092</v>
      </c>
      <c r="E15" t="s">
        <v>2245</v>
      </c>
      <c r="F15" t="s">
        <v>581</v>
      </c>
      <c r="G15" t="s">
        <v>2250</v>
      </c>
      <c r="H15" t="s">
        <v>592</v>
      </c>
      <c r="J15" s="519">
        <v>46098</v>
      </c>
      <c r="U15" s="519">
        <v>46172</v>
      </c>
    </row>
    <row r="16" spans="1:21">
      <c r="A16" t="s">
        <v>953</v>
      </c>
      <c r="B16" t="s">
        <v>2792</v>
      </c>
      <c r="C16" t="s">
        <v>953</v>
      </c>
      <c r="D16">
        <v>20471521</v>
      </c>
      <c r="E16" t="s">
        <v>2245</v>
      </c>
      <c r="F16" t="s">
        <v>581</v>
      </c>
      <c r="G16" t="s">
        <v>2248</v>
      </c>
      <c r="H16" t="s">
        <v>592</v>
      </c>
      <c r="I16" t="s">
        <v>1156</v>
      </c>
      <c r="J16" s="519">
        <v>46095</v>
      </c>
      <c r="U16" s="519">
        <v>46095</v>
      </c>
    </row>
    <row r="17" spans="1:21">
      <c r="A17" t="s">
        <v>953</v>
      </c>
      <c r="B17" t="s">
        <v>2270</v>
      </c>
      <c r="C17" t="s">
        <v>953</v>
      </c>
      <c r="D17">
        <v>20456466</v>
      </c>
      <c r="E17" t="s">
        <v>2324</v>
      </c>
      <c r="F17" t="s">
        <v>577</v>
      </c>
      <c r="G17" t="s">
        <v>2250</v>
      </c>
      <c r="H17" t="s">
        <v>587</v>
      </c>
      <c r="I17" t="s">
        <v>2315</v>
      </c>
      <c r="J17" s="519">
        <v>46077</v>
      </c>
      <c r="K17" s="519">
        <v>46077</v>
      </c>
      <c r="L17" s="519">
        <v>46077</v>
      </c>
      <c r="M17" s="519">
        <v>46091</v>
      </c>
      <c r="N17" s="519">
        <v>46091</v>
      </c>
      <c r="P17" s="519">
        <v>46096</v>
      </c>
      <c r="Q17" s="519">
        <v>46097</v>
      </c>
      <c r="U17" s="519">
        <v>46097</v>
      </c>
    </row>
    <row r="18" spans="1:21">
      <c r="A18" t="s">
        <v>953</v>
      </c>
      <c r="B18" t="s">
        <v>2793</v>
      </c>
      <c r="C18" t="s">
        <v>953</v>
      </c>
      <c r="D18">
        <v>20461150</v>
      </c>
      <c r="E18" t="s">
        <v>2245</v>
      </c>
      <c r="F18" t="s">
        <v>984</v>
      </c>
      <c r="G18" t="s">
        <v>2246</v>
      </c>
      <c r="H18" t="s">
        <v>587</v>
      </c>
      <c r="J18" s="519">
        <v>46084</v>
      </c>
      <c r="U18" s="519">
        <v>46164</v>
      </c>
    </row>
    <row r="19" spans="1:21">
      <c r="A19" t="s">
        <v>953</v>
      </c>
      <c r="B19" t="s">
        <v>2275</v>
      </c>
      <c r="C19" t="s">
        <v>953</v>
      </c>
      <c r="D19">
        <v>20453791</v>
      </c>
      <c r="E19" t="s">
        <v>2324</v>
      </c>
      <c r="F19" t="s">
        <v>578</v>
      </c>
      <c r="G19" t="s">
        <v>2250</v>
      </c>
      <c r="H19" t="s">
        <v>591</v>
      </c>
      <c r="I19" t="s">
        <v>2276</v>
      </c>
      <c r="J19" s="519">
        <v>46072</v>
      </c>
      <c r="K19" s="519">
        <v>46072</v>
      </c>
      <c r="L19" s="519">
        <v>46072</v>
      </c>
      <c r="M19" s="519">
        <v>46080</v>
      </c>
      <c r="N19" s="519">
        <v>46080</v>
      </c>
      <c r="O19" s="519">
        <v>46083</v>
      </c>
      <c r="P19" s="519">
        <v>46083</v>
      </c>
      <c r="Q19" s="519">
        <v>46083</v>
      </c>
      <c r="U19" s="519">
        <v>46083</v>
      </c>
    </row>
    <row r="20" spans="1:21">
      <c r="A20" t="s">
        <v>953</v>
      </c>
      <c r="B20" t="s">
        <v>2277</v>
      </c>
      <c r="C20" t="s">
        <v>953</v>
      </c>
      <c r="D20">
        <v>20436771</v>
      </c>
      <c r="E20" t="s">
        <v>2252</v>
      </c>
      <c r="F20" t="s">
        <v>984</v>
      </c>
      <c r="G20" t="s">
        <v>1213</v>
      </c>
      <c r="H20" t="s">
        <v>591</v>
      </c>
      <c r="J20" s="519">
        <v>46051</v>
      </c>
      <c r="K20" s="519">
        <v>46062</v>
      </c>
      <c r="R20" s="519">
        <v>46092</v>
      </c>
      <c r="U20" s="519">
        <v>46085</v>
      </c>
    </row>
    <row r="21" spans="1:21">
      <c r="A21" t="s">
        <v>953</v>
      </c>
      <c r="B21" t="s">
        <v>2794</v>
      </c>
      <c r="C21" t="s">
        <v>953</v>
      </c>
      <c r="D21">
        <v>20460984</v>
      </c>
      <c r="E21" t="s">
        <v>2245</v>
      </c>
      <c r="F21" t="s">
        <v>984</v>
      </c>
      <c r="G21" t="s">
        <v>2246</v>
      </c>
      <c r="H21" t="s">
        <v>587</v>
      </c>
      <c r="J21" s="519">
        <v>46083</v>
      </c>
      <c r="U21" s="519">
        <v>46084</v>
      </c>
    </row>
    <row r="22" spans="1:21">
      <c r="A22" t="s">
        <v>953</v>
      </c>
      <c r="B22" t="s">
        <v>2795</v>
      </c>
      <c r="C22" t="s">
        <v>953</v>
      </c>
      <c r="D22">
        <v>20475570</v>
      </c>
      <c r="E22" t="s">
        <v>2245</v>
      </c>
      <c r="F22" t="s">
        <v>984</v>
      </c>
      <c r="G22" t="s">
        <v>2250</v>
      </c>
      <c r="H22" t="s">
        <v>592</v>
      </c>
      <c r="J22" s="519">
        <v>46100</v>
      </c>
      <c r="U22" s="519">
        <v>46103</v>
      </c>
    </row>
    <row r="23" spans="1:21">
      <c r="A23" t="s">
        <v>953</v>
      </c>
      <c r="B23" t="s">
        <v>2278</v>
      </c>
      <c r="C23" t="s">
        <v>953</v>
      </c>
      <c r="D23">
        <v>20444109</v>
      </c>
      <c r="E23" t="s">
        <v>2252</v>
      </c>
      <c r="F23" t="s">
        <v>577</v>
      </c>
      <c r="G23" t="s">
        <v>2250</v>
      </c>
      <c r="H23" t="s">
        <v>587</v>
      </c>
      <c r="I23" t="s">
        <v>1165</v>
      </c>
      <c r="J23" s="519">
        <v>46062</v>
      </c>
      <c r="K23" s="519">
        <v>46062</v>
      </c>
      <c r="L23" s="519">
        <v>46062</v>
      </c>
      <c r="R23" s="519">
        <v>46085</v>
      </c>
      <c r="U23" s="519">
        <v>46087</v>
      </c>
    </row>
    <row r="24" spans="1:21">
      <c r="A24" t="s">
        <v>953</v>
      </c>
      <c r="B24" t="s">
        <v>2796</v>
      </c>
      <c r="C24" t="s">
        <v>953</v>
      </c>
      <c r="D24">
        <v>20480689</v>
      </c>
      <c r="E24" t="s">
        <v>1100</v>
      </c>
      <c r="F24" t="s">
        <v>984</v>
      </c>
      <c r="G24" t="s">
        <v>2259</v>
      </c>
      <c r="H24" t="s">
        <v>2388</v>
      </c>
      <c r="I24" t="s">
        <v>1156</v>
      </c>
      <c r="J24" s="519">
        <v>46107</v>
      </c>
      <c r="K24" s="519">
        <v>46107</v>
      </c>
      <c r="U24" s="519">
        <v>46137</v>
      </c>
    </row>
    <row r="25" spans="1:21">
      <c r="A25" t="s">
        <v>953</v>
      </c>
      <c r="B25" t="s">
        <v>2797</v>
      </c>
      <c r="C25" t="s">
        <v>953</v>
      </c>
      <c r="D25">
        <v>20477365</v>
      </c>
      <c r="E25" t="s">
        <v>2245</v>
      </c>
      <c r="F25" t="s">
        <v>578</v>
      </c>
      <c r="G25" t="s">
        <v>2248</v>
      </c>
      <c r="H25" t="s">
        <v>592</v>
      </c>
      <c r="I25" t="s">
        <v>1151</v>
      </c>
      <c r="J25" s="519">
        <v>46102</v>
      </c>
      <c r="U25" s="519">
        <v>46136</v>
      </c>
    </row>
    <row r="26" spans="1:21">
      <c r="A26" t="s">
        <v>953</v>
      </c>
      <c r="B26" t="s">
        <v>2798</v>
      </c>
      <c r="C26" t="s">
        <v>953</v>
      </c>
      <c r="D26">
        <v>20471764</v>
      </c>
      <c r="E26" t="s">
        <v>2245</v>
      </c>
      <c r="F26" t="s">
        <v>581</v>
      </c>
      <c r="G26" t="s">
        <v>2250</v>
      </c>
      <c r="H26" t="s">
        <v>592</v>
      </c>
      <c r="J26" s="519">
        <v>46095</v>
      </c>
      <c r="U26" s="519">
        <v>46113</v>
      </c>
    </row>
    <row r="27" spans="1:21">
      <c r="A27" t="s">
        <v>953</v>
      </c>
      <c r="B27" t="s">
        <v>2799</v>
      </c>
      <c r="C27" t="s">
        <v>953</v>
      </c>
      <c r="D27">
        <v>20475336</v>
      </c>
      <c r="E27" t="s">
        <v>2245</v>
      </c>
      <c r="F27" t="s">
        <v>581</v>
      </c>
      <c r="G27" t="s">
        <v>2250</v>
      </c>
      <c r="H27" t="s">
        <v>592</v>
      </c>
      <c r="J27" s="519">
        <v>46099</v>
      </c>
      <c r="U27" s="519">
        <v>46113</v>
      </c>
    </row>
    <row r="28" spans="1:21">
      <c r="A28" t="s">
        <v>953</v>
      </c>
      <c r="B28" t="s">
        <v>2800</v>
      </c>
      <c r="C28" t="s">
        <v>953</v>
      </c>
      <c r="D28">
        <v>20469139</v>
      </c>
      <c r="E28" t="s">
        <v>2324</v>
      </c>
      <c r="F28" t="s">
        <v>581</v>
      </c>
      <c r="G28" t="s">
        <v>2248</v>
      </c>
      <c r="H28" t="s">
        <v>591</v>
      </c>
      <c r="I28" t="s">
        <v>2771</v>
      </c>
      <c r="J28" s="519">
        <v>46093</v>
      </c>
      <c r="K28" s="519">
        <v>46093</v>
      </c>
      <c r="L28" s="519">
        <v>46093</v>
      </c>
      <c r="M28" s="519">
        <v>46094</v>
      </c>
      <c r="N28" s="519">
        <v>46094</v>
      </c>
      <c r="P28" s="519">
        <v>46094</v>
      </c>
      <c r="Q28" s="519">
        <v>46094</v>
      </c>
      <c r="U28" s="519">
        <v>46095</v>
      </c>
    </row>
    <row r="29" spans="1:21">
      <c r="A29" t="s">
        <v>953</v>
      </c>
      <c r="B29" t="s">
        <v>2801</v>
      </c>
      <c r="C29" t="s">
        <v>953</v>
      </c>
      <c r="D29">
        <v>20462534</v>
      </c>
      <c r="E29" t="s">
        <v>2245</v>
      </c>
      <c r="F29" t="s">
        <v>581</v>
      </c>
      <c r="G29" t="s">
        <v>2259</v>
      </c>
      <c r="H29" t="s">
        <v>592</v>
      </c>
      <c r="J29" s="519">
        <v>46085</v>
      </c>
      <c r="U29" s="519">
        <v>46085</v>
      </c>
    </row>
    <row r="30" spans="1:21">
      <c r="A30" t="s">
        <v>953</v>
      </c>
      <c r="B30" t="s">
        <v>2802</v>
      </c>
      <c r="C30" t="s">
        <v>953</v>
      </c>
      <c r="D30">
        <v>20481504</v>
      </c>
      <c r="E30" t="s">
        <v>2245</v>
      </c>
      <c r="F30" t="s">
        <v>581</v>
      </c>
      <c r="G30" t="s">
        <v>2259</v>
      </c>
      <c r="H30" t="s">
        <v>2388</v>
      </c>
      <c r="I30" t="s">
        <v>1156</v>
      </c>
      <c r="J30" s="519">
        <v>46108</v>
      </c>
      <c r="U30" s="519">
        <v>46116</v>
      </c>
    </row>
    <row r="31" spans="1:21">
      <c r="A31" t="s">
        <v>953</v>
      </c>
      <c r="B31" t="s">
        <v>2803</v>
      </c>
      <c r="C31" t="s">
        <v>953</v>
      </c>
      <c r="D31">
        <v>20482962</v>
      </c>
      <c r="E31" t="s">
        <v>1110</v>
      </c>
      <c r="F31" t="s">
        <v>1001</v>
      </c>
      <c r="G31" t="s">
        <v>2250</v>
      </c>
      <c r="H31" t="s">
        <v>2428</v>
      </c>
      <c r="I31" t="s">
        <v>1171</v>
      </c>
      <c r="J31" s="519">
        <v>46111</v>
      </c>
      <c r="K31" s="519">
        <v>46111</v>
      </c>
      <c r="L31" s="519">
        <v>46111</v>
      </c>
      <c r="U31" s="519">
        <v>46118</v>
      </c>
    </row>
    <row r="32" spans="1:21">
      <c r="A32" t="s">
        <v>953</v>
      </c>
      <c r="B32" t="s">
        <v>1872</v>
      </c>
      <c r="C32" t="s">
        <v>953</v>
      </c>
      <c r="D32">
        <v>20433726</v>
      </c>
      <c r="E32" t="s">
        <v>2324</v>
      </c>
      <c r="F32" t="s">
        <v>579</v>
      </c>
      <c r="G32" t="s">
        <v>2250</v>
      </c>
      <c r="H32" t="s">
        <v>589</v>
      </c>
      <c r="I32" t="s">
        <v>558</v>
      </c>
      <c r="J32" s="519">
        <v>46045</v>
      </c>
      <c r="K32" s="519">
        <v>46045</v>
      </c>
      <c r="L32" s="519">
        <v>46045</v>
      </c>
      <c r="M32" s="519">
        <v>46090</v>
      </c>
      <c r="N32" s="519">
        <v>46091</v>
      </c>
      <c r="P32" s="519">
        <v>46092</v>
      </c>
      <c r="Q32" s="519">
        <v>46092</v>
      </c>
      <c r="U32" s="519">
        <v>46092</v>
      </c>
    </row>
    <row r="33" spans="1:21">
      <c r="A33" t="s">
        <v>953</v>
      </c>
      <c r="B33" t="s">
        <v>2804</v>
      </c>
      <c r="C33" t="s">
        <v>953</v>
      </c>
      <c r="D33">
        <v>20416203</v>
      </c>
      <c r="E33" t="s">
        <v>2252</v>
      </c>
      <c r="F33" t="s">
        <v>577</v>
      </c>
      <c r="G33" t="s">
        <v>2250</v>
      </c>
      <c r="H33" t="s">
        <v>587</v>
      </c>
      <c r="I33" t="s">
        <v>558</v>
      </c>
      <c r="J33" s="519">
        <v>46023</v>
      </c>
      <c r="K33" s="519">
        <v>46023</v>
      </c>
      <c r="R33" s="519">
        <v>46091</v>
      </c>
      <c r="U33" s="519">
        <v>46031</v>
      </c>
    </row>
    <row r="34" spans="1:21">
      <c r="A34" t="s">
        <v>953</v>
      </c>
      <c r="B34" t="s">
        <v>2805</v>
      </c>
      <c r="C34" t="s">
        <v>953</v>
      </c>
      <c r="D34">
        <v>20471770</v>
      </c>
      <c r="E34" t="s">
        <v>2245</v>
      </c>
      <c r="F34" t="s">
        <v>581</v>
      </c>
      <c r="G34" t="s">
        <v>2250</v>
      </c>
      <c r="H34" t="s">
        <v>592</v>
      </c>
      <c r="J34" s="519">
        <v>46095</v>
      </c>
      <c r="U34" s="519">
        <v>46115</v>
      </c>
    </row>
    <row r="35" spans="1:21">
      <c r="A35" t="s">
        <v>953</v>
      </c>
      <c r="B35" t="s">
        <v>2806</v>
      </c>
      <c r="C35" t="s">
        <v>953</v>
      </c>
      <c r="D35">
        <v>20460250</v>
      </c>
      <c r="E35" t="s">
        <v>2245</v>
      </c>
      <c r="F35" t="s">
        <v>581</v>
      </c>
      <c r="G35" t="s">
        <v>2290</v>
      </c>
      <c r="H35" t="s">
        <v>587</v>
      </c>
      <c r="J35" s="519">
        <v>46083</v>
      </c>
      <c r="U35" s="519">
        <v>46083</v>
      </c>
    </row>
    <row r="36" spans="1:21">
      <c r="A36" t="s">
        <v>953</v>
      </c>
      <c r="B36" t="s">
        <v>2807</v>
      </c>
      <c r="C36" t="s">
        <v>953</v>
      </c>
      <c r="D36">
        <v>20460669</v>
      </c>
      <c r="E36" t="s">
        <v>1100</v>
      </c>
      <c r="F36" t="s">
        <v>582</v>
      </c>
      <c r="G36" t="s">
        <v>2248</v>
      </c>
      <c r="H36" t="s">
        <v>588</v>
      </c>
      <c r="I36" t="s">
        <v>899</v>
      </c>
      <c r="J36" s="519">
        <v>46083</v>
      </c>
      <c r="K36" s="519">
        <v>46083</v>
      </c>
      <c r="U36" s="519">
        <v>46095</v>
      </c>
    </row>
    <row r="37" spans="1:21">
      <c r="A37" t="s">
        <v>953</v>
      </c>
      <c r="B37" t="s">
        <v>2295</v>
      </c>
      <c r="C37" t="s">
        <v>953</v>
      </c>
      <c r="D37">
        <v>20464224</v>
      </c>
      <c r="E37" t="s">
        <v>2252</v>
      </c>
      <c r="F37" t="s">
        <v>583</v>
      </c>
      <c r="G37" t="s">
        <v>2250</v>
      </c>
      <c r="H37" t="s">
        <v>587</v>
      </c>
      <c r="I37" t="s">
        <v>1386</v>
      </c>
      <c r="J37" s="519">
        <v>46088</v>
      </c>
      <c r="K37" s="519">
        <v>46088</v>
      </c>
      <c r="L37" s="519">
        <v>46091</v>
      </c>
      <c r="R37" s="519">
        <v>46100</v>
      </c>
      <c r="U37" s="519">
        <v>46101</v>
      </c>
    </row>
    <row r="38" spans="1:21">
      <c r="A38" t="s">
        <v>953</v>
      </c>
      <c r="B38" t="s">
        <v>2808</v>
      </c>
      <c r="C38" t="s">
        <v>953</v>
      </c>
      <c r="D38">
        <v>20471388</v>
      </c>
      <c r="E38" t="s">
        <v>1100</v>
      </c>
      <c r="F38" t="s">
        <v>1115</v>
      </c>
      <c r="G38" t="s">
        <v>2250</v>
      </c>
      <c r="H38" t="s">
        <v>587</v>
      </c>
      <c r="J38" s="519">
        <v>46095</v>
      </c>
      <c r="K38" s="519">
        <v>46095</v>
      </c>
      <c r="U38" s="519">
        <v>46095</v>
      </c>
    </row>
    <row r="39" spans="1:21">
      <c r="A39" t="s">
        <v>953</v>
      </c>
      <c r="B39" t="s">
        <v>2809</v>
      </c>
      <c r="C39" t="s">
        <v>953</v>
      </c>
      <c r="D39">
        <v>20478175</v>
      </c>
      <c r="E39" t="s">
        <v>2245</v>
      </c>
      <c r="F39" t="s">
        <v>577</v>
      </c>
      <c r="G39" t="s">
        <v>1213</v>
      </c>
      <c r="H39" t="s">
        <v>588</v>
      </c>
      <c r="J39" s="519">
        <v>46104</v>
      </c>
      <c r="U39" s="519">
        <v>46114</v>
      </c>
    </row>
    <row r="40" spans="1:21">
      <c r="A40" t="s">
        <v>953</v>
      </c>
      <c r="B40" t="s">
        <v>2810</v>
      </c>
      <c r="C40" t="s">
        <v>953</v>
      </c>
      <c r="D40">
        <v>20465759</v>
      </c>
      <c r="E40" t="s">
        <v>2245</v>
      </c>
      <c r="F40" t="s">
        <v>984</v>
      </c>
      <c r="G40" t="s">
        <v>2246</v>
      </c>
      <c r="H40" t="s">
        <v>587</v>
      </c>
      <c r="J40" s="519">
        <v>46090</v>
      </c>
      <c r="U40" s="519">
        <v>46234</v>
      </c>
    </row>
    <row r="41" spans="1:21">
      <c r="A41" t="s">
        <v>953</v>
      </c>
      <c r="B41" t="s">
        <v>2811</v>
      </c>
      <c r="C41" t="s">
        <v>953</v>
      </c>
      <c r="D41">
        <v>20477569</v>
      </c>
      <c r="E41" t="s">
        <v>2245</v>
      </c>
      <c r="F41" t="s">
        <v>984</v>
      </c>
      <c r="G41" t="s">
        <v>2250</v>
      </c>
      <c r="H41" t="s">
        <v>592</v>
      </c>
      <c r="J41" s="519">
        <v>46102</v>
      </c>
      <c r="U41" s="519">
        <v>46174</v>
      </c>
    </row>
    <row r="42" spans="1:21">
      <c r="A42" t="s">
        <v>953</v>
      </c>
      <c r="B42" t="s">
        <v>2812</v>
      </c>
      <c r="C42" t="s">
        <v>953</v>
      </c>
      <c r="D42">
        <v>20468502</v>
      </c>
      <c r="E42" t="s">
        <v>2258</v>
      </c>
      <c r="F42" t="s">
        <v>579</v>
      </c>
      <c r="G42" t="s">
        <v>2290</v>
      </c>
      <c r="H42" t="s">
        <v>591</v>
      </c>
      <c r="J42" s="519">
        <v>46092</v>
      </c>
      <c r="R42" s="519">
        <v>46094</v>
      </c>
      <c r="U42" s="519">
        <v>46102</v>
      </c>
    </row>
    <row r="43" spans="1:21">
      <c r="A43" t="s">
        <v>953</v>
      </c>
      <c r="B43" t="s">
        <v>2813</v>
      </c>
      <c r="C43" t="s">
        <v>953</v>
      </c>
      <c r="D43">
        <v>20481796</v>
      </c>
      <c r="E43" t="s">
        <v>2245</v>
      </c>
      <c r="F43" t="s">
        <v>984</v>
      </c>
      <c r="G43" t="s">
        <v>2250</v>
      </c>
      <c r="H43" t="s">
        <v>592</v>
      </c>
      <c r="J43" s="519">
        <v>46108</v>
      </c>
      <c r="U43" s="519">
        <v>46142</v>
      </c>
    </row>
    <row r="44" spans="1:21">
      <c r="A44" t="s">
        <v>953</v>
      </c>
      <c r="B44" t="s">
        <v>1657</v>
      </c>
      <c r="C44" t="s">
        <v>953</v>
      </c>
      <c r="D44">
        <v>20458274</v>
      </c>
      <c r="E44" t="s">
        <v>2324</v>
      </c>
      <c r="F44" t="s">
        <v>1115</v>
      </c>
      <c r="G44" t="s">
        <v>2250</v>
      </c>
      <c r="H44" t="s">
        <v>587</v>
      </c>
      <c r="I44" t="s">
        <v>1388</v>
      </c>
      <c r="J44" s="519">
        <v>46079</v>
      </c>
      <c r="K44" s="519">
        <v>46079</v>
      </c>
      <c r="L44" s="519">
        <v>46080</v>
      </c>
      <c r="M44" s="519">
        <v>46080</v>
      </c>
      <c r="N44" s="519">
        <v>46080</v>
      </c>
      <c r="P44" s="519">
        <v>46080</v>
      </c>
      <c r="Q44" s="519">
        <v>46083</v>
      </c>
      <c r="U44" s="519">
        <v>46088</v>
      </c>
    </row>
    <row r="45" spans="1:21">
      <c r="A45" t="s">
        <v>953</v>
      </c>
      <c r="B45" t="s">
        <v>2814</v>
      </c>
      <c r="C45" t="s">
        <v>953</v>
      </c>
      <c r="D45">
        <v>20482600</v>
      </c>
      <c r="E45" t="s">
        <v>2245</v>
      </c>
      <c r="F45" t="s">
        <v>1001</v>
      </c>
      <c r="G45" t="s">
        <v>2250</v>
      </c>
      <c r="H45" t="s">
        <v>592</v>
      </c>
      <c r="J45" s="519">
        <v>46110</v>
      </c>
      <c r="U45" s="519">
        <v>46144</v>
      </c>
    </row>
    <row r="46" spans="1:21">
      <c r="A46" t="s">
        <v>953</v>
      </c>
      <c r="B46" t="s">
        <v>2815</v>
      </c>
      <c r="C46" t="s">
        <v>953</v>
      </c>
      <c r="D46">
        <v>20470626</v>
      </c>
      <c r="E46" t="s">
        <v>2245</v>
      </c>
      <c r="F46" t="s">
        <v>581</v>
      </c>
      <c r="G46" t="s">
        <v>2250</v>
      </c>
      <c r="H46" t="s">
        <v>592</v>
      </c>
      <c r="J46" s="519">
        <v>46094</v>
      </c>
      <c r="U46" s="519">
        <v>46158</v>
      </c>
    </row>
    <row r="47" spans="1:21">
      <c r="A47" t="s">
        <v>953</v>
      </c>
      <c r="B47" t="s">
        <v>2816</v>
      </c>
      <c r="C47" t="s">
        <v>953</v>
      </c>
      <c r="D47">
        <v>20477501</v>
      </c>
      <c r="E47" t="s">
        <v>2245</v>
      </c>
      <c r="F47" t="s">
        <v>984</v>
      </c>
      <c r="G47" t="s">
        <v>2250</v>
      </c>
      <c r="H47" t="s">
        <v>592</v>
      </c>
      <c r="J47" s="519">
        <v>46102</v>
      </c>
      <c r="U47" s="519">
        <v>46104</v>
      </c>
    </row>
    <row r="48" spans="1:21">
      <c r="A48" t="s">
        <v>953</v>
      </c>
      <c r="B48" t="s">
        <v>2816</v>
      </c>
      <c r="C48" t="s">
        <v>953</v>
      </c>
      <c r="D48">
        <v>20477522</v>
      </c>
      <c r="E48" t="s">
        <v>1100</v>
      </c>
      <c r="F48" t="s">
        <v>1115</v>
      </c>
      <c r="G48" t="s">
        <v>2250</v>
      </c>
      <c r="H48" t="s">
        <v>587</v>
      </c>
      <c r="J48" s="519">
        <v>46102</v>
      </c>
      <c r="K48" s="519">
        <v>46102</v>
      </c>
      <c r="U48" s="519">
        <v>46132</v>
      </c>
    </row>
    <row r="49" spans="1:21">
      <c r="A49" t="s">
        <v>953</v>
      </c>
      <c r="B49" t="s">
        <v>2817</v>
      </c>
      <c r="C49" t="s">
        <v>953</v>
      </c>
      <c r="D49">
        <v>20469092</v>
      </c>
      <c r="E49" t="s">
        <v>2252</v>
      </c>
      <c r="F49" t="s">
        <v>582</v>
      </c>
      <c r="G49" t="s">
        <v>2250</v>
      </c>
      <c r="H49" t="s">
        <v>587</v>
      </c>
      <c r="I49" t="s">
        <v>2818</v>
      </c>
      <c r="J49" s="519">
        <v>46093</v>
      </c>
      <c r="K49" s="519">
        <v>46093</v>
      </c>
      <c r="L49" s="519">
        <v>46093</v>
      </c>
      <c r="R49" s="519">
        <v>46100</v>
      </c>
      <c r="U49" s="519">
        <v>46102</v>
      </c>
    </row>
    <row r="50" spans="1:21">
      <c r="A50" t="s">
        <v>953</v>
      </c>
      <c r="B50" t="s">
        <v>2817</v>
      </c>
      <c r="C50" t="s">
        <v>953</v>
      </c>
      <c r="D50">
        <v>20463886</v>
      </c>
      <c r="E50" t="s">
        <v>2258</v>
      </c>
      <c r="F50" t="s">
        <v>581</v>
      </c>
      <c r="G50" t="s">
        <v>2259</v>
      </c>
      <c r="H50" t="s">
        <v>2388</v>
      </c>
      <c r="I50" t="s">
        <v>2818</v>
      </c>
      <c r="J50" s="519">
        <v>46087</v>
      </c>
      <c r="R50" s="519">
        <v>46095</v>
      </c>
      <c r="U50" s="519">
        <v>46091</v>
      </c>
    </row>
    <row r="51" spans="1:21">
      <c r="A51" t="s">
        <v>953</v>
      </c>
      <c r="B51" t="s">
        <v>2817</v>
      </c>
      <c r="C51" t="s">
        <v>953</v>
      </c>
      <c r="D51">
        <v>20468407</v>
      </c>
      <c r="E51" t="s">
        <v>1100</v>
      </c>
      <c r="F51" t="s">
        <v>582</v>
      </c>
      <c r="G51" t="s">
        <v>2250</v>
      </c>
      <c r="H51" t="s">
        <v>590</v>
      </c>
      <c r="J51" s="519">
        <v>46092</v>
      </c>
      <c r="K51" s="519">
        <v>46092</v>
      </c>
      <c r="U51" s="519">
        <v>46092</v>
      </c>
    </row>
    <row r="52" spans="1:21">
      <c r="A52" t="s">
        <v>953</v>
      </c>
      <c r="B52" t="s">
        <v>1137</v>
      </c>
      <c r="C52" t="s">
        <v>953</v>
      </c>
      <c r="D52">
        <v>20460773</v>
      </c>
      <c r="E52" t="s">
        <v>1100</v>
      </c>
      <c r="F52" t="s">
        <v>582</v>
      </c>
      <c r="G52" t="s">
        <v>2248</v>
      </c>
      <c r="H52" t="s">
        <v>588</v>
      </c>
      <c r="I52" t="s">
        <v>1136</v>
      </c>
      <c r="J52" s="519">
        <v>46083</v>
      </c>
      <c r="K52" s="519">
        <v>46083</v>
      </c>
      <c r="U52" s="519">
        <v>46101</v>
      </c>
    </row>
    <row r="53" spans="1:21">
      <c r="A53" t="s">
        <v>953</v>
      </c>
      <c r="B53" t="s">
        <v>2305</v>
      </c>
      <c r="C53" t="s">
        <v>953</v>
      </c>
      <c r="D53">
        <v>20451183</v>
      </c>
      <c r="E53" t="s">
        <v>2252</v>
      </c>
      <c r="F53" t="s">
        <v>577</v>
      </c>
      <c r="G53" t="s">
        <v>2250</v>
      </c>
      <c r="H53" t="s">
        <v>589</v>
      </c>
      <c r="I53" t="s">
        <v>854</v>
      </c>
      <c r="J53" s="519">
        <v>46071</v>
      </c>
      <c r="K53" s="519">
        <v>46071</v>
      </c>
      <c r="L53" s="519">
        <v>46071</v>
      </c>
      <c r="R53" s="519">
        <v>46091</v>
      </c>
      <c r="U53" s="519">
        <v>46092</v>
      </c>
    </row>
    <row r="54" spans="1:21">
      <c r="A54" t="s">
        <v>953</v>
      </c>
      <c r="B54" t="s">
        <v>2819</v>
      </c>
      <c r="C54" t="s">
        <v>953</v>
      </c>
      <c r="D54">
        <v>20464177</v>
      </c>
      <c r="E54" t="s">
        <v>1100</v>
      </c>
      <c r="F54" t="s">
        <v>1115</v>
      </c>
      <c r="G54" t="s">
        <v>2250</v>
      </c>
      <c r="H54" t="s">
        <v>587</v>
      </c>
      <c r="I54" t="s">
        <v>1167</v>
      </c>
      <c r="J54" s="519">
        <v>46088</v>
      </c>
      <c r="K54" s="519">
        <v>46088</v>
      </c>
      <c r="U54" s="519">
        <v>46090</v>
      </c>
    </row>
    <row r="55" spans="1:21">
      <c r="A55" t="s">
        <v>953</v>
      </c>
      <c r="B55" t="s">
        <v>2820</v>
      </c>
      <c r="C55" t="s">
        <v>953</v>
      </c>
      <c r="D55">
        <v>20465182</v>
      </c>
      <c r="E55" t="s">
        <v>2245</v>
      </c>
      <c r="F55" t="s">
        <v>581</v>
      </c>
      <c r="G55" t="s">
        <v>1213</v>
      </c>
      <c r="H55" t="s">
        <v>591</v>
      </c>
      <c r="J55" s="519">
        <v>46090</v>
      </c>
      <c r="U55" s="519">
        <v>46090</v>
      </c>
    </row>
    <row r="56" spans="1:21">
      <c r="A56" t="s">
        <v>953</v>
      </c>
      <c r="B56" t="s">
        <v>2821</v>
      </c>
      <c r="C56" t="s">
        <v>953</v>
      </c>
      <c r="D56">
        <v>20473471</v>
      </c>
      <c r="E56" t="s">
        <v>2245</v>
      </c>
      <c r="F56" t="s">
        <v>581</v>
      </c>
      <c r="G56" t="s">
        <v>2250</v>
      </c>
      <c r="H56" t="s">
        <v>592</v>
      </c>
      <c r="J56" s="519">
        <v>46098</v>
      </c>
      <c r="U56" s="519">
        <v>46158</v>
      </c>
    </row>
    <row r="57" spans="1:21">
      <c r="A57" t="s">
        <v>953</v>
      </c>
      <c r="B57" t="s">
        <v>2312</v>
      </c>
      <c r="C57" t="s">
        <v>953</v>
      </c>
      <c r="D57">
        <v>20457839</v>
      </c>
      <c r="E57" t="s">
        <v>2252</v>
      </c>
      <c r="F57" t="s">
        <v>583</v>
      </c>
      <c r="G57" t="s">
        <v>2250</v>
      </c>
      <c r="H57" t="s">
        <v>587</v>
      </c>
      <c r="I57" t="s">
        <v>1171</v>
      </c>
      <c r="J57" s="519">
        <v>46079</v>
      </c>
      <c r="K57" s="519">
        <v>46079</v>
      </c>
      <c r="L57" s="519">
        <v>46079</v>
      </c>
      <c r="R57" s="519">
        <v>46087</v>
      </c>
      <c r="U57" s="519">
        <v>46091</v>
      </c>
    </row>
    <row r="58" spans="1:21">
      <c r="A58" t="s">
        <v>953</v>
      </c>
      <c r="B58" t="s">
        <v>2822</v>
      </c>
      <c r="C58" t="s">
        <v>953</v>
      </c>
      <c r="D58">
        <v>20471056</v>
      </c>
      <c r="E58" t="s">
        <v>2245</v>
      </c>
      <c r="F58" t="s">
        <v>984</v>
      </c>
      <c r="G58" t="s">
        <v>2250</v>
      </c>
      <c r="H58" t="s">
        <v>592</v>
      </c>
      <c r="J58" s="519">
        <v>46094</v>
      </c>
      <c r="U58" s="519">
        <v>46143</v>
      </c>
    </row>
    <row r="59" spans="1:21">
      <c r="A59" t="s">
        <v>953</v>
      </c>
      <c r="B59" t="s">
        <v>2823</v>
      </c>
      <c r="C59" t="s">
        <v>953</v>
      </c>
      <c r="D59">
        <v>20461217</v>
      </c>
      <c r="E59" t="s">
        <v>2252</v>
      </c>
      <c r="F59" t="s">
        <v>583</v>
      </c>
      <c r="G59" t="s">
        <v>2250</v>
      </c>
      <c r="H59" t="s">
        <v>588</v>
      </c>
      <c r="I59" t="s">
        <v>2824</v>
      </c>
      <c r="J59" s="519">
        <v>46084</v>
      </c>
      <c r="K59" s="519">
        <v>46084</v>
      </c>
      <c r="L59" s="519">
        <v>46084</v>
      </c>
      <c r="R59" s="519">
        <v>46086</v>
      </c>
      <c r="U59" s="519">
        <v>46088</v>
      </c>
    </row>
    <row r="60" spans="1:21">
      <c r="A60" t="s">
        <v>953</v>
      </c>
      <c r="B60" t="s">
        <v>1038</v>
      </c>
      <c r="C60" t="s">
        <v>953</v>
      </c>
      <c r="D60">
        <v>20478010</v>
      </c>
      <c r="E60" t="s">
        <v>2252</v>
      </c>
      <c r="F60" t="s">
        <v>577</v>
      </c>
      <c r="G60" t="s">
        <v>2250</v>
      </c>
      <c r="H60" t="s">
        <v>587</v>
      </c>
      <c r="I60" t="s">
        <v>1037</v>
      </c>
      <c r="J60" s="519">
        <v>46103</v>
      </c>
      <c r="K60" s="519">
        <v>46103</v>
      </c>
      <c r="L60" s="519">
        <v>46103</v>
      </c>
      <c r="M60" s="519">
        <v>46106</v>
      </c>
      <c r="R60" s="519">
        <v>46108</v>
      </c>
      <c r="U60" s="519">
        <v>46118</v>
      </c>
    </row>
    <row r="61" spans="1:21">
      <c r="A61" t="s">
        <v>953</v>
      </c>
      <c r="B61" t="s">
        <v>1038</v>
      </c>
      <c r="C61" t="s">
        <v>953</v>
      </c>
      <c r="D61">
        <v>20474721</v>
      </c>
      <c r="E61" t="s">
        <v>2252</v>
      </c>
      <c r="F61" t="s">
        <v>984</v>
      </c>
      <c r="G61" t="s">
        <v>2250</v>
      </c>
      <c r="H61" t="s">
        <v>592</v>
      </c>
      <c r="I61" t="s">
        <v>1167</v>
      </c>
      <c r="J61" s="519">
        <v>46099</v>
      </c>
      <c r="K61" s="519">
        <v>46103</v>
      </c>
      <c r="R61" s="519">
        <v>46107</v>
      </c>
      <c r="U61" s="519">
        <v>46113</v>
      </c>
    </row>
    <row r="62" spans="1:21">
      <c r="A62" t="s">
        <v>953</v>
      </c>
      <c r="B62" t="s">
        <v>2825</v>
      </c>
      <c r="C62" t="s">
        <v>953</v>
      </c>
      <c r="D62">
        <v>20472384</v>
      </c>
      <c r="E62" t="s">
        <v>2252</v>
      </c>
      <c r="F62" t="s">
        <v>583</v>
      </c>
      <c r="G62" t="s">
        <v>2250</v>
      </c>
      <c r="H62" t="s">
        <v>587</v>
      </c>
      <c r="I62" t="s">
        <v>1378</v>
      </c>
      <c r="J62" s="519">
        <v>46097</v>
      </c>
      <c r="K62" s="519">
        <v>46097</v>
      </c>
      <c r="L62" s="519">
        <v>46097</v>
      </c>
      <c r="R62" s="519">
        <v>46100</v>
      </c>
      <c r="U62" s="519">
        <v>46101</v>
      </c>
    </row>
    <row r="63" spans="1:21">
      <c r="A63" t="s">
        <v>953</v>
      </c>
      <c r="B63" t="s">
        <v>2826</v>
      </c>
      <c r="C63" t="s">
        <v>953</v>
      </c>
      <c r="D63">
        <v>20463746</v>
      </c>
      <c r="E63" t="s">
        <v>2245</v>
      </c>
      <c r="F63" t="s">
        <v>581</v>
      </c>
      <c r="G63" t="s">
        <v>1213</v>
      </c>
      <c r="H63" t="s">
        <v>588</v>
      </c>
      <c r="J63" s="519">
        <v>46087</v>
      </c>
      <c r="U63" s="519">
        <v>46087</v>
      </c>
    </row>
    <row r="64" spans="1:21">
      <c r="A64" t="s">
        <v>953</v>
      </c>
      <c r="B64" t="s">
        <v>2313</v>
      </c>
      <c r="C64" t="s">
        <v>953</v>
      </c>
      <c r="D64">
        <v>20456772</v>
      </c>
      <c r="E64" t="s">
        <v>2252</v>
      </c>
      <c r="F64" t="s">
        <v>577</v>
      </c>
      <c r="G64" t="s">
        <v>2250</v>
      </c>
      <c r="H64" t="s">
        <v>591</v>
      </c>
      <c r="I64" t="s">
        <v>1705</v>
      </c>
      <c r="J64" s="519">
        <v>46077</v>
      </c>
      <c r="K64" s="519">
        <v>46077</v>
      </c>
      <c r="L64" s="519">
        <v>46090</v>
      </c>
      <c r="R64" s="519">
        <v>46097</v>
      </c>
      <c r="U64" s="519">
        <v>46127</v>
      </c>
    </row>
    <row r="65" spans="1:21">
      <c r="A65" t="s">
        <v>953</v>
      </c>
      <c r="B65" t="s">
        <v>2827</v>
      </c>
      <c r="C65" t="s">
        <v>953</v>
      </c>
      <c r="D65">
        <v>20460761</v>
      </c>
      <c r="E65" t="s">
        <v>2245</v>
      </c>
      <c r="F65" t="s">
        <v>984</v>
      </c>
      <c r="G65" t="s">
        <v>2259</v>
      </c>
      <c r="H65" t="s">
        <v>593</v>
      </c>
      <c r="J65" s="519">
        <v>46083</v>
      </c>
      <c r="U65" s="519">
        <v>46083</v>
      </c>
    </row>
    <row r="66" spans="1:21">
      <c r="A66" t="s">
        <v>953</v>
      </c>
      <c r="B66" t="s">
        <v>2828</v>
      </c>
      <c r="C66" t="s">
        <v>953</v>
      </c>
      <c r="D66">
        <v>20470720</v>
      </c>
      <c r="E66" t="s">
        <v>2252</v>
      </c>
      <c r="F66" t="s">
        <v>1001</v>
      </c>
      <c r="G66" t="s">
        <v>2250</v>
      </c>
      <c r="H66" t="s">
        <v>587</v>
      </c>
      <c r="I66" t="s">
        <v>1171</v>
      </c>
      <c r="J66" s="519">
        <v>46094</v>
      </c>
      <c r="K66" s="519">
        <v>46094</v>
      </c>
      <c r="L66" s="519">
        <v>46094</v>
      </c>
      <c r="M66" s="519">
        <v>46098</v>
      </c>
      <c r="R66" s="519">
        <v>46098</v>
      </c>
      <c r="U66" s="519">
        <v>46094</v>
      </c>
    </row>
    <row r="67" spans="1:21">
      <c r="A67" t="s">
        <v>953</v>
      </c>
      <c r="B67" t="s">
        <v>2829</v>
      </c>
      <c r="C67" t="s">
        <v>953</v>
      </c>
      <c r="D67">
        <v>20479076</v>
      </c>
      <c r="E67" t="s">
        <v>1110</v>
      </c>
      <c r="F67" t="s">
        <v>577</v>
      </c>
      <c r="G67" t="s">
        <v>2250</v>
      </c>
      <c r="H67" t="s">
        <v>590</v>
      </c>
      <c r="I67" t="s">
        <v>1151</v>
      </c>
      <c r="J67" s="519">
        <v>46105</v>
      </c>
      <c r="K67" s="519">
        <v>46105</v>
      </c>
      <c r="L67" s="519">
        <v>46105</v>
      </c>
      <c r="U67" s="519">
        <v>46116</v>
      </c>
    </row>
    <row r="68" spans="1:21">
      <c r="A68" t="s">
        <v>953</v>
      </c>
      <c r="B68" t="s">
        <v>2830</v>
      </c>
      <c r="C68" t="s">
        <v>953</v>
      </c>
      <c r="D68">
        <v>20472682</v>
      </c>
      <c r="E68" t="s">
        <v>2245</v>
      </c>
      <c r="F68" t="s">
        <v>1001</v>
      </c>
      <c r="G68" t="s">
        <v>2248</v>
      </c>
      <c r="H68" t="s">
        <v>588</v>
      </c>
      <c r="J68" s="519">
        <v>46097</v>
      </c>
      <c r="U68" s="519">
        <v>46113</v>
      </c>
    </row>
    <row r="69" spans="1:21">
      <c r="A69" t="s">
        <v>953</v>
      </c>
      <c r="B69" t="s">
        <v>2831</v>
      </c>
      <c r="C69" t="s">
        <v>953</v>
      </c>
      <c r="D69">
        <v>20470524</v>
      </c>
      <c r="E69" t="s">
        <v>2245</v>
      </c>
      <c r="F69" t="s">
        <v>984</v>
      </c>
      <c r="G69" t="s">
        <v>2250</v>
      </c>
      <c r="H69" t="s">
        <v>592</v>
      </c>
      <c r="J69" s="519">
        <v>46093</v>
      </c>
      <c r="U69" s="519">
        <v>46147</v>
      </c>
    </row>
    <row r="70" spans="1:21">
      <c r="A70" t="s">
        <v>953</v>
      </c>
      <c r="B70" t="s">
        <v>2832</v>
      </c>
      <c r="C70" t="s">
        <v>953</v>
      </c>
      <c r="D70">
        <v>20465889</v>
      </c>
      <c r="E70" t="s">
        <v>2245</v>
      </c>
      <c r="F70" t="s">
        <v>984</v>
      </c>
      <c r="G70" t="s">
        <v>2246</v>
      </c>
      <c r="H70" t="s">
        <v>587</v>
      </c>
      <c r="J70" s="519">
        <v>46091</v>
      </c>
      <c r="U70" s="519">
        <v>46092</v>
      </c>
    </row>
    <row r="71" spans="1:21">
      <c r="A71" t="s">
        <v>953</v>
      </c>
      <c r="B71" t="s">
        <v>2833</v>
      </c>
      <c r="C71" t="s">
        <v>953</v>
      </c>
      <c r="D71">
        <v>20481365</v>
      </c>
      <c r="E71" t="s">
        <v>2252</v>
      </c>
      <c r="F71" t="s">
        <v>579</v>
      </c>
      <c r="G71" t="s">
        <v>2248</v>
      </c>
      <c r="H71" t="s">
        <v>588</v>
      </c>
      <c r="I71" t="s">
        <v>873</v>
      </c>
      <c r="J71" s="519">
        <v>46108</v>
      </c>
      <c r="K71" s="519">
        <v>46109</v>
      </c>
      <c r="L71" s="519">
        <v>46109</v>
      </c>
      <c r="S71" s="519">
        <v>46109</v>
      </c>
      <c r="U71" s="519">
        <v>46137</v>
      </c>
    </row>
    <row r="72" spans="1:21">
      <c r="A72" t="s">
        <v>953</v>
      </c>
      <c r="B72" t="s">
        <v>2834</v>
      </c>
      <c r="C72" t="s">
        <v>953</v>
      </c>
      <c r="D72">
        <v>20468588</v>
      </c>
      <c r="E72" t="s">
        <v>2245</v>
      </c>
      <c r="F72" t="s">
        <v>984</v>
      </c>
      <c r="G72" t="s">
        <v>2290</v>
      </c>
      <c r="H72" t="s">
        <v>587</v>
      </c>
      <c r="J72" s="519">
        <v>46092</v>
      </c>
      <c r="U72" s="519">
        <v>46134</v>
      </c>
    </row>
    <row r="73" spans="1:21">
      <c r="A73" t="s">
        <v>953</v>
      </c>
      <c r="B73" t="s">
        <v>1148</v>
      </c>
      <c r="C73" t="s">
        <v>953</v>
      </c>
      <c r="D73">
        <v>20468485</v>
      </c>
      <c r="E73" t="s">
        <v>1100</v>
      </c>
      <c r="F73" t="s">
        <v>581</v>
      </c>
      <c r="G73" t="s">
        <v>2250</v>
      </c>
      <c r="H73" t="s">
        <v>587</v>
      </c>
      <c r="I73" t="s">
        <v>1147</v>
      </c>
      <c r="J73" s="519">
        <v>46092</v>
      </c>
      <c r="K73" s="519">
        <v>46092</v>
      </c>
      <c r="U73" s="519">
        <v>46092</v>
      </c>
    </row>
    <row r="74" spans="1:21">
      <c r="A74" t="s">
        <v>953</v>
      </c>
      <c r="B74" t="s">
        <v>2319</v>
      </c>
      <c r="C74" t="s">
        <v>953</v>
      </c>
      <c r="D74">
        <v>20458765</v>
      </c>
      <c r="E74" t="s">
        <v>2252</v>
      </c>
      <c r="F74" t="s">
        <v>583</v>
      </c>
      <c r="G74" t="s">
        <v>2250</v>
      </c>
      <c r="H74" t="s">
        <v>587</v>
      </c>
      <c r="I74" t="s">
        <v>1010</v>
      </c>
      <c r="J74" s="519">
        <v>46080</v>
      </c>
      <c r="K74" s="519">
        <v>46080</v>
      </c>
      <c r="L74" s="519">
        <v>46082</v>
      </c>
      <c r="R74" s="519">
        <v>46090</v>
      </c>
      <c r="U74" s="519">
        <v>46093</v>
      </c>
    </row>
    <row r="75" spans="1:21">
      <c r="A75" t="s">
        <v>953</v>
      </c>
      <c r="B75" t="s">
        <v>2835</v>
      </c>
      <c r="C75" t="s">
        <v>953</v>
      </c>
      <c r="D75">
        <v>20480667</v>
      </c>
      <c r="E75" t="s">
        <v>2245</v>
      </c>
      <c r="F75" t="s">
        <v>984</v>
      </c>
      <c r="G75" t="s">
        <v>2290</v>
      </c>
      <c r="H75" t="s">
        <v>591</v>
      </c>
      <c r="J75" s="519">
        <v>46107</v>
      </c>
      <c r="U75" s="519">
        <v>46107</v>
      </c>
    </row>
    <row r="76" spans="1:21">
      <c r="A76" t="s">
        <v>953</v>
      </c>
      <c r="B76" t="s">
        <v>2836</v>
      </c>
      <c r="C76" t="s">
        <v>953</v>
      </c>
      <c r="D76">
        <v>20472919</v>
      </c>
      <c r="E76" t="s">
        <v>2245</v>
      </c>
      <c r="F76" t="s">
        <v>984</v>
      </c>
      <c r="G76" t="s">
        <v>2250</v>
      </c>
      <c r="H76" t="s">
        <v>592</v>
      </c>
      <c r="J76" s="519">
        <v>46097</v>
      </c>
      <c r="U76" s="519">
        <v>46098</v>
      </c>
    </row>
    <row r="77" spans="1:21">
      <c r="A77" t="s">
        <v>953</v>
      </c>
      <c r="B77" t="s">
        <v>2837</v>
      </c>
      <c r="C77" t="s">
        <v>953</v>
      </c>
      <c r="D77">
        <v>20477345</v>
      </c>
      <c r="E77" t="s">
        <v>2245</v>
      </c>
      <c r="F77" t="s">
        <v>579</v>
      </c>
      <c r="G77" t="s">
        <v>2248</v>
      </c>
      <c r="H77" t="s">
        <v>591</v>
      </c>
      <c r="J77" s="519">
        <v>46102</v>
      </c>
      <c r="U77" s="519">
        <v>46102</v>
      </c>
    </row>
    <row r="78" spans="1:21">
      <c r="A78" t="s">
        <v>953</v>
      </c>
      <c r="B78" t="s">
        <v>2838</v>
      </c>
      <c r="C78" t="s">
        <v>953</v>
      </c>
      <c r="D78">
        <v>20483527</v>
      </c>
      <c r="E78" t="s">
        <v>2252</v>
      </c>
      <c r="F78" t="s">
        <v>1115</v>
      </c>
      <c r="G78" t="s">
        <v>2250</v>
      </c>
      <c r="H78" t="s">
        <v>588</v>
      </c>
      <c r="J78" s="519">
        <v>46111</v>
      </c>
      <c r="K78" s="519">
        <v>46111</v>
      </c>
      <c r="R78" s="519">
        <v>46112</v>
      </c>
      <c r="U78" s="519">
        <v>46111</v>
      </c>
    </row>
    <row r="79" spans="1:21">
      <c r="A79" t="s">
        <v>953</v>
      </c>
      <c r="B79" t="s">
        <v>2838</v>
      </c>
      <c r="C79" t="s">
        <v>953</v>
      </c>
      <c r="D79">
        <v>20483523</v>
      </c>
      <c r="E79" t="s">
        <v>1100</v>
      </c>
      <c r="F79" t="s">
        <v>581</v>
      </c>
      <c r="G79" t="s">
        <v>1213</v>
      </c>
      <c r="H79" t="s">
        <v>588</v>
      </c>
      <c r="I79" t="s">
        <v>2783</v>
      </c>
      <c r="J79" s="519">
        <v>46111</v>
      </c>
      <c r="K79" s="519">
        <v>46111</v>
      </c>
      <c r="U79" s="519">
        <v>46121</v>
      </c>
    </row>
    <row r="80" spans="1:21">
      <c r="A80" t="s">
        <v>953</v>
      </c>
      <c r="B80" t="s">
        <v>2838</v>
      </c>
      <c r="C80" t="s">
        <v>953</v>
      </c>
      <c r="D80">
        <v>20483526</v>
      </c>
      <c r="E80" t="s">
        <v>2252</v>
      </c>
      <c r="F80" t="s">
        <v>1115</v>
      </c>
      <c r="G80" t="s">
        <v>2250</v>
      </c>
      <c r="H80" t="s">
        <v>588</v>
      </c>
      <c r="J80" s="519">
        <v>46111</v>
      </c>
      <c r="K80" s="519">
        <v>46111</v>
      </c>
      <c r="R80" s="519">
        <v>46112</v>
      </c>
      <c r="U80" s="519">
        <v>46111</v>
      </c>
    </row>
    <row r="81" spans="1:21">
      <c r="A81" t="s">
        <v>953</v>
      </c>
      <c r="B81" t="s">
        <v>2839</v>
      </c>
      <c r="C81" t="s">
        <v>953</v>
      </c>
      <c r="D81">
        <v>20468599</v>
      </c>
      <c r="E81" t="s">
        <v>2258</v>
      </c>
      <c r="F81" t="s">
        <v>581</v>
      </c>
      <c r="G81" t="s">
        <v>2248</v>
      </c>
      <c r="H81" t="s">
        <v>588</v>
      </c>
      <c r="I81" t="s">
        <v>1034</v>
      </c>
      <c r="J81" s="519">
        <v>46092</v>
      </c>
      <c r="R81" s="519">
        <v>46095</v>
      </c>
      <c r="U81" s="519">
        <v>46142</v>
      </c>
    </row>
    <row r="82" spans="1:21">
      <c r="A82" t="s">
        <v>953</v>
      </c>
      <c r="B82" t="s">
        <v>2840</v>
      </c>
      <c r="C82" t="s">
        <v>953</v>
      </c>
      <c r="D82">
        <v>20471486</v>
      </c>
      <c r="E82" t="s">
        <v>2252</v>
      </c>
      <c r="F82" t="s">
        <v>578</v>
      </c>
      <c r="G82" t="s">
        <v>2250</v>
      </c>
      <c r="H82" t="s">
        <v>587</v>
      </c>
      <c r="I82" t="s">
        <v>1028</v>
      </c>
      <c r="J82" s="519">
        <v>46095</v>
      </c>
      <c r="K82" s="519">
        <v>46095</v>
      </c>
      <c r="L82" s="519">
        <v>46095</v>
      </c>
      <c r="R82" s="519">
        <v>46098</v>
      </c>
      <c r="U82" s="519">
        <v>46102</v>
      </c>
    </row>
    <row r="83" spans="1:21">
      <c r="A83" t="s">
        <v>953</v>
      </c>
      <c r="B83" t="s">
        <v>2840</v>
      </c>
      <c r="C83" t="s">
        <v>953</v>
      </c>
      <c r="D83">
        <v>20471215</v>
      </c>
      <c r="E83" t="s">
        <v>2245</v>
      </c>
      <c r="F83" t="s">
        <v>581</v>
      </c>
      <c r="G83" t="s">
        <v>2290</v>
      </c>
      <c r="H83" t="s">
        <v>587</v>
      </c>
      <c r="J83" s="519">
        <v>46094</v>
      </c>
      <c r="U83" s="519">
        <v>46094</v>
      </c>
    </row>
    <row r="84" spans="1:21">
      <c r="A84" t="s">
        <v>953</v>
      </c>
      <c r="B84" t="s">
        <v>2841</v>
      </c>
      <c r="C84" t="s">
        <v>953</v>
      </c>
      <c r="D84">
        <v>20460807</v>
      </c>
      <c r="E84" t="s">
        <v>2245</v>
      </c>
      <c r="F84" t="s">
        <v>984</v>
      </c>
      <c r="G84" t="s">
        <v>2246</v>
      </c>
      <c r="H84" t="s">
        <v>2469</v>
      </c>
      <c r="J84" s="519">
        <v>46083</v>
      </c>
      <c r="U84" s="519">
        <v>46083</v>
      </c>
    </row>
    <row r="85" spans="1:21">
      <c r="A85" t="s">
        <v>953</v>
      </c>
      <c r="B85" t="s">
        <v>2842</v>
      </c>
      <c r="C85" t="s">
        <v>953</v>
      </c>
      <c r="D85">
        <v>20471601</v>
      </c>
      <c r="E85" t="s">
        <v>2245</v>
      </c>
      <c r="F85" t="s">
        <v>578</v>
      </c>
      <c r="G85" t="s">
        <v>2248</v>
      </c>
      <c r="H85" t="s">
        <v>588</v>
      </c>
      <c r="J85" s="519">
        <v>46095</v>
      </c>
      <c r="U85" s="519">
        <v>46095</v>
      </c>
    </row>
    <row r="86" spans="1:21">
      <c r="A86" t="s">
        <v>953</v>
      </c>
      <c r="B86" t="s">
        <v>2843</v>
      </c>
      <c r="C86" t="s">
        <v>953</v>
      </c>
      <c r="D86">
        <v>20469110</v>
      </c>
      <c r="E86" t="s">
        <v>2245</v>
      </c>
      <c r="F86" t="s">
        <v>984</v>
      </c>
      <c r="G86" t="s">
        <v>2248</v>
      </c>
      <c r="H86" t="s">
        <v>588</v>
      </c>
      <c r="I86" t="s">
        <v>998</v>
      </c>
      <c r="J86" s="519">
        <v>46093</v>
      </c>
      <c r="U86" s="519">
        <v>46093</v>
      </c>
    </row>
    <row r="87" spans="1:21">
      <c r="A87" t="s">
        <v>953</v>
      </c>
      <c r="B87" t="s">
        <v>2844</v>
      </c>
      <c r="C87" t="s">
        <v>953</v>
      </c>
      <c r="D87">
        <v>20463037</v>
      </c>
      <c r="E87" t="s">
        <v>2245</v>
      </c>
      <c r="F87" t="s">
        <v>579</v>
      </c>
      <c r="G87" t="s">
        <v>2248</v>
      </c>
      <c r="H87" t="s">
        <v>592</v>
      </c>
      <c r="J87" s="519">
        <v>46086</v>
      </c>
      <c r="U87" s="519">
        <v>46157</v>
      </c>
    </row>
    <row r="88" spans="1:21">
      <c r="A88" t="s">
        <v>953</v>
      </c>
      <c r="B88" t="s">
        <v>2328</v>
      </c>
      <c r="C88" t="s">
        <v>953</v>
      </c>
      <c r="D88">
        <v>20445913</v>
      </c>
      <c r="E88" t="s">
        <v>2324</v>
      </c>
      <c r="F88" t="s">
        <v>578</v>
      </c>
      <c r="G88" t="s">
        <v>2250</v>
      </c>
      <c r="H88" t="s">
        <v>587</v>
      </c>
      <c r="I88" t="s">
        <v>1682</v>
      </c>
      <c r="J88" s="519">
        <v>46064</v>
      </c>
      <c r="K88" s="519">
        <v>46064</v>
      </c>
      <c r="L88" s="519">
        <v>46064</v>
      </c>
      <c r="M88" s="519">
        <v>46077</v>
      </c>
      <c r="N88" s="519">
        <v>46083</v>
      </c>
      <c r="P88" s="519">
        <v>46083</v>
      </c>
      <c r="Q88" s="519">
        <v>46084</v>
      </c>
      <c r="U88" s="519">
        <v>46087</v>
      </c>
    </row>
    <row r="89" spans="1:21">
      <c r="A89" t="s">
        <v>953</v>
      </c>
      <c r="B89" t="s">
        <v>2330</v>
      </c>
      <c r="C89" t="s">
        <v>953</v>
      </c>
      <c r="D89">
        <v>20462127</v>
      </c>
      <c r="E89" t="s">
        <v>2258</v>
      </c>
      <c r="F89" t="s">
        <v>581</v>
      </c>
      <c r="G89" t="s">
        <v>2250</v>
      </c>
      <c r="H89" t="s">
        <v>590</v>
      </c>
      <c r="I89" t="s">
        <v>1169</v>
      </c>
      <c r="J89" s="519">
        <v>46085</v>
      </c>
      <c r="K89" s="519">
        <v>46085</v>
      </c>
      <c r="R89" s="519">
        <v>46086</v>
      </c>
      <c r="U89" s="519">
        <v>46087</v>
      </c>
    </row>
    <row r="90" spans="1:21">
      <c r="A90" t="s">
        <v>953</v>
      </c>
      <c r="B90" t="s">
        <v>2330</v>
      </c>
      <c r="C90" t="s">
        <v>953</v>
      </c>
      <c r="D90">
        <v>20454340</v>
      </c>
      <c r="E90" t="s">
        <v>2252</v>
      </c>
      <c r="F90" t="s">
        <v>577</v>
      </c>
      <c r="G90" t="s">
        <v>2250</v>
      </c>
      <c r="H90" t="s">
        <v>590</v>
      </c>
      <c r="I90" t="s">
        <v>998</v>
      </c>
      <c r="J90" s="519">
        <v>46073</v>
      </c>
      <c r="K90" s="519">
        <v>46073</v>
      </c>
      <c r="L90" s="519">
        <v>46077</v>
      </c>
      <c r="S90" s="519">
        <v>46086</v>
      </c>
      <c r="U90" s="519">
        <v>46087</v>
      </c>
    </row>
    <row r="91" spans="1:21">
      <c r="A91" t="s">
        <v>953</v>
      </c>
      <c r="B91" t="s">
        <v>2845</v>
      </c>
      <c r="C91" t="s">
        <v>953</v>
      </c>
      <c r="D91">
        <v>20483263</v>
      </c>
      <c r="E91" t="s">
        <v>2245</v>
      </c>
      <c r="F91" t="s">
        <v>577</v>
      </c>
      <c r="G91" t="s">
        <v>2250</v>
      </c>
      <c r="H91" t="s">
        <v>592</v>
      </c>
      <c r="I91" t="s">
        <v>2420</v>
      </c>
      <c r="J91" s="519">
        <v>46111</v>
      </c>
      <c r="U91" s="519">
        <v>46116</v>
      </c>
    </row>
    <row r="92" spans="1:21">
      <c r="A92" t="s">
        <v>953</v>
      </c>
      <c r="B92" t="s">
        <v>2846</v>
      </c>
      <c r="C92" t="s">
        <v>953</v>
      </c>
      <c r="D92">
        <v>20480910</v>
      </c>
      <c r="E92" t="s">
        <v>2245</v>
      </c>
      <c r="F92" t="s">
        <v>581</v>
      </c>
      <c r="G92" t="s">
        <v>2248</v>
      </c>
      <c r="H92" t="s">
        <v>589</v>
      </c>
      <c r="I92" t="s">
        <v>1156</v>
      </c>
      <c r="J92" s="519">
        <v>46107</v>
      </c>
      <c r="U92" s="519">
        <v>46143</v>
      </c>
    </row>
    <row r="93" spans="1:21">
      <c r="A93" t="s">
        <v>953</v>
      </c>
      <c r="B93" t="s">
        <v>2847</v>
      </c>
      <c r="C93" t="s">
        <v>953</v>
      </c>
      <c r="D93">
        <v>20415217</v>
      </c>
      <c r="E93" t="s">
        <v>2252</v>
      </c>
      <c r="F93" t="s">
        <v>1001</v>
      </c>
      <c r="G93" t="s">
        <v>2250</v>
      </c>
      <c r="H93" t="s">
        <v>588</v>
      </c>
      <c r="I93" t="s">
        <v>2848</v>
      </c>
      <c r="J93" s="519">
        <v>46021</v>
      </c>
      <c r="K93" s="519">
        <v>46021</v>
      </c>
      <c r="R93" s="519">
        <v>46092</v>
      </c>
      <c r="U93" s="519">
        <v>46031</v>
      </c>
    </row>
    <row r="94" spans="1:21">
      <c r="A94" t="s">
        <v>953</v>
      </c>
      <c r="B94" t="s">
        <v>2849</v>
      </c>
      <c r="C94" t="s">
        <v>953</v>
      </c>
      <c r="D94">
        <v>20475862</v>
      </c>
      <c r="E94" t="s">
        <v>2245</v>
      </c>
      <c r="F94" t="s">
        <v>577</v>
      </c>
      <c r="G94" t="s">
        <v>2248</v>
      </c>
      <c r="H94" t="s">
        <v>592</v>
      </c>
      <c r="I94" t="s">
        <v>1134</v>
      </c>
      <c r="J94" s="519">
        <v>46100</v>
      </c>
      <c r="U94" s="519">
        <v>46115</v>
      </c>
    </row>
    <row r="95" spans="1:21">
      <c r="A95" t="s">
        <v>953</v>
      </c>
      <c r="B95" t="s">
        <v>2850</v>
      </c>
      <c r="C95" t="s">
        <v>953</v>
      </c>
      <c r="D95">
        <v>20478117</v>
      </c>
      <c r="E95" t="s">
        <v>2245</v>
      </c>
      <c r="F95" t="s">
        <v>984</v>
      </c>
      <c r="G95" t="s">
        <v>2250</v>
      </c>
      <c r="H95" t="s">
        <v>592</v>
      </c>
      <c r="J95" s="519">
        <v>46104</v>
      </c>
      <c r="U95" s="519">
        <v>46115</v>
      </c>
    </row>
    <row r="96" spans="1:21">
      <c r="A96" t="s">
        <v>953</v>
      </c>
      <c r="B96" t="s">
        <v>2334</v>
      </c>
      <c r="C96" t="s">
        <v>953</v>
      </c>
      <c r="D96">
        <v>20459649</v>
      </c>
      <c r="E96" t="s">
        <v>2324</v>
      </c>
      <c r="F96" t="s">
        <v>578</v>
      </c>
      <c r="G96" t="s">
        <v>2250</v>
      </c>
      <c r="H96" t="s">
        <v>587</v>
      </c>
      <c r="I96" t="s">
        <v>2335</v>
      </c>
      <c r="J96" s="519">
        <v>46081</v>
      </c>
      <c r="K96" s="519">
        <v>46081</v>
      </c>
      <c r="L96" s="519">
        <v>46081</v>
      </c>
      <c r="M96" s="519">
        <v>46097</v>
      </c>
      <c r="N96" s="519">
        <v>46097</v>
      </c>
      <c r="P96" s="519">
        <v>46097</v>
      </c>
      <c r="Q96" s="519">
        <v>46097</v>
      </c>
      <c r="T96" s="519">
        <v>46090</v>
      </c>
      <c r="U96" s="519">
        <v>46095</v>
      </c>
    </row>
    <row r="97" spans="1:21">
      <c r="A97" t="s">
        <v>953</v>
      </c>
      <c r="B97" t="s">
        <v>2334</v>
      </c>
      <c r="C97" t="s">
        <v>953</v>
      </c>
      <c r="D97">
        <v>20429522</v>
      </c>
      <c r="E97" t="s">
        <v>2252</v>
      </c>
      <c r="F97" t="s">
        <v>578</v>
      </c>
      <c r="G97" t="s">
        <v>2248</v>
      </c>
      <c r="H97" t="s">
        <v>588</v>
      </c>
      <c r="J97" s="519">
        <v>46039</v>
      </c>
      <c r="K97" s="519">
        <v>46081</v>
      </c>
      <c r="R97" s="519">
        <v>46092</v>
      </c>
      <c r="U97" s="519">
        <v>46053</v>
      </c>
    </row>
    <row r="98" spans="1:21">
      <c r="A98" t="s">
        <v>953</v>
      </c>
      <c r="B98" t="s">
        <v>2851</v>
      </c>
      <c r="C98" t="s">
        <v>953</v>
      </c>
      <c r="D98">
        <v>20462532</v>
      </c>
      <c r="E98" t="s">
        <v>2252</v>
      </c>
      <c r="F98" t="s">
        <v>578</v>
      </c>
      <c r="G98" t="s">
        <v>2250</v>
      </c>
      <c r="H98" t="s">
        <v>587</v>
      </c>
      <c r="I98" t="s">
        <v>2508</v>
      </c>
      <c r="J98" s="519">
        <v>46085</v>
      </c>
      <c r="K98" s="519">
        <v>46085</v>
      </c>
      <c r="R98" s="519">
        <v>46091</v>
      </c>
      <c r="U98" s="519">
        <v>46109</v>
      </c>
    </row>
    <row r="99" spans="1:21">
      <c r="A99" t="s">
        <v>953</v>
      </c>
      <c r="B99" t="s">
        <v>2852</v>
      </c>
      <c r="C99" t="s">
        <v>953</v>
      </c>
      <c r="D99">
        <v>20476764</v>
      </c>
      <c r="E99" t="s">
        <v>2245</v>
      </c>
      <c r="F99" t="s">
        <v>577</v>
      </c>
      <c r="G99" t="s">
        <v>2248</v>
      </c>
      <c r="H99" t="s">
        <v>592</v>
      </c>
      <c r="I99" t="s">
        <v>1028</v>
      </c>
      <c r="J99" s="519">
        <v>46101</v>
      </c>
      <c r="U99" s="519">
        <v>46107</v>
      </c>
    </row>
    <row r="100" spans="1:21">
      <c r="A100" t="s">
        <v>953</v>
      </c>
      <c r="B100" t="s">
        <v>2852</v>
      </c>
      <c r="C100" t="s">
        <v>953</v>
      </c>
      <c r="D100">
        <v>20479241</v>
      </c>
      <c r="E100" t="s">
        <v>1100</v>
      </c>
      <c r="F100" t="s">
        <v>1001</v>
      </c>
      <c r="G100" t="s">
        <v>2250</v>
      </c>
      <c r="H100" t="s">
        <v>587</v>
      </c>
      <c r="I100" t="s">
        <v>2487</v>
      </c>
      <c r="J100" s="519">
        <v>46105</v>
      </c>
      <c r="K100" s="519">
        <v>46105</v>
      </c>
      <c r="U100" s="519">
        <v>46122</v>
      </c>
    </row>
    <row r="101" spans="1:21">
      <c r="A101" t="s">
        <v>953</v>
      </c>
      <c r="B101" t="s">
        <v>2853</v>
      </c>
      <c r="C101" t="s">
        <v>953</v>
      </c>
      <c r="D101">
        <v>20482205</v>
      </c>
      <c r="E101" t="s">
        <v>2245</v>
      </c>
      <c r="F101" t="s">
        <v>984</v>
      </c>
      <c r="G101" t="s">
        <v>2259</v>
      </c>
      <c r="H101" t="s">
        <v>592</v>
      </c>
      <c r="I101" t="s">
        <v>1156</v>
      </c>
      <c r="J101" s="519">
        <v>46109</v>
      </c>
      <c r="U101" s="519">
        <v>46115</v>
      </c>
    </row>
    <row r="102" spans="1:21">
      <c r="A102" t="s">
        <v>953</v>
      </c>
      <c r="B102" t="s">
        <v>2854</v>
      </c>
      <c r="C102" t="s">
        <v>953</v>
      </c>
      <c r="D102">
        <v>20471390</v>
      </c>
      <c r="E102" t="s">
        <v>2245</v>
      </c>
      <c r="F102" t="s">
        <v>581</v>
      </c>
      <c r="G102" t="s">
        <v>2248</v>
      </c>
      <c r="H102" t="s">
        <v>588</v>
      </c>
      <c r="I102" t="s">
        <v>1630</v>
      </c>
      <c r="J102" s="519">
        <v>46095</v>
      </c>
      <c r="U102" s="519">
        <v>46116</v>
      </c>
    </row>
    <row r="103" spans="1:21">
      <c r="A103" t="s">
        <v>953</v>
      </c>
      <c r="B103" t="s">
        <v>2855</v>
      </c>
      <c r="C103" t="s">
        <v>953</v>
      </c>
      <c r="D103">
        <v>20473359</v>
      </c>
      <c r="E103" t="s">
        <v>2258</v>
      </c>
      <c r="F103" t="s">
        <v>579</v>
      </c>
      <c r="G103" t="s">
        <v>2248</v>
      </c>
      <c r="H103" t="s">
        <v>591</v>
      </c>
      <c r="J103" s="519">
        <v>46098</v>
      </c>
      <c r="R103" s="519">
        <v>46102</v>
      </c>
      <c r="U103" s="519">
        <v>46143</v>
      </c>
    </row>
    <row r="104" spans="1:21">
      <c r="A104" t="s">
        <v>953</v>
      </c>
      <c r="B104" t="s">
        <v>2856</v>
      </c>
      <c r="C104" t="s">
        <v>953</v>
      </c>
      <c r="D104">
        <v>20480378</v>
      </c>
      <c r="E104" t="s">
        <v>2245</v>
      </c>
      <c r="F104" t="s">
        <v>984</v>
      </c>
      <c r="G104" t="s">
        <v>2250</v>
      </c>
      <c r="H104" t="s">
        <v>592</v>
      </c>
      <c r="J104" s="519">
        <v>46106</v>
      </c>
      <c r="U104" s="519">
        <v>46183</v>
      </c>
    </row>
    <row r="105" spans="1:21">
      <c r="A105" t="s">
        <v>953</v>
      </c>
      <c r="B105" t="s">
        <v>2857</v>
      </c>
      <c r="C105" t="s">
        <v>953</v>
      </c>
      <c r="D105">
        <v>20464435</v>
      </c>
      <c r="E105" t="s">
        <v>2245</v>
      </c>
      <c r="F105" t="s">
        <v>984</v>
      </c>
      <c r="G105" t="s">
        <v>2246</v>
      </c>
      <c r="H105" t="s">
        <v>587</v>
      </c>
      <c r="J105" s="519">
        <v>46088</v>
      </c>
      <c r="U105" s="519">
        <v>46088</v>
      </c>
    </row>
    <row r="106" spans="1:21">
      <c r="A106" t="s">
        <v>953</v>
      </c>
      <c r="B106" t="s">
        <v>2858</v>
      </c>
      <c r="C106" t="s">
        <v>953</v>
      </c>
      <c r="D106">
        <v>20462067</v>
      </c>
      <c r="E106" t="s">
        <v>2245</v>
      </c>
      <c r="F106" t="s">
        <v>581</v>
      </c>
      <c r="G106" t="s">
        <v>2290</v>
      </c>
      <c r="H106" t="s">
        <v>2469</v>
      </c>
      <c r="J106" s="519">
        <v>46085</v>
      </c>
      <c r="U106" s="519">
        <v>46085</v>
      </c>
    </row>
    <row r="107" spans="1:21">
      <c r="A107" t="s">
        <v>953</v>
      </c>
      <c r="B107" t="s">
        <v>2859</v>
      </c>
      <c r="C107" t="s">
        <v>953</v>
      </c>
      <c r="D107">
        <v>20476333</v>
      </c>
      <c r="E107" t="s">
        <v>2245</v>
      </c>
      <c r="F107" t="s">
        <v>578</v>
      </c>
      <c r="G107" t="s">
        <v>2250</v>
      </c>
      <c r="H107" t="s">
        <v>592</v>
      </c>
      <c r="I107" t="s">
        <v>2420</v>
      </c>
      <c r="J107" s="519">
        <v>46100</v>
      </c>
      <c r="U107" s="519">
        <v>46113</v>
      </c>
    </row>
    <row r="108" spans="1:21">
      <c r="A108" t="s">
        <v>953</v>
      </c>
      <c r="B108" t="s">
        <v>2860</v>
      </c>
      <c r="C108" t="s">
        <v>953</v>
      </c>
      <c r="D108">
        <v>20479253</v>
      </c>
      <c r="E108" t="s">
        <v>2245</v>
      </c>
      <c r="F108" t="s">
        <v>579</v>
      </c>
      <c r="G108" t="s">
        <v>2248</v>
      </c>
      <c r="H108" t="s">
        <v>588</v>
      </c>
      <c r="I108" t="s">
        <v>2861</v>
      </c>
      <c r="J108" s="519">
        <v>46105</v>
      </c>
      <c r="U108" s="519">
        <v>46105</v>
      </c>
    </row>
    <row r="109" spans="1:21">
      <c r="A109" t="s">
        <v>953</v>
      </c>
      <c r="B109" t="s">
        <v>2862</v>
      </c>
      <c r="C109" t="s">
        <v>953</v>
      </c>
      <c r="D109">
        <v>20471670</v>
      </c>
      <c r="E109" t="s">
        <v>2245</v>
      </c>
      <c r="F109" t="s">
        <v>984</v>
      </c>
      <c r="G109" t="s">
        <v>2250</v>
      </c>
      <c r="H109" t="s">
        <v>592</v>
      </c>
      <c r="J109" s="519">
        <v>46095</v>
      </c>
      <c r="U109" s="519">
        <v>46155</v>
      </c>
    </row>
    <row r="110" spans="1:21">
      <c r="A110" t="s">
        <v>953</v>
      </c>
      <c r="B110" t="s">
        <v>2863</v>
      </c>
      <c r="C110" t="s">
        <v>953</v>
      </c>
      <c r="D110">
        <v>20479132</v>
      </c>
      <c r="E110" t="s">
        <v>1100</v>
      </c>
      <c r="F110" t="s">
        <v>581</v>
      </c>
      <c r="G110" t="s">
        <v>2250</v>
      </c>
      <c r="H110" t="s">
        <v>587</v>
      </c>
      <c r="J110" s="519">
        <v>46105</v>
      </c>
      <c r="K110" s="519">
        <v>46105</v>
      </c>
      <c r="U110" s="519">
        <v>46108</v>
      </c>
    </row>
    <row r="111" spans="1:21">
      <c r="A111" t="s">
        <v>953</v>
      </c>
      <c r="B111" t="s">
        <v>2863</v>
      </c>
      <c r="C111" t="s">
        <v>953</v>
      </c>
      <c r="D111">
        <v>20478783</v>
      </c>
      <c r="E111" t="s">
        <v>2252</v>
      </c>
      <c r="F111" t="s">
        <v>984</v>
      </c>
      <c r="G111" t="s">
        <v>2290</v>
      </c>
      <c r="H111" t="s">
        <v>2412</v>
      </c>
      <c r="I111" t="s">
        <v>1156</v>
      </c>
      <c r="J111" s="519">
        <v>46105</v>
      </c>
      <c r="K111" s="519">
        <v>46105</v>
      </c>
      <c r="L111" s="519">
        <v>46105</v>
      </c>
      <c r="R111" s="519">
        <v>46106</v>
      </c>
      <c r="U111" s="519">
        <v>46108</v>
      </c>
    </row>
    <row r="112" spans="1:21">
      <c r="A112" t="s">
        <v>953</v>
      </c>
      <c r="B112" t="s">
        <v>2864</v>
      </c>
      <c r="C112" t="s">
        <v>953</v>
      </c>
      <c r="D112">
        <v>20482294</v>
      </c>
      <c r="E112" t="s">
        <v>2245</v>
      </c>
      <c r="F112" t="s">
        <v>984</v>
      </c>
      <c r="G112" t="s">
        <v>2250</v>
      </c>
      <c r="H112" t="s">
        <v>592</v>
      </c>
      <c r="J112" s="519">
        <v>46109</v>
      </c>
      <c r="U112" s="519">
        <v>46143</v>
      </c>
    </row>
    <row r="113" spans="1:21">
      <c r="A113" t="s">
        <v>953</v>
      </c>
      <c r="B113" t="s">
        <v>2865</v>
      </c>
      <c r="C113" t="s">
        <v>953</v>
      </c>
      <c r="D113">
        <v>20479869</v>
      </c>
      <c r="E113" t="s">
        <v>2245</v>
      </c>
      <c r="F113" t="s">
        <v>984</v>
      </c>
      <c r="G113" t="s">
        <v>2246</v>
      </c>
      <c r="H113" t="s">
        <v>592</v>
      </c>
      <c r="J113" s="519">
        <v>46106</v>
      </c>
      <c r="U113" s="519">
        <v>46171</v>
      </c>
    </row>
    <row r="114" spans="1:21">
      <c r="A114" t="s">
        <v>953</v>
      </c>
      <c r="B114" t="s">
        <v>2866</v>
      </c>
      <c r="C114" t="s">
        <v>953</v>
      </c>
      <c r="D114">
        <v>20471511</v>
      </c>
      <c r="E114" t="s">
        <v>1100</v>
      </c>
      <c r="F114" t="s">
        <v>1115</v>
      </c>
      <c r="G114" t="s">
        <v>2250</v>
      </c>
      <c r="H114" t="s">
        <v>587</v>
      </c>
      <c r="J114" s="519">
        <v>46095</v>
      </c>
      <c r="K114" s="519">
        <v>46095</v>
      </c>
      <c r="U114" s="519">
        <v>46095</v>
      </c>
    </row>
    <row r="115" spans="1:21">
      <c r="A115" t="s">
        <v>953</v>
      </c>
      <c r="B115" t="s">
        <v>2867</v>
      </c>
      <c r="C115" t="s">
        <v>953</v>
      </c>
      <c r="D115">
        <v>20475789</v>
      </c>
      <c r="E115" t="s">
        <v>2245</v>
      </c>
      <c r="F115" t="s">
        <v>579</v>
      </c>
      <c r="G115" t="s">
        <v>2248</v>
      </c>
      <c r="H115" t="s">
        <v>592</v>
      </c>
      <c r="I115" t="s">
        <v>1034</v>
      </c>
      <c r="J115" s="519">
        <v>46100</v>
      </c>
      <c r="U115" s="519">
        <v>46109</v>
      </c>
    </row>
    <row r="116" spans="1:21">
      <c r="A116" t="s">
        <v>953</v>
      </c>
      <c r="B116" t="s">
        <v>2868</v>
      </c>
      <c r="C116" t="s">
        <v>953</v>
      </c>
      <c r="D116">
        <v>20467005</v>
      </c>
      <c r="E116" t="s">
        <v>2245</v>
      </c>
      <c r="F116" t="s">
        <v>984</v>
      </c>
      <c r="G116" t="s">
        <v>2290</v>
      </c>
      <c r="H116" t="s">
        <v>591</v>
      </c>
      <c r="J116" s="519">
        <v>46091</v>
      </c>
      <c r="U116" s="519">
        <v>46091</v>
      </c>
    </row>
    <row r="117" spans="1:21">
      <c r="A117" t="s">
        <v>953</v>
      </c>
      <c r="B117" t="s">
        <v>2869</v>
      </c>
      <c r="C117" t="s">
        <v>953</v>
      </c>
      <c r="D117">
        <v>20477690</v>
      </c>
      <c r="E117" t="s">
        <v>2245</v>
      </c>
      <c r="F117" t="s">
        <v>581</v>
      </c>
      <c r="G117" t="s">
        <v>2250</v>
      </c>
      <c r="H117" t="s">
        <v>592</v>
      </c>
      <c r="J117" s="519">
        <v>46103</v>
      </c>
      <c r="U117" s="519">
        <v>46112</v>
      </c>
    </row>
    <row r="118" spans="1:21">
      <c r="A118" t="s">
        <v>953</v>
      </c>
      <c r="B118" t="s">
        <v>2870</v>
      </c>
      <c r="C118" t="s">
        <v>953</v>
      </c>
      <c r="D118">
        <v>20476209</v>
      </c>
      <c r="E118" t="s">
        <v>2245</v>
      </c>
      <c r="F118" t="s">
        <v>579</v>
      </c>
      <c r="G118" t="s">
        <v>2259</v>
      </c>
      <c r="H118" t="s">
        <v>592</v>
      </c>
      <c r="J118" s="519">
        <v>46100</v>
      </c>
      <c r="U118" s="519">
        <v>46130</v>
      </c>
    </row>
    <row r="119" spans="1:21">
      <c r="A119" t="s">
        <v>953</v>
      </c>
      <c r="B119" t="s">
        <v>2871</v>
      </c>
      <c r="C119" t="s">
        <v>953</v>
      </c>
      <c r="D119">
        <v>20474153</v>
      </c>
      <c r="E119" t="s">
        <v>2245</v>
      </c>
      <c r="F119" t="s">
        <v>581</v>
      </c>
      <c r="G119" t="s">
        <v>2250</v>
      </c>
      <c r="H119" t="s">
        <v>592</v>
      </c>
      <c r="J119" s="519">
        <v>46098</v>
      </c>
      <c r="U119" s="519">
        <v>46099</v>
      </c>
    </row>
    <row r="120" spans="1:21">
      <c r="A120" t="s">
        <v>953</v>
      </c>
      <c r="B120" t="s">
        <v>2872</v>
      </c>
      <c r="C120" t="s">
        <v>953</v>
      </c>
      <c r="D120">
        <v>20482663</v>
      </c>
      <c r="E120" t="s">
        <v>2245</v>
      </c>
      <c r="F120" t="s">
        <v>581</v>
      </c>
      <c r="G120" t="s">
        <v>2290</v>
      </c>
      <c r="H120" t="s">
        <v>592</v>
      </c>
      <c r="J120" s="519">
        <v>46110</v>
      </c>
      <c r="U120" s="519">
        <v>46110</v>
      </c>
    </row>
    <row r="121" spans="1:21">
      <c r="A121" t="s">
        <v>953</v>
      </c>
      <c r="B121" t="s">
        <v>2873</v>
      </c>
      <c r="C121" t="s">
        <v>953</v>
      </c>
      <c r="D121">
        <v>20482879</v>
      </c>
      <c r="E121" t="s">
        <v>2245</v>
      </c>
      <c r="F121" t="s">
        <v>984</v>
      </c>
      <c r="G121" t="s">
        <v>2250</v>
      </c>
      <c r="H121" t="s">
        <v>592</v>
      </c>
      <c r="J121" s="519">
        <v>46111</v>
      </c>
      <c r="U121" s="519">
        <v>46141</v>
      </c>
    </row>
    <row r="122" spans="1:21">
      <c r="A122" t="s">
        <v>953</v>
      </c>
      <c r="B122" t="s">
        <v>2874</v>
      </c>
      <c r="C122" t="s">
        <v>953</v>
      </c>
      <c r="D122">
        <v>20481035</v>
      </c>
      <c r="E122" t="s">
        <v>2245</v>
      </c>
      <c r="F122" t="s">
        <v>984</v>
      </c>
      <c r="G122" t="s">
        <v>2250</v>
      </c>
      <c r="H122" t="s">
        <v>592</v>
      </c>
      <c r="J122" s="519">
        <v>46107</v>
      </c>
      <c r="U122" s="519">
        <v>46143</v>
      </c>
    </row>
    <row r="123" spans="1:21">
      <c r="A123" t="s">
        <v>953</v>
      </c>
      <c r="B123" t="s">
        <v>2875</v>
      </c>
      <c r="C123" t="s">
        <v>953</v>
      </c>
      <c r="D123">
        <v>20472496</v>
      </c>
      <c r="E123" t="s">
        <v>2245</v>
      </c>
      <c r="F123" t="s">
        <v>581</v>
      </c>
      <c r="G123" t="s">
        <v>2250</v>
      </c>
      <c r="H123" t="s">
        <v>592</v>
      </c>
      <c r="J123" s="519">
        <v>46097</v>
      </c>
      <c r="U123" s="519">
        <v>46115</v>
      </c>
    </row>
    <row r="124" spans="1:21">
      <c r="A124" t="s">
        <v>953</v>
      </c>
      <c r="B124" t="s">
        <v>2876</v>
      </c>
      <c r="C124" t="s">
        <v>953</v>
      </c>
      <c r="D124">
        <v>20461856</v>
      </c>
      <c r="E124" t="s">
        <v>2245</v>
      </c>
      <c r="F124" t="s">
        <v>582</v>
      </c>
      <c r="G124" t="s">
        <v>2290</v>
      </c>
      <c r="H124" t="s">
        <v>2412</v>
      </c>
      <c r="J124" s="519">
        <v>46084</v>
      </c>
      <c r="U124" s="519">
        <v>46084</v>
      </c>
    </row>
    <row r="125" spans="1:21">
      <c r="A125" t="s">
        <v>953</v>
      </c>
      <c r="B125" t="s">
        <v>2877</v>
      </c>
      <c r="C125" t="s">
        <v>953</v>
      </c>
      <c r="D125">
        <v>20460782</v>
      </c>
      <c r="E125" t="s">
        <v>2245</v>
      </c>
      <c r="F125" t="s">
        <v>582</v>
      </c>
      <c r="G125" t="s">
        <v>2248</v>
      </c>
      <c r="H125" t="s">
        <v>587</v>
      </c>
      <c r="J125" s="519">
        <v>46083</v>
      </c>
      <c r="U125" s="519">
        <v>46083</v>
      </c>
    </row>
    <row r="126" spans="1:21">
      <c r="A126" t="s">
        <v>953</v>
      </c>
      <c r="B126" t="s">
        <v>2878</v>
      </c>
      <c r="C126" t="s">
        <v>953</v>
      </c>
      <c r="D126">
        <v>20468430</v>
      </c>
      <c r="E126" t="s">
        <v>2245</v>
      </c>
      <c r="F126" t="s">
        <v>578</v>
      </c>
      <c r="G126" t="s">
        <v>2248</v>
      </c>
      <c r="H126" t="s">
        <v>591</v>
      </c>
      <c r="J126" s="519">
        <v>46092</v>
      </c>
      <c r="U126" s="519">
        <v>46092</v>
      </c>
    </row>
    <row r="127" spans="1:21">
      <c r="A127" t="s">
        <v>953</v>
      </c>
      <c r="B127" t="s">
        <v>1164</v>
      </c>
      <c r="C127" t="s">
        <v>953</v>
      </c>
      <c r="D127">
        <v>20475799</v>
      </c>
      <c r="E127" t="s">
        <v>1100</v>
      </c>
      <c r="F127" t="s">
        <v>581</v>
      </c>
      <c r="G127" t="s">
        <v>2250</v>
      </c>
      <c r="H127" t="s">
        <v>587</v>
      </c>
      <c r="I127" t="s">
        <v>899</v>
      </c>
      <c r="J127" s="519">
        <v>46100</v>
      </c>
      <c r="K127" s="519">
        <v>46100</v>
      </c>
      <c r="U127" s="519">
        <v>46100</v>
      </c>
    </row>
    <row r="128" spans="1:21">
      <c r="A128" t="s">
        <v>953</v>
      </c>
      <c r="B128" t="s">
        <v>2879</v>
      </c>
      <c r="C128" t="s">
        <v>953</v>
      </c>
      <c r="D128">
        <v>20481251</v>
      </c>
      <c r="E128" t="s">
        <v>2245</v>
      </c>
      <c r="F128" t="s">
        <v>984</v>
      </c>
      <c r="G128" t="s">
        <v>2250</v>
      </c>
      <c r="H128" t="s">
        <v>592</v>
      </c>
      <c r="J128" s="519">
        <v>46108</v>
      </c>
      <c r="U128" s="519">
        <v>46126</v>
      </c>
    </row>
    <row r="129" spans="1:21">
      <c r="A129" t="s">
        <v>953</v>
      </c>
      <c r="B129" t="s">
        <v>1763</v>
      </c>
      <c r="C129" t="s">
        <v>953</v>
      </c>
      <c r="D129">
        <v>20468722</v>
      </c>
      <c r="E129" t="s">
        <v>2252</v>
      </c>
      <c r="F129" t="s">
        <v>1001</v>
      </c>
      <c r="G129" t="s">
        <v>2250</v>
      </c>
      <c r="H129" t="s">
        <v>587</v>
      </c>
      <c r="J129" s="519">
        <v>46092</v>
      </c>
      <c r="K129" s="519">
        <v>46092</v>
      </c>
      <c r="R129" s="519">
        <v>46093</v>
      </c>
      <c r="U129" s="519">
        <v>46092</v>
      </c>
    </row>
    <row r="130" spans="1:21">
      <c r="A130" t="s">
        <v>953</v>
      </c>
      <c r="B130" t="s">
        <v>1763</v>
      </c>
      <c r="C130" t="s">
        <v>953</v>
      </c>
      <c r="D130">
        <v>20468719</v>
      </c>
      <c r="E130" t="s">
        <v>2324</v>
      </c>
      <c r="F130" t="s">
        <v>583</v>
      </c>
      <c r="G130" t="s">
        <v>1213</v>
      </c>
      <c r="H130" t="s">
        <v>588</v>
      </c>
      <c r="I130" t="s">
        <v>1762</v>
      </c>
      <c r="J130" s="519">
        <v>46092</v>
      </c>
      <c r="K130" s="519">
        <v>46092</v>
      </c>
      <c r="L130" s="519">
        <v>46093</v>
      </c>
      <c r="M130" s="519">
        <v>46099</v>
      </c>
      <c r="N130" s="519">
        <v>46099</v>
      </c>
      <c r="P130" s="519">
        <v>46099</v>
      </c>
      <c r="Q130" s="519">
        <v>46099</v>
      </c>
      <c r="U130" s="519">
        <v>46099</v>
      </c>
    </row>
    <row r="131" spans="1:21">
      <c r="A131" t="s">
        <v>953</v>
      </c>
      <c r="B131" t="s">
        <v>2880</v>
      </c>
      <c r="C131" t="s">
        <v>953</v>
      </c>
      <c r="D131">
        <v>20481680</v>
      </c>
      <c r="E131" t="s">
        <v>2245</v>
      </c>
      <c r="F131" t="s">
        <v>581</v>
      </c>
      <c r="G131" t="s">
        <v>2290</v>
      </c>
      <c r="H131" t="s">
        <v>592</v>
      </c>
      <c r="I131" t="s">
        <v>1156</v>
      </c>
      <c r="J131" s="519">
        <v>46108</v>
      </c>
      <c r="U131" s="519">
        <v>46108</v>
      </c>
    </row>
    <row r="132" spans="1:21">
      <c r="A132" t="s">
        <v>953</v>
      </c>
      <c r="B132" t="s">
        <v>2881</v>
      </c>
      <c r="C132" t="s">
        <v>953</v>
      </c>
      <c r="D132">
        <v>20471917</v>
      </c>
      <c r="E132" t="s">
        <v>2245</v>
      </c>
      <c r="F132" t="s">
        <v>581</v>
      </c>
      <c r="G132" t="s">
        <v>2250</v>
      </c>
      <c r="H132" t="s">
        <v>592</v>
      </c>
      <c r="J132" s="519">
        <v>46096</v>
      </c>
      <c r="U132" s="519">
        <v>46113</v>
      </c>
    </row>
    <row r="133" spans="1:21">
      <c r="A133" t="s">
        <v>953</v>
      </c>
      <c r="B133" t="s">
        <v>2882</v>
      </c>
      <c r="C133" t="s">
        <v>953</v>
      </c>
      <c r="D133">
        <v>20483473</v>
      </c>
      <c r="E133" t="s">
        <v>2245</v>
      </c>
      <c r="F133" t="s">
        <v>581</v>
      </c>
      <c r="G133" t="s">
        <v>2250</v>
      </c>
      <c r="H133" t="s">
        <v>592</v>
      </c>
      <c r="J133" s="519">
        <v>46111</v>
      </c>
      <c r="U133" s="519">
        <v>46143</v>
      </c>
    </row>
    <row r="134" spans="1:21">
      <c r="A134" t="s">
        <v>953</v>
      </c>
      <c r="B134" t="s">
        <v>2883</v>
      </c>
      <c r="C134" t="s">
        <v>953</v>
      </c>
      <c r="D134">
        <v>20475081</v>
      </c>
      <c r="E134" t="s">
        <v>2245</v>
      </c>
      <c r="F134" t="s">
        <v>581</v>
      </c>
      <c r="G134" t="s">
        <v>2250</v>
      </c>
      <c r="H134" t="s">
        <v>592</v>
      </c>
      <c r="J134" s="519">
        <v>46099</v>
      </c>
      <c r="U134" s="519">
        <v>46100</v>
      </c>
    </row>
    <row r="135" spans="1:21">
      <c r="A135" t="s">
        <v>953</v>
      </c>
      <c r="B135" t="s">
        <v>2884</v>
      </c>
      <c r="C135" t="s">
        <v>953</v>
      </c>
      <c r="D135">
        <v>20470283</v>
      </c>
      <c r="E135" t="s">
        <v>1100</v>
      </c>
      <c r="F135" t="s">
        <v>579</v>
      </c>
      <c r="G135" t="s">
        <v>2248</v>
      </c>
      <c r="H135" t="s">
        <v>2287</v>
      </c>
      <c r="I135" t="s">
        <v>2783</v>
      </c>
      <c r="J135" s="519">
        <v>46093</v>
      </c>
      <c r="K135" s="519">
        <v>46093</v>
      </c>
      <c r="U135" s="519">
        <v>46116</v>
      </c>
    </row>
    <row r="136" spans="1:21">
      <c r="A136" t="s">
        <v>953</v>
      </c>
      <c r="B136" t="s">
        <v>2885</v>
      </c>
      <c r="C136" t="s">
        <v>953</v>
      </c>
      <c r="D136">
        <v>20477555</v>
      </c>
      <c r="E136" t="s">
        <v>1100</v>
      </c>
      <c r="F136" t="s">
        <v>582</v>
      </c>
      <c r="G136" t="s">
        <v>2250</v>
      </c>
      <c r="H136" t="s">
        <v>587</v>
      </c>
      <c r="J136" s="519">
        <v>46102</v>
      </c>
      <c r="K136" s="519">
        <v>46102</v>
      </c>
      <c r="U136" s="519">
        <v>46102</v>
      </c>
    </row>
    <row r="137" spans="1:21">
      <c r="A137" t="s">
        <v>953</v>
      </c>
      <c r="B137" t="s">
        <v>2885</v>
      </c>
      <c r="C137" t="s">
        <v>953</v>
      </c>
      <c r="D137">
        <v>20477531</v>
      </c>
      <c r="E137" t="s">
        <v>1100</v>
      </c>
      <c r="F137" t="s">
        <v>581</v>
      </c>
      <c r="G137" t="s">
        <v>2250</v>
      </c>
      <c r="H137" t="s">
        <v>587</v>
      </c>
      <c r="J137" s="519">
        <v>46102</v>
      </c>
      <c r="K137" s="519">
        <v>46102</v>
      </c>
      <c r="U137" s="519">
        <v>46132</v>
      </c>
    </row>
    <row r="138" spans="1:21">
      <c r="A138" t="s">
        <v>953</v>
      </c>
      <c r="B138" t="s">
        <v>2886</v>
      </c>
      <c r="C138" t="s">
        <v>953</v>
      </c>
      <c r="D138">
        <v>20479459</v>
      </c>
      <c r="E138" t="s">
        <v>2245</v>
      </c>
      <c r="F138" t="s">
        <v>581</v>
      </c>
      <c r="G138" t="s">
        <v>2250</v>
      </c>
      <c r="H138" t="s">
        <v>592</v>
      </c>
      <c r="J138" s="519">
        <v>46105</v>
      </c>
      <c r="U138" s="519">
        <v>46113</v>
      </c>
    </row>
    <row r="139" spans="1:21">
      <c r="A139" t="s">
        <v>953</v>
      </c>
      <c r="B139" t="s">
        <v>1709</v>
      </c>
      <c r="C139" t="s">
        <v>953</v>
      </c>
      <c r="D139">
        <v>20481272</v>
      </c>
      <c r="E139" t="s">
        <v>1100</v>
      </c>
      <c r="F139" t="s">
        <v>583</v>
      </c>
      <c r="G139" t="s">
        <v>2250</v>
      </c>
      <c r="H139" t="s">
        <v>587</v>
      </c>
      <c r="J139" s="519">
        <v>46108</v>
      </c>
      <c r="K139" s="519">
        <v>46108</v>
      </c>
      <c r="U139" s="519">
        <v>46108</v>
      </c>
    </row>
    <row r="140" spans="1:21">
      <c r="A140" t="s">
        <v>953</v>
      </c>
      <c r="B140" t="s">
        <v>1709</v>
      </c>
      <c r="C140" t="s">
        <v>953</v>
      </c>
      <c r="D140">
        <v>20481273</v>
      </c>
      <c r="E140" t="s">
        <v>1110</v>
      </c>
      <c r="F140" t="s">
        <v>583</v>
      </c>
      <c r="G140" t="s">
        <v>2250</v>
      </c>
      <c r="H140" t="s">
        <v>587</v>
      </c>
      <c r="I140" t="s">
        <v>1384</v>
      </c>
      <c r="J140" s="519">
        <v>46108</v>
      </c>
      <c r="K140" s="519">
        <v>46108</v>
      </c>
      <c r="L140" s="519">
        <v>46108</v>
      </c>
      <c r="U140" s="519">
        <v>46121</v>
      </c>
    </row>
    <row r="141" spans="1:21">
      <c r="A141" t="s">
        <v>953</v>
      </c>
      <c r="B141" t="s">
        <v>2887</v>
      </c>
      <c r="C141" t="s">
        <v>953</v>
      </c>
      <c r="D141">
        <v>20460410</v>
      </c>
      <c r="E141" t="s">
        <v>2245</v>
      </c>
      <c r="F141" t="s">
        <v>579</v>
      </c>
      <c r="G141" t="s">
        <v>2259</v>
      </c>
      <c r="H141" t="s">
        <v>590</v>
      </c>
      <c r="J141" s="519">
        <v>46083</v>
      </c>
      <c r="U141" s="519">
        <v>46083</v>
      </c>
    </row>
    <row r="142" spans="1:21">
      <c r="A142" t="s">
        <v>953</v>
      </c>
      <c r="B142" t="s">
        <v>2888</v>
      </c>
      <c r="C142" t="s">
        <v>953</v>
      </c>
      <c r="D142">
        <v>20460417</v>
      </c>
      <c r="E142" t="s">
        <v>2252</v>
      </c>
      <c r="F142" t="s">
        <v>1115</v>
      </c>
      <c r="G142" t="s">
        <v>2250</v>
      </c>
      <c r="H142" t="s">
        <v>590</v>
      </c>
      <c r="I142" t="s">
        <v>1020</v>
      </c>
      <c r="J142" s="519">
        <v>46083</v>
      </c>
      <c r="K142" s="519">
        <v>46083</v>
      </c>
      <c r="R142" s="519">
        <v>46085</v>
      </c>
      <c r="U142" s="519">
        <v>46083</v>
      </c>
    </row>
    <row r="143" spans="1:21">
      <c r="A143" t="s">
        <v>953</v>
      </c>
      <c r="B143" t="s">
        <v>2355</v>
      </c>
      <c r="C143" t="s">
        <v>953</v>
      </c>
      <c r="D143">
        <v>20456717</v>
      </c>
      <c r="E143" t="s">
        <v>2252</v>
      </c>
      <c r="F143" t="s">
        <v>579</v>
      </c>
      <c r="G143" t="s">
        <v>2248</v>
      </c>
      <c r="H143" t="s">
        <v>592</v>
      </c>
      <c r="I143" t="s">
        <v>1156</v>
      </c>
      <c r="J143" s="519">
        <v>46077</v>
      </c>
      <c r="K143" s="519">
        <v>46085</v>
      </c>
      <c r="L143" s="519">
        <v>46085</v>
      </c>
      <c r="R143" s="519">
        <v>46087</v>
      </c>
      <c r="U143" s="519">
        <v>46104</v>
      </c>
    </row>
    <row r="144" spans="1:21">
      <c r="A144" t="s">
        <v>953</v>
      </c>
      <c r="B144" t="s">
        <v>2355</v>
      </c>
      <c r="C144" t="s">
        <v>953</v>
      </c>
      <c r="D144">
        <v>20462359</v>
      </c>
      <c r="E144" t="s">
        <v>2258</v>
      </c>
      <c r="F144" t="s">
        <v>1115</v>
      </c>
      <c r="G144" t="s">
        <v>2250</v>
      </c>
      <c r="H144" t="s">
        <v>592</v>
      </c>
      <c r="J144" s="519">
        <v>46085</v>
      </c>
      <c r="K144" s="519">
        <v>46085</v>
      </c>
      <c r="R144" s="519">
        <v>46086</v>
      </c>
      <c r="U144" s="519">
        <v>46085</v>
      </c>
    </row>
    <row r="145" spans="1:21">
      <c r="A145" t="s">
        <v>953</v>
      </c>
      <c r="B145" t="s">
        <v>2360</v>
      </c>
      <c r="C145" t="s">
        <v>953</v>
      </c>
      <c r="D145">
        <v>20439903</v>
      </c>
      <c r="E145" t="s">
        <v>2252</v>
      </c>
      <c r="F145" t="s">
        <v>579</v>
      </c>
      <c r="G145" t="s">
        <v>1213</v>
      </c>
      <c r="H145" t="s">
        <v>2361</v>
      </c>
      <c r="J145" s="519">
        <v>46055</v>
      </c>
      <c r="K145" s="519">
        <v>46062</v>
      </c>
      <c r="R145" s="519">
        <v>46092</v>
      </c>
      <c r="U145" s="519">
        <v>46078</v>
      </c>
    </row>
    <row r="146" spans="1:21">
      <c r="A146" t="s">
        <v>953</v>
      </c>
      <c r="B146" t="s">
        <v>2889</v>
      </c>
      <c r="C146" t="s">
        <v>953</v>
      </c>
      <c r="D146">
        <v>20469503</v>
      </c>
      <c r="E146" t="s">
        <v>2245</v>
      </c>
      <c r="F146" t="s">
        <v>984</v>
      </c>
      <c r="G146" t="s">
        <v>2246</v>
      </c>
      <c r="H146" t="s">
        <v>592</v>
      </c>
      <c r="J146" s="519">
        <v>46093</v>
      </c>
      <c r="U146" s="519">
        <v>46093</v>
      </c>
    </row>
    <row r="147" spans="1:21">
      <c r="A147" t="s">
        <v>953</v>
      </c>
      <c r="B147" t="s">
        <v>2890</v>
      </c>
      <c r="C147" t="s">
        <v>953</v>
      </c>
      <c r="D147">
        <v>20476008</v>
      </c>
      <c r="E147" t="s">
        <v>1100</v>
      </c>
      <c r="F147" t="s">
        <v>581</v>
      </c>
      <c r="G147" t="s">
        <v>2250</v>
      </c>
      <c r="H147" t="s">
        <v>587</v>
      </c>
      <c r="J147" s="519">
        <v>46100</v>
      </c>
      <c r="K147" s="519">
        <v>46100</v>
      </c>
      <c r="U147" s="519">
        <v>46104</v>
      </c>
    </row>
    <row r="148" spans="1:21">
      <c r="A148" t="s">
        <v>953</v>
      </c>
      <c r="B148" t="s">
        <v>2891</v>
      </c>
      <c r="C148" t="s">
        <v>953</v>
      </c>
      <c r="D148">
        <v>20468532</v>
      </c>
      <c r="E148" t="s">
        <v>2245</v>
      </c>
      <c r="F148" t="s">
        <v>984</v>
      </c>
      <c r="G148" t="s">
        <v>2246</v>
      </c>
      <c r="H148" t="s">
        <v>587</v>
      </c>
      <c r="J148" s="519">
        <v>46092</v>
      </c>
      <c r="U148" s="519">
        <v>46115</v>
      </c>
    </row>
    <row r="149" spans="1:21">
      <c r="A149" t="s">
        <v>953</v>
      </c>
      <c r="B149" t="s">
        <v>2892</v>
      </c>
      <c r="C149" t="s">
        <v>953</v>
      </c>
      <c r="D149">
        <v>20478553</v>
      </c>
      <c r="E149" t="s">
        <v>1100</v>
      </c>
      <c r="F149" t="s">
        <v>582</v>
      </c>
      <c r="G149" t="s">
        <v>2250</v>
      </c>
      <c r="H149" t="s">
        <v>589</v>
      </c>
      <c r="J149" s="519">
        <v>46104</v>
      </c>
      <c r="K149" s="519">
        <v>46104</v>
      </c>
      <c r="U149" s="519">
        <v>46113</v>
      </c>
    </row>
    <row r="150" spans="1:21">
      <c r="A150" t="s">
        <v>953</v>
      </c>
      <c r="B150" t="s">
        <v>1135</v>
      </c>
      <c r="C150" t="s">
        <v>953</v>
      </c>
      <c r="D150">
        <v>20461789</v>
      </c>
      <c r="E150" t="s">
        <v>1100</v>
      </c>
      <c r="F150" t="s">
        <v>579</v>
      </c>
      <c r="G150" t="s">
        <v>2250</v>
      </c>
      <c r="H150" t="s">
        <v>589</v>
      </c>
      <c r="J150" s="519">
        <v>46084</v>
      </c>
      <c r="K150" s="519">
        <v>46084</v>
      </c>
      <c r="U150" s="519">
        <v>46113</v>
      </c>
    </row>
    <row r="151" spans="1:21">
      <c r="A151" t="s">
        <v>953</v>
      </c>
      <c r="B151" t="s">
        <v>1135</v>
      </c>
      <c r="C151" t="s">
        <v>953</v>
      </c>
      <c r="D151">
        <v>20459589</v>
      </c>
      <c r="E151" t="s">
        <v>1110</v>
      </c>
      <c r="F151" t="s">
        <v>578</v>
      </c>
      <c r="G151" t="s">
        <v>2248</v>
      </c>
      <c r="H151" t="s">
        <v>589</v>
      </c>
      <c r="I151" t="s">
        <v>1134</v>
      </c>
      <c r="J151" s="519">
        <v>46081</v>
      </c>
      <c r="K151" s="519">
        <v>46085</v>
      </c>
      <c r="L151" s="519">
        <v>46097</v>
      </c>
      <c r="U151" s="519">
        <v>46113</v>
      </c>
    </row>
    <row r="152" spans="1:21">
      <c r="A152" t="s">
        <v>953</v>
      </c>
      <c r="B152" t="s">
        <v>2893</v>
      </c>
      <c r="C152" t="s">
        <v>953</v>
      </c>
      <c r="D152">
        <v>20461164</v>
      </c>
      <c r="E152" t="s">
        <v>1100</v>
      </c>
      <c r="F152" t="s">
        <v>579</v>
      </c>
      <c r="G152" t="s">
        <v>2248</v>
      </c>
      <c r="H152" t="s">
        <v>589</v>
      </c>
      <c r="J152" s="519">
        <v>46084</v>
      </c>
      <c r="K152" s="519">
        <v>46085</v>
      </c>
      <c r="U152" s="519">
        <v>46119</v>
      </c>
    </row>
    <row r="153" spans="1:21">
      <c r="A153" t="s">
        <v>953</v>
      </c>
      <c r="B153" t="s">
        <v>2894</v>
      </c>
      <c r="C153" t="s">
        <v>953</v>
      </c>
      <c r="D153">
        <v>20465434</v>
      </c>
      <c r="E153" t="s">
        <v>2245</v>
      </c>
      <c r="F153" t="s">
        <v>984</v>
      </c>
      <c r="G153" t="s">
        <v>2259</v>
      </c>
      <c r="H153" t="s">
        <v>587</v>
      </c>
      <c r="J153" s="519">
        <v>46090</v>
      </c>
      <c r="U153" s="519">
        <v>46090</v>
      </c>
    </row>
    <row r="154" spans="1:21">
      <c r="A154" t="s">
        <v>953</v>
      </c>
      <c r="B154" t="s">
        <v>2369</v>
      </c>
      <c r="C154" t="s">
        <v>953</v>
      </c>
      <c r="D154">
        <v>20450749</v>
      </c>
      <c r="E154" t="s">
        <v>2252</v>
      </c>
      <c r="F154" t="s">
        <v>1001</v>
      </c>
      <c r="G154" t="s">
        <v>2248</v>
      </c>
      <c r="H154" t="s">
        <v>588</v>
      </c>
      <c r="I154" t="s">
        <v>1332</v>
      </c>
      <c r="J154" s="519">
        <v>46070</v>
      </c>
      <c r="K154" s="519">
        <v>46070</v>
      </c>
      <c r="L154" s="519">
        <v>46070</v>
      </c>
      <c r="S154" s="519">
        <v>46088</v>
      </c>
      <c r="U154" s="519">
        <v>46101</v>
      </c>
    </row>
    <row r="155" spans="1:21">
      <c r="A155" t="s">
        <v>953</v>
      </c>
      <c r="B155" t="s">
        <v>2895</v>
      </c>
      <c r="C155" t="s">
        <v>953</v>
      </c>
      <c r="D155">
        <v>20478670</v>
      </c>
      <c r="E155" t="s">
        <v>2245</v>
      </c>
      <c r="F155" t="s">
        <v>581</v>
      </c>
      <c r="G155" t="s">
        <v>2250</v>
      </c>
      <c r="H155" t="s">
        <v>592</v>
      </c>
      <c r="J155" s="519">
        <v>46104</v>
      </c>
      <c r="U155" s="519">
        <v>46142</v>
      </c>
    </row>
    <row r="156" spans="1:21">
      <c r="A156" t="s">
        <v>953</v>
      </c>
      <c r="B156" t="s">
        <v>2896</v>
      </c>
      <c r="C156" t="s">
        <v>953</v>
      </c>
      <c r="D156">
        <v>20471399</v>
      </c>
      <c r="E156" t="s">
        <v>2324</v>
      </c>
      <c r="F156" t="s">
        <v>579</v>
      </c>
      <c r="G156" t="s">
        <v>2248</v>
      </c>
      <c r="H156" t="s">
        <v>588</v>
      </c>
      <c r="I156" t="s">
        <v>890</v>
      </c>
      <c r="J156" s="519">
        <v>46095</v>
      </c>
      <c r="K156" s="519">
        <v>46095</v>
      </c>
      <c r="L156" s="519">
        <v>46095</v>
      </c>
      <c r="M156" s="519">
        <v>46104</v>
      </c>
      <c r="N156" s="519">
        <v>46104</v>
      </c>
      <c r="O156" s="519">
        <v>46104</v>
      </c>
      <c r="P156" s="519">
        <v>46104</v>
      </c>
      <c r="Q156" s="519">
        <v>46105</v>
      </c>
      <c r="U156" s="519">
        <v>46104</v>
      </c>
    </row>
    <row r="157" spans="1:21">
      <c r="A157" t="s">
        <v>953</v>
      </c>
      <c r="B157" t="s">
        <v>2897</v>
      </c>
      <c r="C157" t="s">
        <v>953</v>
      </c>
      <c r="D157">
        <v>20483421</v>
      </c>
      <c r="E157" t="s">
        <v>2245</v>
      </c>
      <c r="F157" t="s">
        <v>984</v>
      </c>
      <c r="G157" t="s">
        <v>2250</v>
      </c>
      <c r="H157" t="s">
        <v>592</v>
      </c>
      <c r="J157" s="519">
        <v>46111</v>
      </c>
      <c r="U157" s="519">
        <v>46127</v>
      </c>
    </row>
    <row r="158" spans="1:21">
      <c r="A158" t="s">
        <v>953</v>
      </c>
      <c r="B158" t="s">
        <v>2372</v>
      </c>
      <c r="C158" t="s">
        <v>953</v>
      </c>
      <c r="D158">
        <v>20442016</v>
      </c>
      <c r="E158" t="s">
        <v>2252</v>
      </c>
      <c r="F158" t="s">
        <v>577</v>
      </c>
      <c r="G158" t="s">
        <v>2250</v>
      </c>
      <c r="H158" t="s">
        <v>587</v>
      </c>
      <c r="I158" t="s">
        <v>2373</v>
      </c>
      <c r="J158" s="519">
        <v>46059</v>
      </c>
      <c r="K158" s="519">
        <v>46059</v>
      </c>
      <c r="L158" s="519">
        <v>46059</v>
      </c>
      <c r="R158" s="519">
        <v>46087</v>
      </c>
      <c r="U158" s="519">
        <v>46093</v>
      </c>
    </row>
    <row r="159" spans="1:21">
      <c r="A159" t="s">
        <v>953</v>
      </c>
      <c r="B159" t="s">
        <v>1029</v>
      </c>
      <c r="C159" t="s">
        <v>953</v>
      </c>
      <c r="D159">
        <v>20473734</v>
      </c>
      <c r="E159" t="s">
        <v>2252</v>
      </c>
      <c r="F159" t="s">
        <v>1001</v>
      </c>
      <c r="G159" t="s">
        <v>2250</v>
      </c>
      <c r="H159" t="s">
        <v>587</v>
      </c>
      <c r="J159" s="519">
        <v>46098</v>
      </c>
      <c r="K159" s="519">
        <v>46098</v>
      </c>
      <c r="R159" s="519">
        <v>46100</v>
      </c>
      <c r="U159" s="519">
        <v>46098</v>
      </c>
    </row>
    <row r="160" spans="1:21">
      <c r="A160" t="s">
        <v>953</v>
      </c>
      <c r="B160" t="s">
        <v>1029</v>
      </c>
      <c r="C160" t="s">
        <v>953</v>
      </c>
      <c r="D160">
        <v>20473449</v>
      </c>
      <c r="E160" t="s">
        <v>2324</v>
      </c>
      <c r="F160" t="s">
        <v>582</v>
      </c>
      <c r="G160" t="s">
        <v>2259</v>
      </c>
      <c r="H160" t="s">
        <v>2453</v>
      </c>
      <c r="I160" t="s">
        <v>1028</v>
      </c>
      <c r="J160" s="519">
        <v>46098</v>
      </c>
      <c r="K160" s="519">
        <v>46098</v>
      </c>
      <c r="L160" s="519">
        <v>46098</v>
      </c>
      <c r="M160" s="519">
        <v>46104</v>
      </c>
      <c r="N160" s="519">
        <v>46105</v>
      </c>
      <c r="P160" s="519">
        <v>46108</v>
      </c>
      <c r="Q160" s="519">
        <v>46108</v>
      </c>
      <c r="U160" s="519">
        <v>46113</v>
      </c>
    </row>
    <row r="161" spans="1:21">
      <c r="A161" t="s">
        <v>953</v>
      </c>
      <c r="B161" t="s">
        <v>2898</v>
      </c>
      <c r="C161" t="s">
        <v>953</v>
      </c>
      <c r="D161">
        <v>20473234</v>
      </c>
      <c r="E161" t="s">
        <v>2252</v>
      </c>
      <c r="F161" t="s">
        <v>581</v>
      </c>
      <c r="G161" t="s">
        <v>2250</v>
      </c>
      <c r="H161" t="s">
        <v>587</v>
      </c>
      <c r="J161" s="519">
        <v>46098</v>
      </c>
      <c r="K161" s="519">
        <v>46098</v>
      </c>
      <c r="R161" s="519">
        <v>46100</v>
      </c>
      <c r="U161" s="519">
        <v>46104</v>
      </c>
    </row>
    <row r="162" spans="1:21">
      <c r="A162" t="s">
        <v>953</v>
      </c>
      <c r="B162" t="s">
        <v>2899</v>
      </c>
      <c r="C162" t="s">
        <v>953</v>
      </c>
      <c r="D162">
        <v>20475525</v>
      </c>
      <c r="E162" t="s">
        <v>2245</v>
      </c>
      <c r="F162" t="s">
        <v>984</v>
      </c>
      <c r="G162" t="s">
        <v>2248</v>
      </c>
      <c r="H162" t="s">
        <v>587</v>
      </c>
      <c r="J162" s="519">
        <v>46099</v>
      </c>
      <c r="U162" s="519">
        <v>46179</v>
      </c>
    </row>
    <row r="163" spans="1:21">
      <c r="A163" t="s">
        <v>953</v>
      </c>
      <c r="B163" t="s">
        <v>2900</v>
      </c>
      <c r="C163" t="s">
        <v>953</v>
      </c>
      <c r="D163">
        <v>20471340</v>
      </c>
      <c r="E163" t="s">
        <v>2245</v>
      </c>
      <c r="F163" t="s">
        <v>984</v>
      </c>
      <c r="G163" t="s">
        <v>2250</v>
      </c>
      <c r="H163" t="s">
        <v>592</v>
      </c>
      <c r="J163" s="519">
        <v>46095</v>
      </c>
      <c r="U163" s="519">
        <v>46096</v>
      </c>
    </row>
    <row r="164" spans="1:21">
      <c r="A164" t="s">
        <v>953</v>
      </c>
      <c r="B164" t="s">
        <v>2901</v>
      </c>
      <c r="C164" t="s">
        <v>953</v>
      </c>
      <c r="D164">
        <v>20480768</v>
      </c>
      <c r="E164" t="s">
        <v>2245</v>
      </c>
      <c r="F164" t="s">
        <v>984</v>
      </c>
      <c r="G164" t="s">
        <v>2248</v>
      </c>
      <c r="H164" t="s">
        <v>2412</v>
      </c>
      <c r="J164" s="519">
        <v>46107</v>
      </c>
      <c r="U164" s="519">
        <v>46107</v>
      </c>
    </row>
    <row r="165" spans="1:21">
      <c r="A165" t="s">
        <v>953</v>
      </c>
      <c r="B165" t="s">
        <v>2901</v>
      </c>
      <c r="C165" t="s">
        <v>953</v>
      </c>
      <c r="D165">
        <v>20481245</v>
      </c>
      <c r="E165" t="s">
        <v>1100</v>
      </c>
      <c r="F165" t="s">
        <v>1115</v>
      </c>
      <c r="G165" t="s">
        <v>2250</v>
      </c>
      <c r="H165" t="s">
        <v>2453</v>
      </c>
      <c r="J165" s="519">
        <v>46108</v>
      </c>
      <c r="K165" s="519">
        <v>46108</v>
      </c>
      <c r="U165" s="519">
        <v>46109</v>
      </c>
    </row>
    <row r="166" spans="1:21">
      <c r="A166" t="s">
        <v>953</v>
      </c>
      <c r="B166" t="s">
        <v>2902</v>
      </c>
      <c r="C166" t="s">
        <v>953</v>
      </c>
      <c r="D166">
        <v>20480388</v>
      </c>
      <c r="E166" t="s">
        <v>1110</v>
      </c>
      <c r="F166" t="s">
        <v>583</v>
      </c>
      <c r="G166" t="s">
        <v>2250</v>
      </c>
      <c r="H166" t="s">
        <v>587</v>
      </c>
      <c r="I166" t="s">
        <v>867</v>
      </c>
      <c r="J166" s="519">
        <v>46106</v>
      </c>
      <c r="K166" s="519">
        <v>46106</v>
      </c>
      <c r="L166" s="519">
        <v>46106</v>
      </c>
      <c r="U166" s="519">
        <v>46113</v>
      </c>
    </row>
    <row r="167" spans="1:21">
      <c r="A167" t="s">
        <v>953</v>
      </c>
      <c r="B167" t="s">
        <v>2384</v>
      </c>
      <c r="C167" t="s">
        <v>953</v>
      </c>
      <c r="D167">
        <v>20456021</v>
      </c>
      <c r="E167" t="s">
        <v>2252</v>
      </c>
      <c r="F167" t="s">
        <v>579</v>
      </c>
      <c r="G167" t="s">
        <v>2250</v>
      </c>
      <c r="H167" t="s">
        <v>587</v>
      </c>
      <c r="I167" t="s">
        <v>1167</v>
      </c>
      <c r="J167" s="519">
        <v>46076</v>
      </c>
      <c r="K167" s="519">
        <v>46076</v>
      </c>
      <c r="R167" s="519">
        <v>46091</v>
      </c>
      <c r="U167" s="519">
        <v>46076</v>
      </c>
    </row>
    <row r="168" spans="1:21">
      <c r="A168" t="s">
        <v>953</v>
      </c>
      <c r="B168" t="s">
        <v>2903</v>
      </c>
      <c r="C168" t="s">
        <v>953</v>
      </c>
      <c r="D168">
        <v>20472099</v>
      </c>
      <c r="E168" t="s">
        <v>1100</v>
      </c>
      <c r="F168" t="s">
        <v>1115</v>
      </c>
      <c r="G168" t="s">
        <v>2250</v>
      </c>
      <c r="H168" t="s">
        <v>587</v>
      </c>
      <c r="I168" t="s">
        <v>2550</v>
      </c>
      <c r="J168" s="519">
        <v>46096</v>
      </c>
      <c r="K168" s="519">
        <v>46096</v>
      </c>
      <c r="U168" s="519">
        <v>46098</v>
      </c>
    </row>
    <row r="169" spans="1:21">
      <c r="A169" t="s">
        <v>953</v>
      </c>
      <c r="B169" t="s">
        <v>2904</v>
      </c>
      <c r="C169" t="s">
        <v>953</v>
      </c>
      <c r="D169">
        <v>20471482</v>
      </c>
      <c r="E169" t="s">
        <v>2245</v>
      </c>
      <c r="F169" t="s">
        <v>581</v>
      </c>
      <c r="G169" t="s">
        <v>2248</v>
      </c>
      <c r="H169" t="s">
        <v>590</v>
      </c>
      <c r="I169" t="s">
        <v>1134</v>
      </c>
      <c r="J169" s="519">
        <v>46095</v>
      </c>
      <c r="U169" s="519">
        <v>46167</v>
      </c>
    </row>
    <row r="170" spans="1:21">
      <c r="A170" t="s">
        <v>953</v>
      </c>
      <c r="B170" t="s">
        <v>2905</v>
      </c>
      <c r="C170" t="s">
        <v>953</v>
      </c>
      <c r="D170">
        <v>20470659</v>
      </c>
      <c r="E170" t="s">
        <v>2245</v>
      </c>
      <c r="F170" t="s">
        <v>984</v>
      </c>
      <c r="G170" t="s">
        <v>2250</v>
      </c>
      <c r="H170" t="s">
        <v>592</v>
      </c>
      <c r="J170" s="519">
        <v>46094</v>
      </c>
      <c r="U170" s="519">
        <v>46156</v>
      </c>
    </row>
    <row r="171" spans="1:21">
      <c r="A171" t="s">
        <v>953</v>
      </c>
      <c r="B171" t="s">
        <v>2906</v>
      </c>
      <c r="C171" t="s">
        <v>953</v>
      </c>
      <c r="D171">
        <v>20464819</v>
      </c>
      <c r="E171" t="s">
        <v>1100</v>
      </c>
      <c r="F171" t="s">
        <v>984</v>
      </c>
      <c r="G171" t="s">
        <v>2250</v>
      </c>
      <c r="H171" t="s">
        <v>587</v>
      </c>
      <c r="I171" t="s">
        <v>1037</v>
      </c>
      <c r="J171" s="519">
        <v>46089</v>
      </c>
      <c r="K171" s="519">
        <v>46089</v>
      </c>
      <c r="U171" s="519">
        <v>46090</v>
      </c>
    </row>
    <row r="172" spans="1:21">
      <c r="A172" t="s">
        <v>953</v>
      </c>
      <c r="B172" t="s">
        <v>2907</v>
      </c>
      <c r="C172" t="s">
        <v>953</v>
      </c>
      <c r="D172">
        <v>20461706</v>
      </c>
      <c r="E172" t="s">
        <v>2245</v>
      </c>
      <c r="F172" t="s">
        <v>984</v>
      </c>
      <c r="G172" t="s">
        <v>2246</v>
      </c>
      <c r="H172" t="s">
        <v>587</v>
      </c>
      <c r="J172" s="519">
        <v>46084</v>
      </c>
      <c r="U172" s="519">
        <v>46084</v>
      </c>
    </row>
    <row r="173" spans="1:21">
      <c r="A173" t="s">
        <v>953</v>
      </c>
      <c r="B173" t="s">
        <v>1163</v>
      </c>
      <c r="C173" t="s">
        <v>953</v>
      </c>
      <c r="D173">
        <v>20475518</v>
      </c>
      <c r="E173" t="s">
        <v>1100</v>
      </c>
      <c r="F173" t="s">
        <v>581</v>
      </c>
      <c r="G173" t="s">
        <v>2250</v>
      </c>
      <c r="H173" t="s">
        <v>587</v>
      </c>
      <c r="I173" t="s">
        <v>1162</v>
      </c>
      <c r="J173" s="519">
        <v>46099</v>
      </c>
      <c r="K173" s="519">
        <v>46099</v>
      </c>
      <c r="U173" s="519">
        <v>46157</v>
      </c>
    </row>
    <row r="174" spans="1:21">
      <c r="A174" t="s">
        <v>953</v>
      </c>
      <c r="B174" t="s">
        <v>2394</v>
      </c>
      <c r="C174" t="s">
        <v>953</v>
      </c>
      <c r="D174">
        <v>20444500</v>
      </c>
      <c r="E174" t="s">
        <v>2252</v>
      </c>
      <c r="F174" t="s">
        <v>2256</v>
      </c>
      <c r="G174" t="s">
        <v>2250</v>
      </c>
      <c r="H174" t="s">
        <v>587</v>
      </c>
      <c r="I174" t="s">
        <v>1013</v>
      </c>
      <c r="J174" s="519">
        <v>46063</v>
      </c>
      <c r="K174" s="519">
        <v>46063</v>
      </c>
      <c r="L174" s="519">
        <v>46063</v>
      </c>
      <c r="R174" s="519">
        <v>46091</v>
      </c>
      <c r="U174" s="519">
        <v>46095</v>
      </c>
    </row>
    <row r="175" spans="1:21">
      <c r="A175" t="s">
        <v>953</v>
      </c>
      <c r="B175" t="s">
        <v>2908</v>
      </c>
      <c r="C175" t="s">
        <v>953</v>
      </c>
      <c r="D175">
        <v>20472880</v>
      </c>
      <c r="E175" t="s">
        <v>1100</v>
      </c>
      <c r="F175" t="s">
        <v>984</v>
      </c>
      <c r="G175" t="s">
        <v>2250</v>
      </c>
      <c r="H175" t="s">
        <v>587</v>
      </c>
      <c r="I175" t="s">
        <v>1156</v>
      </c>
      <c r="J175" s="519">
        <v>46097</v>
      </c>
      <c r="K175" s="519">
        <v>46097</v>
      </c>
      <c r="U175" s="519">
        <v>46102</v>
      </c>
    </row>
    <row r="176" spans="1:21">
      <c r="A176" t="s">
        <v>953</v>
      </c>
      <c r="B176" t="s">
        <v>2909</v>
      </c>
      <c r="C176" t="s">
        <v>953</v>
      </c>
      <c r="D176">
        <v>20472619</v>
      </c>
      <c r="E176" t="s">
        <v>2245</v>
      </c>
      <c r="F176" t="s">
        <v>984</v>
      </c>
      <c r="G176" t="s">
        <v>2248</v>
      </c>
      <c r="H176" t="s">
        <v>592</v>
      </c>
      <c r="I176" t="s">
        <v>2861</v>
      </c>
      <c r="J176" s="519">
        <v>46097</v>
      </c>
      <c r="U176" s="519">
        <v>46097</v>
      </c>
    </row>
    <row r="177" spans="1:21">
      <c r="A177" t="s">
        <v>953</v>
      </c>
      <c r="B177" t="s">
        <v>2910</v>
      </c>
      <c r="C177" t="s">
        <v>953</v>
      </c>
      <c r="D177">
        <v>20466094</v>
      </c>
      <c r="E177" t="s">
        <v>2245</v>
      </c>
      <c r="F177" t="s">
        <v>984</v>
      </c>
      <c r="G177" t="s">
        <v>2259</v>
      </c>
      <c r="H177" t="s">
        <v>592</v>
      </c>
      <c r="J177" s="519">
        <v>46091</v>
      </c>
      <c r="U177" s="519">
        <v>46091</v>
      </c>
    </row>
    <row r="178" spans="1:21">
      <c r="A178" t="s">
        <v>953</v>
      </c>
      <c r="B178" t="s">
        <v>2911</v>
      </c>
      <c r="C178" t="s">
        <v>953</v>
      </c>
      <c r="D178">
        <v>20482359</v>
      </c>
      <c r="E178" t="s">
        <v>1100</v>
      </c>
      <c r="F178" t="s">
        <v>1115</v>
      </c>
      <c r="G178" t="s">
        <v>2250</v>
      </c>
      <c r="H178" t="s">
        <v>587</v>
      </c>
      <c r="I178" t="s">
        <v>2912</v>
      </c>
      <c r="J178" s="519">
        <v>46109</v>
      </c>
      <c r="K178" s="519">
        <v>46109</v>
      </c>
      <c r="U178" s="519">
        <v>46109</v>
      </c>
    </row>
    <row r="179" spans="1:21">
      <c r="A179" t="s">
        <v>953</v>
      </c>
      <c r="B179" t="s">
        <v>2913</v>
      </c>
      <c r="C179" t="s">
        <v>953</v>
      </c>
      <c r="D179">
        <v>20481537</v>
      </c>
      <c r="E179" t="s">
        <v>2245</v>
      </c>
      <c r="F179" t="s">
        <v>984</v>
      </c>
      <c r="G179" t="s">
        <v>2246</v>
      </c>
      <c r="H179" t="s">
        <v>592</v>
      </c>
      <c r="J179" s="519">
        <v>46108</v>
      </c>
      <c r="U179" s="519">
        <v>46335</v>
      </c>
    </row>
    <row r="180" spans="1:21">
      <c r="A180" t="s">
        <v>953</v>
      </c>
      <c r="B180" t="s">
        <v>2914</v>
      </c>
      <c r="C180" t="s">
        <v>953</v>
      </c>
      <c r="D180">
        <v>20481751</v>
      </c>
      <c r="E180" t="s">
        <v>1110</v>
      </c>
      <c r="F180" t="s">
        <v>583</v>
      </c>
      <c r="G180" t="s">
        <v>2250</v>
      </c>
      <c r="H180" t="s">
        <v>591</v>
      </c>
      <c r="I180" t="s">
        <v>1010</v>
      </c>
      <c r="J180" s="519">
        <v>46108</v>
      </c>
      <c r="K180" s="519">
        <v>46108</v>
      </c>
      <c r="L180" s="519">
        <v>46108</v>
      </c>
      <c r="U180" s="519">
        <v>46136</v>
      </c>
    </row>
    <row r="181" spans="1:21">
      <c r="A181" t="s">
        <v>953</v>
      </c>
      <c r="B181" t="s">
        <v>1168</v>
      </c>
      <c r="C181" t="s">
        <v>953</v>
      </c>
      <c r="D181">
        <v>20476635</v>
      </c>
      <c r="E181" t="s">
        <v>2245</v>
      </c>
      <c r="F181" t="s">
        <v>984</v>
      </c>
      <c r="G181" t="s">
        <v>2250</v>
      </c>
      <c r="H181" t="s">
        <v>592</v>
      </c>
      <c r="J181" s="519">
        <v>46101</v>
      </c>
      <c r="U181" s="519">
        <v>46102</v>
      </c>
    </row>
    <row r="182" spans="1:21">
      <c r="A182" t="s">
        <v>953</v>
      </c>
      <c r="B182" t="s">
        <v>1168</v>
      </c>
      <c r="C182" t="s">
        <v>953</v>
      </c>
      <c r="D182">
        <v>20476677</v>
      </c>
      <c r="E182" t="s">
        <v>1100</v>
      </c>
      <c r="F182" t="s">
        <v>581</v>
      </c>
      <c r="G182" t="s">
        <v>2250</v>
      </c>
      <c r="H182" t="s">
        <v>587</v>
      </c>
      <c r="I182" t="s">
        <v>1167</v>
      </c>
      <c r="J182" s="519">
        <v>46101</v>
      </c>
      <c r="K182" s="519">
        <v>46101</v>
      </c>
      <c r="U182" s="519">
        <v>46101</v>
      </c>
    </row>
    <row r="183" spans="1:21">
      <c r="A183" t="s">
        <v>953</v>
      </c>
      <c r="B183" t="s">
        <v>2915</v>
      </c>
      <c r="C183" t="s">
        <v>953</v>
      </c>
      <c r="D183">
        <v>20472341</v>
      </c>
      <c r="E183" t="s">
        <v>2258</v>
      </c>
      <c r="F183" t="s">
        <v>578</v>
      </c>
      <c r="G183" t="s">
        <v>2248</v>
      </c>
      <c r="H183" t="s">
        <v>588</v>
      </c>
      <c r="J183" s="519">
        <v>46097</v>
      </c>
      <c r="R183" s="519">
        <v>46097</v>
      </c>
      <c r="U183" s="519">
        <v>46097</v>
      </c>
    </row>
    <row r="184" spans="1:21">
      <c r="A184" t="s">
        <v>953</v>
      </c>
      <c r="B184" t="s">
        <v>2916</v>
      </c>
      <c r="C184" t="s">
        <v>953</v>
      </c>
      <c r="D184">
        <v>20463232</v>
      </c>
      <c r="E184" t="s">
        <v>2252</v>
      </c>
      <c r="F184" t="s">
        <v>581</v>
      </c>
      <c r="G184" t="s">
        <v>2248</v>
      </c>
      <c r="H184" t="s">
        <v>589</v>
      </c>
      <c r="I184" t="s">
        <v>1034</v>
      </c>
      <c r="J184" s="519">
        <v>46086</v>
      </c>
      <c r="K184" s="519">
        <v>46093</v>
      </c>
      <c r="L184" s="519">
        <v>46100</v>
      </c>
      <c r="S184" s="519">
        <v>46101</v>
      </c>
      <c r="U184" s="519">
        <v>46105</v>
      </c>
    </row>
    <row r="185" spans="1:21">
      <c r="A185" t="s">
        <v>953</v>
      </c>
      <c r="B185" t="s">
        <v>2917</v>
      </c>
      <c r="C185" t="s">
        <v>953</v>
      </c>
      <c r="D185">
        <v>20482211</v>
      </c>
      <c r="E185" t="s">
        <v>2245</v>
      </c>
      <c r="F185" t="s">
        <v>984</v>
      </c>
      <c r="G185" t="s">
        <v>2246</v>
      </c>
      <c r="H185" t="s">
        <v>588</v>
      </c>
      <c r="J185" s="519">
        <v>46109</v>
      </c>
      <c r="U185" s="519">
        <v>46241</v>
      </c>
    </row>
    <row r="186" spans="1:21">
      <c r="A186" t="s">
        <v>953</v>
      </c>
      <c r="B186" t="s">
        <v>2918</v>
      </c>
      <c r="C186" t="s">
        <v>953</v>
      </c>
      <c r="D186">
        <v>20468652</v>
      </c>
      <c r="E186" t="s">
        <v>2245</v>
      </c>
      <c r="F186" t="s">
        <v>984</v>
      </c>
      <c r="G186" t="s">
        <v>2290</v>
      </c>
      <c r="H186" t="s">
        <v>587</v>
      </c>
      <c r="J186" s="519">
        <v>46092</v>
      </c>
      <c r="U186" s="519">
        <v>46092</v>
      </c>
    </row>
    <row r="187" spans="1:21">
      <c r="A187" t="s">
        <v>953</v>
      </c>
      <c r="B187" t="s">
        <v>2919</v>
      </c>
      <c r="C187" t="s">
        <v>953</v>
      </c>
      <c r="D187">
        <v>20480280</v>
      </c>
      <c r="E187" t="s">
        <v>1100</v>
      </c>
      <c r="F187" t="s">
        <v>1115</v>
      </c>
      <c r="G187" t="s">
        <v>2250</v>
      </c>
      <c r="H187" t="s">
        <v>589</v>
      </c>
      <c r="J187" s="519">
        <v>46106</v>
      </c>
      <c r="K187" s="519">
        <v>46106</v>
      </c>
      <c r="U187" s="519">
        <v>46106</v>
      </c>
    </row>
    <row r="188" spans="1:21">
      <c r="A188" t="s">
        <v>953</v>
      </c>
      <c r="B188" t="s">
        <v>1170</v>
      </c>
      <c r="C188" t="s">
        <v>953</v>
      </c>
      <c r="D188">
        <v>20476730</v>
      </c>
      <c r="E188" t="s">
        <v>1110</v>
      </c>
      <c r="F188" t="s">
        <v>577</v>
      </c>
      <c r="G188" t="s">
        <v>2250</v>
      </c>
      <c r="H188" t="s">
        <v>587</v>
      </c>
      <c r="I188" t="s">
        <v>1336</v>
      </c>
      <c r="J188" s="519">
        <v>46101</v>
      </c>
      <c r="K188" s="519">
        <v>46101</v>
      </c>
      <c r="L188" s="519">
        <v>46111</v>
      </c>
      <c r="U188" s="519">
        <v>46111</v>
      </c>
    </row>
    <row r="189" spans="1:21">
      <c r="A189" t="s">
        <v>953</v>
      </c>
      <c r="B189" t="s">
        <v>2920</v>
      </c>
      <c r="C189" t="s">
        <v>953</v>
      </c>
      <c r="D189">
        <v>20471667</v>
      </c>
      <c r="E189" t="s">
        <v>2245</v>
      </c>
      <c r="F189" t="s">
        <v>984</v>
      </c>
      <c r="G189" t="s">
        <v>2250</v>
      </c>
      <c r="H189" t="s">
        <v>592</v>
      </c>
      <c r="J189" s="519">
        <v>46095</v>
      </c>
      <c r="U189" s="519">
        <v>46155</v>
      </c>
    </row>
    <row r="190" spans="1:21">
      <c r="A190" t="s">
        <v>953</v>
      </c>
      <c r="B190" t="s">
        <v>2921</v>
      </c>
      <c r="C190" t="s">
        <v>953</v>
      </c>
      <c r="D190">
        <v>20475768</v>
      </c>
      <c r="E190" t="s">
        <v>2245</v>
      </c>
      <c r="F190" t="s">
        <v>578</v>
      </c>
      <c r="G190" t="s">
        <v>2259</v>
      </c>
      <c r="H190" t="s">
        <v>2388</v>
      </c>
      <c r="I190" t="s">
        <v>1334</v>
      </c>
      <c r="J190" s="519">
        <v>46100</v>
      </c>
      <c r="U190" s="519">
        <v>46143</v>
      </c>
    </row>
    <row r="191" spans="1:21">
      <c r="A191" t="s">
        <v>953</v>
      </c>
      <c r="B191" t="s">
        <v>2922</v>
      </c>
      <c r="C191" t="s">
        <v>953</v>
      </c>
      <c r="D191">
        <v>20475261</v>
      </c>
      <c r="E191" t="s">
        <v>2245</v>
      </c>
      <c r="F191" t="s">
        <v>581</v>
      </c>
      <c r="G191" t="s">
        <v>2250</v>
      </c>
      <c r="H191" t="s">
        <v>592</v>
      </c>
      <c r="J191" s="519">
        <v>46099</v>
      </c>
      <c r="U191" s="519">
        <v>46158</v>
      </c>
    </row>
    <row r="192" spans="1:21">
      <c r="A192" t="s">
        <v>953</v>
      </c>
      <c r="B192" t="s">
        <v>2923</v>
      </c>
      <c r="C192" t="s">
        <v>953</v>
      </c>
      <c r="D192">
        <v>20479649</v>
      </c>
      <c r="E192" t="s">
        <v>2245</v>
      </c>
      <c r="F192" t="s">
        <v>581</v>
      </c>
      <c r="G192" t="s">
        <v>2250</v>
      </c>
      <c r="H192" t="s">
        <v>592</v>
      </c>
      <c r="J192" s="519">
        <v>46106</v>
      </c>
      <c r="U192" s="519">
        <v>46108</v>
      </c>
    </row>
    <row r="193" spans="1:21">
      <c r="A193" t="s">
        <v>953</v>
      </c>
      <c r="B193" t="s">
        <v>2924</v>
      </c>
      <c r="C193" t="s">
        <v>953</v>
      </c>
      <c r="D193">
        <v>20478665</v>
      </c>
      <c r="E193" t="s">
        <v>2245</v>
      </c>
      <c r="F193" t="s">
        <v>581</v>
      </c>
      <c r="G193" t="s">
        <v>2250</v>
      </c>
      <c r="H193" t="s">
        <v>592</v>
      </c>
      <c r="J193" s="519">
        <v>46104</v>
      </c>
      <c r="U193" s="519">
        <v>46113</v>
      </c>
    </row>
    <row r="194" spans="1:21">
      <c r="A194" t="s">
        <v>953</v>
      </c>
      <c r="B194" t="s">
        <v>2925</v>
      </c>
      <c r="C194" t="s">
        <v>953</v>
      </c>
      <c r="D194">
        <v>20460516</v>
      </c>
      <c r="E194" t="s">
        <v>2324</v>
      </c>
      <c r="F194" t="s">
        <v>577</v>
      </c>
      <c r="G194" t="s">
        <v>2250</v>
      </c>
      <c r="H194" t="s">
        <v>587</v>
      </c>
      <c r="I194" t="s">
        <v>2926</v>
      </c>
      <c r="J194" s="519">
        <v>46083</v>
      </c>
      <c r="K194" s="519">
        <v>46083</v>
      </c>
      <c r="L194" s="519">
        <v>46083</v>
      </c>
      <c r="M194" s="519">
        <v>46091</v>
      </c>
      <c r="N194" s="519">
        <v>46091</v>
      </c>
      <c r="P194" s="519">
        <v>46091</v>
      </c>
      <c r="Q194" s="519">
        <v>46097</v>
      </c>
      <c r="U194" s="519">
        <v>46097</v>
      </c>
    </row>
    <row r="195" spans="1:21">
      <c r="A195" t="s">
        <v>953</v>
      </c>
      <c r="B195" t="s">
        <v>2925</v>
      </c>
      <c r="C195" t="s">
        <v>953</v>
      </c>
      <c r="D195">
        <v>20461181</v>
      </c>
      <c r="E195" t="s">
        <v>2252</v>
      </c>
      <c r="F195" t="s">
        <v>984</v>
      </c>
      <c r="G195" t="s">
        <v>2259</v>
      </c>
      <c r="H195" t="s">
        <v>2388</v>
      </c>
      <c r="I195" t="s">
        <v>872</v>
      </c>
      <c r="J195" s="519">
        <v>46084</v>
      </c>
      <c r="K195" s="519">
        <v>46086</v>
      </c>
      <c r="L195" s="519">
        <v>46086</v>
      </c>
      <c r="R195" s="519">
        <v>46091</v>
      </c>
      <c r="U195" s="519">
        <v>46094</v>
      </c>
    </row>
    <row r="196" spans="1:21">
      <c r="A196" t="s">
        <v>953</v>
      </c>
      <c r="B196" t="s">
        <v>1159</v>
      </c>
      <c r="C196" t="s">
        <v>953</v>
      </c>
      <c r="D196">
        <v>20473012</v>
      </c>
      <c r="E196" t="s">
        <v>1100</v>
      </c>
      <c r="F196" t="s">
        <v>581</v>
      </c>
      <c r="G196" t="s">
        <v>2250</v>
      </c>
      <c r="H196" t="s">
        <v>592</v>
      </c>
      <c r="I196" t="s">
        <v>1158</v>
      </c>
      <c r="J196" s="519">
        <v>46098</v>
      </c>
      <c r="K196" s="519">
        <v>46098</v>
      </c>
      <c r="U196" s="519">
        <v>46107</v>
      </c>
    </row>
    <row r="197" spans="1:21">
      <c r="A197" t="s">
        <v>953</v>
      </c>
      <c r="B197" t="s">
        <v>1159</v>
      </c>
      <c r="C197" t="s">
        <v>953</v>
      </c>
      <c r="D197">
        <v>20473014</v>
      </c>
      <c r="E197" t="s">
        <v>2252</v>
      </c>
      <c r="F197" t="s">
        <v>579</v>
      </c>
      <c r="G197" t="s">
        <v>2250</v>
      </c>
      <c r="H197" t="s">
        <v>587</v>
      </c>
      <c r="J197" s="519">
        <v>46098</v>
      </c>
      <c r="K197" s="519">
        <v>46098</v>
      </c>
      <c r="R197" s="519">
        <v>46100</v>
      </c>
      <c r="U197" s="519">
        <v>46098</v>
      </c>
    </row>
    <row r="198" spans="1:21">
      <c r="A198" t="s">
        <v>953</v>
      </c>
      <c r="B198" t="s">
        <v>2927</v>
      </c>
      <c r="C198" t="s">
        <v>953</v>
      </c>
      <c r="D198">
        <v>20472652</v>
      </c>
      <c r="E198" t="s">
        <v>2245</v>
      </c>
      <c r="F198" t="s">
        <v>984</v>
      </c>
      <c r="G198" t="s">
        <v>2250</v>
      </c>
      <c r="H198" t="s">
        <v>592</v>
      </c>
      <c r="J198" s="519">
        <v>46097</v>
      </c>
      <c r="U198" s="519">
        <v>46100</v>
      </c>
    </row>
    <row r="199" spans="1:21">
      <c r="A199" t="s">
        <v>953</v>
      </c>
      <c r="B199" t="s">
        <v>2414</v>
      </c>
      <c r="C199" t="s">
        <v>953</v>
      </c>
      <c r="D199">
        <v>20455525</v>
      </c>
      <c r="E199" t="s">
        <v>2252</v>
      </c>
      <c r="F199" t="s">
        <v>577</v>
      </c>
      <c r="G199" t="s">
        <v>2250</v>
      </c>
      <c r="H199" t="s">
        <v>587</v>
      </c>
      <c r="I199" t="s">
        <v>570</v>
      </c>
      <c r="J199" s="519">
        <v>46076</v>
      </c>
      <c r="K199" s="519">
        <v>46076</v>
      </c>
      <c r="L199" s="519">
        <v>46076</v>
      </c>
      <c r="R199" s="519">
        <v>46083</v>
      </c>
      <c r="U199" s="519">
        <v>46084</v>
      </c>
    </row>
    <row r="200" spans="1:21">
      <c r="A200" t="s">
        <v>953</v>
      </c>
      <c r="B200" t="s">
        <v>2928</v>
      </c>
      <c r="C200" t="s">
        <v>953</v>
      </c>
      <c r="D200">
        <v>20476034</v>
      </c>
      <c r="E200" t="s">
        <v>2245</v>
      </c>
      <c r="F200" t="s">
        <v>984</v>
      </c>
      <c r="G200" t="s">
        <v>2250</v>
      </c>
      <c r="H200" t="s">
        <v>592</v>
      </c>
      <c r="J200" s="519">
        <v>46100</v>
      </c>
      <c r="U200" s="519">
        <v>46174</v>
      </c>
    </row>
    <row r="201" spans="1:21">
      <c r="A201" t="s">
        <v>953</v>
      </c>
      <c r="B201" t="s">
        <v>2929</v>
      </c>
      <c r="C201" t="s">
        <v>953</v>
      </c>
      <c r="D201">
        <v>20478845</v>
      </c>
      <c r="E201" t="s">
        <v>2245</v>
      </c>
      <c r="F201" t="s">
        <v>984</v>
      </c>
      <c r="G201" t="s">
        <v>2250</v>
      </c>
      <c r="H201" t="s">
        <v>592</v>
      </c>
      <c r="J201" s="519">
        <v>46105</v>
      </c>
      <c r="U201" s="519">
        <v>46174</v>
      </c>
    </row>
    <row r="202" spans="1:21">
      <c r="A202" t="s">
        <v>953</v>
      </c>
      <c r="B202" t="s">
        <v>2930</v>
      </c>
      <c r="C202" t="s">
        <v>953</v>
      </c>
      <c r="D202">
        <v>20468659</v>
      </c>
      <c r="E202" t="s">
        <v>2252</v>
      </c>
      <c r="F202" t="s">
        <v>1001</v>
      </c>
      <c r="G202" t="s">
        <v>2250</v>
      </c>
      <c r="H202" t="s">
        <v>587</v>
      </c>
      <c r="J202" s="519">
        <v>46092</v>
      </c>
      <c r="K202" s="519">
        <v>46092</v>
      </c>
      <c r="R202" s="519">
        <v>46093</v>
      </c>
      <c r="U202" s="519">
        <v>46092</v>
      </c>
    </row>
    <row r="203" spans="1:21">
      <c r="A203" t="s">
        <v>953</v>
      </c>
      <c r="B203" t="s">
        <v>2930</v>
      </c>
      <c r="C203" t="s">
        <v>953</v>
      </c>
      <c r="D203">
        <v>20472080</v>
      </c>
      <c r="E203" t="s">
        <v>1100</v>
      </c>
      <c r="F203" t="s">
        <v>1115</v>
      </c>
      <c r="G203" t="s">
        <v>2250</v>
      </c>
      <c r="H203" t="s">
        <v>587</v>
      </c>
      <c r="J203" s="519">
        <v>46096</v>
      </c>
      <c r="K203" s="519">
        <v>46096</v>
      </c>
      <c r="U203" s="519">
        <v>46096</v>
      </c>
    </row>
    <row r="204" spans="1:21">
      <c r="A204" t="s">
        <v>953</v>
      </c>
      <c r="B204" t="s">
        <v>2931</v>
      </c>
      <c r="C204" t="s">
        <v>953</v>
      </c>
      <c r="D204">
        <v>20474271</v>
      </c>
      <c r="E204" t="s">
        <v>2258</v>
      </c>
      <c r="F204" t="s">
        <v>1001</v>
      </c>
      <c r="G204" t="s">
        <v>2250</v>
      </c>
      <c r="H204" t="s">
        <v>588</v>
      </c>
      <c r="I204" t="s">
        <v>1156</v>
      </c>
      <c r="J204" s="519">
        <v>46099</v>
      </c>
      <c r="K204" s="519">
        <v>46099</v>
      </c>
      <c r="R204" s="519">
        <v>46100</v>
      </c>
      <c r="U204" s="519">
        <v>46099</v>
      </c>
    </row>
    <row r="205" spans="1:21">
      <c r="A205" t="s">
        <v>953</v>
      </c>
      <c r="B205" t="s">
        <v>2931</v>
      </c>
      <c r="C205" t="s">
        <v>953</v>
      </c>
      <c r="D205">
        <v>20468653</v>
      </c>
      <c r="E205" t="s">
        <v>2252</v>
      </c>
      <c r="F205" t="s">
        <v>582</v>
      </c>
      <c r="G205" t="s">
        <v>2248</v>
      </c>
      <c r="H205" t="s">
        <v>588</v>
      </c>
      <c r="I205" t="s">
        <v>1156</v>
      </c>
      <c r="J205" s="519">
        <v>46092</v>
      </c>
      <c r="K205" s="519">
        <v>46093</v>
      </c>
      <c r="L205" s="519">
        <v>46096</v>
      </c>
      <c r="R205" s="519">
        <v>46099</v>
      </c>
      <c r="U205" s="519">
        <v>46099</v>
      </c>
    </row>
    <row r="206" spans="1:21">
      <c r="A206" t="s">
        <v>953</v>
      </c>
      <c r="B206" t="s">
        <v>2932</v>
      </c>
      <c r="C206" t="s">
        <v>953</v>
      </c>
      <c r="D206">
        <v>20482271</v>
      </c>
      <c r="E206" t="s">
        <v>2258</v>
      </c>
      <c r="F206" t="s">
        <v>984</v>
      </c>
      <c r="G206" t="s">
        <v>2259</v>
      </c>
      <c r="H206" t="s">
        <v>2388</v>
      </c>
      <c r="J206" s="519">
        <v>46109</v>
      </c>
      <c r="R206" s="519">
        <v>46112</v>
      </c>
      <c r="U206" s="519">
        <v>46109</v>
      </c>
    </row>
    <row r="207" spans="1:21">
      <c r="A207" t="s">
        <v>953</v>
      </c>
      <c r="B207" t="s">
        <v>2933</v>
      </c>
      <c r="C207" t="s">
        <v>953</v>
      </c>
      <c r="D207">
        <v>20461408</v>
      </c>
      <c r="E207" t="s">
        <v>2258</v>
      </c>
      <c r="F207" t="s">
        <v>577</v>
      </c>
      <c r="G207" t="s">
        <v>2259</v>
      </c>
      <c r="H207" t="s">
        <v>2388</v>
      </c>
      <c r="J207" s="519">
        <v>46084</v>
      </c>
      <c r="K207" s="519">
        <v>46090</v>
      </c>
      <c r="R207" s="519">
        <v>46095</v>
      </c>
      <c r="U207" s="519">
        <v>46101</v>
      </c>
    </row>
    <row r="208" spans="1:21">
      <c r="A208" t="s">
        <v>953</v>
      </c>
      <c r="B208" t="s">
        <v>2933</v>
      </c>
      <c r="C208" t="s">
        <v>953</v>
      </c>
      <c r="D208">
        <v>20465744</v>
      </c>
      <c r="E208" t="s">
        <v>2252</v>
      </c>
      <c r="F208" t="s">
        <v>1001</v>
      </c>
      <c r="G208" t="s">
        <v>2250</v>
      </c>
      <c r="H208" t="s">
        <v>587</v>
      </c>
      <c r="I208" t="s">
        <v>1034</v>
      </c>
      <c r="J208" s="519">
        <v>46090</v>
      </c>
      <c r="K208" s="519">
        <v>46090</v>
      </c>
      <c r="L208" s="519">
        <v>46092</v>
      </c>
      <c r="M208" s="519">
        <v>46098</v>
      </c>
      <c r="R208" s="519">
        <v>46098</v>
      </c>
      <c r="U208" s="519">
        <v>46101</v>
      </c>
    </row>
    <row r="209" spans="1:21">
      <c r="A209" t="s">
        <v>953</v>
      </c>
      <c r="B209" t="s">
        <v>2933</v>
      </c>
      <c r="C209" t="s">
        <v>953</v>
      </c>
      <c r="D209">
        <v>20465743</v>
      </c>
      <c r="E209" t="s">
        <v>2252</v>
      </c>
      <c r="F209" t="s">
        <v>1115</v>
      </c>
      <c r="G209" t="s">
        <v>2250</v>
      </c>
      <c r="H209" t="s">
        <v>587</v>
      </c>
      <c r="J209" s="519">
        <v>46090</v>
      </c>
      <c r="K209" s="519">
        <v>46090</v>
      </c>
      <c r="R209" s="519">
        <v>46091</v>
      </c>
      <c r="U209" s="519">
        <v>46090</v>
      </c>
    </row>
    <row r="210" spans="1:21">
      <c r="A210" t="s">
        <v>953</v>
      </c>
      <c r="B210" t="s">
        <v>1150</v>
      </c>
      <c r="C210" t="s">
        <v>953</v>
      </c>
      <c r="D210">
        <v>20470630</v>
      </c>
      <c r="E210" t="s">
        <v>1100</v>
      </c>
      <c r="F210" t="s">
        <v>581</v>
      </c>
      <c r="G210" t="s">
        <v>2250</v>
      </c>
      <c r="H210" t="s">
        <v>590</v>
      </c>
      <c r="I210" t="s">
        <v>1149</v>
      </c>
      <c r="J210" s="519">
        <v>46094</v>
      </c>
      <c r="K210" s="519">
        <v>46094</v>
      </c>
      <c r="U210" s="519">
        <v>46112</v>
      </c>
    </row>
    <row r="211" spans="1:21">
      <c r="A211" t="s">
        <v>953</v>
      </c>
      <c r="B211" t="s">
        <v>2419</v>
      </c>
      <c r="C211" t="s">
        <v>953</v>
      </c>
      <c r="D211">
        <v>20459588</v>
      </c>
      <c r="E211" t="s">
        <v>2252</v>
      </c>
      <c r="F211" t="s">
        <v>583</v>
      </c>
      <c r="G211" t="s">
        <v>2250</v>
      </c>
      <c r="H211" t="s">
        <v>587</v>
      </c>
      <c r="I211" t="s">
        <v>2420</v>
      </c>
      <c r="J211" s="519">
        <v>46081</v>
      </c>
      <c r="K211" s="519">
        <v>46081</v>
      </c>
      <c r="L211" s="519">
        <v>46085</v>
      </c>
      <c r="R211" s="519">
        <v>46092</v>
      </c>
      <c r="U211" s="519">
        <v>46095</v>
      </c>
    </row>
    <row r="212" spans="1:21">
      <c r="A212" t="s">
        <v>953</v>
      </c>
      <c r="B212" t="s">
        <v>2934</v>
      </c>
      <c r="C212" t="s">
        <v>953</v>
      </c>
      <c r="D212">
        <v>20460334</v>
      </c>
      <c r="E212" t="s">
        <v>2252</v>
      </c>
      <c r="F212" t="s">
        <v>583</v>
      </c>
      <c r="G212" t="s">
        <v>2250</v>
      </c>
      <c r="H212" t="s">
        <v>590</v>
      </c>
      <c r="I212" t="s">
        <v>2935</v>
      </c>
      <c r="J212" s="519">
        <v>46083</v>
      </c>
      <c r="K212" s="519">
        <v>46083</v>
      </c>
      <c r="L212" s="519">
        <v>46083</v>
      </c>
      <c r="R212" s="519">
        <v>46089</v>
      </c>
      <c r="U212" s="519">
        <v>46091</v>
      </c>
    </row>
    <row r="213" spans="1:21">
      <c r="A213" t="s">
        <v>953</v>
      </c>
      <c r="B213" t="s">
        <v>1019</v>
      </c>
      <c r="C213" t="s">
        <v>953</v>
      </c>
      <c r="D213">
        <v>20471783</v>
      </c>
      <c r="E213" t="s">
        <v>2252</v>
      </c>
      <c r="F213" t="s">
        <v>577</v>
      </c>
      <c r="G213" t="s">
        <v>2250</v>
      </c>
      <c r="H213" t="s">
        <v>587</v>
      </c>
      <c r="I213" t="s">
        <v>881</v>
      </c>
      <c r="J213" s="519">
        <v>46096</v>
      </c>
      <c r="K213" s="519">
        <v>46096</v>
      </c>
      <c r="L213" s="519">
        <v>46096</v>
      </c>
      <c r="R213" s="519">
        <v>46107</v>
      </c>
      <c r="U213" s="519">
        <v>46108</v>
      </c>
    </row>
    <row r="214" spans="1:21">
      <c r="A214" t="s">
        <v>953</v>
      </c>
      <c r="B214" t="s">
        <v>2936</v>
      </c>
      <c r="C214" t="s">
        <v>953</v>
      </c>
      <c r="D214">
        <v>20484035</v>
      </c>
      <c r="E214" t="s">
        <v>2245</v>
      </c>
      <c r="F214" t="s">
        <v>581</v>
      </c>
      <c r="G214" t="s">
        <v>2290</v>
      </c>
      <c r="H214" t="s">
        <v>1144</v>
      </c>
      <c r="J214" s="519">
        <v>46112</v>
      </c>
      <c r="U214" s="519">
        <v>46112</v>
      </c>
    </row>
    <row r="215" spans="1:21">
      <c r="A215" t="s">
        <v>953</v>
      </c>
      <c r="B215" t="s">
        <v>2937</v>
      </c>
      <c r="C215" t="s">
        <v>953</v>
      </c>
      <c r="D215">
        <v>20481392</v>
      </c>
      <c r="E215" t="s">
        <v>2245</v>
      </c>
      <c r="F215" t="s">
        <v>984</v>
      </c>
      <c r="G215" t="s">
        <v>2250</v>
      </c>
      <c r="H215" t="s">
        <v>592</v>
      </c>
      <c r="J215" s="519">
        <v>46108</v>
      </c>
      <c r="U215" s="519">
        <v>46113</v>
      </c>
    </row>
    <row r="216" spans="1:21">
      <c r="A216" t="s">
        <v>953</v>
      </c>
      <c r="B216" t="s">
        <v>2938</v>
      </c>
      <c r="C216" t="s">
        <v>953</v>
      </c>
      <c r="D216">
        <v>20472400</v>
      </c>
      <c r="E216" t="s">
        <v>2245</v>
      </c>
      <c r="F216" t="s">
        <v>581</v>
      </c>
      <c r="G216" t="s">
        <v>2248</v>
      </c>
      <c r="H216" t="s">
        <v>588</v>
      </c>
      <c r="I216" t="s">
        <v>1156</v>
      </c>
      <c r="J216" s="519">
        <v>46097</v>
      </c>
      <c r="U216" s="519">
        <v>46203</v>
      </c>
    </row>
    <row r="217" spans="1:21">
      <c r="A217" t="s">
        <v>953</v>
      </c>
      <c r="B217" t="s">
        <v>2424</v>
      </c>
      <c r="C217" t="s">
        <v>953</v>
      </c>
      <c r="D217">
        <v>20444029</v>
      </c>
      <c r="E217" t="s">
        <v>1110</v>
      </c>
      <c r="F217" t="s">
        <v>579</v>
      </c>
      <c r="G217" t="s">
        <v>2246</v>
      </c>
      <c r="H217" t="s">
        <v>587</v>
      </c>
      <c r="I217" t="s">
        <v>2425</v>
      </c>
      <c r="J217" s="519">
        <v>46062</v>
      </c>
      <c r="K217" s="519">
        <v>46064</v>
      </c>
      <c r="L217" s="519">
        <v>46065</v>
      </c>
      <c r="M217" s="519">
        <v>46098</v>
      </c>
      <c r="N217" s="519">
        <v>46098</v>
      </c>
      <c r="O217" s="519">
        <v>46098</v>
      </c>
      <c r="P217" s="519">
        <v>46098</v>
      </c>
      <c r="Q217" s="519">
        <v>46098</v>
      </c>
      <c r="U217" s="519">
        <v>46112</v>
      </c>
    </row>
    <row r="218" spans="1:21">
      <c r="A218" t="s">
        <v>953</v>
      </c>
      <c r="B218" t="s">
        <v>2424</v>
      </c>
      <c r="C218" t="s">
        <v>953</v>
      </c>
      <c r="D218">
        <v>20444302</v>
      </c>
      <c r="E218" t="s">
        <v>2252</v>
      </c>
      <c r="F218" t="s">
        <v>1115</v>
      </c>
      <c r="G218" t="s">
        <v>2250</v>
      </c>
      <c r="H218" t="s">
        <v>587</v>
      </c>
      <c r="I218" t="s">
        <v>892</v>
      </c>
      <c r="J218" s="519">
        <v>46063</v>
      </c>
      <c r="K218" s="519">
        <v>46063</v>
      </c>
      <c r="L218" s="519">
        <v>46063</v>
      </c>
      <c r="R218" s="519">
        <v>46085</v>
      </c>
      <c r="U218" s="519">
        <v>46126</v>
      </c>
    </row>
    <row r="219" spans="1:21">
      <c r="A219" t="s">
        <v>953</v>
      </c>
      <c r="B219" t="s">
        <v>2939</v>
      </c>
      <c r="C219" t="s">
        <v>953</v>
      </c>
      <c r="D219">
        <v>20481785</v>
      </c>
      <c r="E219" t="s">
        <v>2245</v>
      </c>
      <c r="F219" t="s">
        <v>984</v>
      </c>
      <c r="G219" t="s">
        <v>2250</v>
      </c>
      <c r="H219" t="s">
        <v>592</v>
      </c>
      <c r="J219" s="519">
        <v>46108</v>
      </c>
      <c r="U219" s="519">
        <v>46169</v>
      </c>
    </row>
    <row r="220" spans="1:21">
      <c r="A220" t="s">
        <v>953</v>
      </c>
      <c r="B220" t="s">
        <v>2940</v>
      </c>
      <c r="C220" t="s">
        <v>953</v>
      </c>
      <c r="D220">
        <v>20478291</v>
      </c>
      <c r="E220" t="s">
        <v>2245</v>
      </c>
      <c r="F220" t="s">
        <v>984</v>
      </c>
      <c r="G220" t="s">
        <v>2259</v>
      </c>
      <c r="H220" t="s">
        <v>2388</v>
      </c>
      <c r="I220" t="s">
        <v>1156</v>
      </c>
      <c r="J220" s="519">
        <v>46104</v>
      </c>
      <c r="U220" s="519">
        <v>46204</v>
      </c>
    </row>
    <row r="221" spans="1:21">
      <c r="A221" t="s">
        <v>953</v>
      </c>
      <c r="B221" t="s">
        <v>1174</v>
      </c>
      <c r="C221" t="s">
        <v>953</v>
      </c>
      <c r="D221">
        <v>20478380</v>
      </c>
      <c r="E221" t="s">
        <v>1100</v>
      </c>
      <c r="F221" t="s">
        <v>581</v>
      </c>
      <c r="G221" t="s">
        <v>2248</v>
      </c>
      <c r="H221" t="s">
        <v>592</v>
      </c>
      <c r="I221" t="s">
        <v>1173</v>
      </c>
      <c r="J221" s="519">
        <v>46104</v>
      </c>
      <c r="K221" s="519">
        <v>46104</v>
      </c>
      <c r="U221" s="519">
        <v>46164</v>
      </c>
    </row>
    <row r="222" spans="1:21">
      <c r="A222" t="s">
        <v>953</v>
      </c>
      <c r="B222" t="s">
        <v>1157</v>
      </c>
      <c r="C222" t="s">
        <v>953</v>
      </c>
      <c r="D222">
        <v>20472349</v>
      </c>
      <c r="E222" t="s">
        <v>1110</v>
      </c>
      <c r="F222" t="s">
        <v>1001</v>
      </c>
      <c r="G222" t="s">
        <v>2248</v>
      </c>
      <c r="H222" t="s">
        <v>592</v>
      </c>
      <c r="I222" t="s">
        <v>1169</v>
      </c>
      <c r="J222" s="519">
        <v>46097</v>
      </c>
      <c r="K222" s="519">
        <v>46104</v>
      </c>
      <c r="L222" s="519">
        <v>46110</v>
      </c>
      <c r="U222" s="519">
        <v>46113</v>
      </c>
    </row>
    <row r="223" spans="1:21">
      <c r="A223" t="s">
        <v>953</v>
      </c>
      <c r="B223" t="s">
        <v>1157</v>
      </c>
      <c r="C223" t="s">
        <v>953</v>
      </c>
      <c r="D223">
        <v>20472727</v>
      </c>
      <c r="E223" t="s">
        <v>2252</v>
      </c>
      <c r="F223" t="s">
        <v>1001</v>
      </c>
      <c r="G223" t="s">
        <v>2250</v>
      </c>
      <c r="H223" t="s">
        <v>587</v>
      </c>
      <c r="I223" t="s">
        <v>1142</v>
      </c>
      <c r="J223" s="519">
        <v>46097</v>
      </c>
      <c r="K223" s="519">
        <v>46097</v>
      </c>
      <c r="R223" s="519">
        <v>46104</v>
      </c>
      <c r="U223" s="519">
        <v>46097</v>
      </c>
    </row>
    <row r="224" spans="1:21">
      <c r="A224" t="s">
        <v>953</v>
      </c>
      <c r="B224" t="s">
        <v>2941</v>
      </c>
      <c r="C224" t="s">
        <v>953</v>
      </c>
      <c r="D224">
        <v>20473515</v>
      </c>
      <c r="E224" t="s">
        <v>2258</v>
      </c>
      <c r="F224" t="s">
        <v>984</v>
      </c>
      <c r="G224" t="s">
        <v>2250</v>
      </c>
      <c r="H224" t="s">
        <v>592</v>
      </c>
      <c r="J224" s="519">
        <v>46098</v>
      </c>
      <c r="R224" s="519">
        <v>46099</v>
      </c>
      <c r="U224" s="519">
        <v>46105</v>
      </c>
    </row>
    <row r="225" spans="1:21">
      <c r="A225" t="s">
        <v>953</v>
      </c>
      <c r="B225" t="s">
        <v>2942</v>
      </c>
      <c r="C225" t="s">
        <v>953</v>
      </c>
      <c r="D225">
        <v>20462211</v>
      </c>
      <c r="E225" t="s">
        <v>2245</v>
      </c>
      <c r="F225" t="s">
        <v>577</v>
      </c>
      <c r="G225" t="s">
        <v>1213</v>
      </c>
      <c r="H225" t="s">
        <v>591</v>
      </c>
      <c r="J225" s="519">
        <v>46085</v>
      </c>
      <c r="U225" s="519">
        <v>46085</v>
      </c>
    </row>
    <row r="226" spans="1:21">
      <c r="A226" t="s">
        <v>953</v>
      </c>
      <c r="B226" t="s">
        <v>2943</v>
      </c>
      <c r="C226" t="s">
        <v>953</v>
      </c>
      <c r="D226">
        <v>20460751</v>
      </c>
      <c r="E226" t="s">
        <v>2245</v>
      </c>
      <c r="F226" t="s">
        <v>581</v>
      </c>
      <c r="G226" t="s">
        <v>2259</v>
      </c>
      <c r="H226" t="s">
        <v>592</v>
      </c>
      <c r="J226" s="519">
        <v>46083</v>
      </c>
      <c r="U226" s="519">
        <v>46083</v>
      </c>
    </row>
    <row r="227" spans="1:21">
      <c r="A227" t="s">
        <v>953</v>
      </c>
      <c r="B227" t="s">
        <v>2426</v>
      </c>
      <c r="C227" t="s">
        <v>953</v>
      </c>
      <c r="D227">
        <v>20448431</v>
      </c>
      <c r="E227" t="s">
        <v>1100</v>
      </c>
      <c r="F227" t="s">
        <v>581</v>
      </c>
      <c r="G227" t="s">
        <v>2250</v>
      </c>
      <c r="H227" t="s">
        <v>592</v>
      </c>
      <c r="I227" t="s">
        <v>982</v>
      </c>
      <c r="J227" s="519">
        <v>46066</v>
      </c>
      <c r="K227" s="519">
        <v>46066</v>
      </c>
      <c r="T227" s="519">
        <v>46087</v>
      </c>
      <c r="U227" s="519">
        <v>46066</v>
      </c>
    </row>
    <row r="228" spans="1:21">
      <c r="A228" t="s">
        <v>953</v>
      </c>
      <c r="B228" t="s">
        <v>2426</v>
      </c>
      <c r="C228" t="s">
        <v>953</v>
      </c>
      <c r="D228">
        <v>20472844</v>
      </c>
      <c r="E228" t="s">
        <v>2324</v>
      </c>
      <c r="F228" t="s">
        <v>578</v>
      </c>
      <c r="G228" t="s">
        <v>2248</v>
      </c>
      <c r="H228" t="s">
        <v>592</v>
      </c>
      <c r="I228" t="s">
        <v>993</v>
      </c>
      <c r="J228" s="519">
        <v>46066</v>
      </c>
      <c r="K228" s="519">
        <v>46097</v>
      </c>
      <c r="L228" s="519">
        <v>46105</v>
      </c>
      <c r="M228" s="519">
        <v>46106</v>
      </c>
      <c r="N228" s="519">
        <v>46106</v>
      </c>
      <c r="O228" s="519">
        <v>46106</v>
      </c>
      <c r="P228" s="519">
        <v>46106</v>
      </c>
      <c r="Q228" s="519">
        <v>46106</v>
      </c>
      <c r="U228" s="519">
        <v>46106</v>
      </c>
    </row>
    <row r="229" spans="1:21">
      <c r="A229" t="s">
        <v>953</v>
      </c>
      <c r="B229" t="s">
        <v>2426</v>
      </c>
      <c r="C229" t="s">
        <v>953</v>
      </c>
      <c r="D229">
        <v>20471078</v>
      </c>
      <c r="E229" t="s">
        <v>2252</v>
      </c>
      <c r="F229" t="s">
        <v>578</v>
      </c>
      <c r="G229" t="s">
        <v>1213</v>
      </c>
      <c r="H229" t="s">
        <v>587</v>
      </c>
      <c r="I229" t="s">
        <v>993</v>
      </c>
      <c r="J229" s="519">
        <v>46094</v>
      </c>
      <c r="K229" s="519">
        <v>46094</v>
      </c>
      <c r="L229" s="519">
        <v>46094</v>
      </c>
      <c r="R229" s="519">
        <v>46099</v>
      </c>
      <c r="U229" s="519">
        <v>46097</v>
      </c>
    </row>
    <row r="230" spans="1:21">
      <c r="A230" t="s">
        <v>953</v>
      </c>
      <c r="B230" t="s">
        <v>2429</v>
      </c>
      <c r="C230" t="s">
        <v>953</v>
      </c>
      <c r="D230">
        <v>20462896</v>
      </c>
      <c r="E230" t="s">
        <v>2252</v>
      </c>
      <c r="F230" t="s">
        <v>1115</v>
      </c>
      <c r="G230" t="s">
        <v>2250</v>
      </c>
      <c r="H230" t="s">
        <v>587</v>
      </c>
      <c r="I230" t="s">
        <v>1145</v>
      </c>
      <c r="J230" s="519">
        <v>46086</v>
      </c>
      <c r="K230" s="519">
        <v>46086</v>
      </c>
      <c r="R230" s="519">
        <v>46090</v>
      </c>
      <c r="U230" s="519">
        <v>46086</v>
      </c>
    </row>
    <row r="231" spans="1:21">
      <c r="A231" t="s">
        <v>953</v>
      </c>
      <c r="B231" t="s">
        <v>2429</v>
      </c>
      <c r="C231" t="s">
        <v>953</v>
      </c>
      <c r="D231">
        <v>20462907</v>
      </c>
      <c r="E231" t="s">
        <v>2252</v>
      </c>
      <c r="F231" t="s">
        <v>583</v>
      </c>
      <c r="G231" t="s">
        <v>2250</v>
      </c>
      <c r="H231" t="s">
        <v>587</v>
      </c>
      <c r="I231" t="s">
        <v>1030</v>
      </c>
      <c r="J231" s="519">
        <v>46086</v>
      </c>
      <c r="K231" s="519">
        <v>46086</v>
      </c>
      <c r="L231" s="519">
        <v>46087</v>
      </c>
      <c r="R231" s="519">
        <v>46100</v>
      </c>
      <c r="U231" s="519">
        <v>46099</v>
      </c>
    </row>
    <row r="232" spans="1:21">
      <c r="A232" t="s">
        <v>953</v>
      </c>
      <c r="B232" t="s">
        <v>2944</v>
      </c>
      <c r="C232" t="s">
        <v>953</v>
      </c>
      <c r="D232">
        <v>20461090</v>
      </c>
      <c r="E232" t="s">
        <v>1100</v>
      </c>
      <c r="F232" t="s">
        <v>581</v>
      </c>
      <c r="G232" t="s">
        <v>2250</v>
      </c>
      <c r="H232" t="s">
        <v>587</v>
      </c>
      <c r="J232" s="519">
        <v>46084</v>
      </c>
      <c r="K232" s="519">
        <v>46084</v>
      </c>
      <c r="U232" s="519">
        <v>46084</v>
      </c>
    </row>
    <row r="233" spans="1:21">
      <c r="A233" t="s">
        <v>953</v>
      </c>
      <c r="B233" t="s">
        <v>2431</v>
      </c>
      <c r="C233" t="s">
        <v>953</v>
      </c>
      <c r="D233">
        <v>20447882</v>
      </c>
      <c r="E233" t="s">
        <v>2324</v>
      </c>
      <c r="F233" t="s">
        <v>577</v>
      </c>
      <c r="G233" t="s">
        <v>2290</v>
      </c>
      <c r="H233" t="s">
        <v>587</v>
      </c>
      <c r="I233" t="s">
        <v>2945</v>
      </c>
      <c r="J233" s="519">
        <v>46065</v>
      </c>
      <c r="K233" s="519">
        <v>46075</v>
      </c>
      <c r="L233" s="519">
        <v>46075</v>
      </c>
      <c r="M233" s="519">
        <v>46084</v>
      </c>
      <c r="N233" s="519">
        <v>46085</v>
      </c>
      <c r="P233" s="519">
        <v>46091</v>
      </c>
      <c r="Q233" s="519">
        <v>46091</v>
      </c>
      <c r="U233" s="519">
        <v>46094</v>
      </c>
    </row>
    <row r="234" spans="1:21">
      <c r="A234" t="s">
        <v>953</v>
      </c>
      <c r="B234" t="s">
        <v>2946</v>
      </c>
      <c r="C234" t="s">
        <v>953</v>
      </c>
      <c r="D234">
        <v>20460526</v>
      </c>
      <c r="E234" t="s">
        <v>2245</v>
      </c>
      <c r="F234" t="s">
        <v>984</v>
      </c>
      <c r="G234" t="s">
        <v>2246</v>
      </c>
      <c r="H234" t="s">
        <v>587</v>
      </c>
      <c r="J234" s="519">
        <v>46083</v>
      </c>
      <c r="U234" s="519">
        <v>46116</v>
      </c>
    </row>
    <row r="235" spans="1:21">
      <c r="A235" t="s">
        <v>953</v>
      </c>
      <c r="B235" t="s">
        <v>1117</v>
      </c>
      <c r="C235" t="s">
        <v>953</v>
      </c>
      <c r="D235">
        <v>20449577</v>
      </c>
      <c r="E235" t="s">
        <v>2258</v>
      </c>
      <c r="F235" t="s">
        <v>1001</v>
      </c>
      <c r="G235" t="s">
        <v>2250</v>
      </c>
      <c r="H235" t="s">
        <v>587</v>
      </c>
      <c r="I235" t="s">
        <v>1116</v>
      </c>
      <c r="J235" s="519">
        <v>46068</v>
      </c>
      <c r="K235" s="519">
        <v>46068</v>
      </c>
      <c r="R235" s="519">
        <v>46085</v>
      </c>
      <c r="U235" s="519">
        <v>46069</v>
      </c>
    </row>
    <row r="236" spans="1:21">
      <c r="A236" t="s">
        <v>953</v>
      </c>
      <c r="B236" t="s">
        <v>2947</v>
      </c>
      <c r="C236" t="s">
        <v>953</v>
      </c>
      <c r="D236">
        <v>20479316</v>
      </c>
      <c r="E236" t="s">
        <v>2245</v>
      </c>
      <c r="F236" t="s">
        <v>984</v>
      </c>
      <c r="G236" t="s">
        <v>2250</v>
      </c>
      <c r="H236" t="s">
        <v>592</v>
      </c>
      <c r="J236" s="519">
        <v>46105</v>
      </c>
      <c r="U236" s="519">
        <v>46113</v>
      </c>
    </row>
    <row r="237" spans="1:21">
      <c r="A237" t="s">
        <v>953</v>
      </c>
      <c r="B237" t="s">
        <v>2948</v>
      </c>
      <c r="C237" t="s">
        <v>953</v>
      </c>
      <c r="D237">
        <v>20479935</v>
      </c>
      <c r="E237" t="s">
        <v>1100</v>
      </c>
      <c r="F237" t="s">
        <v>581</v>
      </c>
      <c r="G237" t="s">
        <v>2250</v>
      </c>
      <c r="H237" t="s">
        <v>587</v>
      </c>
      <c r="I237" t="s">
        <v>894</v>
      </c>
      <c r="J237" s="519">
        <v>46106</v>
      </c>
      <c r="K237" s="519">
        <v>46106</v>
      </c>
      <c r="U237" s="519">
        <v>46106</v>
      </c>
    </row>
    <row r="238" spans="1:21">
      <c r="A238" t="s">
        <v>953</v>
      </c>
      <c r="B238" t="s">
        <v>2949</v>
      </c>
      <c r="C238" t="s">
        <v>953</v>
      </c>
      <c r="D238">
        <v>20480495</v>
      </c>
      <c r="E238" t="s">
        <v>2245</v>
      </c>
      <c r="F238" t="s">
        <v>577</v>
      </c>
      <c r="G238" t="s">
        <v>2250</v>
      </c>
      <c r="H238" t="s">
        <v>592</v>
      </c>
      <c r="I238" t="s">
        <v>1034</v>
      </c>
      <c r="J238" s="519">
        <v>46107</v>
      </c>
      <c r="U238" s="519">
        <v>46447</v>
      </c>
    </row>
    <row r="239" spans="1:21">
      <c r="A239" t="s">
        <v>953</v>
      </c>
      <c r="B239" t="s">
        <v>2950</v>
      </c>
      <c r="C239" t="s">
        <v>953</v>
      </c>
      <c r="D239">
        <v>20476234</v>
      </c>
      <c r="E239" t="s">
        <v>2245</v>
      </c>
      <c r="F239" t="s">
        <v>1001</v>
      </c>
      <c r="G239" t="s">
        <v>2259</v>
      </c>
      <c r="H239" t="s">
        <v>2388</v>
      </c>
      <c r="J239" s="519">
        <v>46100</v>
      </c>
      <c r="U239" s="519">
        <v>46116</v>
      </c>
    </row>
    <row r="240" spans="1:21">
      <c r="A240" t="s">
        <v>953</v>
      </c>
      <c r="B240" t="s">
        <v>2951</v>
      </c>
      <c r="C240" t="s">
        <v>953</v>
      </c>
      <c r="D240">
        <v>20480409</v>
      </c>
      <c r="E240" t="s">
        <v>2245</v>
      </c>
      <c r="F240" t="s">
        <v>581</v>
      </c>
      <c r="G240" t="s">
        <v>2250</v>
      </c>
      <c r="H240" t="s">
        <v>592</v>
      </c>
      <c r="J240" s="519">
        <v>46107</v>
      </c>
      <c r="U240" s="519">
        <v>46108</v>
      </c>
    </row>
    <row r="241" spans="1:21">
      <c r="A241" t="s">
        <v>953</v>
      </c>
      <c r="B241" t="s">
        <v>2952</v>
      </c>
      <c r="C241" t="s">
        <v>953</v>
      </c>
      <c r="D241">
        <v>20478793</v>
      </c>
      <c r="E241" t="s">
        <v>2245</v>
      </c>
      <c r="F241" t="s">
        <v>984</v>
      </c>
      <c r="G241" t="s">
        <v>2250</v>
      </c>
      <c r="H241" t="s">
        <v>592</v>
      </c>
      <c r="J241" s="519">
        <v>46105</v>
      </c>
      <c r="U241" s="519">
        <v>46113</v>
      </c>
    </row>
    <row r="242" spans="1:21">
      <c r="A242" t="s">
        <v>953</v>
      </c>
      <c r="B242" t="s">
        <v>2953</v>
      </c>
      <c r="C242" t="s">
        <v>953</v>
      </c>
      <c r="D242">
        <v>20472068</v>
      </c>
      <c r="E242" t="s">
        <v>2245</v>
      </c>
      <c r="F242" t="s">
        <v>581</v>
      </c>
      <c r="G242" t="s">
        <v>2246</v>
      </c>
      <c r="H242" t="s">
        <v>587</v>
      </c>
      <c r="J242" s="519">
        <v>46096</v>
      </c>
      <c r="U242" s="519">
        <v>46113</v>
      </c>
    </row>
    <row r="243" spans="1:21">
      <c r="A243" t="s">
        <v>953</v>
      </c>
      <c r="B243" t="s">
        <v>2954</v>
      </c>
      <c r="C243" t="s">
        <v>953</v>
      </c>
      <c r="D243">
        <v>20479321</v>
      </c>
      <c r="E243" t="s">
        <v>2245</v>
      </c>
      <c r="F243" t="s">
        <v>581</v>
      </c>
      <c r="G243" t="s">
        <v>2246</v>
      </c>
      <c r="H243" t="s">
        <v>588</v>
      </c>
      <c r="J243" s="519">
        <v>46105</v>
      </c>
      <c r="U243" s="519">
        <v>46105</v>
      </c>
    </row>
    <row r="244" spans="1:21">
      <c r="A244" t="s">
        <v>953</v>
      </c>
      <c r="B244" t="s">
        <v>2955</v>
      </c>
      <c r="C244" t="s">
        <v>953</v>
      </c>
      <c r="D244">
        <v>20461497</v>
      </c>
      <c r="E244" t="s">
        <v>2245</v>
      </c>
      <c r="F244" t="s">
        <v>984</v>
      </c>
      <c r="G244" t="s">
        <v>2246</v>
      </c>
      <c r="H244" t="s">
        <v>588</v>
      </c>
      <c r="J244" s="519">
        <v>46084</v>
      </c>
      <c r="U244" s="519">
        <v>46115</v>
      </c>
    </row>
    <row r="245" spans="1:21">
      <c r="A245" t="s">
        <v>953</v>
      </c>
      <c r="B245" t="s">
        <v>2956</v>
      </c>
      <c r="C245" t="s">
        <v>953</v>
      </c>
      <c r="D245">
        <v>20464351</v>
      </c>
      <c r="E245" t="s">
        <v>1100</v>
      </c>
      <c r="F245" t="s">
        <v>581</v>
      </c>
      <c r="G245" t="s">
        <v>2259</v>
      </c>
      <c r="H245" t="s">
        <v>592</v>
      </c>
      <c r="I245" t="s">
        <v>2957</v>
      </c>
      <c r="J245" s="519">
        <v>46088</v>
      </c>
      <c r="K245" s="519">
        <v>46111</v>
      </c>
      <c r="U245" s="519">
        <v>46149</v>
      </c>
    </row>
    <row r="246" spans="1:21">
      <c r="A246" t="s">
        <v>953</v>
      </c>
      <c r="B246" t="s">
        <v>2958</v>
      </c>
      <c r="C246" t="s">
        <v>953</v>
      </c>
      <c r="D246">
        <v>20480119</v>
      </c>
      <c r="E246" t="s">
        <v>2245</v>
      </c>
      <c r="F246" t="s">
        <v>984</v>
      </c>
      <c r="G246" t="s">
        <v>2250</v>
      </c>
      <c r="H246" t="s">
        <v>592</v>
      </c>
      <c r="J246" s="519">
        <v>46106</v>
      </c>
      <c r="U246" s="519">
        <v>46143</v>
      </c>
    </row>
    <row r="247" spans="1:21">
      <c r="A247" t="s">
        <v>953</v>
      </c>
      <c r="B247" t="s">
        <v>2959</v>
      </c>
      <c r="C247" t="s">
        <v>953</v>
      </c>
      <c r="D247">
        <v>20465460</v>
      </c>
      <c r="E247" t="s">
        <v>2245</v>
      </c>
      <c r="F247" t="s">
        <v>581</v>
      </c>
      <c r="G247" t="s">
        <v>2259</v>
      </c>
      <c r="H247" t="s">
        <v>592</v>
      </c>
      <c r="J247" s="519">
        <v>46090</v>
      </c>
      <c r="U247" s="519">
        <v>46090</v>
      </c>
    </row>
    <row r="248" spans="1:21">
      <c r="A248" t="s">
        <v>953</v>
      </c>
      <c r="B248" t="s">
        <v>2444</v>
      </c>
      <c r="C248" t="s">
        <v>953</v>
      </c>
      <c r="D248">
        <v>20448080</v>
      </c>
      <c r="E248" t="s">
        <v>2324</v>
      </c>
      <c r="F248" t="s">
        <v>578</v>
      </c>
      <c r="G248" t="s">
        <v>2246</v>
      </c>
      <c r="H248" t="s">
        <v>591</v>
      </c>
      <c r="I248" t="s">
        <v>565</v>
      </c>
      <c r="J248" s="519">
        <v>46065</v>
      </c>
      <c r="K248" s="519">
        <v>46069</v>
      </c>
      <c r="L248" s="519">
        <v>46069</v>
      </c>
      <c r="M248" s="519">
        <v>46087</v>
      </c>
      <c r="N248" s="519">
        <v>46087</v>
      </c>
      <c r="P248" s="519">
        <v>46087</v>
      </c>
      <c r="Q248" s="519">
        <v>46087</v>
      </c>
      <c r="U248" s="519">
        <v>46087</v>
      </c>
    </row>
    <row r="249" spans="1:21">
      <c r="A249" t="s">
        <v>953</v>
      </c>
      <c r="B249" t="s">
        <v>2960</v>
      </c>
      <c r="C249" t="s">
        <v>953</v>
      </c>
      <c r="D249">
        <v>20482315</v>
      </c>
      <c r="E249" t="s">
        <v>1100</v>
      </c>
      <c r="F249" t="s">
        <v>1115</v>
      </c>
      <c r="G249" t="s">
        <v>2250</v>
      </c>
      <c r="H249" t="s">
        <v>587</v>
      </c>
      <c r="I249" t="s">
        <v>1386</v>
      </c>
      <c r="J249" s="519">
        <v>46109</v>
      </c>
      <c r="K249" s="519">
        <v>46109</v>
      </c>
      <c r="U249" s="519">
        <v>46109</v>
      </c>
    </row>
    <row r="250" spans="1:21">
      <c r="A250" t="s">
        <v>953</v>
      </c>
      <c r="B250" t="s">
        <v>2448</v>
      </c>
      <c r="C250" t="s">
        <v>953</v>
      </c>
      <c r="D250">
        <v>20448736</v>
      </c>
      <c r="E250" t="s">
        <v>2324</v>
      </c>
      <c r="F250" t="s">
        <v>577</v>
      </c>
      <c r="G250" t="s">
        <v>2250</v>
      </c>
      <c r="H250" t="s">
        <v>590</v>
      </c>
      <c r="I250" t="s">
        <v>2285</v>
      </c>
      <c r="J250" s="519">
        <v>46066</v>
      </c>
      <c r="K250" s="519">
        <v>46066</v>
      </c>
      <c r="L250" s="519">
        <v>46066</v>
      </c>
      <c r="M250" s="519">
        <v>46087</v>
      </c>
      <c r="N250" s="519">
        <v>46087</v>
      </c>
      <c r="P250" s="519">
        <v>46087</v>
      </c>
      <c r="Q250" s="519">
        <v>46088</v>
      </c>
      <c r="U250" s="519">
        <v>46101</v>
      </c>
    </row>
    <row r="251" spans="1:21">
      <c r="A251" t="s">
        <v>953</v>
      </c>
      <c r="B251" t="s">
        <v>2448</v>
      </c>
      <c r="C251" t="s">
        <v>953</v>
      </c>
      <c r="D251">
        <v>20463894</v>
      </c>
      <c r="E251" t="s">
        <v>2258</v>
      </c>
      <c r="F251" t="s">
        <v>581</v>
      </c>
      <c r="G251" t="s">
        <v>1213</v>
      </c>
      <c r="H251" t="s">
        <v>590</v>
      </c>
      <c r="J251" s="519">
        <v>46087</v>
      </c>
      <c r="K251" s="519">
        <v>46087</v>
      </c>
      <c r="R251" s="519">
        <v>46090</v>
      </c>
      <c r="U251" s="519">
        <v>46087</v>
      </c>
    </row>
    <row r="252" spans="1:21">
      <c r="A252" t="s">
        <v>953</v>
      </c>
      <c r="B252" t="s">
        <v>2448</v>
      </c>
      <c r="C252" t="s">
        <v>953</v>
      </c>
      <c r="D252">
        <v>20448762</v>
      </c>
      <c r="E252" t="s">
        <v>2258</v>
      </c>
      <c r="F252" t="s">
        <v>581</v>
      </c>
      <c r="G252" t="s">
        <v>2250</v>
      </c>
      <c r="H252" t="s">
        <v>590</v>
      </c>
      <c r="I252" t="s">
        <v>1154</v>
      </c>
      <c r="J252" s="519">
        <v>46066</v>
      </c>
      <c r="K252" s="519">
        <v>46066</v>
      </c>
      <c r="R252" s="519">
        <v>46085</v>
      </c>
      <c r="U252" s="519">
        <v>46083</v>
      </c>
    </row>
    <row r="253" spans="1:21">
      <c r="A253" t="s">
        <v>953</v>
      </c>
      <c r="B253" t="s">
        <v>2961</v>
      </c>
      <c r="C253" t="s">
        <v>953</v>
      </c>
      <c r="D253">
        <v>20464167</v>
      </c>
      <c r="E253" t="s">
        <v>2245</v>
      </c>
      <c r="F253" t="s">
        <v>984</v>
      </c>
      <c r="G253" t="s">
        <v>2246</v>
      </c>
      <c r="H253" t="s">
        <v>587</v>
      </c>
      <c r="J253" s="519">
        <v>46088</v>
      </c>
      <c r="U253" s="519">
        <v>46100</v>
      </c>
    </row>
    <row r="254" spans="1:21">
      <c r="A254" t="s">
        <v>953</v>
      </c>
      <c r="B254" t="s">
        <v>2962</v>
      </c>
      <c r="C254" t="s">
        <v>953</v>
      </c>
      <c r="D254">
        <v>20462994</v>
      </c>
      <c r="E254" t="s">
        <v>2245</v>
      </c>
      <c r="F254" t="s">
        <v>579</v>
      </c>
      <c r="G254" t="s">
        <v>2248</v>
      </c>
      <c r="H254" t="s">
        <v>591</v>
      </c>
      <c r="J254" s="519">
        <v>46086</v>
      </c>
      <c r="U254" s="519">
        <v>46095</v>
      </c>
    </row>
    <row r="255" spans="1:21">
      <c r="A255" t="s">
        <v>953</v>
      </c>
      <c r="B255" t="s">
        <v>2963</v>
      </c>
      <c r="C255" t="s">
        <v>953</v>
      </c>
      <c r="D255">
        <v>20462879</v>
      </c>
      <c r="E255" t="s">
        <v>2245</v>
      </c>
      <c r="F255" t="s">
        <v>582</v>
      </c>
      <c r="G255" t="s">
        <v>2248</v>
      </c>
      <c r="H255" t="s">
        <v>588</v>
      </c>
      <c r="J255" s="519">
        <v>46086</v>
      </c>
      <c r="U255" s="519">
        <v>46086</v>
      </c>
    </row>
    <row r="256" spans="1:21">
      <c r="A256" t="s">
        <v>953</v>
      </c>
      <c r="B256" t="s">
        <v>2964</v>
      </c>
      <c r="C256" t="s">
        <v>953</v>
      </c>
      <c r="D256">
        <v>20477258</v>
      </c>
      <c r="E256" t="s">
        <v>2245</v>
      </c>
      <c r="F256" t="s">
        <v>984</v>
      </c>
      <c r="G256" t="s">
        <v>2250</v>
      </c>
      <c r="H256" t="s">
        <v>592</v>
      </c>
      <c r="J256" s="519">
        <v>46102</v>
      </c>
      <c r="U256" s="519">
        <v>46103</v>
      </c>
    </row>
    <row r="257" spans="1:21">
      <c r="A257" t="s">
        <v>953</v>
      </c>
      <c r="B257" t="s">
        <v>2965</v>
      </c>
      <c r="C257" t="s">
        <v>953</v>
      </c>
      <c r="D257">
        <v>20471064</v>
      </c>
      <c r="E257" t="s">
        <v>2252</v>
      </c>
      <c r="F257" t="s">
        <v>1115</v>
      </c>
      <c r="G257" t="s">
        <v>2250</v>
      </c>
      <c r="H257" t="s">
        <v>587</v>
      </c>
      <c r="J257" s="519">
        <v>46094</v>
      </c>
      <c r="K257" s="519">
        <v>46094</v>
      </c>
      <c r="R257" s="519">
        <v>46094</v>
      </c>
      <c r="U257" s="519">
        <v>46094</v>
      </c>
    </row>
    <row r="258" spans="1:21">
      <c r="A258" t="s">
        <v>953</v>
      </c>
      <c r="B258" t="s">
        <v>2965</v>
      </c>
      <c r="C258" t="s">
        <v>953</v>
      </c>
      <c r="D258">
        <v>20471065</v>
      </c>
      <c r="E258" t="s">
        <v>2252</v>
      </c>
      <c r="F258" t="s">
        <v>1001</v>
      </c>
      <c r="G258" t="s">
        <v>2250</v>
      </c>
      <c r="H258" t="s">
        <v>587</v>
      </c>
      <c r="I258" t="s">
        <v>1336</v>
      </c>
      <c r="J258" s="519">
        <v>46094</v>
      </c>
      <c r="K258" s="519">
        <v>46094</v>
      </c>
      <c r="R258" s="519">
        <v>46094</v>
      </c>
      <c r="U258" s="519">
        <v>46094</v>
      </c>
    </row>
    <row r="259" spans="1:21">
      <c r="A259" t="s">
        <v>953</v>
      </c>
      <c r="B259" t="s">
        <v>2965</v>
      </c>
      <c r="C259" t="s">
        <v>953</v>
      </c>
      <c r="D259">
        <v>20470884</v>
      </c>
      <c r="E259" t="s">
        <v>2245</v>
      </c>
      <c r="F259" t="s">
        <v>984</v>
      </c>
      <c r="G259" t="s">
        <v>2250</v>
      </c>
      <c r="H259" t="s">
        <v>592</v>
      </c>
      <c r="J259" s="519">
        <v>46094</v>
      </c>
      <c r="U259" s="519">
        <v>46098</v>
      </c>
    </row>
    <row r="260" spans="1:21">
      <c r="A260" t="s">
        <v>953</v>
      </c>
      <c r="B260" t="s">
        <v>2452</v>
      </c>
      <c r="C260" t="s">
        <v>953</v>
      </c>
      <c r="D260">
        <v>20456988</v>
      </c>
      <c r="E260" t="s">
        <v>2252</v>
      </c>
      <c r="F260" t="s">
        <v>1115</v>
      </c>
      <c r="G260" t="s">
        <v>2250</v>
      </c>
      <c r="H260" t="s">
        <v>2453</v>
      </c>
      <c r="I260" t="s">
        <v>2454</v>
      </c>
      <c r="J260" s="519">
        <v>46077</v>
      </c>
      <c r="K260" s="519">
        <v>46077</v>
      </c>
      <c r="R260" s="519">
        <v>46085</v>
      </c>
      <c r="U260" s="519">
        <v>46081</v>
      </c>
    </row>
    <row r="261" spans="1:21">
      <c r="A261" t="s">
        <v>953</v>
      </c>
      <c r="B261" t="s">
        <v>2966</v>
      </c>
      <c r="C261" t="s">
        <v>953</v>
      </c>
      <c r="D261">
        <v>20481613</v>
      </c>
      <c r="E261" t="s">
        <v>2245</v>
      </c>
      <c r="F261" t="s">
        <v>984</v>
      </c>
      <c r="G261" t="s">
        <v>2250</v>
      </c>
      <c r="H261" t="s">
        <v>592</v>
      </c>
      <c r="J261" s="519">
        <v>46108</v>
      </c>
      <c r="U261" s="519">
        <v>46142</v>
      </c>
    </row>
    <row r="262" spans="1:21">
      <c r="A262" t="s">
        <v>953</v>
      </c>
      <c r="B262" t="s">
        <v>1026</v>
      </c>
      <c r="C262" t="s">
        <v>953</v>
      </c>
      <c r="D262">
        <v>20467150</v>
      </c>
      <c r="E262" t="s">
        <v>2967</v>
      </c>
      <c r="F262" t="s">
        <v>583</v>
      </c>
      <c r="G262" t="s">
        <v>2250</v>
      </c>
      <c r="H262" t="s">
        <v>588</v>
      </c>
      <c r="I262" t="s">
        <v>1684</v>
      </c>
      <c r="J262" s="519">
        <v>46092</v>
      </c>
      <c r="K262" s="519">
        <v>46092</v>
      </c>
      <c r="L262" s="519">
        <v>46097</v>
      </c>
      <c r="M262" s="519">
        <v>46106</v>
      </c>
      <c r="N262" s="519">
        <v>46106</v>
      </c>
      <c r="O262" s="519">
        <v>46111</v>
      </c>
      <c r="U262" s="519">
        <v>46122</v>
      </c>
    </row>
    <row r="263" spans="1:21">
      <c r="A263" t="s">
        <v>953</v>
      </c>
      <c r="B263" t="s">
        <v>2968</v>
      </c>
      <c r="C263" t="s">
        <v>953</v>
      </c>
      <c r="D263">
        <v>20465560</v>
      </c>
      <c r="E263" t="s">
        <v>2252</v>
      </c>
      <c r="F263" t="s">
        <v>579</v>
      </c>
      <c r="G263" t="s">
        <v>2259</v>
      </c>
      <c r="H263" t="s">
        <v>592</v>
      </c>
      <c r="I263" t="s">
        <v>1034</v>
      </c>
      <c r="J263" s="519">
        <v>46090</v>
      </c>
      <c r="K263" s="519">
        <v>46090</v>
      </c>
      <c r="L263" s="519">
        <v>46090</v>
      </c>
      <c r="S263" s="519">
        <v>46091</v>
      </c>
      <c r="U263" s="519">
        <v>46107</v>
      </c>
    </row>
    <row r="264" spans="1:21">
      <c r="A264" t="s">
        <v>953</v>
      </c>
      <c r="B264" t="s">
        <v>2969</v>
      </c>
      <c r="C264" t="s">
        <v>953</v>
      </c>
      <c r="D264">
        <v>20482050</v>
      </c>
      <c r="E264" t="s">
        <v>1110</v>
      </c>
      <c r="F264" t="s">
        <v>578</v>
      </c>
      <c r="G264" t="s">
        <v>2250</v>
      </c>
      <c r="H264" t="s">
        <v>587</v>
      </c>
      <c r="I264" t="s">
        <v>1120</v>
      </c>
      <c r="J264" s="519">
        <v>46109</v>
      </c>
      <c r="K264" s="519">
        <v>46109</v>
      </c>
      <c r="L264" s="519">
        <v>46109</v>
      </c>
      <c r="U264" s="519">
        <v>46112</v>
      </c>
    </row>
    <row r="265" spans="1:21">
      <c r="A265" t="s">
        <v>953</v>
      </c>
      <c r="B265" t="s">
        <v>2970</v>
      </c>
      <c r="C265" t="s">
        <v>953</v>
      </c>
      <c r="D265">
        <v>20478492</v>
      </c>
      <c r="E265" t="s">
        <v>2245</v>
      </c>
      <c r="F265" t="s">
        <v>581</v>
      </c>
      <c r="G265" t="s">
        <v>2259</v>
      </c>
      <c r="H265" t="s">
        <v>2388</v>
      </c>
      <c r="J265" s="519">
        <v>46104</v>
      </c>
      <c r="U265" s="519">
        <v>46266</v>
      </c>
    </row>
    <row r="266" spans="1:21">
      <c r="A266" t="s">
        <v>953</v>
      </c>
      <c r="B266" t="s">
        <v>2971</v>
      </c>
      <c r="C266" t="s">
        <v>953</v>
      </c>
      <c r="D266">
        <v>20483062</v>
      </c>
      <c r="E266" t="s">
        <v>2245</v>
      </c>
      <c r="F266" t="s">
        <v>581</v>
      </c>
      <c r="G266" t="s">
        <v>2248</v>
      </c>
      <c r="H266" t="s">
        <v>588</v>
      </c>
      <c r="I266" t="s">
        <v>1156</v>
      </c>
      <c r="J266" s="519">
        <v>46111</v>
      </c>
      <c r="U266" s="519">
        <v>46136</v>
      </c>
    </row>
    <row r="267" spans="1:21">
      <c r="A267" t="s">
        <v>953</v>
      </c>
      <c r="B267" t="s">
        <v>2972</v>
      </c>
      <c r="C267" t="s">
        <v>953</v>
      </c>
      <c r="D267">
        <v>20483770</v>
      </c>
      <c r="E267" t="s">
        <v>2245</v>
      </c>
      <c r="F267" t="s">
        <v>581</v>
      </c>
      <c r="G267" t="s">
        <v>2250</v>
      </c>
      <c r="H267" t="s">
        <v>592</v>
      </c>
      <c r="J267" s="519">
        <v>46112</v>
      </c>
      <c r="U267" s="519">
        <v>46142</v>
      </c>
    </row>
    <row r="268" spans="1:21">
      <c r="A268" t="s">
        <v>953</v>
      </c>
      <c r="B268" t="s">
        <v>2464</v>
      </c>
      <c r="C268" t="s">
        <v>953</v>
      </c>
      <c r="D268">
        <v>20482148</v>
      </c>
      <c r="E268" t="s">
        <v>1100</v>
      </c>
      <c r="F268" t="s">
        <v>577</v>
      </c>
      <c r="G268" t="s">
        <v>2250</v>
      </c>
      <c r="H268" t="s">
        <v>590</v>
      </c>
      <c r="I268" t="s">
        <v>1722</v>
      </c>
      <c r="J268" s="519">
        <v>46109</v>
      </c>
      <c r="K268" s="519">
        <v>46109</v>
      </c>
      <c r="U268" s="519">
        <v>46143</v>
      </c>
    </row>
    <row r="269" spans="1:21">
      <c r="A269" t="s">
        <v>953</v>
      </c>
      <c r="B269" t="s">
        <v>2464</v>
      </c>
      <c r="C269" t="s">
        <v>953</v>
      </c>
      <c r="D269">
        <v>20443912</v>
      </c>
      <c r="E269" t="s">
        <v>1110</v>
      </c>
      <c r="F269" t="s">
        <v>577</v>
      </c>
      <c r="G269" t="s">
        <v>2248</v>
      </c>
      <c r="H269" t="s">
        <v>591</v>
      </c>
      <c r="I269" t="s">
        <v>1722</v>
      </c>
      <c r="J269" s="519">
        <v>46062</v>
      </c>
      <c r="K269" s="519">
        <v>46109</v>
      </c>
      <c r="L269" s="519">
        <v>46111</v>
      </c>
      <c r="U269" s="519">
        <v>46143</v>
      </c>
    </row>
    <row r="270" spans="1:21">
      <c r="A270" t="s">
        <v>953</v>
      </c>
      <c r="B270" t="s">
        <v>2468</v>
      </c>
      <c r="C270" t="s">
        <v>953</v>
      </c>
      <c r="D270">
        <v>20441302</v>
      </c>
      <c r="E270" t="s">
        <v>2252</v>
      </c>
      <c r="F270" t="s">
        <v>577</v>
      </c>
      <c r="G270" t="s">
        <v>2248</v>
      </c>
      <c r="H270" t="s">
        <v>2469</v>
      </c>
      <c r="J270" s="519">
        <v>46057</v>
      </c>
      <c r="K270" s="519">
        <v>46059</v>
      </c>
      <c r="R270" s="519">
        <v>46091</v>
      </c>
      <c r="U270" s="519">
        <v>46064</v>
      </c>
    </row>
    <row r="271" spans="1:21">
      <c r="A271" t="s">
        <v>953</v>
      </c>
      <c r="B271" t="s">
        <v>2468</v>
      </c>
      <c r="C271" t="s">
        <v>953</v>
      </c>
      <c r="D271">
        <v>20442171</v>
      </c>
      <c r="E271" t="s">
        <v>2252</v>
      </c>
      <c r="F271" t="s">
        <v>1001</v>
      </c>
      <c r="G271" t="s">
        <v>2250</v>
      </c>
      <c r="H271" t="s">
        <v>587</v>
      </c>
      <c r="J271" s="519">
        <v>46059</v>
      </c>
      <c r="K271" s="519">
        <v>46059</v>
      </c>
      <c r="R271" s="519">
        <v>46091</v>
      </c>
      <c r="U271" s="519">
        <v>46064</v>
      </c>
    </row>
    <row r="272" spans="1:21">
      <c r="A272" t="s">
        <v>953</v>
      </c>
      <c r="B272" t="s">
        <v>1337</v>
      </c>
      <c r="C272" t="s">
        <v>953</v>
      </c>
      <c r="D272">
        <v>20424361</v>
      </c>
      <c r="E272" t="s">
        <v>2252</v>
      </c>
      <c r="F272" t="s">
        <v>578</v>
      </c>
      <c r="G272" t="s">
        <v>2246</v>
      </c>
      <c r="H272" t="s">
        <v>2345</v>
      </c>
      <c r="I272" t="s">
        <v>1336</v>
      </c>
      <c r="J272" s="519">
        <v>46035</v>
      </c>
      <c r="K272" s="519">
        <v>46035</v>
      </c>
      <c r="R272" s="519">
        <v>46086</v>
      </c>
      <c r="U272" s="519">
        <v>46035</v>
      </c>
    </row>
    <row r="273" spans="1:21">
      <c r="A273" t="s">
        <v>953</v>
      </c>
      <c r="B273" t="s">
        <v>2973</v>
      </c>
      <c r="C273" t="s">
        <v>953</v>
      </c>
      <c r="D273">
        <v>20480147</v>
      </c>
      <c r="E273" t="s">
        <v>1110</v>
      </c>
      <c r="F273" t="s">
        <v>583</v>
      </c>
      <c r="G273" t="s">
        <v>2250</v>
      </c>
      <c r="H273" t="s">
        <v>587</v>
      </c>
      <c r="I273" t="s">
        <v>2266</v>
      </c>
      <c r="J273" s="519">
        <v>46106</v>
      </c>
      <c r="K273" s="519">
        <v>46106</v>
      </c>
      <c r="L273" s="519">
        <v>46106</v>
      </c>
      <c r="U273" s="519">
        <v>46127</v>
      </c>
    </row>
    <row r="274" spans="1:21">
      <c r="A274" t="s">
        <v>953</v>
      </c>
      <c r="B274" t="s">
        <v>2974</v>
      </c>
      <c r="C274" t="s">
        <v>953</v>
      </c>
      <c r="D274">
        <v>20475459</v>
      </c>
      <c r="E274" t="s">
        <v>2245</v>
      </c>
      <c r="F274" t="s">
        <v>581</v>
      </c>
      <c r="G274" t="s">
        <v>2250</v>
      </c>
      <c r="H274" t="s">
        <v>592</v>
      </c>
      <c r="J274" s="519">
        <v>46099</v>
      </c>
      <c r="U274" s="519">
        <v>46100</v>
      </c>
    </row>
    <row r="275" spans="1:21">
      <c r="A275" t="s">
        <v>953</v>
      </c>
      <c r="B275" t="s">
        <v>2975</v>
      </c>
      <c r="C275" t="s">
        <v>953</v>
      </c>
      <c r="D275">
        <v>20479712</v>
      </c>
      <c r="E275" t="s">
        <v>2245</v>
      </c>
      <c r="F275" t="s">
        <v>984</v>
      </c>
      <c r="G275" t="s">
        <v>2250</v>
      </c>
      <c r="H275" t="s">
        <v>592</v>
      </c>
      <c r="J275" s="519">
        <v>46106</v>
      </c>
      <c r="U275" s="519">
        <v>46409</v>
      </c>
    </row>
    <row r="276" spans="1:21">
      <c r="A276" t="s">
        <v>953</v>
      </c>
      <c r="B276" t="s">
        <v>2976</v>
      </c>
      <c r="C276" t="s">
        <v>953</v>
      </c>
      <c r="D276">
        <v>20475396</v>
      </c>
      <c r="E276" t="s">
        <v>2245</v>
      </c>
      <c r="F276" t="s">
        <v>581</v>
      </c>
      <c r="G276" t="s">
        <v>2246</v>
      </c>
      <c r="H276" t="s">
        <v>591</v>
      </c>
      <c r="J276" s="519">
        <v>46099</v>
      </c>
      <c r="U276" s="519">
        <v>46157</v>
      </c>
    </row>
    <row r="277" spans="1:21">
      <c r="A277" t="s">
        <v>953</v>
      </c>
      <c r="B277" t="s">
        <v>2977</v>
      </c>
      <c r="C277" t="s">
        <v>953</v>
      </c>
      <c r="D277">
        <v>20465900</v>
      </c>
      <c r="E277" t="s">
        <v>2245</v>
      </c>
      <c r="F277" t="s">
        <v>984</v>
      </c>
      <c r="G277" t="s">
        <v>2246</v>
      </c>
      <c r="H277" t="s">
        <v>587</v>
      </c>
      <c r="J277" s="519">
        <v>46091</v>
      </c>
      <c r="U277" s="519">
        <v>46091</v>
      </c>
    </row>
    <row r="278" spans="1:21">
      <c r="A278" t="s">
        <v>953</v>
      </c>
      <c r="B278" t="s">
        <v>2978</v>
      </c>
      <c r="C278" t="s">
        <v>953</v>
      </c>
      <c r="D278">
        <v>20477550</v>
      </c>
      <c r="E278" t="s">
        <v>2245</v>
      </c>
      <c r="F278" t="s">
        <v>984</v>
      </c>
      <c r="G278" t="s">
        <v>2250</v>
      </c>
      <c r="H278" t="s">
        <v>592</v>
      </c>
      <c r="J278" s="519">
        <v>46102</v>
      </c>
      <c r="U278" s="519">
        <v>46133</v>
      </c>
    </row>
    <row r="279" spans="1:21">
      <c r="A279" t="s">
        <v>953</v>
      </c>
      <c r="B279" t="s">
        <v>1153</v>
      </c>
      <c r="C279" t="s">
        <v>953</v>
      </c>
      <c r="D279">
        <v>20471688</v>
      </c>
      <c r="E279" t="s">
        <v>1100</v>
      </c>
      <c r="F279" t="s">
        <v>582</v>
      </c>
      <c r="G279" t="s">
        <v>2250</v>
      </c>
      <c r="H279" t="s">
        <v>589</v>
      </c>
      <c r="I279" t="s">
        <v>894</v>
      </c>
      <c r="J279" s="519">
        <v>46095</v>
      </c>
      <c r="K279" s="519">
        <v>46095</v>
      </c>
      <c r="U279" s="519">
        <v>46116</v>
      </c>
    </row>
    <row r="280" spans="1:21">
      <c r="A280" t="s">
        <v>953</v>
      </c>
      <c r="B280" t="s">
        <v>1153</v>
      </c>
      <c r="C280" t="s">
        <v>953</v>
      </c>
      <c r="D280">
        <v>20471501</v>
      </c>
      <c r="E280" t="s">
        <v>1100</v>
      </c>
      <c r="F280" t="s">
        <v>581</v>
      </c>
      <c r="G280" t="s">
        <v>2248</v>
      </c>
      <c r="H280" t="s">
        <v>589</v>
      </c>
      <c r="I280" t="s">
        <v>894</v>
      </c>
      <c r="J280" s="519">
        <v>46095</v>
      </c>
      <c r="K280" s="519">
        <v>46095</v>
      </c>
      <c r="U280" s="519">
        <v>46095</v>
      </c>
    </row>
    <row r="281" spans="1:21">
      <c r="A281" t="s">
        <v>953</v>
      </c>
      <c r="B281" t="s">
        <v>2979</v>
      </c>
      <c r="C281" t="s">
        <v>953</v>
      </c>
      <c r="D281">
        <v>20477765</v>
      </c>
      <c r="E281" t="s">
        <v>2245</v>
      </c>
      <c r="F281" t="s">
        <v>984</v>
      </c>
      <c r="G281" t="s">
        <v>2250</v>
      </c>
      <c r="H281" t="s">
        <v>592</v>
      </c>
      <c r="J281" s="519">
        <v>46103</v>
      </c>
      <c r="U281" s="519">
        <v>46115</v>
      </c>
    </row>
    <row r="282" spans="1:21">
      <c r="A282" t="s">
        <v>953</v>
      </c>
      <c r="B282" t="s">
        <v>2980</v>
      </c>
      <c r="C282" t="s">
        <v>953</v>
      </c>
      <c r="D282">
        <v>20476419</v>
      </c>
      <c r="E282" t="s">
        <v>2245</v>
      </c>
      <c r="F282" t="s">
        <v>581</v>
      </c>
      <c r="G282" t="s">
        <v>2250</v>
      </c>
      <c r="H282" t="s">
        <v>592</v>
      </c>
      <c r="J282" s="519">
        <v>46100</v>
      </c>
      <c r="U282" s="519">
        <v>46189</v>
      </c>
    </row>
    <row r="283" spans="1:21">
      <c r="A283" t="s">
        <v>953</v>
      </c>
      <c r="B283" t="s">
        <v>2981</v>
      </c>
      <c r="C283" t="s">
        <v>953</v>
      </c>
      <c r="D283">
        <v>20483575</v>
      </c>
      <c r="E283" t="s">
        <v>2245</v>
      </c>
      <c r="F283" t="s">
        <v>984</v>
      </c>
      <c r="G283" t="s">
        <v>2259</v>
      </c>
      <c r="H283" t="s">
        <v>592</v>
      </c>
      <c r="J283" s="519">
        <v>46111</v>
      </c>
      <c r="U283" s="519">
        <v>46113</v>
      </c>
    </row>
    <row r="284" spans="1:21">
      <c r="A284" t="s">
        <v>953</v>
      </c>
      <c r="B284" t="s">
        <v>2982</v>
      </c>
      <c r="C284" t="s">
        <v>953</v>
      </c>
      <c r="D284">
        <v>20482233</v>
      </c>
      <c r="E284" t="s">
        <v>1100</v>
      </c>
      <c r="F284" t="s">
        <v>1115</v>
      </c>
      <c r="G284" t="s">
        <v>2250</v>
      </c>
      <c r="H284" t="s">
        <v>587</v>
      </c>
      <c r="I284" t="s">
        <v>2983</v>
      </c>
      <c r="J284" s="519">
        <v>46109</v>
      </c>
      <c r="K284" s="519">
        <v>46109</v>
      </c>
      <c r="U284" s="519">
        <v>46160</v>
      </c>
    </row>
    <row r="285" spans="1:21">
      <c r="A285" t="s">
        <v>953</v>
      </c>
      <c r="B285" t="s">
        <v>2984</v>
      </c>
      <c r="C285" t="s">
        <v>953</v>
      </c>
      <c r="D285">
        <v>20477898</v>
      </c>
      <c r="E285" t="s">
        <v>2245</v>
      </c>
      <c r="F285" t="s">
        <v>984</v>
      </c>
      <c r="G285" t="s">
        <v>2250</v>
      </c>
      <c r="H285" t="s">
        <v>592</v>
      </c>
      <c r="J285" s="519">
        <v>46103</v>
      </c>
      <c r="U285" s="519">
        <v>46108</v>
      </c>
    </row>
    <row r="286" spans="1:21">
      <c r="A286" t="s">
        <v>953</v>
      </c>
      <c r="B286" t="s">
        <v>2985</v>
      </c>
      <c r="C286" t="s">
        <v>953</v>
      </c>
      <c r="D286">
        <v>20414491</v>
      </c>
      <c r="E286" t="s">
        <v>1100</v>
      </c>
      <c r="F286" t="s">
        <v>583</v>
      </c>
      <c r="G286" t="s">
        <v>2259</v>
      </c>
      <c r="H286" t="s">
        <v>593</v>
      </c>
      <c r="J286" s="519">
        <v>46020</v>
      </c>
      <c r="K286" s="519">
        <v>46086</v>
      </c>
      <c r="U286" s="519">
        <v>46160</v>
      </c>
    </row>
    <row r="287" spans="1:21">
      <c r="A287" t="s">
        <v>953</v>
      </c>
      <c r="B287" t="s">
        <v>2985</v>
      </c>
      <c r="C287" t="s">
        <v>953</v>
      </c>
      <c r="D287">
        <v>20461800</v>
      </c>
      <c r="E287" t="s">
        <v>1110</v>
      </c>
      <c r="F287" t="s">
        <v>583</v>
      </c>
      <c r="G287" t="s">
        <v>2250</v>
      </c>
      <c r="H287" t="s">
        <v>587</v>
      </c>
      <c r="I287" t="s">
        <v>2288</v>
      </c>
      <c r="J287" s="519">
        <v>46084</v>
      </c>
      <c r="K287" s="519">
        <v>46084</v>
      </c>
      <c r="L287" s="519">
        <v>46084</v>
      </c>
      <c r="U287" s="519">
        <v>46160</v>
      </c>
    </row>
    <row r="288" spans="1:21">
      <c r="A288" t="s">
        <v>953</v>
      </c>
      <c r="B288" t="s">
        <v>2986</v>
      </c>
      <c r="C288" t="s">
        <v>953</v>
      </c>
      <c r="D288">
        <v>20465305</v>
      </c>
      <c r="E288" t="s">
        <v>1100</v>
      </c>
      <c r="F288" t="s">
        <v>1001</v>
      </c>
      <c r="G288" t="s">
        <v>2250</v>
      </c>
      <c r="H288" t="s">
        <v>588</v>
      </c>
      <c r="I288" t="s">
        <v>1020</v>
      </c>
      <c r="J288" s="519">
        <v>46090</v>
      </c>
      <c r="K288" s="519">
        <v>46090</v>
      </c>
      <c r="U288" s="519">
        <v>46090</v>
      </c>
    </row>
    <row r="289" spans="1:21">
      <c r="A289" t="s">
        <v>953</v>
      </c>
      <c r="B289" t="s">
        <v>2987</v>
      </c>
      <c r="C289" t="s">
        <v>953</v>
      </c>
      <c r="D289">
        <v>20482388</v>
      </c>
      <c r="E289" t="s">
        <v>2245</v>
      </c>
      <c r="F289" t="s">
        <v>984</v>
      </c>
      <c r="G289" t="s">
        <v>2250</v>
      </c>
      <c r="H289" t="s">
        <v>592</v>
      </c>
      <c r="J289" s="519">
        <v>46109</v>
      </c>
      <c r="U289" s="519">
        <v>46143</v>
      </c>
    </row>
    <row r="290" spans="1:21">
      <c r="A290" t="s">
        <v>953</v>
      </c>
      <c r="B290" t="s">
        <v>2988</v>
      </c>
      <c r="C290" t="s">
        <v>953</v>
      </c>
      <c r="D290">
        <v>20466156</v>
      </c>
      <c r="E290" t="s">
        <v>2245</v>
      </c>
      <c r="F290" t="s">
        <v>984</v>
      </c>
      <c r="G290" t="s">
        <v>2290</v>
      </c>
      <c r="H290" t="s">
        <v>587</v>
      </c>
      <c r="J290" s="519">
        <v>46091</v>
      </c>
      <c r="U290" s="519">
        <v>46095</v>
      </c>
    </row>
    <row r="291" spans="1:21">
      <c r="A291" t="s">
        <v>953</v>
      </c>
      <c r="B291" t="s">
        <v>2989</v>
      </c>
      <c r="C291" t="s">
        <v>953</v>
      </c>
      <c r="D291">
        <v>20470438</v>
      </c>
      <c r="E291" t="s">
        <v>1100</v>
      </c>
      <c r="F291" t="s">
        <v>984</v>
      </c>
      <c r="G291" t="s">
        <v>2250</v>
      </c>
      <c r="H291" t="s">
        <v>592</v>
      </c>
      <c r="J291" s="519">
        <v>46093</v>
      </c>
      <c r="K291" s="519">
        <v>46093</v>
      </c>
      <c r="U291" s="519">
        <v>46095</v>
      </c>
    </row>
    <row r="292" spans="1:21">
      <c r="A292" t="s">
        <v>953</v>
      </c>
      <c r="B292" t="s">
        <v>2990</v>
      </c>
      <c r="C292" t="s">
        <v>953</v>
      </c>
      <c r="D292">
        <v>20462421</v>
      </c>
      <c r="E292" t="s">
        <v>2258</v>
      </c>
      <c r="F292" t="s">
        <v>582</v>
      </c>
      <c r="G292" t="s">
        <v>2259</v>
      </c>
      <c r="H292" t="s">
        <v>593</v>
      </c>
      <c r="J292" s="519">
        <v>46085</v>
      </c>
      <c r="R292" s="519">
        <v>46087</v>
      </c>
      <c r="U292" s="519">
        <v>46087</v>
      </c>
    </row>
    <row r="293" spans="1:21">
      <c r="A293" t="s">
        <v>953</v>
      </c>
      <c r="B293" t="s">
        <v>2991</v>
      </c>
      <c r="C293" t="s">
        <v>953</v>
      </c>
      <c r="D293">
        <v>20480916</v>
      </c>
      <c r="E293" t="s">
        <v>2245</v>
      </c>
      <c r="F293" t="s">
        <v>984</v>
      </c>
      <c r="G293" t="s">
        <v>2259</v>
      </c>
      <c r="H293" t="s">
        <v>592</v>
      </c>
      <c r="J293" s="519">
        <v>46107</v>
      </c>
      <c r="U293" s="519">
        <v>46107</v>
      </c>
    </row>
    <row r="294" spans="1:21">
      <c r="A294" t="s">
        <v>953</v>
      </c>
      <c r="B294" t="s">
        <v>2992</v>
      </c>
      <c r="C294" t="s">
        <v>953</v>
      </c>
      <c r="D294">
        <v>20481005</v>
      </c>
      <c r="E294" t="s">
        <v>1100</v>
      </c>
      <c r="F294" t="s">
        <v>1115</v>
      </c>
      <c r="G294" t="s">
        <v>2250</v>
      </c>
      <c r="H294" t="s">
        <v>592</v>
      </c>
      <c r="J294" s="519">
        <v>46107</v>
      </c>
      <c r="K294" s="519">
        <v>46107</v>
      </c>
      <c r="U294" s="519">
        <v>46107</v>
      </c>
    </row>
    <row r="295" spans="1:21">
      <c r="A295" t="s">
        <v>953</v>
      </c>
      <c r="B295" t="s">
        <v>2993</v>
      </c>
      <c r="C295" t="s">
        <v>953</v>
      </c>
      <c r="D295">
        <v>20475240</v>
      </c>
      <c r="E295" t="s">
        <v>2245</v>
      </c>
      <c r="F295" t="s">
        <v>581</v>
      </c>
      <c r="G295" t="s">
        <v>2248</v>
      </c>
      <c r="H295" t="s">
        <v>592</v>
      </c>
      <c r="I295" t="s">
        <v>1034</v>
      </c>
      <c r="J295" s="519">
        <v>46099</v>
      </c>
      <c r="U295" s="519">
        <v>46099</v>
      </c>
    </row>
    <row r="296" spans="1:21">
      <c r="A296" t="s">
        <v>953</v>
      </c>
      <c r="B296" t="s">
        <v>2994</v>
      </c>
      <c r="C296" t="s">
        <v>953</v>
      </c>
      <c r="D296">
        <v>20471679</v>
      </c>
      <c r="E296" t="s">
        <v>2245</v>
      </c>
      <c r="F296" t="s">
        <v>984</v>
      </c>
      <c r="G296" t="s">
        <v>2250</v>
      </c>
      <c r="H296" t="s">
        <v>592</v>
      </c>
      <c r="J296" s="519">
        <v>46095</v>
      </c>
      <c r="U296" s="519">
        <v>46097</v>
      </c>
    </row>
    <row r="297" spans="1:21">
      <c r="A297" t="s">
        <v>953</v>
      </c>
      <c r="B297" t="s">
        <v>2994</v>
      </c>
      <c r="C297" t="s">
        <v>953</v>
      </c>
      <c r="D297">
        <v>20478889</v>
      </c>
      <c r="E297" t="s">
        <v>2245</v>
      </c>
      <c r="F297" t="s">
        <v>581</v>
      </c>
      <c r="G297" t="s">
        <v>2250</v>
      </c>
      <c r="H297" t="s">
        <v>592</v>
      </c>
      <c r="J297" s="519">
        <v>46105</v>
      </c>
      <c r="U297" s="519">
        <v>46165</v>
      </c>
    </row>
    <row r="298" spans="1:21">
      <c r="A298" t="s">
        <v>953</v>
      </c>
      <c r="B298" t="s">
        <v>2995</v>
      </c>
      <c r="C298" t="s">
        <v>953</v>
      </c>
      <c r="D298">
        <v>20464379</v>
      </c>
      <c r="E298" t="s">
        <v>2245</v>
      </c>
      <c r="F298" t="s">
        <v>581</v>
      </c>
      <c r="G298" t="s">
        <v>2248</v>
      </c>
      <c r="H298" t="s">
        <v>587</v>
      </c>
      <c r="I298" t="s">
        <v>1156</v>
      </c>
      <c r="J298" s="519">
        <v>46088</v>
      </c>
      <c r="U298" s="519">
        <v>46095</v>
      </c>
    </row>
    <row r="299" spans="1:21">
      <c r="A299" t="s">
        <v>953</v>
      </c>
      <c r="B299" t="s">
        <v>2996</v>
      </c>
      <c r="C299" t="s">
        <v>953</v>
      </c>
      <c r="D299">
        <v>20480963</v>
      </c>
      <c r="E299" t="s">
        <v>2245</v>
      </c>
      <c r="F299" t="s">
        <v>581</v>
      </c>
      <c r="G299" t="s">
        <v>2250</v>
      </c>
      <c r="H299" t="s">
        <v>592</v>
      </c>
      <c r="J299" s="519">
        <v>46107</v>
      </c>
      <c r="U299" s="519">
        <v>46138</v>
      </c>
    </row>
    <row r="300" spans="1:21">
      <c r="A300" t="s">
        <v>953</v>
      </c>
      <c r="B300" t="s">
        <v>2996</v>
      </c>
      <c r="C300" t="s">
        <v>953</v>
      </c>
      <c r="D300">
        <v>20482609</v>
      </c>
      <c r="E300" t="s">
        <v>2245</v>
      </c>
      <c r="F300" t="s">
        <v>984</v>
      </c>
      <c r="G300" t="s">
        <v>2250</v>
      </c>
      <c r="H300" t="s">
        <v>592</v>
      </c>
      <c r="J300" s="519">
        <v>46110</v>
      </c>
      <c r="U300" s="519">
        <v>46141</v>
      </c>
    </row>
    <row r="301" spans="1:21">
      <c r="A301" t="s">
        <v>953</v>
      </c>
      <c r="B301" t="s">
        <v>2997</v>
      </c>
      <c r="C301" t="s">
        <v>953</v>
      </c>
      <c r="D301">
        <v>20472828</v>
      </c>
      <c r="E301" t="s">
        <v>2245</v>
      </c>
      <c r="F301" t="s">
        <v>984</v>
      </c>
      <c r="G301" t="s">
        <v>2250</v>
      </c>
      <c r="H301" t="s">
        <v>592</v>
      </c>
      <c r="J301" s="519">
        <v>46097</v>
      </c>
      <c r="U301" s="519">
        <v>46140</v>
      </c>
    </row>
    <row r="302" spans="1:21">
      <c r="A302" t="s">
        <v>953</v>
      </c>
      <c r="B302" t="s">
        <v>2998</v>
      </c>
      <c r="C302" t="s">
        <v>953</v>
      </c>
      <c r="D302">
        <v>20477959</v>
      </c>
      <c r="E302" t="s">
        <v>2245</v>
      </c>
      <c r="F302" t="s">
        <v>984</v>
      </c>
      <c r="G302" t="s">
        <v>2250</v>
      </c>
      <c r="H302" t="s">
        <v>592</v>
      </c>
      <c r="J302" s="519">
        <v>46103</v>
      </c>
      <c r="U302" s="519">
        <v>46164</v>
      </c>
    </row>
    <row r="303" spans="1:21">
      <c r="A303" t="s">
        <v>953</v>
      </c>
      <c r="B303" t="s">
        <v>990</v>
      </c>
      <c r="C303" t="s">
        <v>953</v>
      </c>
      <c r="D303">
        <v>20461703</v>
      </c>
      <c r="E303" t="s">
        <v>2324</v>
      </c>
      <c r="F303" t="s">
        <v>583</v>
      </c>
      <c r="G303" t="s">
        <v>2250</v>
      </c>
      <c r="H303" t="s">
        <v>587</v>
      </c>
      <c r="I303" t="s">
        <v>876</v>
      </c>
      <c r="J303" s="519">
        <v>46084</v>
      </c>
      <c r="K303" s="519">
        <v>46084</v>
      </c>
      <c r="L303" s="519">
        <v>46085</v>
      </c>
      <c r="M303" s="519">
        <v>46099</v>
      </c>
      <c r="N303" s="519">
        <v>46099</v>
      </c>
      <c r="P303" s="519">
        <v>46109</v>
      </c>
      <c r="Q303" s="519">
        <v>46109</v>
      </c>
      <c r="U303" s="519">
        <v>46115</v>
      </c>
    </row>
    <row r="304" spans="1:21">
      <c r="A304" t="s">
        <v>953</v>
      </c>
      <c r="B304" t="s">
        <v>2999</v>
      </c>
      <c r="C304" t="s">
        <v>953</v>
      </c>
      <c r="D304">
        <v>20473412</v>
      </c>
      <c r="E304" t="s">
        <v>1100</v>
      </c>
      <c r="F304" t="s">
        <v>1001</v>
      </c>
      <c r="G304" t="s">
        <v>2250</v>
      </c>
      <c r="H304" t="s">
        <v>587</v>
      </c>
      <c r="J304" s="519">
        <v>46098</v>
      </c>
      <c r="K304" s="519">
        <v>46098</v>
      </c>
      <c r="U304" s="519">
        <v>46098</v>
      </c>
    </row>
    <row r="305" spans="1:21">
      <c r="A305" t="s">
        <v>953</v>
      </c>
      <c r="B305" t="s">
        <v>3000</v>
      </c>
      <c r="C305" t="s">
        <v>953</v>
      </c>
      <c r="D305">
        <v>20481220</v>
      </c>
      <c r="E305" t="s">
        <v>2245</v>
      </c>
      <c r="F305" t="s">
        <v>984</v>
      </c>
      <c r="G305" t="s">
        <v>2259</v>
      </c>
      <c r="H305" t="s">
        <v>593</v>
      </c>
      <c r="J305" s="519">
        <v>46108</v>
      </c>
      <c r="U305" s="519">
        <v>46113</v>
      </c>
    </row>
    <row r="306" spans="1:21">
      <c r="A306" t="s">
        <v>953</v>
      </c>
      <c r="B306" t="s">
        <v>3001</v>
      </c>
      <c r="C306" t="s">
        <v>953</v>
      </c>
      <c r="D306">
        <v>20472597</v>
      </c>
      <c r="E306" t="s">
        <v>2245</v>
      </c>
      <c r="F306" t="s">
        <v>984</v>
      </c>
      <c r="G306" t="s">
        <v>2250</v>
      </c>
      <c r="H306" t="s">
        <v>592</v>
      </c>
      <c r="J306" s="519">
        <v>46097</v>
      </c>
      <c r="U306" s="519">
        <v>46113</v>
      </c>
    </row>
    <row r="307" spans="1:21">
      <c r="A307" t="s">
        <v>953</v>
      </c>
      <c r="B307" t="s">
        <v>2488</v>
      </c>
      <c r="C307" t="s">
        <v>953</v>
      </c>
      <c r="D307">
        <v>20439987</v>
      </c>
      <c r="E307" t="s">
        <v>2252</v>
      </c>
      <c r="F307" t="s">
        <v>578</v>
      </c>
      <c r="G307" t="s">
        <v>2250</v>
      </c>
      <c r="H307" t="s">
        <v>587</v>
      </c>
      <c r="I307" t="s">
        <v>560</v>
      </c>
      <c r="J307" s="519">
        <v>46056</v>
      </c>
      <c r="K307" s="519">
        <v>46056</v>
      </c>
      <c r="L307" s="519">
        <v>46056</v>
      </c>
      <c r="M307" s="519">
        <v>46079</v>
      </c>
      <c r="R307" s="519">
        <v>46083</v>
      </c>
      <c r="U307" s="519">
        <v>46087</v>
      </c>
    </row>
    <row r="308" spans="1:21">
      <c r="A308" t="s">
        <v>953</v>
      </c>
      <c r="B308" t="s">
        <v>3002</v>
      </c>
      <c r="C308" t="s">
        <v>953</v>
      </c>
      <c r="D308">
        <v>20476808</v>
      </c>
      <c r="E308" t="s">
        <v>2245</v>
      </c>
      <c r="F308" t="s">
        <v>581</v>
      </c>
      <c r="G308" t="s">
        <v>2250</v>
      </c>
      <c r="H308" t="s">
        <v>592</v>
      </c>
      <c r="J308" s="519">
        <v>46101</v>
      </c>
      <c r="U308" s="519">
        <v>46146</v>
      </c>
    </row>
    <row r="309" spans="1:21">
      <c r="A309" t="s">
        <v>953</v>
      </c>
      <c r="B309" t="s">
        <v>3003</v>
      </c>
      <c r="C309" t="s">
        <v>953</v>
      </c>
      <c r="D309">
        <v>20484177</v>
      </c>
      <c r="E309" t="s">
        <v>2245</v>
      </c>
      <c r="F309" t="s">
        <v>984</v>
      </c>
      <c r="G309" t="s">
        <v>2246</v>
      </c>
      <c r="H309" t="s">
        <v>591</v>
      </c>
      <c r="J309" s="519">
        <v>46112</v>
      </c>
      <c r="U309" s="519">
        <v>46112</v>
      </c>
    </row>
    <row r="310" spans="1:21">
      <c r="A310" t="s">
        <v>953</v>
      </c>
      <c r="B310" t="s">
        <v>3004</v>
      </c>
      <c r="C310" t="s">
        <v>953</v>
      </c>
      <c r="D310">
        <v>20481773</v>
      </c>
      <c r="E310" t="s">
        <v>2245</v>
      </c>
      <c r="F310" t="s">
        <v>984</v>
      </c>
      <c r="G310" t="s">
        <v>2250</v>
      </c>
      <c r="H310" t="s">
        <v>592</v>
      </c>
      <c r="J310" s="519">
        <v>46108</v>
      </c>
      <c r="U310" s="519">
        <v>46132</v>
      </c>
    </row>
    <row r="311" spans="1:21">
      <c r="A311" t="s">
        <v>953</v>
      </c>
      <c r="B311" t="s">
        <v>3005</v>
      </c>
      <c r="C311" t="s">
        <v>953</v>
      </c>
      <c r="D311">
        <v>20476493</v>
      </c>
      <c r="E311" t="s">
        <v>2245</v>
      </c>
      <c r="F311" t="s">
        <v>984</v>
      </c>
      <c r="G311" t="s">
        <v>2290</v>
      </c>
      <c r="H311" t="s">
        <v>587</v>
      </c>
      <c r="J311" s="519">
        <v>46101</v>
      </c>
      <c r="U311" s="519">
        <v>46101</v>
      </c>
    </row>
    <row r="312" spans="1:21">
      <c r="A312" t="s">
        <v>953</v>
      </c>
      <c r="B312" t="s">
        <v>1139</v>
      </c>
      <c r="C312" t="s">
        <v>953</v>
      </c>
      <c r="D312">
        <v>20460821</v>
      </c>
      <c r="E312" t="s">
        <v>1100</v>
      </c>
      <c r="F312" t="s">
        <v>581</v>
      </c>
      <c r="G312" t="s">
        <v>2250</v>
      </c>
      <c r="H312" t="s">
        <v>587</v>
      </c>
      <c r="I312" t="s">
        <v>1138</v>
      </c>
      <c r="J312" s="519">
        <v>46083</v>
      </c>
      <c r="K312" s="519">
        <v>46083</v>
      </c>
      <c r="U312" s="519">
        <v>46088</v>
      </c>
    </row>
    <row r="313" spans="1:21">
      <c r="A313" t="s">
        <v>953</v>
      </c>
      <c r="B313" t="s">
        <v>2495</v>
      </c>
      <c r="C313" t="s">
        <v>953</v>
      </c>
      <c r="D313">
        <v>20448370</v>
      </c>
      <c r="E313" t="s">
        <v>2258</v>
      </c>
      <c r="F313" t="s">
        <v>582</v>
      </c>
      <c r="G313" t="s">
        <v>2250</v>
      </c>
      <c r="H313" t="s">
        <v>591</v>
      </c>
      <c r="I313" t="s">
        <v>859</v>
      </c>
      <c r="J313" s="519">
        <v>46066</v>
      </c>
      <c r="K313" s="519">
        <v>46066</v>
      </c>
      <c r="R313" s="519">
        <v>46108</v>
      </c>
      <c r="U313" s="519">
        <v>46081</v>
      </c>
    </row>
    <row r="314" spans="1:21">
      <c r="A314" t="s">
        <v>953</v>
      </c>
      <c r="B314" t="s">
        <v>3006</v>
      </c>
      <c r="C314" t="s">
        <v>953</v>
      </c>
      <c r="D314">
        <v>20459957</v>
      </c>
      <c r="E314" t="s">
        <v>2245</v>
      </c>
      <c r="F314" t="s">
        <v>581</v>
      </c>
      <c r="G314" t="s">
        <v>2290</v>
      </c>
      <c r="H314" t="s">
        <v>587</v>
      </c>
      <c r="J314" s="519">
        <v>46082</v>
      </c>
      <c r="U314" s="519">
        <v>46143</v>
      </c>
    </row>
    <row r="315" spans="1:21">
      <c r="A315" t="s">
        <v>953</v>
      </c>
      <c r="B315" t="s">
        <v>3007</v>
      </c>
      <c r="C315" t="s">
        <v>953</v>
      </c>
      <c r="D315">
        <v>20480162</v>
      </c>
      <c r="E315" t="s">
        <v>2258</v>
      </c>
      <c r="F315" t="s">
        <v>577</v>
      </c>
      <c r="G315" t="s">
        <v>2248</v>
      </c>
      <c r="H315" t="s">
        <v>588</v>
      </c>
      <c r="I315" t="s">
        <v>1336</v>
      </c>
      <c r="J315" s="519">
        <v>46106</v>
      </c>
      <c r="R315" s="519">
        <v>46109</v>
      </c>
      <c r="U315" s="519">
        <v>46113</v>
      </c>
    </row>
    <row r="316" spans="1:21">
      <c r="A316" t="s">
        <v>953</v>
      </c>
      <c r="B316" t="s">
        <v>3007</v>
      </c>
      <c r="C316" t="s">
        <v>953</v>
      </c>
      <c r="D316">
        <v>20480961</v>
      </c>
      <c r="E316" t="s">
        <v>1100</v>
      </c>
      <c r="F316" t="s">
        <v>1115</v>
      </c>
      <c r="G316" t="s">
        <v>2250</v>
      </c>
      <c r="H316" t="s">
        <v>591</v>
      </c>
      <c r="I316" t="s">
        <v>2420</v>
      </c>
      <c r="J316" s="519">
        <v>46107</v>
      </c>
      <c r="K316" s="519">
        <v>46107</v>
      </c>
      <c r="U316" s="519">
        <v>46107</v>
      </c>
    </row>
    <row r="317" spans="1:21">
      <c r="A317" t="s">
        <v>953</v>
      </c>
      <c r="B317" t="s">
        <v>1706</v>
      </c>
      <c r="C317" t="s">
        <v>953</v>
      </c>
      <c r="D317">
        <v>20476202</v>
      </c>
      <c r="E317" t="s">
        <v>1110</v>
      </c>
      <c r="F317" t="s">
        <v>578</v>
      </c>
      <c r="G317" t="s">
        <v>2250</v>
      </c>
      <c r="H317" t="s">
        <v>587</v>
      </c>
      <c r="I317" t="s">
        <v>1705</v>
      </c>
      <c r="J317" s="519">
        <v>46100</v>
      </c>
      <c r="K317" s="519">
        <v>46100</v>
      </c>
      <c r="L317" s="519">
        <v>46107</v>
      </c>
      <c r="U317" s="519">
        <v>46119</v>
      </c>
    </row>
    <row r="318" spans="1:21">
      <c r="A318" t="s">
        <v>953</v>
      </c>
      <c r="B318" t="s">
        <v>3008</v>
      </c>
      <c r="C318" t="s">
        <v>953</v>
      </c>
      <c r="D318">
        <v>20464126</v>
      </c>
      <c r="E318" t="s">
        <v>1100</v>
      </c>
      <c r="F318" t="s">
        <v>1001</v>
      </c>
      <c r="G318" t="s">
        <v>2250</v>
      </c>
      <c r="H318" t="s">
        <v>589</v>
      </c>
      <c r="J318" s="519">
        <v>46087</v>
      </c>
      <c r="K318" s="519">
        <v>46087</v>
      </c>
      <c r="U318" s="519">
        <v>46087</v>
      </c>
    </row>
    <row r="319" spans="1:21">
      <c r="A319" t="s">
        <v>953</v>
      </c>
      <c r="B319" t="s">
        <v>3009</v>
      </c>
      <c r="C319" t="s">
        <v>953</v>
      </c>
      <c r="D319">
        <v>20472796</v>
      </c>
      <c r="E319" t="s">
        <v>2245</v>
      </c>
      <c r="F319" t="s">
        <v>581</v>
      </c>
      <c r="G319" t="s">
        <v>2250</v>
      </c>
      <c r="H319" t="s">
        <v>592</v>
      </c>
      <c r="J319" s="519">
        <v>46097</v>
      </c>
      <c r="U319" s="519">
        <v>46100</v>
      </c>
    </row>
    <row r="320" spans="1:21">
      <c r="A320" t="s">
        <v>953</v>
      </c>
      <c r="B320" t="s">
        <v>3010</v>
      </c>
      <c r="C320" t="s">
        <v>953</v>
      </c>
      <c r="D320">
        <v>20468356</v>
      </c>
      <c r="E320" t="s">
        <v>2252</v>
      </c>
      <c r="F320" t="s">
        <v>1001</v>
      </c>
      <c r="G320" t="s">
        <v>2248</v>
      </c>
      <c r="H320" t="s">
        <v>588</v>
      </c>
      <c r="I320" t="s">
        <v>567</v>
      </c>
      <c r="J320" s="519">
        <v>46092</v>
      </c>
      <c r="K320" s="519">
        <v>46092</v>
      </c>
      <c r="L320" s="519">
        <v>46092</v>
      </c>
      <c r="M320" s="519">
        <v>46097</v>
      </c>
      <c r="N320" s="519">
        <v>46098</v>
      </c>
      <c r="P320" s="519">
        <v>46098</v>
      </c>
      <c r="Q320" s="519">
        <v>46098</v>
      </c>
      <c r="R320" s="519">
        <v>46111</v>
      </c>
      <c r="U320" s="519">
        <v>46108</v>
      </c>
    </row>
    <row r="321" spans="1:21">
      <c r="A321" t="s">
        <v>953</v>
      </c>
      <c r="B321" t="s">
        <v>1161</v>
      </c>
      <c r="C321" t="s">
        <v>953</v>
      </c>
      <c r="D321">
        <v>20474190</v>
      </c>
      <c r="E321" t="s">
        <v>2252</v>
      </c>
      <c r="F321" t="s">
        <v>984</v>
      </c>
      <c r="G321" t="s">
        <v>2248</v>
      </c>
      <c r="H321" t="s">
        <v>591</v>
      </c>
      <c r="I321" t="s">
        <v>2783</v>
      </c>
      <c r="J321" s="519">
        <v>46098</v>
      </c>
      <c r="K321" s="519">
        <v>46099</v>
      </c>
      <c r="R321" s="519">
        <v>46100</v>
      </c>
      <c r="U321" s="519">
        <v>46098</v>
      </c>
    </row>
    <row r="322" spans="1:21">
      <c r="A322" t="s">
        <v>953</v>
      </c>
      <c r="B322" t="s">
        <v>1161</v>
      </c>
      <c r="C322" t="s">
        <v>953</v>
      </c>
      <c r="D322">
        <v>20474504</v>
      </c>
      <c r="E322" t="s">
        <v>1100</v>
      </c>
      <c r="F322" t="s">
        <v>578</v>
      </c>
      <c r="G322" t="s">
        <v>2250</v>
      </c>
      <c r="H322" t="s">
        <v>587</v>
      </c>
      <c r="I322" t="s">
        <v>1160</v>
      </c>
      <c r="J322" s="519">
        <v>46099</v>
      </c>
      <c r="K322" s="519">
        <v>46099</v>
      </c>
      <c r="U322" s="519">
        <v>46099</v>
      </c>
    </row>
    <row r="323" spans="1:21">
      <c r="A323" t="s">
        <v>953</v>
      </c>
      <c r="B323" t="s">
        <v>3011</v>
      </c>
      <c r="C323" t="s">
        <v>953</v>
      </c>
      <c r="D323">
        <v>20474502</v>
      </c>
      <c r="E323" t="s">
        <v>2245</v>
      </c>
      <c r="F323" t="s">
        <v>578</v>
      </c>
      <c r="G323" t="s">
        <v>2248</v>
      </c>
      <c r="H323" t="s">
        <v>592</v>
      </c>
      <c r="J323" s="519">
        <v>46099</v>
      </c>
      <c r="U323" s="519">
        <v>46099</v>
      </c>
    </row>
    <row r="324" spans="1:21">
      <c r="A324" t="s">
        <v>953</v>
      </c>
      <c r="B324" t="s">
        <v>2505</v>
      </c>
      <c r="C324" t="s">
        <v>953</v>
      </c>
      <c r="D324">
        <v>20476299</v>
      </c>
      <c r="E324" t="s">
        <v>2252</v>
      </c>
      <c r="F324" t="s">
        <v>578</v>
      </c>
      <c r="G324" t="s">
        <v>2250</v>
      </c>
      <c r="H324" t="s">
        <v>587</v>
      </c>
      <c r="I324" t="s">
        <v>1397</v>
      </c>
      <c r="J324" s="519">
        <v>46100</v>
      </c>
      <c r="K324" s="519">
        <v>46100</v>
      </c>
      <c r="L324" s="519">
        <v>46100</v>
      </c>
      <c r="R324" s="519">
        <v>46102</v>
      </c>
      <c r="U324" s="519">
        <v>46123</v>
      </c>
    </row>
    <row r="325" spans="1:21">
      <c r="A325" t="s">
        <v>953</v>
      </c>
      <c r="B325" t="s">
        <v>2505</v>
      </c>
      <c r="C325" t="s">
        <v>953</v>
      </c>
      <c r="D325">
        <v>20449565</v>
      </c>
      <c r="E325" t="s">
        <v>1100</v>
      </c>
      <c r="F325" t="s">
        <v>984</v>
      </c>
      <c r="G325" t="s">
        <v>2290</v>
      </c>
      <c r="H325" t="s">
        <v>592</v>
      </c>
      <c r="I325" t="s">
        <v>1151</v>
      </c>
      <c r="J325" s="519">
        <v>46068</v>
      </c>
      <c r="K325" s="519">
        <v>46100</v>
      </c>
      <c r="U325" s="519">
        <v>46123</v>
      </c>
    </row>
    <row r="326" spans="1:21">
      <c r="A326" t="s">
        <v>953</v>
      </c>
      <c r="B326" t="s">
        <v>3012</v>
      </c>
      <c r="C326" t="s">
        <v>953</v>
      </c>
      <c r="D326">
        <v>20465841</v>
      </c>
      <c r="E326" t="s">
        <v>2245</v>
      </c>
      <c r="F326" t="s">
        <v>984</v>
      </c>
      <c r="G326" t="s">
        <v>2246</v>
      </c>
      <c r="H326" t="s">
        <v>587</v>
      </c>
      <c r="J326" s="519">
        <v>46090</v>
      </c>
      <c r="U326" s="519">
        <v>46266</v>
      </c>
    </row>
    <row r="327" spans="1:21">
      <c r="A327" t="s">
        <v>953</v>
      </c>
      <c r="B327" t="s">
        <v>3013</v>
      </c>
      <c r="C327" t="s">
        <v>953</v>
      </c>
      <c r="D327">
        <v>20475140</v>
      </c>
      <c r="E327" t="s">
        <v>2245</v>
      </c>
      <c r="F327" t="s">
        <v>577</v>
      </c>
      <c r="G327" t="s">
        <v>2248</v>
      </c>
      <c r="H327" t="s">
        <v>592</v>
      </c>
      <c r="I327" t="s">
        <v>1034</v>
      </c>
      <c r="J327" s="519">
        <v>46099</v>
      </c>
      <c r="U327" s="519">
        <v>46111</v>
      </c>
    </row>
    <row r="328" spans="1:21">
      <c r="A328" t="s">
        <v>953</v>
      </c>
      <c r="B328" t="s">
        <v>3014</v>
      </c>
      <c r="C328" t="s">
        <v>953</v>
      </c>
      <c r="D328">
        <v>20463790</v>
      </c>
      <c r="E328" t="s">
        <v>2245</v>
      </c>
      <c r="F328" t="s">
        <v>581</v>
      </c>
      <c r="G328" t="s">
        <v>2290</v>
      </c>
      <c r="H328" t="s">
        <v>592</v>
      </c>
      <c r="J328" s="519">
        <v>46087</v>
      </c>
      <c r="U328" s="519">
        <v>46087</v>
      </c>
    </row>
    <row r="329" spans="1:21">
      <c r="A329" t="s">
        <v>953</v>
      </c>
      <c r="B329" t="s">
        <v>2509</v>
      </c>
      <c r="C329" t="s">
        <v>953</v>
      </c>
      <c r="D329">
        <v>20457479</v>
      </c>
      <c r="E329" t="s">
        <v>2324</v>
      </c>
      <c r="F329" t="s">
        <v>1001</v>
      </c>
      <c r="G329" t="s">
        <v>1213</v>
      </c>
      <c r="H329" t="s">
        <v>587</v>
      </c>
      <c r="I329" t="s">
        <v>1366</v>
      </c>
      <c r="J329" s="519">
        <v>46078</v>
      </c>
      <c r="K329" s="519">
        <v>46091</v>
      </c>
      <c r="L329" s="519">
        <v>46091</v>
      </c>
      <c r="M329" s="519">
        <v>46093</v>
      </c>
      <c r="N329" s="519">
        <v>46093</v>
      </c>
      <c r="P329" s="519">
        <v>46094</v>
      </c>
      <c r="Q329" s="519">
        <v>46095</v>
      </c>
      <c r="U329" s="519">
        <v>46144</v>
      </c>
    </row>
    <row r="330" spans="1:21">
      <c r="A330" t="s">
        <v>953</v>
      </c>
      <c r="B330" t="s">
        <v>3015</v>
      </c>
      <c r="C330" t="s">
        <v>953</v>
      </c>
      <c r="D330">
        <v>20479509</v>
      </c>
      <c r="E330" t="s">
        <v>2245</v>
      </c>
      <c r="F330" t="s">
        <v>581</v>
      </c>
      <c r="G330" t="s">
        <v>2250</v>
      </c>
      <c r="H330" t="s">
        <v>592</v>
      </c>
      <c r="J330" s="519">
        <v>46105</v>
      </c>
      <c r="U330" s="519">
        <v>46167</v>
      </c>
    </row>
    <row r="331" spans="1:21">
      <c r="A331" t="s">
        <v>953</v>
      </c>
      <c r="B331" t="s">
        <v>1155</v>
      </c>
      <c r="C331" t="s">
        <v>953</v>
      </c>
      <c r="D331">
        <v>20471775</v>
      </c>
      <c r="E331" t="s">
        <v>1100</v>
      </c>
      <c r="F331" t="s">
        <v>984</v>
      </c>
      <c r="G331" t="s">
        <v>2250</v>
      </c>
      <c r="H331" t="s">
        <v>592</v>
      </c>
      <c r="I331" t="s">
        <v>873</v>
      </c>
      <c r="J331" s="519">
        <v>46096</v>
      </c>
      <c r="K331" s="519">
        <v>46096</v>
      </c>
      <c r="U331" s="519">
        <v>46100</v>
      </c>
    </row>
    <row r="332" spans="1:21">
      <c r="A332" t="s">
        <v>953</v>
      </c>
      <c r="B332" t="s">
        <v>1155</v>
      </c>
      <c r="C332" t="s">
        <v>953</v>
      </c>
      <c r="D332">
        <v>20471796</v>
      </c>
      <c r="E332" t="s">
        <v>1100</v>
      </c>
      <c r="F332" t="s">
        <v>1001</v>
      </c>
      <c r="G332" t="s">
        <v>2250</v>
      </c>
      <c r="H332" t="s">
        <v>587</v>
      </c>
      <c r="I332" t="s">
        <v>1154</v>
      </c>
      <c r="J332" s="519">
        <v>46096</v>
      </c>
      <c r="K332" s="519">
        <v>46096</v>
      </c>
      <c r="U332" s="519">
        <v>46097</v>
      </c>
    </row>
    <row r="333" spans="1:21">
      <c r="A333" t="s">
        <v>953</v>
      </c>
      <c r="B333" t="s">
        <v>3016</v>
      </c>
      <c r="C333" t="s">
        <v>953</v>
      </c>
      <c r="D333">
        <v>20461421</v>
      </c>
      <c r="E333" t="s">
        <v>2252</v>
      </c>
      <c r="F333" t="s">
        <v>579</v>
      </c>
      <c r="G333" t="s">
        <v>2250</v>
      </c>
      <c r="H333" t="s">
        <v>587</v>
      </c>
      <c r="I333" t="s">
        <v>560</v>
      </c>
      <c r="J333" s="519">
        <v>46084</v>
      </c>
      <c r="K333" s="519">
        <v>46084</v>
      </c>
      <c r="L333" s="519">
        <v>46084</v>
      </c>
      <c r="R333" s="519">
        <v>46098</v>
      </c>
      <c r="U333" s="519">
        <v>46100</v>
      </c>
    </row>
    <row r="334" spans="1:21">
      <c r="A334" t="s">
        <v>953</v>
      </c>
      <c r="B334" t="s">
        <v>3017</v>
      </c>
      <c r="C334" t="s">
        <v>953</v>
      </c>
      <c r="D334">
        <v>20480891</v>
      </c>
      <c r="E334" t="s">
        <v>2245</v>
      </c>
      <c r="F334" t="s">
        <v>581</v>
      </c>
      <c r="G334" t="s">
        <v>2250</v>
      </c>
      <c r="H334" t="s">
        <v>592</v>
      </c>
      <c r="J334" s="519">
        <v>46107</v>
      </c>
      <c r="U334" s="519">
        <v>46108</v>
      </c>
    </row>
    <row r="335" spans="1:21">
      <c r="A335" t="s">
        <v>953</v>
      </c>
      <c r="B335" t="s">
        <v>3018</v>
      </c>
      <c r="C335" t="s">
        <v>953</v>
      </c>
      <c r="D335">
        <v>20460544</v>
      </c>
      <c r="E335" t="s">
        <v>2252</v>
      </c>
      <c r="F335" t="s">
        <v>582</v>
      </c>
      <c r="G335" t="s">
        <v>2250</v>
      </c>
      <c r="H335" t="s">
        <v>590</v>
      </c>
      <c r="I335" t="s">
        <v>2487</v>
      </c>
      <c r="J335" s="519">
        <v>46083</v>
      </c>
      <c r="K335" s="519">
        <v>46083</v>
      </c>
      <c r="L335" s="519">
        <v>46098</v>
      </c>
      <c r="R335" s="519">
        <v>46103</v>
      </c>
      <c r="U335" s="519">
        <v>46109</v>
      </c>
    </row>
    <row r="336" spans="1:21">
      <c r="A336" t="s">
        <v>953</v>
      </c>
      <c r="B336" t="s">
        <v>3019</v>
      </c>
      <c r="C336" t="s">
        <v>953</v>
      </c>
      <c r="D336">
        <v>20462749</v>
      </c>
      <c r="E336" t="s">
        <v>2245</v>
      </c>
      <c r="F336" t="s">
        <v>984</v>
      </c>
      <c r="G336" t="s">
        <v>2246</v>
      </c>
      <c r="H336" t="s">
        <v>587</v>
      </c>
      <c r="J336" s="519">
        <v>46086</v>
      </c>
      <c r="U336" s="519">
        <v>46112</v>
      </c>
    </row>
    <row r="337" spans="1:21">
      <c r="A337" t="s">
        <v>953</v>
      </c>
      <c r="B337" t="s">
        <v>3020</v>
      </c>
      <c r="C337" t="s">
        <v>953</v>
      </c>
      <c r="D337">
        <v>20465591</v>
      </c>
      <c r="E337" t="s">
        <v>2258</v>
      </c>
      <c r="F337" t="s">
        <v>577</v>
      </c>
      <c r="G337" t="s">
        <v>2248</v>
      </c>
      <c r="H337" t="s">
        <v>588</v>
      </c>
      <c r="I337" t="s">
        <v>2266</v>
      </c>
      <c r="J337" s="519">
        <v>46090</v>
      </c>
      <c r="R337" s="519">
        <v>46095</v>
      </c>
      <c r="U337" s="519">
        <v>46127</v>
      </c>
    </row>
    <row r="338" spans="1:21">
      <c r="A338" t="s">
        <v>953</v>
      </c>
      <c r="B338" t="s">
        <v>1141</v>
      </c>
      <c r="C338" t="s">
        <v>953</v>
      </c>
      <c r="D338">
        <v>20461257</v>
      </c>
      <c r="E338" t="s">
        <v>1100</v>
      </c>
      <c r="F338" t="s">
        <v>1115</v>
      </c>
      <c r="G338" t="s">
        <v>2250</v>
      </c>
      <c r="H338" t="s">
        <v>587</v>
      </c>
      <c r="I338" t="s">
        <v>1140</v>
      </c>
      <c r="J338" s="519">
        <v>46084</v>
      </c>
      <c r="K338" s="519">
        <v>46084</v>
      </c>
      <c r="U338" s="519">
        <v>46127</v>
      </c>
    </row>
    <row r="339" spans="1:21">
      <c r="A339" t="s">
        <v>953</v>
      </c>
      <c r="B339" t="s">
        <v>3021</v>
      </c>
      <c r="C339" t="s">
        <v>953</v>
      </c>
      <c r="D339">
        <v>20465968</v>
      </c>
      <c r="E339" t="s">
        <v>2245</v>
      </c>
      <c r="F339" t="s">
        <v>984</v>
      </c>
      <c r="G339" t="s">
        <v>2259</v>
      </c>
      <c r="H339" t="s">
        <v>2388</v>
      </c>
      <c r="J339" s="519">
        <v>46091</v>
      </c>
      <c r="U339" s="519">
        <v>46091</v>
      </c>
    </row>
    <row r="340" spans="1:21">
      <c r="A340" t="s">
        <v>953</v>
      </c>
      <c r="B340" t="s">
        <v>3022</v>
      </c>
      <c r="C340" t="s">
        <v>953</v>
      </c>
      <c r="D340">
        <v>20476997</v>
      </c>
      <c r="E340" t="s">
        <v>2245</v>
      </c>
      <c r="F340" t="s">
        <v>581</v>
      </c>
      <c r="G340" t="s">
        <v>1213</v>
      </c>
      <c r="H340" t="s">
        <v>2469</v>
      </c>
      <c r="J340" s="519">
        <v>46101</v>
      </c>
      <c r="U340" s="519">
        <v>46101</v>
      </c>
    </row>
    <row r="341" spans="1:21">
      <c r="A341" t="s">
        <v>953</v>
      </c>
      <c r="B341" t="s">
        <v>3023</v>
      </c>
      <c r="C341" t="s">
        <v>953</v>
      </c>
      <c r="D341">
        <v>20476957</v>
      </c>
      <c r="E341" t="s">
        <v>2245</v>
      </c>
      <c r="F341" t="s">
        <v>984</v>
      </c>
      <c r="G341" t="s">
        <v>2250</v>
      </c>
      <c r="H341" t="s">
        <v>592</v>
      </c>
      <c r="J341" s="519">
        <v>46101</v>
      </c>
      <c r="U341" s="519">
        <v>46130</v>
      </c>
    </row>
    <row r="342" spans="1:21">
      <c r="A342" t="s">
        <v>953</v>
      </c>
      <c r="B342" t="s">
        <v>1032</v>
      </c>
      <c r="C342" t="s">
        <v>953</v>
      </c>
      <c r="D342">
        <v>20476166</v>
      </c>
      <c r="E342" t="s">
        <v>1110</v>
      </c>
      <c r="F342" t="s">
        <v>577</v>
      </c>
      <c r="G342" t="s">
        <v>2250</v>
      </c>
      <c r="H342" t="s">
        <v>2453</v>
      </c>
      <c r="I342" t="s">
        <v>897</v>
      </c>
      <c r="J342" s="519">
        <v>46100</v>
      </c>
      <c r="K342" s="519">
        <v>46100</v>
      </c>
      <c r="L342" s="519">
        <v>46100</v>
      </c>
      <c r="U342" s="519">
        <v>46123</v>
      </c>
    </row>
    <row r="343" spans="1:21">
      <c r="A343" t="s">
        <v>953</v>
      </c>
      <c r="B343" t="s">
        <v>1032</v>
      </c>
      <c r="C343" t="s">
        <v>953</v>
      </c>
      <c r="D343">
        <v>20475814</v>
      </c>
      <c r="E343" t="s">
        <v>1100</v>
      </c>
      <c r="F343" t="s">
        <v>577</v>
      </c>
      <c r="G343" t="s">
        <v>2248</v>
      </c>
      <c r="H343" t="s">
        <v>589</v>
      </c>
      <c r="I343" t="s">
        <v>1165</v>
      </c>
      <c r="J343" s="519">
        <v>46100</v>
      </c>
      <c r="K343" s="519">
        <v>46100</v>
      </c>
      <c r="U343" s="519">
        <v>46123</v>
      </c>
    </row>
    <row r="344" spans="1:21">
      <c r="A344" t="s">
        <v>953</v>
      </c>
      <c r="B344" t="s">
        <v>3024</v>
      </c>
      <c r="C344" t="s">
        <v>953</v>
      </c>
      <c r="D344">
        <v>20476624</v>
      </c>
      <c r="E344" t="s">
        <v>2245</v>
      </c>
      <c r="F344" t="s">
        <v>984</v>
      </c>
      <c r="G344" t="s">
        <v>2250</v>
      </c>
      <c r="H344" t="s">
        <v>592</v>
      </c>
      <c r="J344" s="519">
        <v>46101</v>
      </c>
      <c r="U344" s="519">
        <v>46101</v>
      </c>
    </row>
    <row r="345" spans="1:21">
      <c r="A345" t="s">
        <v>953</v>
      </c>
      <c r="B345" t="s">
        <v>3025</v>
      </c>
      <c r="C345" t="s">
        <v>953</v>
      </c>
      <c r="D345">
        <v>20468836</v>
      </c>
      <c r="E345" t="s">
        <v>2245</v>
      </c>
      <c r="F345" t="s">
        <v>984</v>
      </c>
      <c r="G345" t="s">
        <v>2246</v>
      </c>
      <c r="H345" t="s">
        <v>587</v>
      </c>
      <c r="J345" s="519">
        <v>46092</v>
      </c>
      <c r="U345" s="519">
        <v>46143</v>
      </c>
    </row>
    <row r="346" spans="1:21">
      <c r="A346" t="s">
        <v>953</v>
      </c>
      <c r="B346" t="s">
        <v>3026</v>
      </c>
      <c r="C346" t="s">
        <v>953</v>
      </c>
      <c r="D346">
        <v>20477347</v>
      </c>
      <c r="E346" t="s">
        <v>2245</v>
      </c>
      <c r="F346" t="s">
        <v>581</v>
      </c>
      <c r="G346" t="s">
        <v>2259</v>
      </c>
      <c r="H346" t="s">
        <v>593</v>
      </c>
      <c r="J346" s="519">
        <v>46102</v>
      </c>
      <c r="U346" s="519">
        <v>46157</v>
      </c>
    </row>
    <row r="347" spans="1:21">
      <c r="A347" t="s">
        <v>953</v>
      </c>
      <c r="B347" t="s">
        <v>3027</v>
      </c>
      <c r="C347" t="s">
        <v>953</v>
      </c>
      <c r="D347">
        <v>20474425</v>
      </c>
      <c r="E347" t="s">
        <v>2245</v>
      </c>
      <c r="F347" t="s">
        <v>581</v>
      </c>
      <c r="G347" t="s">
        <v>2250</v>
      </c>
      <c r="H347" t="s">
        <v>592</v>
      </c>
      <c r="J347" s="519">
        <v>46099</v>
      </c>
      <c r="U347" s="519">
        <v>46116</v>
      </c>
    </row>
    <row r="348" spans="1:21">
      <c r="A348" t="s">
        <v>953</v>
      </c>
      <c r="B348" t="s">
        <v>3028</v>
      </c>
      <c r="C348" t="s">
        <v>953</v>
      </c>
      <c r="D348">
        <v>20477372</v>
      </c>
      <c r="E348" t="s">
        <v>2245</v>
      </c>
      <c r="F348" t="s">
        <v>984</v>
      </c>
      <c r="G348" t="s">
        <v>2250</v>
      </c>
      <c r="H348" t="s">
        <v>592</v>
      </c>
      <c r="J348" s="519">
        <v>46102</v>
      </c>
      <c r="U348" s="519">
        <v>46134</v>
      </c>
    </row>
    <row r="349" spans="1:21">
      <c r="A349" t="s">
        <v>953</v>
      </c>
      <c r="B349" t="s">
        <v>3029</v>
      </c>
      <c r="C349" t="s">
        <v>953</v>
      </c>
      <c r="D349">
        <v>20473055</v>
      </c>
      <c r="E349" t="s">
        <v>2245</v>
      </c>
      <c r="F349" t="s">
        <v>581</v>
      </c>
      <c r="G349" t="s">
        <v>2250</v>
      </c>
      <c r="H349" t="s">
        <v>592</v>
      </c>
      <c r="J349" s="519">
        <v>46098</v>
      </c>
      <c r="U349" s="519">
        <v>46185</v>
      </c>
    </row>
    <row r="350" spans="1:21">
      <c r="A350" t="s">
        <v>953</v>
      </c>
      <c r="B350" t="s">
        <v>3030</v>
      </c>
      <c r="C350" t="s">
        <v>953</v>
      </c>
      <c r="D350">
        <v>20484046</v>
      </c>
      <c r="E350" t="s">
        <v>2245</v>
      </c>
      <c r="F350" t="s">
        <v>581</v>
      </c>
      <c r="G350" t="s">
        <v>1213</v>
      </c>
      <c r="H350" t="s">
        <v>588</v>
      </c>
      <c r="J350" s="519">
        <v>46112</v>
      </c>
      <c r="U350" s="519">
        <v>46150</v>
      </c>
    </row>
    <row r="351" spans="1:21">
      <c r="A351" t="s">
        <v>953</v>
      </c>
      <c r="B351" t="s">
        <v>3031</v>
      </c>
      <c r="C351" t="s">
        <v>953</v>
      </c>
      <c r="D351">
        <v>20473050</v>
      </c>
      <c r="E351" t="s">
        <v>2245</v>
      </c>
      <c r="F351" t="s">
        <v>581</v>
      </c>
      <c r="G351" t="s">
        <v>2250</v>
      </c>
      <c r="H351" t="s">
        <v>592</v>
      </c>
      <c r="J351" s="519">
        <v>46098</v>
      </c>
      <c r="U351" s="519">
        <v>46174</v>
      </c>
    </row>
    <row r="352" spans="1:21">
      <c r="A352" t="s">
        <v>953</v>
      </c>
      <c r="B352" t="s">
        <v>3032</v>
      </c>
      <c r="C352" t="s">
        <v>953</v>
      </c>
      <c r="D352">
        <v>20482785</v>
      </c>
      <c r="E352" t="s">
        <v>1100</v>
      </c>
      <c r="F352" t="s">
        <v>1115</v>
      </c>
      <c r="G352" t="s">
        <v>2250</v>
      </c>
      <c r="H352" t="s">
        <v>587</v>
      </c>
      <c r="J352" s="519">
        <v>46110</v>
      </c>
      <c r="K352" s="519">
        <v>46110</v>
      </c>
      <c r="U352" s="519">
        <v>46111</v>
      </c>
    </row>
    <row r="353" spans="1:21">
      <c r="A353" t="s">
        <v>953</v>
      </c>
      <c r="B353" t="s">
        <v>2525</v>
      </c>
      <c r="C353" t="s">
        <v>953</v>
      </c>
      <c r="D353">
        <v>20447869</v>
      </c>
      <c r="E353" t="s">
        <v>2252</v>
      </c>
      <c r="F353" t="s">
        <v>577</v>
      </c>
      <c r="G353" t="s">
        <v>2250</v>
      </c>
      <c r="H353" t="s">
        <v>587</v>
      </c>
      <c r="J353" s="519">
        <v>46065</v>
      </c>
      <c r="K353" s="519">
        <v>46065</v>
      </c>
      <c r="R353" s="519">
        <v>46091</v>
      </c>
      <c r="U353" s="519">
        <v>46065</v>
      </c>
    </row>
    <row r="354" spans="1:21">
      <c r="A354" t="s">
        <v>953</v>
      </c>
      <c r="B354" t="s">
        <v>2526</v>
      </c>
      <c r="C354" t="s">
        <v>953</v>
      </c>
      <c r="D354">
        <v>20447835</v>
      </c>
      <c r="E354" t="s">
        <v>2252</v>
      </c>
      <c r="F354" t="s">
        <v>577</v>
      </c>
      <c r="G354" t="s">
        <v>2250</v>
      </c>
      <c r="H354" t="s">
        <v>587</v>
      </c>
      <c r="I354" t="s">
        <v>565</v>
      </c>
      <c r="J354" s="519">
        <v>46065</v>
      </c>
      <c r="K354" s="519">
        <v>46065</v>
      </c>
      <c r="L354" s="519">
        <v>46065</v>
      </c>
      <c r="R354" s="519">
        <v>46082</v>
      </c>
      <c r="U354" s="519">
        <v>46078</v>
      </c>
    </row>
    <row r="355" spans="1:21">
      <c r="A355" t="s">
        <v>953</v>
      </c>
      <c r="B355" t="s">
        <v>1107</v>
      </c>
      <c r="C355" t="s">
        <v>953</v>
      </c>
      <c r="D355">
        <v>20441505</v>
      </c>
      <c r="E355" t="s">
        <v>1100</v>
      </c>
      <c r="F355" t="s">
        <v>1001</v>
      </c>
      <c r="G355" t="s">
        <v>2259</v>
      </c>
      <c r="H355" t="s">
        <v>592</v>
      </c>
      <c r="I355" t="s">
        <v>1106</v>
      </c>
      <c r="J355" s="519">
        <v>46058</v>
      </c>
      <c r="K355" s="519">
        <v>46084</v>
      </c>
      <c r="U355" s="519">
        <v>46102</v>
      </c>
    </row>
    <row r="356" spans="1:21">
      <c r="A356" t="s">
        <v>953</v>
      </c>
      <c r="B356" t="s">
        <v>3033</v>
      </c>
      <c r="C356" t="s">
        <v>953</v>
      </c>
      <c r="D356">
        <v>20482848</v>
      </c>
      <c r="E356" t="s">
        <v>2245</v>
      </c>
      <c r="F356" t="s">
        <v>984</v>
      </c>
      <c r="G356" t="s">
        <v>2250</v>
      </c>
      <c r="H356" t="s">
        <v>592</v>
      </c>
      <c r="J356" s="519">
        <v>46111</v>
      </c>
      <c r="U356" s="519">
        <v>46143</v>
      </c>
    </row>
    <row r="357" spans="1:21">
      <c r="A357" t="s">
        <v>953</v>
      </c>
      <c r="B357" t="s">
        <v>3034</v>
      </c>
      <c r="C357" t="s">
        <v>953</v>
      </c>
      <c r="D357">
        <v>20482469</v>
      </c>
      <c r="E357" t="s">
        <v>2245</v>
      </c>
      <c r="F357" t="s">
        <v>984</v>
      </c>
      <c r="G357" t="s">
        <v>2259</v>
      </c>
      <c r="H357" t="s">
        <v>2388</v>
      </c>
      <c r="J357" s="519">
        <v>46110</v>
      </c>
      <c r="U357" s="519">
        <v>46110</v>
      </c>
    </row>
    <row r="358" spans="1:21">
      <c r="A358" t="s">
        <v>953</v>
      </c>
      <c r="B358" t="s">
        <v>3035</v>
      </c>
      <c r="C358" t="s">
        <v>953</v>
      </c>
      <c r="D358">
        <v>20480954</v>
      </c>
      <c r="E358" t="s">
        <v>2245</v>
      </c>
      <c r="F358" t="s">
        <v>581</v>
      </c>
      <c r="G358" t="s">
        <v>2250</v>
      </c>
      <c r="H358" t="s">
        <v>592</v>
      </c>
      <c r="J358" s="519">
        <v>46107</v>
      </c>
      <c r="U358" s="519">
        <v>46136</v>
      </c>
    </row>
    <row r="359" spans="1:21">
      <c r="A359" t="s">
        <v>953</v>
      </c>
      <c r="B359" t="s">
        <v>3036</v>
      </c>
      <c r="C359" t="s">
        <v>953</v>
      </c>
      <c r="D359">
        <v>20477418</v>
      </c>
      <c r="E359" t="s">
        <v>2245</v>
      </c>
      <c r="F359" t="s">
        <v>581</v>
      </c>
      <c r="G359" t="s">
        <v>1213</v>
      </c>
      <c r="H359" t="s">
        <v>588</v>
      </c>
      <c r="I359" t="s">
        <v>2463</v>
      </c>
      <c r="J359" s="519">
        <v>46102</v>
      </c>
      <c r="U359" s="519">
        <v>46160</v>
      </c>
    </row>
    <row r="360" spans="1:21">
      <c r="A360" t="s">
        <v>953</v>
      </c>
      <c r="B360" t="s">
        <v>3037</v>
      </c>
      <c r="C360" t="s">
        <v>953</v>
      </c>
      <c r="D360">
        <v>20470819</v>
      </c>
      <c r="E360" t="s">
        <v>2245</v>
      </c>
      <c r="F360" t="s">
        <v>984</v>
      </c>
      <c r="G360" t="s">
        <v>2250</v>
      </c>
      <c r="H360" t="s">
        <v>592</v>
      </c>
      <c r="J360" s="519">
        <v>46094</v>
      </c>
      <c r="U360" s="519">
        <v>46113</v>
      </c>
    </row>
    <row r="361" spans="1:21">
      <c r="A361" t="s">
        <v>953</v>
      </c>
      <c r="B361" t="s">
        <v>3038</v>
      </c>
      <c r="C361" t="s">
        <v>953</v>
      </c>
      <c r="D361">
        <v>20473249</v>
      </c>
      <c r="E361" t="s">
        <v>2245</v>
      </c>
      <c r="F361" t="s">
        <v>581</v>
      </c>
      <c r="G361" t="s">
        <v>2250</v>
      </c>
      <c r="H361" t="s">
        <v>592</v>
      </c>
      <c r="J361" s="519">
        <v>46098</v>
      </c>
      <c r="U361" s="519">
        <v>46113</v>
      </c>
    </row>
    <row r="362" spans="1:21">
      <c r="A362" t="s">
        <v>953</v>
      </c>
      <c r="B362" t="s">
        <v>3039</v>
      </c>
      <c r="C362" t="s">
        <v>953</v>
      </c>
      <c r="D362">
        <v>20482403</v>
      </c>
      <c r="E362" t="s">
        <v>2245</v>
      </c>
      <c r="F362" t="s">
        <v>984</v>
      </c>
      <c r="G362" t="s">
        <v>2250</v>
      </c>
      <c r="H362" t="s">
        <v>592</v>
      </c>
      <c r="J362" s="519">
        <v>46109</v>
      </c>
      <c r="U362" s="519">
        <v>46127</v>
      </c>
    </row>
    <row r="363" spans="1:21">
      <c r="A363" t="s">
        <v>953</v>
      </c>
      <c r="B363" t="s">
        <v>3040</v>
      </c>
      <c r="C363" t="s">
        <v>953</v>
      </c>
      <c r="D363">
        <v>20477595</v>
      </c>
      <c r="E363" t="s">
        <v>2245</v>
      </c>
      <c r="F363" t="s">
        <v>984</v>
      </c>
      <c r="G363" t="s">
        <v>2250</v>
      </c>
      <c r="H363" t="s">
        <v>592</v>
      </c>
      <c r="J363" s="519">
        <v>46102</v>
      </c>
      <c r="U363" s="519">
        <v>46139</v>
      </c>
    </row>
    <row r="364" spans="1:21">
      <c r="A364" t="s">
        <v>953</v>
      </c>
      <c r="B364" t="s">
        <v>3041</v>
      </c>
      <c r="C364" t="s">
        <v>953</v>
      </c>
      <c r="D364">
        <v>20477818</v>
      </c>
      <c r="E364" t="s">
        <v>2245</v>
      </c>
      <c r="F364" t="s">
        <v>581</v>
      </c>
      <c r="G364" t="s">
        <v>2250</v>
      </c>
      <c r="H364" t="s">
        <v>592</v>
      </c>
      <c r="J364" s="519">
        <v>46103</v>
      </c>
      <c r="U364" s="519">
        <v>46117</v>
      </c>
    </row>
    <row r="365" spans="1:21">
      <c r="A365" t="s">
        <v>953</v>
      </c>
      <c r="B365" t="s">
        <v>3042</v>
      </c>
      <c r="C365" t="s">
        <v>953</v>
      </c>
      <c r="D365">
        <v>20480604</v>
      </c>
      <c r="E365" t="s">
        <v>2245</v>
      </c>
      <c r="F365" t="s">
        <v>581</v>
      </c>
      <c r="G365" t="s">
        <v>2246</v>
      </c>
      <c r="H365" t="s">
        <v>591</v>
      </c>
      <c r="J365" s="519">
        <v>46107</v>
      </c>
      <c r="U365" s="519">
        <v>46107</v>
      </c>
    </row>
    <row r="366" spans="1:21">
      <c r="A366" t="s">
        <v>953</v>
      </c>
      <c r="B366" t="s">
        <v>3043</v>
      </c>
      <c r="C366" t="s">
        <v>953</v>
      </c>
      <c r="D366">
        <v>20461420</v>
      </c>
      <c r="E366" t="s">
        <v>2245</v>
      </c>
      <c r="F366" t="s">
        <v>577</v>
      </c>
      <c r="G366" t="s">
        <v>2248</v>
      </c>
      <c r="H366" t="s">
        <v>588</v>
      </c>
      <c r="I366" t="s">
        <v>2465</v>
      </c>
      <c r="J366" s="519">
        <v>46084</v>
      </c>
      <c r="U366" s="519">
        <v>46126</v>
      </c>
    </row>
    <row r="367" spans="1:21">
      <c r="A367" t="s">
        <v>953</v>
      </c>
      <c r="B367" t="s">
        <v>3044</v>
      </c>
      <c r="C367" t="s">
        <v>953</v>
      </c>
      <c r="D367">
        <v>20471953</v>
      </c>
      <c r="E367" t="s">
        <v>2245</v>
      </c>
      <c r="F367" t="s">
        <v>984</v>
      </c>
      <c r="G367" t="s">
        <v>2250</v>
      </c>
      <c r="H367" t="s">
        <v>592</v>
      </c>
      <c r="J367" s="519">
        <v>46096</v>
      </c>
      <c r="U367" s="519">
        <v>46104</v>
      </c>
    </row>
    <row r="368" spans="1:21">
      <c r="A368" t="s">
        <v>953</v>
      </c>
      <c r="B368" t="s">
        <v>3045</v>
      </c>
      <c r="C368" t="s">
        <v>953</v>
      </c>
      <c r="D368">
        <v>20460820</v>
      </c>
      <c r="E368" t="s">
        <v>2258</v>
      </c>
      <c r="F368" t="s">
        <v>581</v>
      </c>
      <c r="G368" t="s">
        <v>2259</v>
      </c>
      <c r="H368" t="s">
        <v>592</v>
      </c>
      <c r="I368" t="s">
        <v>3046</v>
      </c>
      <c r="J368" s="519">
        <v>46083</v>
      </c>
      <c r="R368" s="519">
        <v>46095</v>
      </c>
      <c r="U368" s="519">
        <v>46174</v>
      </c>
    </row>
    <row r="369" spans="1:21">
      <c r="A369" t="s">
        <v>953</v>
      </c>
      <c r="B369" t="s">
        <v>1043</v>
      </c>
      <c r="C369" t="s">
        <v>953</v>
      </c>
      <c r="D369">
        <v>20478246</v>
      </c>
      <c r="E369" t="s">
        <v>1110</v>
      </c>
      <c r="F369" t="s">
        <v>1001</v>
      </c>
      <c r="G369" t="s">
        <v>2248</v>
      </c>
      <c r="H369" t="s">
        <v>592</v>
      </c>
      <c r="I369" t="s">
        <v>1042</v>
      </c>
      <c r="J369" s="519">
        <v>46104</v>
      </c>
      <c r="K369" s="519">
        <v>46104</v>
      </c>
      <c r="L369" s="519">
        <v>46104</v>
      </c>
      <c r="U369" s="519">
        <v>46172</v>
      </c>
    </row>
    <row r="370" spans="1:21">
      <c r="A370" t="s">
        <v>953</v>
      </c>
      <c r="B370" t="s">
        <v>1172</v>
      </c>
      <c r="C370" t="s">
        <v>953</v>
      </c>
      <c r="D370">
        <v>20478176</v>
      </c>
      <c r="E370" t="s">
        <v>2252</v>
      </c>
      <c r="F370" t="s">
        <v>1001</v>
      </c>
      <c r="G370" t="s">
        <v>2248</v>
      </c>
      <c r="H370" t="s">
        <v>592</v>
      </c>
      <c r="I370" t="s">
        <v>2550</v>
      </c>
      <c r="J370" s="519">
        <v>46104</v>
      </c>
      <c r="K370" s="519">
        <v>46104</v>
      </c>
      <c r="L370" s="519">
        <v>46104</v>
      </c>
      <c r="R370" s="519">
        <v>46104</v>
      </c>
      <c r="U370" s="519">
        <v>46113</v>
      </c>
    </row>
    <row r="371" spans="1:21">
      <c r="A371" t="s">
        <v>953</v>
      </c>
      <c r="B371" t="s">
        <v>1172</v>
      </c>
      <c r="C371" t="s">
        <v>953</v>
      </c>
      <c r="D371">
        <v>20478245</v>
      </c>
      <c r="E371" t="s">
        <v>2252</v>
      </c>
      <c r="F371" t="s">
        <v>1001</v>
      </c>
      <c r="G371" t="s">
        <v>2250</v>
      </c>
      <c r="H371" t="s">
        <v>592</v>
      </c>
      <c r="I371" t="s">
        <v>1171</v>
      </c>
      <c r="J371" s="519">
        <v>46104</v>
      </c>
      <c r="K371" s="519">
        <v>46104</v>
      </c>
      <c r="L371" s="519">
        <v>46104</v>
      </c>
      <c r="R371" s="519">
        <v>46105</v>
      </c>
      <c r="U371" s="519">
        <v>46172</v>
      </c>
    </row>
    <row r="372" spans="1:21">
      <c r="A372" t="s">
        <v>953</v>
      </c>
      <c r="B372" t="s">
        <v>2534</v>
      </c>
      <c r="C372" t="s">
        <v>953</v>
      </c>
      <c r="D372">
        <v>20454865</v>
      </c>
      <c r="E372" t="s">
        <v>2252</v>
      </c>
      <c r="F372" t="s">
        <v>583</v>
      </c>
      <c r="G372" t="s">
        <v>2250</v>
      </c>
      <c r="H372" t="s">
        <v>592</v>
      </c>
      <c r="I372" t="s">
        <v>2288</v>
      </c>
      <c r="J372" s="519">
        <v>46074</v>
      </c>
      <c r="K372" s="519">
        <v>46074</v>
      </c>
      <c r="L372" s="519">
        <v>46086</v>
      </c>
      <c r="R372" s="519">
        <v>46098</v>
      </c>
      <c r="U372" s="519">
        <v>46160</v>
      </c>
    </row>
    <row r="373" spans="1:21">
      <c r="A373" t="s">
        <v>953</v>
      </c>
      <c r="B373" t="s">
        <v>3047</v>
      </c>
      <c r="C373" t="s">
        <v>953</v>
      </c>
      <c r="D373">
        <v>20473630</v>
      </c>
      <c r="E373" t="s">
        <v>2245</v>
      </c>
      <c r="F373" t="s">
        <v>579</v>
      </c>
      <c r="G373" t="s">
        <v>2290</v>
      </c>
      <c r="H373" t="s">
        <v>591</v>
      </c>
      <c r="J373" s="519">
        <v>46098</v>
      </c>
      <c r="U373" s="519">
        <v>46175</v>
      </c>
    </row>
    <row r="374" spans="1:21">
      <c r="A374" t="s">
        <v>953</v>
      </c>
      <c r="B374" t="s">
        <v>997</v>
      </c>
      <c r="C374" t="s">
        <v>953</v>
      </c>
      <c r="D374">
        <v>20450635</v>
      </c>
      <c r="E374" t="s">
        <v>2324</v>
      </c>
      <c r="F374" t="s">
        <v>579</v>
      </c>
      <c r="G374" t="s">
        <v>2259</v>
      </c>
      <c r="H374" t="s">
        <v>2388</v>
      </c>
      <c r="I374" t="s">
        <v>563</v>
      </c>
      <c r="J374" s="519">
        <v>46070</v>
      </c>
      <c r="K374" s="519">
        <v>46085</v>
      </c>
      <c r="L374" s="519">
        <v>46090</v>
      </c>
      <c r="M374" s="519">
        <v>46104</v>
      </c>
      <c r="N374" s="519">
        <v>46104</v>
      </c>
      <c r="P374" s="519">
        <v>46106</v>
      </c>
      <c r="Q374" s="519">
        <v>46106</v>
      </c>
      <c r="U374" s="519">
        <v>46109</v>
      </c>
    </row>
    <row r="375" spans="1:21">
      <c r="A375" t="s">
        <v>953</v>
      </c>
      <c r="B375" t="s">
        <v>997</v>
      </c>
      <c r="C375" t="s">
        <v>953</v>
      </c>
      <c r="D375">
        <v>20465530</v>
      </c>
      <c r="E375" t="s">
        <v>1100</v>
      </c>
      <c r="F375" t="s">
        <v>1001</v>
      </c>
      <c r="G375" t="s">
        <v>2250</v>
      </c>
      <c r="H375" t="s">
        <v>2388</v>
      </c>
      <c r="J375" s="519">
        <v>46090</v>
      </c>
      <c r="K375" s="519">
        <v>46090</v>
      </c>
      <c r="U375" s="519">
        <v>46090</v>
      </c>
    </row>
    <row r="376" spans="1:21">
      <c r="A376" t="s">
        <v>953</v>
      </c>
      <c r="B376" t="s">
        <v>3048</v>
      </c>
      <c r="C376" t="s">
        <v>953</v>
      </c>
      <c r="D376">
        <v>20477986</v>
      </c>
      <c r="E376" t="s">
        <v>2245</v>
      </c>
      <c r="F376" t="s">
        <v>581</v>
      </c>
      <c r="G376" t="s">
        <v>2250</v>
      </c>
      <c r="H376" t="s">
        <v>592</v>
      </c>
      <c r="J376" s="519">
        <v>46103</v>
      </c>
      <c r="U376" s="519">
        <v>46122</v>
      </c>
    </row>
    <row r="377" spans="1:21">
      <c r="A377" t="s">
        <v>953</v>
      </c>
      <c r="B377" t="s">
        <v>1131</v>
      </c>
      <c r="C377" t="s">
        <v>953</v>
      </c>
      <c r="D377">
        <v>20458158</v>
      </c>
      <c r="E377" t="s">
        <v>1100</v>
      </c>
      <c r="F377" t="s">
        <v>984</v>
      </c>
      <c r="G377" t="s">
        <v>2248</v>
      </c>
      <c r="H377" t="s">
        <v>590</v>
      </c>
      <c r="I377" t="s">
        <v>1130</v>
      </c>
      <c r="J377" s="519">
        <v>46079</v>
      </c>
      <c r="K377" s="519">
        <v>46082</v>
      </c>
      <c r="U377" s="519">
        <v>46094</v>
      </c>
    </row>
    <row r="378" spans="1:21">
      <c r="A378" t="s">
        <v>953</v>
      </c>
      <c r="B378" t="s">
        <v>3049</v>
      </c>
      <c r="C378" t="s">
        <v>953</v>
      </c>
      <c r="D378">
        <v>20471257</v>
      </c>
      <c r="E378" t="s">
        <v>2252</v>
      </c>
      <c r="F378" t="s">
        <v>577</v>
      </c>
      <c r="G378" t="s">
        <v>2250</v>
      </c>
      <c r="H378" t="s">
        <v>588</v>
      </c>
      <c r="I378" t="s">
        <v>2935</v>
      </c>
      <c r="J378" s="519">
        <v>46095</v>
      </c>
      <c r="K378" s="519">
        <v>46095</v>
      </c>
      <c r="L378" s="519">
        <v>46096</v>
      </c>
      <c r="R378" s="519">
        <v>46100</v>
      </c>
      <c r="U378" s="519">
        <v>46100</v>
      </c>
    </row>
    <row r="379" spans="1:21">
      <c r="A379" t="s">
        <v>953</v>
      </c>
      <c r="B379" t="s">
        <v>3050</v>
      </c>
      <c r="C379" t="s">
        <v>953</v>
      </c>
      <c r="D379">
        <v>20475803</v>
      </c>
      <c r="E379" t="s">
        <v>2245</v>
      </c>
      <c r="F379" t="s">
        <v>581</v>
      </c>
      <c r="G379" t="s">
        <v>2250</v>
      </c>
      <c r="H379" t="s">
        <v>592</v>
      </c>
      <c r="J379" s="519">
        <v>46100</v>
      </c>
      <c r="U379" s="519">
        <v>46220</v>
      </c>
    </row>
    <row r="380" spans="1:21">
      <c r="A380" t="s">
        <v>953</v>
      </c>
      <c r="B380" t="s">
        <v>3051</v>
      </c>
      <c r="C380" t="s">
        <v>953</v>
      </c>
      <c r="D380">
        <v>20472760</v>
      </c>
      <c r="E380" t="s">
        <v>2245</v>
      </c>
      <c r="F380" t="s">
        <v>581</v>
      </c>
      <c r="G380" t="s">
        <v>2250</v>
      </c>
      <c r="H380" t="s">
        <v>592</v>
      </c>
      <c r="J380" s="519">
        <v>46097</v>
      </c>
      <c r="U380" s="519">
        <v>46102</v>
      </c>
    </row>
    <row r="381" spans="1:21">
      <c r="A381" t="s">
        <v>953</v>
      </c>
      <c r="B381" t="s">
        <v>3052</v>
      </c>
      <c r="C381" t="s">
        <v>953</v>
      </c>
      <c r="D381">
        <v>20480580</v>
      </c>
      <c r="E381" t="s">
        <v>2245</v>
      </c>
      <c r="F381" t="s">
        <v>581</v>
      </c>
      <c r="G381" t="s">
        <v>2250</v>
      </c>
      <c r="H381" t="s">
        <v>592</v>
      </c>
      <c r="J381" s="519">
        <v>46107</v>
      </c>
      <c r="U381" s="519">
        <v>46203</v>
      </c>
    </row>
    <row r="382" spans="1:21">
      <c r="A382" t="s">
        <v>953</v>
      </c>
      <c r="B382" t="s">
        <v>3053</v>
      </c>
      <c r="C382" t="s">
        <v>953</v>
      </c>
      <c r="D382">
        <v>20478155</v>
      </c>
      <c r="E382" t="s">
        <v>1110</v>
      </c>
      <c r="F382" t="s">
        <v>582</v>
      </c>
      <c r="G382" t="s">
        <v>2248</v>
      </c>
      <c r="H382" t="s">
        <v>589</v>
      </c>
      <c r="I382" t="s">
        <v>1034</v>
      </c>
      <c r="J382" s="519">
        <v>46104</v>
      </c>
      <c r="K382" s="519">
        <v>46104</v>
      </c>
      <c r="L382" s="519">
        <v>46104</v>
      </c>
      <c r="U382" s="519">
        <v>46112</v>
      </c>
    </row>
    <row r="383" spans="1:21">
      <c r="A383" t="s">
        <v>953</v>
      </c>
      <c r="B383" t="s">
        <v>1166</v>
      </c>
      <c r="C383" t="s">
        <v>953</v>
      </c>
      <c r="D383">
        <v>20475854</v>
      </c>
      <c r="E383" t="s">
        <v>1110</v>
      </c>
      <c r="F383" t="s">
        <v>577</v>
      </c>
      <c r="G383" t="s">
        <v>2250</v>
      </c>
      <c r="H383" t="s">
        <v>587</v>
      </c>
      <c r="I383" t="s">
        <v>2935</v>
      </c>
      <c r="J383" s="519">
        <v>46100</v>
      </c>
      <c r="K383" s="519">
        <v>46100</v>
      </c>
      <c r="L383" s="519">
        <v>46106</v>
      </c>
      <c r="U383" s="519">
        <v>46128</v>
      </c>
    </row>
    <row r="384" spans="1:21">
      <c r="A384" t="s">
        <v>953</v>
      </c>
      <c r="B384" t="s">
        <v>3054</v>
      </c>
      <c r="C384" t="s">
        <v>953</v>
      </c>
      <c r="D384">
        <v>20483782</v>
      </c>
      <c r="E384" t="s">
        <v>2245</v>
      </c>
      <c r="F384" t="s">
        <v>581</v>
      </c>
      <c r="G384" t="s">
        <v>2250</v>
      </c>
      <c r="H384" t="s">
        <v>592</v>
      </c>
      <c r="J384" s="519">
        <v>46112</v>
      </c>
      <c r="U384" s="519">
        <v>46115</v>
      </c>
    </row>
    <row r="385" spans="1:21">
      <c r="A385" t="s">
        <v>953</v>
      </c>
      <c r="B385" t="s">
        <v>2537</v>
      </c>
      <c r="C385" t="s">
        <v>953</v>
      </c>
      <c r="D385">
        <v>20452337</v>
      </c>
      <c r="E385" t="s">
        <v>2252</v>
      </c>
      <c r="F385" t="s">
        <v>984</v>
      </c>
      <c r="G385" t="s">
        <v>2248</v>
      </c>
      <c r="H385" t="s">
        <v>588</v>
      </c>
      <c r="I385" t="s">
        <v>567</v>
      </c>
      <c r="J385" s="519">
        <v>46071</v>
      </c>
      <c r="K385" s="519">
        <v>46071</v>
      </c>
      <c r="L385" s="519">
        <v>46072</v>
      </c>
      <c r="R385" s="519">
        <v>46083</v>
      </c>
      <c r="U385" s="519">
        <v>46088</v>
      </c>
    </row>
    <row r="386" spans="1:21">
      <c r="A386" t="s">
        <v>953</v>
      </c>
      <c r="B386" t="s">
        <v>3055</v>
      </c>
      <c r="C386" t="s">
        <v>953</v>
      </c>
      <c r="D386">
        <v>20472116</v>
      </c>
      <c r="E386" t="s">
        <v>2245</v>
      </c>
      <c r="F386" t="s">
        <v>577</v>
      </c>
      <c r="G386" t="s">
        <v>2259</v>
      </c>
      <c r="H386" t="s">
        <v>592</v>
      </c>
      <c r="I386" t="s">
        <v>1334</v>
      </c>
      <c r="J386" s="519">
        <v>46096</v>
      </c>
      <c r="U386" s="519">
        <v>46096</v>
      </c>
    </row>
    <row r="387" spans="1:21">
      <c r="A387" t="s">
        <v>953</v>
      </c>
      <c r="B387" t="s">
        <v>3056</v>
      </c>
      <c r="C387" t="s">
        <v>953</v>
      </c>
      <c r="D387">
        <v>20483867</v>
      </c>
      <c r="E387" t="s">
        <v>2245</v>
      </c>
      <c r="F387" t="s">
        <v>581</v>
      </c>
      <c r="G387" t="s">
        <v>2250</v>
      </c>
      <c r="H387" t="s">
        <v>592</v>
      </c>
      <c r="J387" s="519">
        <v>46112</v>
      </c>
      <c r="U387" s="519">
        <v>46143</v>
      </c>
    </row>
    <row r="388" spans="1:21">
      <c r="A388" t="s">
        <v>953</v>
      </c>
      <c r="B388" t="s">
        <v>3057</v>
      </c>
      <c r="C388" t="s">
        <v>953</v>
      </c>
      <c r="D388">
        <v>20470994</v>
      </c>
      <c r="E388" t="s">
        <v>2245</v>
      </c>
      <c r="F388" t="s">
        <v>1001</v>
      </c>
      <c r="G388" t="s">
        <v>2250</v>
      </c>
      <c r="H388" t="s">
        <v>592</v>
      </c>
      <c r="J388" s="519">
        <v>46094</v>
      </c>
      <c r="U388" s="519">
        <v>46320</v>
      </c>
    </row>
    <row r="389" spans="1:21">
      <c r="A389" t="s">
        <v>953</v>
      </c>
      <c r="B389" t="s">
        <v>1021</v>
      </c>
      <c r="C389" t="s">
        <v>953</v>
      </c>
      <c r="D389">
        <v>20474144</v>
      </c>
      <c r="E389" t="s">
        <v>2252</v>
      </c>
      <c r="F389" t="s">
        <v>583</v>
      </c>
      <c r="G389" t="s">
        <v>2250</v>
      </c>
      <c r="H389" t="s">
        <v>587</v>
      </c>
      <c r="I389" t="s">
        <v>1020</v>
      </c>
      <c r="J389" s="519">
        <v>46098</v>
      </c>
      <c r="K389" s="519">
        <v>46098</v>
      </c>
      <c r="L389" s="519">
        <v>46099</v>
      </c>
      <c r="R389" s="519">
        <v>46112</v>
      </c>
      <c r="U389" s="519">
        <v>46115</v>
      </c>
    </row>
    <row r="390" spans="1:21">
      <c r="A390" t="s">
        <v>953</v>
      </c>
      <c r="B390" t="s">
        <v>3058</v>
      </c>
      <c r="C390" t="s">
        <v>953</v>
      </c>
      <c r="D390">
        <v>20471687</v>
      </c>
      <c r="E390" t="s">
        <v>2245</v>
      </c>
      <c r="F390" t="s">
        <v>581</v>
      </c>
      <c r="G390" t="s">
        <v>2250</v>
      </c>
      <c r="H390" t="s">
        <v>592</v>
      </c>
      <c r="I390" t="s">
        <v>1156</v>
      </c>
      <c r="J390" s="519">
        <v>46095</v>
      </c>
      <c r="U390" s="519">
        <v>46174</v>
      </c>
    </row>
    <row r="391" spans="1:21">
      <c r="A391" t="s">
        <v>953</v>
      </c>
      <c r="B391" t="s">
        <v>3059</v>
      </c>
      <c r="C391" t="s">
        <v>953</v>
      </c>
      <c r="D391">
        <v>20483105</v>
      </c>
      <c r="E391" t="s">
        <v>1110</v>
      </c>
      <c r="F391" t="s">
        <v>1001</v>
      </c>
      <c r="G391" t="s">
        <v>2250</v>
      </c>
      <c r="H391" t="s">
        <v>587</v>
      </c>
      <c r="I391" t="s">
        <v>567</v>
      </c>
      <c r="J391" s="519">
        <v>46111</v>
      </c>
      <c r="K391" s="519">
        <v>46111</v>
      </c>
      <c r="L391" s="519">
        <v>46111</v>
      </c>
      <c r="U391" s="519">
        <v>46116</v>
      </c>
    </row>
    <row r="392" spans="1:21">
      <c r="A392" t="s">
        <v>953</v>
      </c>
      <c r="B392" t="s">
        <v>3060</v>
      </c>
      <c r="C392" t="s">
        <v>953</v>
      </c>
      <c r="D392">
        <v>20464427</v>
      </c>
      <c r="E392" t="s">
        <v>2252</v>
      </c>
      <c r="F392" t="s">
        <v>583</v>
      </c>
      <c r="G392" t="s">
        <v>2248</v>
      </c>
      <c r="H392" t="s">
        <v>588</v>
      </c>
      <c r="I392" t="s">
        <v>2272</v>
      </c>
      <c r="J392" s="519">
        <v>46088</v>
      </c>
      <c r="K392" s="519">
        <v>46089</v>
      </c>
      <c r="L392" s="519">
        <v>46091</v>
      </c>
      <c r="R392" s="519">
        <v>46098</v>
      </c>
      <c r="U392" s="519">
        <v>46113</v>
      </c>
    </row>
    <row r="393" spans="1:21">
      <c r="A393" t="s">
        <v>953</v>
      </c>
      <c r="B393" t="s">
        <v>3060</v>
      </c>
      <c r="C393" t="s">
        <v>953</v>
      </c>
      <c r="D393">
        <v>20464848</v>
      </c>
      <c r="E393" t="s">
        <v>2252</v>
      </c>
      <c r="F393" t="s">
        <v>1115</v>
      </c>
      <c r="G393" t="s">
        <v>2250</v>
      </c>
      <c r="H393" t="s">
        <v>587</v>
      </c>
      <c r="J393" s="519">
        <v>46089</v>
      </c>
      <c r="K393" s="519">
        <v>46089</v>
      </c>
      <c r="R393" s="519">
        <v>46091</v>
      </c>
      <c r="U393" s="519">
        <v>46090</v>
      </c>
    </row>
    <row r="394" spans="1:21">
      <c r="A394" t="s">
        <v>953</v>
      </c>
      <c r="B394" t="s">
        <v>3061</v>
      </c>
      <c r="C394" t="s">
        <v>953</v>
      </c>
      <c r="D394">
        <v>20472974</v>
      </c>
      <c r="E394" t="s">
        <v>2245</v>
      </c>
      <c r="F394" t="s">
        <v>984</v>
      </c>
      <c r="G394" t="s">
        <v>2250</v>
      </c>
      <c r="H394" t="s">
        <v>592</v>
      </c>
      <c r="J394" s="519">
        <v>46097</v>
      </c>
      <c r="U394" s="519">
        <v>46098</v>
      </c>
    </row>
    <row r="395" spans="1:21">
      <c r="A395" t="s">
        <v>953</v>
      </c>
      <c r="B395" t="s">
        <v>3062</v>
      </c>
      <c r="C395" t="s">
        <v>953</v>
      </c>
      <c r="D395">
        <v>20482024</v>
      </c>
      <c r="E395" t="s">
        <v>2245</v>
      </c>
      <c r="F395" t="s">
        <v>984</v>
      </c>
      <c r="G395" t="s">
        <v>2250</v>
      </c>
      <c r="H395" t="s">
        <v>592</v>
      </c>
      <c r="J395" s="519">
        <v>46109</v>
      </c>
      <c r="U395" s="519">
        <v>46113</v>
      </c>
    </row>
    <row r="396" spans="1:21">
      <c r="A396" t="s">
        <v>953</v>
      </c>
      <c r="B396" t="s">
        <v>3063</v>
      </c>
      <c r="C396" t="s">
        <v>953</v>
      </c>
      <c r="D396">
        <v>20483406</v>
      </c>
      <c r="E396" t="s">
        <v>1100</v>
      </c>
      <c r="F396" t="s">
        <v>581</v>
      </c>
      <c r="G396" t="s">
        <v>2250</v>
      </c>
      <c r="H396" t="s">
        <v>587</v>
      </c>
      <c r="J396" s="519">
        <v>46111</v>
      </c>
      <c r="K396" s="519">
        <v>46111</v>
      </c>
      <c r="U396" s="519">
        <v>46111</v>
      </c>
    </row>
    <row r="397" spans="1:21">
      <c r="A397" t="s">
        <v>953</v>
      </c>
      <c r="B397" t="s">
        <v>2546</v>
      </c>
      <c r="C397" t="s">
        <v>953</v>
      </c>
      <c r="D397">
        <v>20448159</v>
      </c>
      <c r="E397" t="s">
        <v>2252</v>
      </c>
      <c r="F397" t="s">
        <v>581</v>
      </c>
      <c r="G397" t="s">
        <v>2250</v>
      </c>
      <c r="H397" t="s">
        <v>589</v>
      </c>
      <c r="I397" t="s">
        <v>898</v>
      </c>
      <c r="J397" s="519">
        <v>46065</v>
      </c>
      <c r="K397" s="519">
        <v>46065</v>
      </c>
      <c r="R397" s="519">
        <v>46093</v>
      </c>
      <c r="U397" s="519">
        <v>46065</v>
      </c>
    </row>
    <row r="398" spans="1:21">
      <c r="A398" t="s">
        <v>953</v>
      </c>
      <c r="B398" t="s">
        <v>3064</v>
      </c>
      <c r="C398" t="s">
        <v>953</v>
      </c>
      <c r="D398">
        <v>20468603</v>
      </c>
      <c r="E398" t="s">
        <v>1100</v>
      </c>
      <c r="F398" t="s">
        <v>581</v>
      </c>
      <c r="G398" t="s">
        <v>2250</v>
      </c>
      <c r="H398" t="s">
        <v>587</v>
      </c>
      <c r="J398" s="519">
        <v>46092</v>
      </c>
      <c r="K398" s="519">
        <v>46092</v>
      </c>
      <c r="U398" s="519">
        <v>46092</v>
      </c>
    </row>
    <row r="399" spans="1:21">
      <c r="A399" t="s">
        <v>953</v>
      </c>
      <c r="B399" t="s">
        <v>1014</v>
      </c>
      <c r="C399" t="s">
        <v>953</v>
      </c>
      <c r="D399">
        <v>20469260</v>
      </c>
      <c r="E399" t="s">
        <v>1215</v>
      </c>
      <c r="F399" t="s">
        <v>578</v>
      </c>
      <c r="G399" t="s">
        <v>2248</v>
      </c>
      <c r="H399" t="s">
        <v>2287</v>
      </c>
      <c r="I399" t="s">
        <v>1013</v>
      </c>
      <c r="J399" s="519">
        <v>46093</v>
      </c>
      <c r="K399" s="519">
        <v>46093</v>
      </c>
      <c r="L399" s="519">
        <v>46093</v>
      </c>
      <c r="M399" s="519">
        <v>46106</v>
      </c>
      <c r="N399" s="519">
        <v>46106</v>
      </c>
      <c r="U399" s="519">
        <v>46123</v>
      </c>
    </row>
    <row r="400" spans="1:21">
      <c r="A400" t="s">
        <v>953</v>
      </c>
      <c r="B400" t="s">
        <v>3065</v>
      </c>
      <c r="C400" t="s">
        <v>953</v>
      </c>
      <c r="D400">
        <v>20473053</v>
      </c>
      <c r="E400" t="s">
        <v>2245</v>
      </c>
      <c r="F400" t="s">
        <v>984</v>
      </c>
      <c r="G400" t="s">
        <v>2250</v>
      </c>
      <c r="H400" t="s">
        <v>592</v>
      </c>
      <c r="J400" s="519">
        <v>46098</v>
      </c>
      <c r="U400" s="519">
        <v>46113</v>
      </c>
    </row>
    <row r="401" spans="1:21">
      <c r="A401" t="s">
        <v>953</v>
      </c>
      <c r="B401" t="s">
        <v>3066</v>
      </c>
      <c r="C401" t="s">
        <v>953</v>
      </c>
      <c r="D401">
        <v>20473152</v>
      </c>
      <c r="E401" t="s">
        <v>2245</v>
      </c>
      <c r="F401" t="s">
        <v>577</v>
      </c>
      <c r="G401" t="s">
        <v>2248</v>
      </c>
      <c r="H401" t="s">
        <v>2287</v>
      </c>
      <c r="I401" t="s">
        <v>1151</v>
      </c>
      <c r="J401" s="519">
        <v>46098</v>
      </c>
      <c r="U401" s="519">
        <v>46104</v>
      </c>
    </row>
    <row r="402" spans="1:21">
      <c r="A402" t="s">
        <v>953</v>
      </c>
      <c r="B402" t="s">
        <v>2549</v>
      </c>
      <c r="C402" t="s">
        <v>953</v>
      </c>
      <c r="D402">
        <v>20440430</v>
      </c>
      <c r="E402" t="s">
        <v>2252</v>
      </c>
      <c r="F402" t="s">
        <v>581</v>
      </c>
      <c r="G402" t="s">
        <v>2250</v>
      </c>
      <c r="H402" t="s">
        <v>589</v>
      </c>
      <c r="I402" t="s">
        <v>2550</v>
      </c>
      <c r="J402" s="519">
        <v>46056</v>
      </c>
      <c r="K402" s="519">
        <v>46056</v>
      </c>
      <c r="R402" s="519">
        <v>46085</v>
      </c>
      <c r="U402" s="519">
        <v>46056</v>
      </c>
    </row>
    <row r="403" spans="1:21">
      <c r="A403" t="s">
        <v>953</v>
      </c>
      <c r="B403" t="s">
        <v>3067</v>
      </c>
      <c r="C403" t="s">
        <v>953</v>
      </c>
      <c r="D403">
        <v>20475989</v>
      </c>
      <c r="E403" t="s">
        <v>2245</v>
      </c>
      <c r="F403" t="s">
        <v>581</v>
      </c>
      <c r="G403" t="s">
        <v>2246</v>
      </c>
      <c r="H403" t="s">
        <v>1526</v>
      </c>
      <c r="J403" s="519">
        <v>46100</v>
      </c>
      <c r="U403" s="519">
        <v>46100</v>
      </c>
    </row>
    <row r="404" spans="1:21">
      <c r="A404" t="s">
        <v>953</v>
      </c>
      <c r="B404" t="s">
        <v>3068</v>
      </c>
      <c r="C404" t="s">
        <v>953</v>
      </c>
      <c r="D404">
        <v>20482351</v>
      </c>
      <c r="E404" t="s">
        <v>2245</v>
      </c>
      <c r="F404" t="s">
        <v>984</v>
      </c>
      <c r="G404" t="s">
        <v>2250</v>
      </c>
      <c r="H404" t="s">
        <v>592</v>
      </c>
      <c r="J404" s="519">
        <v>46109</v>
      </c>
      <c r="U404" s="519">
        <v>46174</v>
      </c>
    </row>
    <row r="405" spans="1:21">
      <c r="A405" t="s">
        <v>953</v>
      </c>
      <c r="B405" t="s">
        <v>3069</v>
      </c>
      <c r="C405" t="s">
        <v>953</v>
      </c>
      <c r="D405">
        <v>20477048</v>
      </c>
      <c r="E405" t="s">
        <v>2245</v>
      </c>
      <c r="F405" t="s">
        <v>984</v>
      </c>
      <c r="G405" t="s">
        <v>2250</v>
      </c>
      <c r="H405" t="s">
        <v>592</v>
      </c>
      <c r="J405" s="519">
        <v>46101</v>
      </c>
      <c r="U405" s="519">
        <v>46113</v>
      </c>
    </row>
    <row r="406" spans="1:21">
      <c r="A406" t="s">
        <v>953</v>
      </c>
      <c r="B406" t="s">
        <v>1727</v>
      </c>
      <c r="C406" t="s">
        <v>953</v>
      </c>
      <c r="D406">
        <v>20471358</v>
      </c>
      <c r="E406" t="s">
        <v>2324</v>
      </c>
      <c r="F406" t="s">
        <v>578</v>
      </c>
      <c r="G406" t="s">
        <v>2250</v>
      </c>
      <c r="H406" t="s">
        <v>588</v>
      </c>
      <c r="I406" t="s">
        <v>881</v>
      </c>
      <c r="J406" s="519">
        <v>46095</v>
      </c>
      <c r="K406" s="519">
        <v>46095</v>
      </c>
      <c r="L406" s="519">
        <v>46108</v>
      </c>
      <c r="M406" s="519">
        <v>46111</v>
      </c>
      <c r="N406" s="519">
        <v>46111</v>
      </c>
      <c r="P406" s="519">
        <v>46111</v>
      </c>
      <c r="Q406" s="519">
        <v>46111</v>
      </c>
      <c r="U406" s="519">
        <v>46111</v>
      </c>
    </row>
    <row r="407" spans="1:21">
      <c r="A407" t="s">
        <v>953</v>
      </c>
      <c r="B407" t="s">
        <v>1152</v>
      </c>
      <c r="C407" t="s">
        <v>953</v>
      </c>
      <c r="D407">
        <v>20471361</v>
      </c>
      <c r="E407" t="s">
        <v>2245</v>
      </c>
      <c r="F407" t="s">
        <v>578</v>
      </c>
      <c r="G407" t="s">
        <v>2248</v>
      </c>
      <c r="H407" t="s">
        <v>588</v>
      </c>
      <c r="J407" s="519">
        <v>46095</v>
      </c>
      <c r="U407" s="519">
        <v>46095</v>
      </c>
    </row>
    <row r="408" spans="1:21">
      <c r="A408" t="s">
        <v>953</v>
      </c>
      <c r="B408" t="s">
        <v>1152</v>
      </c>
      <c r="C408" t="s">
        <v>953</v>
      </c>
      <c r="D408">
        <v>20471357</v>
      </c>
      <c r="E408" t="s">
        <v>1100</v>
      </c>
      <c r="F408" t="s">
        <v>578</v>
      </c>
      <c r="G408" t="s">
        <v>2250</v>
      </c>
      <c r="H408" t="s">
        <v>588</v>
      </c>
      <c r="I408" t="s">
        <v>1151</v>
      </c>
      <c r="J408" s="519">
        <v>46095</v>
      </c>
      <c r="K408" s="519">
        <v>46095</v>
      </c>
      <c r="U408" s="519">
        <v>46095</v>
      </c>
    </row>
    <row r="409" spans="1:21">
      <c r="A409" t="s">
        <v>953</v>
      </c>
      <c r="B409" t="s">
        <v>1146</v>
      </c>
      <c r="C409" t="s">
        <v>953</v>
      </c>
      <c r="D409">
        <v>20465180</v>
      </c>
      <c r="E409" t="s">
        <v>1100</v>
      </c>
      <c r="F409" t="s">
        <v>582</v>
      </c>
      <c r="G409" t="s">
        <v>2250</v>
      </c>
      <c r="H409" t="s">
        <v>587</v>
      </c>
      <c r="I409" t="s">
        <v>1145</v>
      </c>
      <c r="J409" s="519">
        <v>46090</v>
      </c>
      <c r="K409" s="519">
        <v>46090</v>
      </c>
      <c r="U409" s="519">
        <v>46090</v>
      </c>
    </row>
    <row r="410" spans="1:21">
      <c r="A410" t="s">
        <v>953</v>
      </c>
      <c r="B410" t="s">
        <v>1146</v>
      </c>
      <c r="C410" t="s">
        <v>953</v>
      </c>
      <c r="D410">
        <v>20464545</v>
      </c>
      <c r="E410" t="s">
        <v>2324</v>
      </c>
      <c r="F410" t="s">
        <v>582</v>
      </c>
      <c r="G410" t="s">
        <v>2259</v>
      </c>
      <c r="H410" t="s">
        <v>2388</v>
      </c>
      <c r="I410" t="s">
        <v>1145</v>
      </c>
      <c r="J410" s="519">
        <v>46088</v>
      </c>
      <c r="K410" s="519">
        <v>46090</v>
      </c>
      <c r="L410" s="519">
        <v>46090</v>
      </c>
      <c r="M410" s="519">
        <v>46093</v>
      </c>
      <c r="N410" s="519">
        <v>46093</v>
      </c>
      <c r="P410" s="519">
        <v>46093</v>
      </c>
      <c r="Q410" s="519">
        <v>46093</v>
      </c>
      <c r="U410" s="519">
        <v>46093</v>
      </c>
    </row>
    <row r="411" spans="1:21">
      <c r="A411" t="s">
        <v>953</v>
      </c>
      <c r="B411" t="s">
        <v>3070</v>
      </c>
      <c r="C411" t="s">
        <v>953</v>
      </c>
      <c r="D411">
        <v>20481552</v>
      </c>
      <c r="E411" t="s">
        <v>2245</v>
      </c>
      <c r="F411" t="s">
        <v>984</v>
      </c>
      <c r="G411" t="s">
        <v>2250</v>
      </c>
      <c r="H411" t="s">
        <v>592</v>
      </c>
      <c r="J411" s="519">
        <v>46108</v>
      </c>
      <c r="U411" s="519">
        <v>46118</v>
      </c>
    </row>
    <row r="412" spans="1:21">
      <c r="A412" t="s">
        <v>953</v>
      </c>
      <c r="B412" t="s">
        <v>3071</v>
      </c>
      <c r="C412" t="s">
        <v>953</v>
      </c>
      <c r="D412">
        <v>20472800</v>
      </c>
      <c r="E412" t="s">
        <v>2245</v>
      </c>
      <c r="F412" t="s">
        <v>578</v>
      </c>
      <c r="G412" t="s">
        <v>2248</v>
      </c>
      <c r="H412" t="s">
        <v>592</v>
      </c>
      <c r="J412" s="519">
        <v>46097</v>
      </c>
      <c r="U412" s="519">
        <v>46097</v>
      </c>
    </row>
    <row r="413" spans="1:21">
      <c r="A413" t="s">
        <v>953</v>
      </c>
      <c r="B413" t="s">
        <v>1036</v>
      </c>
      <c r="C413" t="s">
        <v>953</v>
      </c>
      <c r="D413">
        <v>20476384</v>
      </c>
      <c r="E413" t="s">
        <v>1110</v>
      </c>
      <c r="F413" t="s">
        <v>583</v>
      </c>
      <c r="G413" t="s">
        <v>2250</v>
      </c>
      <c r="H413" t="s">
        <v>587</v>
      </c>
      <c r="I413" t="s">
        <v>859</v>
      </c>
      <c r="J413" s="519">
        <v>46100</v>
      </c>
      <c r="K413" s="519">
        <v>46100</v>
      </c>
      <c r="L413" s="519">
        <v>46101</v>
      </c>
      <c r="U413" s="519">
        <v>46116</v>
      </c>
    </row>
    <row r="414" spans="1:21">
      <c r="A414" t="s">
        <v>953</v>
      </c>
      <c r="B414" t="s">
        <v>2565</v>
      </c>
      <c r="C414" t="s">
        <v>953</v>
      </c>
      <c r="D414">
        <v>20459614</v>
      </c>
      <c r="E414" t="s">
        <v>2258</v>
      </c>
      <c r="F414" t="s">
        <v>581</v>
      </c>
      <c r="G414" t="s">
        <v>2259</v>
      </c>
      <c r="H414" t="s">
        <v>592</v>
      </c>
      <c r="I414" t="s">
        <v>2861</v>
      </c>
      <c r="J414" s="519">
        <v>46081</v>
      </c>
      <c r="K414" s="519">
        <v>46102</v>
      </c>
      <c r="R414" s="519">
        <v>46102</v>
      </c>
      <c r="U414" s="519">
        <v>46113</v>
      </c>
    </row>
    <row r="415" spans="1:21">
      <c r="A415" t="s">
        <v>953</v>
      </c>
      <c r="B415" t="s">
        <v>3072</v>
      </c>
      <c r="C415" t="s">
        <v>953</v>
      </c>
      <c r="D415">
        <v>20479608</v>
      </c>
      <c r="E415" t="s">
        <v>2245</v>
      </c>
      <c r="F415" t="s">
        <v>984</v>
      </c>
      <c r="G415" t="s">
        <v>1213</v>
      </c>
      <c r="H415" t="s">
        <v>591</v>
      </c>
      <c r="I415" t="s">
        <v>1156</v>
      </c>
      <c r="J415" s="519">
        <v>46106</v>
      </c>
      <c r="U415" s="519">
        <v>46106</v>
      </c>
    </row>
    <row r="416" spans="1:21">
      <c r="A416" t="s">
        <v>953</v>
      </c>
      <c r="B416" t="s">
        <v>3073</v>
      </c>
      <c r="C416" t="s">
        <v>953</v>
      </c>
      <c r="D416">
        <v>20478182</v>
      </c>
      <c r="E416" t="s">
        <v>2245</v>
      </c>
      <c r="F416" t="s">
        <v>984</v>
      </c>
      <c r="G416" t="s">
        <v>2248</v>
      </c>
      <c r="H416" t="s">
        <v>587</v>
      </c>
      <c r="J416" s="519">
        <v>46104</v>
      </c>
      <c r="U416" s="519">
        <v>46104</v>
      </c>
    </row>
    <row r="417" spans="1:21">
      <c r="A417" t="s">
        <v>953</v>
      </c>
      <c r="B417" t="s">
        <v>3074</v>
      </c>
      <c r="C417" t="s">
        <v>953</v>
      </c>
      <c r="D417">
        <v>20461777</v>
      </c>
      <c r="E417" t="s">
        <v>2258</v>
      </c>
      <c r="F417" t="s">
        <v>577</v>
      </c>
      <c r="G417" t="s">
        <v>1213</v>
      </c>
      <c r="H417" t="s">
        <v>588</v>
      </c>
      <c r="J417" s="519">
        <v>46084</v>
      </c>
      <c r="R417" s="519">
        <v>46084</v>
      </c>
      <c r="U417" s="519">
        <v>46095</v>
      </c>
    </row>
    <row r="418" spans="1:21">
      <c r="A418" t="s">
        <v>953</v>
      </c>
      <c r="B418" t="s">
        <v>3075</v>
      </c>
      <c r="C418" t="s">
        <v>953</v>
      </c>
      <c r="D418">
        <v>20464694</v>
      </c>
      <c r="E418" t="s">
        <v>2245</v>
      </c>
      <c r="F418" t="s">
        <v>984</v>
      </c>
      <c r="G418" t="s">
        <v>2246</v>
      </c>
      <c r="H418" t="s">
        <v>587</v>
      </c>
      <c r="J418" s="519">
        <v>46088</v>
      </c>
      <c r="U418" s="519">
        <v>46113</v>
      </c>
    </row>
    <row r="419" spans="1:21">
      <c r="A419" t="s">
        <v>953</v>
      </c>
      <c r="B419" t="s">
        <v>1031</v>
      </c>
      <c r="C419" t="s">
        <v>953</v>
      </c>
      <c r="D419">
        <v>20471989</v>
      </c>
      <c r="E419" t="s">
        <v>1110</v>
      </c>
      <c r="F419" t="s">
        <v>583</v>
      </c>
      <c r="G419" t="s">
        <v>2250</v>
      </c>
      <c r="H419" t="s">
        <v>587</v>
      </c>
      <c r="I419" t="s">
        <v>3076</v>
      </c>
      <c r="J419" s="519">
        <v>46096</v>
      </c>
      <c r="K419" s="519">
        <v>46096</v>
      </c>
      <c r="L419" s="519">
        <v>46100</v>
      </c>
      <c r="U419" s="519">
        <v>46163</v>
      </c>
    </row>
    <row r="420" spans="1:21">
      <c r="A420" t="s">
        <v>953</v>
      </c>
      <c r="B420" t="s">
        <v>3077</v>
      </c>
      <c r="C420" t="s">
        <v>953</v>
      </c>
      <c r="D420">
        <v>20466376</v>
      </c>
      <c r="E420" t="s">
        <v>2258</v>
      </c>
      <c r="F420" t="s">
        <v>577</v>
      </c>
      <c r="G420" t="s">
        <v>2248</v>
      </c>
      <c r="H420" t="s">
        <v>588</v>
      </c>
      <c r="J420" s="519">
        <v>46091</v>
      </c>
      <c r="R420" s="519">
        <v>46095</v>
      </c>
      <c r="U420" s="519">
        <v>46167</v>
      </c>
    </row>
    <row r="421" spans="1:21">
      <c r="A421" t="s">
        <v>953</v>
      </c>
      <c r="B421" t="s">
        <v>3078</v>
      </c>
      <c r="C421" t="s">
        <v>953</v>
      </c>
      <c r="D421">
        <v>20472382</v>
      </c>
      <c r="E421" t="s">
        <v>2245</v>
      </c>
      <c r="F421" t="s">
        <v>984</v>
      </c>
      <c r="G421" t="s">
        <v>2250</v>
      </c>
      <c r="H421" t="s">
        <v>592</v>
      </c>
      <c r="J421" s="519">
        <v>46097</v>
      </c>
      <c r="U421" s="519">
        <v>46138</v>
      </c>
    </row>
    <row r="422" spans="1:21">
      <c r="A422" t="s">
        <v>953</v>
      </c>
      <c r="B422" t="s">
        <v>3079</v>
      </c>
      <c r="C422" t="s">
        <v>953</v>
      </c>
      <c r="D422">
        <v>20474234</v>
      </c>
      <c r="E422" t="s">
        <v>2245</v>
      </c>
      <c r="F422" t="s">
        <v>581</v>
      </c>
      <c r="G422" t="s">
        <v>2250</v>
      </c>
      <c r="H422" t="s">
        <v>592</v>
      </c>
      <c r="J422" s="519">
        <v>46098</v>
      </c>
      <c r="U422" s="519">
        <v>46146</v>
      </c>
    </row>
    <row r="423" spans="1:21">
      <c r="A423" t="s">
        <v>953</v>
      </c>
      <c r="B423" t="s">
        <v>3080</v>
      </c>
      <c r="C423" t="s">
        <v>953</v>
      </c>
      <c r="D423">
        <v>20462270</v>
      </c>
      <c r="E423" t="s">
        <v>2245</v>
      </c>
      <c r="F423" t="s">
        <v>577</v>
      </c>
      <c r="G423" t="s">
        <v>2248</v>
      </c>
      <c r="H423" t="s">
        <v>588</v>
      </c>
      <c r="I423" t="s">
        <v>3081</v>
      </c>
      <c r="J423" s="519">
        <v>46085</v>
      </c>
      <c r="U423" s="519">
        <v>46113</v>
      </c>
    </row>
    <row r="424" spans="1:21">
      <c r="A424" t="s">
        <v>953</v>
      </c>
      <c r="B424" t="s">
        <v>2574</v>
      </c>
      <c r="C424" t="s">
        <v>953</v>
      </c>
      <c r="D424">
        <v>20411202</v>
      </c>
      <c r="E424" t="s">
        <v>2252</v>
      </c>
      <c r="F424" t="s">
        <v>579</v>
      </c>
      <c r="G424" t="s">
        <v>2250</v>
      </c>
      <c r="H424" t="s">
        <v>590</v>
      </c>
      <c r="I424" t="s">
        <v>2575</v>
      </c>
      <c r="J424" s="519">
        <v>46013</v>
      </c>
      <c r="K424" s="519">
        <v>46013</v>
      </c>
      <c r="L424" s="519">
        <v>46066</v>
      </c>
      <c r="R424" s="519">
        <v>46083</v>
      </c>
      <c r="U424" s="519">
        <v>46087</v>
      </c>
    </row>
    <row r="425" spans="1:21">
      <c r="A425" t="s">
        <v>953</v>
      </c>
      <c r="B425" t="s">
        <v>2577</v>
      </c>
      <c r="C425" t="s">
        <v>953</v>
      </c>
      <c r="D425">
        <v>20448955</v>
      </c>
      <c r="E425" t="s">
        <v>2252</v>
      </c>
      <c r="F425" t="s">
        <v>984</v>
      </c>
      <c r="G425" t="s">
        <v>2290</v>
      </c>
      <c r="H425" t="s">
        <v>587</v>
      </c>
      <c r="J425" s="519">
        <v>46067</v>
      </c>
      <c r="K425" s="519">
        <v>46067</v>
      </c>
      <c r="R425" s="519">
        <v>46092</v>
      </c>
      <c r="U425" s="519">
        <v>46095</v>
      </c>
    </row>
    <row r="426" spans="1:21">
      <c r="A426" t="s">
        <v>953</v>
      </c>
      <c r="B426" t="s">
        <v>1017</v>
      </c>
      <c r="C426" t="s">
        <v>953</v>
      </c>
      <c r="D426">
        <v>20466485</v>
      </c>
      <c r="E426" t="s">
        <v>2324</v>
      </c>
      <c r="F426" t="s">
        <v>582</v>
      </c>
      <c r="G426" t="s">
        <v>2250</v>
      </c>
      <c r="H426" t="s">
        <v>1144</v>
      </c>
      <c r="I426" t="s">
        <v>1016</v>
      </c>
      <c r="J426" s="519">
        <v>46091</v>
      </c>
      <c r="K426" s="519">
        <v>46091</v>
      </c>
      <c r="L426" s="519">
        <v>46091</v>
      </c>
      <c r="M426" s="519">
        <v>46106</v>
      </c>
      <c r="N426" s="519">
        <v>46106</v>
      </c>
      <c r="P426" s="519">
        <v>46106</v>
      </c>
      <c r="Q426" s="519">
        <v>46108</v>
      </c>
      <c r="U426" s="519">
        <v>46109</v>
      </c>
    </row>
    <row r="427" spans="1:21">
      <c r="A427" t="s">
        <v>953</v>
      </c>
      <c r="B427" t="s">
        <v>3082</v>
      </c>
      <c r="C427" t="s">
        <v>953</v>
      </c>
      <c r="D427">
        <v>20471983</v>
      </c>
      <c r="E427" t="s">
        <v>2245</v>
      </c>
      <c r="F427" t="s">
        <v>581</v>
      </c>
      <c r="G427" t="s">
        <v>2250</v>
      </c>
      <c r="H427" t="s">
        <v>592</v>
      </c>
      <c r="J427" s="519">
        <v>46096</v>
      </c>
      <c r="U427" s="519">
        <v>46143</v>
      </c>
    </row>
    <row r="428" spans="1:21">
      <c r="A428" t="s">
        <v>953</v>
      </c>
      <c r="B428" t="s">
        <v>3083</v>
      </c>
      <c r="C428" t="s">
        <v>953</v>
      </c>
      <c r="D428">
        <v>20481203</v>
      </c>
      <c r="E428" t="s">
        <v>2245</v>
      </c>
      <c r="F428" t="s">
        <v>984</v>
      </c>
      <c r="G428" t="s">
        <v>2250</v>
      </c>
      <c r="H428" t="s">
        <v>592</v>
      </c>
      <c r="J428" s="519">
        <v>46108</v>
      </c>
      <c r="U428" s="519">
        <v>46143</v>
      </c>
    </row>
    <row r="429" spans="1:21">
      <c r="A429" t="s">
        <v>953</v>
      </c>
      <c r="B429" t="s">
        <v>3084</v>
      </c>
      <c r="C429" t="s">
        <v>953</v>
      </c>
      <c r="D429">
        <v>20465644</v>
      </c>
      <c r="E429" t="s">
        <v>1100</v>
      </c>
      <c r="F429" t="s">
        <v>984</v>
      </c>
      <c r="G429" t="s">
        <v>2259</v>
      </c>
      <c r="H429" t="s">
        <v>2388</v>
      </c>
      <c r="J429" s="519">
        <v>46090</v>
      </c>
      <c r="K429" s="519">
        <v>46108</v>
      </c>
      <c r="U429" s="519">
        <v>46147</v>
      </c>
    </row>
    <row r="430" spans="1:21">
      <c r="A430" t="s">
        <v>953</v>
      </c>
      <c r="B430" t="s">
        <v>3084</v>
      </c>
      <c r="C430" t="s">
        <v>953</v>
      </c>
      <c r="D430">
        <v>20481515</v>
      </c>
      <c r="E430" t="s">
        <v>1100</v>
      </c>
      <c r="F430" t="s">
        <v>1115</v>
      </c>
      <c r="G430" t="s">
        <v>2250</v>
      </c>
      <c r="H430" t="s">
        <v>587</v>
      </c>
      <c r="J430" s="519">
        <v>46108</v>
      </c>
      <c r="K430" s="519">
        <v>46108</v>
      </c>
      <c r="U430" s="519">
        <v>46146</v>
      </c>
    </row>
    <row r="431" spans="1:21">
      <c r="A431" t="s">
        <v>953</v>
      </c>
      <c r="B431" t="s">
        <v>3085</v>
      </c>
      <c r="C431" t="s">
        <v>953</v>
      </c>
      <c r="D431">
        <v>20480491</v>
      </c>
      <c r="E431" t="s">
        <v>2245</v>
      </c>
      <c r="F431" t="s">
        <v>984</v>
      </c>
      <c r="G431" t="s">
        <v>2259</v>
      </c>
      <c r="H431" t="s">
        <v>2388</v>
      </c>
      <c r="J431" s="519">
        <v>46107</v>
      </c>
      <c r="U431" s="519">
        <v>46109</v>
      </c>
    </row>
    <row r="432" spans="1:21">
      <c r="A432" t="s">
        <v>953</v>
      </c>
      <c r="B432" t="s">
        <v>3086</v>
      </c>
      <c r="C432" t="s">
        <v>953</v>
      </c>
      <c r="D432">
        <v>20479450</v>
      </c>
      <c r="E432" t="s">
        <v>1110</v>
      </c>
      <c r="F432" t="s">
        <v>583</v>
      </c>
      <c r="G432" t="s">
        <v>2250</v>
      </c>
      <c r="H432" t="s">
        <v>587</v>
      </c>
      <c r="I432" t="s">
        <v>2373</v>
      </c>
      <c r="J432" s="519">
        <v>46105</v>
      </c>
      <c r="K432" s="519">
        <v>46105</v>
      </c>
      <c r="L432" s="519">
        <v>46105</v>
      </c>
      <c r="U432" s="519">
        <v>46116</v>
      </c>
    </row>
    <row r="433" spans="1:21">
      <c r="A433" t="s">
        <v>953</v>
      </c>
      <c r="B433" t="s">
        <v>2583</v>
      </c>
      <c r="C433" t="s">
        <v>953</v>
      </c>
      <c r="D433">
        <v>20443745</v>
      </c>
      <c r="E433" t="s">
        <v>2252</v>
      </c>
      <c r="F433" t="s">
        <v>577</v>
      </c>
      <c r="G433" t="s">
        <v>2248</v>
      </c>
      <c r="H433" t="s">
        <v>589</v>
      </c>
      <c r="I433" t="s">
        <v>1034</v>
      </c>
      <c r="J433" s="519">
        <v>46062</v>
      </c>
      <c r="K433" s="519">
        <v>46066</v>
      </c>
      <c r="L433" s="519">
        <v>46071</v>
      </c>
      <c r="R433" s="519">
        <v>46085</v>
      </c>
      <c r="U433" s="519">
        <v>46086</v>
      </c>
    </row>
    <row r="434" spans="1:21">
      <c r="A434" t="s">
        <v>953</v>
      </c>
      <c r="B434" t="s">
        <v>3087</v>
      </c>
      <c r="C434" t="s">
        <v>953</v>
      </c>
      <c r="D434">
        <v>20462414</v>
      </c>
      <c r="E434" t="s">
        <v>2324</v>
      </c>
      <c r="F434" t="s">
        <v>582</v>
      </c>
      <c r="G434" t="s">
        <v>2248</v>
      </c>
      <c r="H434" t="s">
        <v>589</v>
      </c>
      <c r="I434" t="s">
        <v>1630</v>
      </c>
      <c r="J434" s="519">
        <v>46085</v>
      </c>
      <c r="K434" s="519">
        <v>46093</v>
      </c>
      <c r="L434" s="519">
        <v>46094</v>
      </c>
      <c r="M434" s="519">
        <v>46097</v>
      </c>
      <c r="N434" s="519">
        <v>46097</v>
      </c>
      <c r="P434" s="519">
        <v>46097</v>
      </c>
      <c r="Q434" s="519">
        <v>46098</v>
      </c>
      <c r="U434" s="519">
        <v>46097</v>
      </c>
    </row>
    <row r="435" spans="1:21">
      <c r="A435" t="s">
        <v>953</v>
      </c>
      <c r="B435" t="s">
        <v>3088</v>
      </c>
      <c r="C435" t="s">
        <v>953</v>
      </c>
      <c r="D435">
        <v>20482953</v>
      </c>
      <c r="E435" t="s">
        <v>1110</v>
      </c>
      <c r="F435" t="s">
        <v>578</v>
      </c>
      <c r="G435" t="s">
        <v>2250</v>
      </c>
      <c r="H435" t="s">
        <v>587</v>
      </c>
      <c r="I435" t="s">
        <v>1334</v>
      </c>
      <c r="J435" s="519">
        <v>46111</v>
      </c>
      <c r="K435" s="519">
        <v>46111</v>
      </c>
      <c r="L435" s="519">
        <v>46111</v>
      </c>
      <c r="U435" s="519">
        <v>46120</v>
      </c>
    </row>
    <row r="436" spans="1:21">
      <c r="A436" t="s">
        <v>953</v>
      </c>
      <c r="B436" t="s">
        <v>1008</v>
      </c>
      <c r="C436" t="s">
        <v>953</v>
      </c>
      <c r="D436">
        <v>20463400</v>
      </c>
      <c r="E436" t="s">
        <v>2324</v>
      </c>
      <c r="F436" t="s">
        <v>579</v>
      </c>
      <c r="G436" t="s">
        <v>2250</v>
      </c>
      <c r="H436" t="s">
        <v>3089</v>
      </c>
      <c r="I436" t="s">
        <v>1007</v>
      </c>
      <c r="J436" s="519">
        <v>46086</v>
      </c>
      <c r="K436" s="519">
        <v>46086</v>
      </c>
      <c r="L436" s="519">
        <v>46090</v>
      </c>
      <c r="M436" s="519">
        <v>46108</v>
      </c>
      <c r="N436" s="519">
        <v>46108</v>
      </c>
      <c r="P436" s="519">
        <v>46109</v>
      </c>
      <c r="Q436" s="519">
        <v>46109</v>
      </c>
      <c r="U436" s="519">
        <v>46109</v>
      </c>
    </row>
    <row r="437" spans="1:21">
      <c r="A437" t="s">
        <v>953</v>
      </c>
      <c r="B437" t="s">
        <v>3090</v>
      </c>
      <c r="C437" t="s">
        <v>953</v>
      </c>
      <c r="D437">
        <v>20463624</v>
      </c>
      <c r="E437" t="s">
        <v>2245</v>
      </c>
      <c r="F437" t="s">
        <v>984</v>
      </c>
      <c r="G437" t="s">
        <v>2290</v>
      </c>
      <c r="H437" t="s">
        <v>591</v>
      </c>
      <c r="I437" t="s">
        <v>1034</v>
      </c>
      <c r="J437" s="519">
        <v>46087</v>
      </c>
      <c r="U437" s="519">
        <v>46087</v>
      </c>
    </row>
    <row r="438" spans="1:21">
      <c r="A438" t="s">
        <v>953</v>
      </c>
      <c r="B438" t="s">
        <v>3091</v>
      </c>
      <c r="C438" t="s">
        <v>953</v>
      </c>
      <c r="D438">
        <v>20480160</v>
      </c>
      <c r="E438" t="s">
        <v>2245</v>
      </c>
      <c r="F438" t="s">
        <v>577</v>
      </c>
      <c r="G438" t="s">
        <v>1213</v>
      </c>
      <c r="H438" t="s">
        <v>588</v>
      </c>
      <c r="J438" s="519">
        <v>46106</v>
      </c>
      <c r="U438" s="519">
        <v>46143</v>
      </c>
    </row>
    <row r="439" spans="1:21">
      <c r="A439" t="s">
        <v>953</v>
      </c>
      <c r="B439" t="s">
        <v>3092</v>
      </c>
      <c r="C439" t="s">
        <v>953</v>
      </c>
      <c r="D439">
        <v>20472951</v>
      </c>
      <c r="E439" t="s">
        <v>1100</v>
      </c>
      <c r="F439" t="s">
        <v>581</v>
      </c>
      <c r="G439" t="s">
        <v>2250</v>
      </c>
      <c r="H439" t="s">
        <v>587</v>
      </c>
      <c r="J439" s="519">
        <v>46097</v>
      </c>
      <c r="K439" s="519">
        <v>46097</v>
      </c>
      <c r="U439" s="519">
        <v>46143</v>
      </c>
    </row>
    <row r="440" spans="1:21">
      <c r="A440" t="s">
        <v>953</v>
      </c>
      <c r="B440" t="s">
        <v>3093</v>
      </c>
      <c r="C440" t="s">
        <v>953</v>
      </c>
      <c r="D440">
        <v>20472871</v>
      </c>
      <c r="E440" t="s">
        <v>2245</v>
      </c>
      <c r="F440" t="s">
        <v>984</v>
      </c>
      <c r="G440" t="s">
        <v>2250</v>
      </c>
      <c r="H440" t="s">
        <v>592</v>
      </c>
      <c r="J440" s="519">
        <v>46097</v>
      </c>
      <c r="U440" s="519">
        <v>46113</v>
      </c>
    </row>
    <row r="441" spans="1:21">
      <c r="A441" t="s">
        <v>953</v>
      </c>
      <c r="B441" t="s">
        <v>3094</v>
      </c>
      <c r="C441" t="s">
        <v>953</v>
      </c>
      <c r="D441">
        <v>20483524</v>
      </c>
      <c r="E441" t="s">
        <v>2245</v>
      </c>
      <c r="F441" t="s">
        <v>583</v>
      </c>
      <c r="G441" t="s">
        <v>2248</v>
      </c>
      <c r="H441" t="s">
        <v>592</v>
      </c>
      <c r="J441" s="519">
        <v>46111</v>
      </c>
      <c r="U441" s="519">
        <v>46111</v>
      </c>
    </row>
    <row r="442" spans="1:21">
      <c r="A442" t="s">
        <v>953</v>
      </c>
      <c r="B442" t="s">
        <v>3095</v>
      </c>
      <c r="C442" t="s">
        <v>953</v>
      </c>
      <c r="D442">
        <v>20471303</v>
      </c>
      <c r="E442" t="s">
        <v>2245</v>
      </c>
      <c r="F442" t="s">
        <v>984</v>
      </c>
      <c r="G442" t="s">
        <v>2250</v>
      </c>
      <c r="H442" t="s">
        <v>592</v>
      </c>
      <c r="J442" s="519">
        <v>46095</v>
      </c>
      <c r="U442" s="519">
        <v>46101</v>
      </c>
    </row>
    <row r="443" spans="1:21">
      <c r="A443" t="s">
        <v>953</v>
      </c>
      <c r="B443" t="s">
        <v>3096</v>
      </c>
      <c r="C443" t="s">
        <v>953</v>
      </c>
      <c r="D443">
        <v>20474668</v>
      </c>
      <c r="E443" t="s">
        <v>2245</v>
      </c>
      <c r="F443" t="s">
        <v>581</v>
      </c>
      <c r="G443" t="s">
        <v>2250</v>
      </c>
      <c r="H443" t="s">
        <v>592</v>
      </c>
      <c r="J443" s="519">
        <v>46099</v>
      </c>
      <c r="U443" s="519">
        <v>46142</v>
      </c>
    </row>
    <row r="444" spans="1:21">
      <c r="A444" t="s">
        <v>953</v>
      </c>
      <c r="B444" t="s">
        <v>3097</v>
      </c>
      <c r="C444" t="s">
        <v>953</v>
      </c>
      <c r="D444">
        <v>20463010</v>
      </c>
      <c r="E444" t="s">
        <v>2245</v>
      </c>
      <c r="F444" t="s">
        <v>984</v>
      </c>
      <c r="G444" t="s">
        <v>2259</v>
      </c>
      <c r="H444" t="s">
        <v>2388</v>
      </c>
      <c r="J444" s="519">
        <v>46086</v>
      </c>
      <c r="U444" s="519">
        <v>46147</v>
      </c>
    </row>
    <row r="445" spans="1:21">
      <c r="A445" t="s">
        <v>953</v>
      </c>
      <c r="B445" t="s">
        <v>2592</v>
      </c>
      <c r="C445" t="s">
        <v>953</v>
      </c>
      <c r="D445">
        <v>20454782</v>
      </c>
      <c r="E445" t="s">
        <v>2324</v>
      </c>
      <c r="F445" t="s">
        <v>578</v>
      </c>
      <c r="G445" t="s">
        <v>2250</v>
      </c>
      <c r="H445" t="s">
        <v>587</v>
      </c>
      <c r="I445" t="s">
        <v>2593</v>
      </c>
      <c r="J445" s="519">
        <v>46074</v>
      </c>
      <c r="K445" s="519">
        <v>46074</v>
      </c>
      <c r="L445" s="519">
        <v>46074</v>
      </c>
      <c r="M445" s="519">
        <v>46091</v>
      </c>
      <c r="N445" s="519">
        <v>46091</v>
      </c>
      <c r="P445" s="519">
        <v>46091</v>
      </c>
      <c r="Q445" s="519">
        <v>46103</v>
      </c>
      <c r="U445" s="519">
        <v>46102</v>
      </c>
    </row>
    <row r="446" spans="1:21">
      <c r="A446" t="s">
        <v>953</v>
      </c>
      <c r="B446" t="s">
        <v>2592</v>
      </c>
      <c r="C446" t="s">
        <v>953</v>
      </c>
      <c r="D446">
        <v>20452638</v>
      </c>
      <c r="E446" t="s">
        <v>1100</v>
      </c>
      <c r="F446" t="s">
        <v>984</v>
      </c>
      <c r="G446" t="s">
        <v>2246</v>
      </c>
      <c r="H446" t="s">
        <v>587</v>
      </c>
      <c r="J446" s="519">
        <v>46071</v>
      </c>
      <c r="K446" s="519">
        <v>46086</v>
      </c>
      <c r="U446" s="519">
        <v>46102</v>
      </c>
    </row>
    <row r="447" spans="1:21">
      <c r="A447" t="s">
        <v>953</v>
      </c>
      <c r="B447" t="s">
        <v>3098</v>
      </c>
      <c r="C447" t="s">
        <v>953</v>
      </c>
      <c r="D447">
        <v>20461469</v>
      </c>
      <c r="E447" t="s">
        <v>2252</v>
      </c>
      <c r="F447" t="s">
        <v>579</v>
      </c>
      <c r="G447" t="s">
        <v>2250</v>
      </c>
      <c r="H447" t="s">
        <v>587</v>
      </c>
      <c r="I447" t="s">
        <v>3099</v>
      </c>
      <c r="J447" s="519">
        <v>46084</v>
      </c>
      <c r="K447" s="519">
        <v>46084</v>
      </c>
      <c r="L447" s="519">
        <v>46086</v>
      </c>
      <c r="R447" s="519">
        <v>46086</v>
      </c>
      <c r="U447" s="519">
        <v>46084</v>
      </c>
    </row>
    <row r="448" spans="1:21">
      <c r="A448" t="s">
        <v>953</v>
      </c>
      <c r="B448" t="s">
        <v>3100</v>
      </c>
      <c r="C448" t="s">
        <v>953</v>
      </c>
      <c r="D448">
        <v>20482659</v>
      </c>
      <c r="E448" t="s">
        <v>1110</v>
      </c>
      <c r="F448" t="s">
        <v>583</v>
      </c>
      <c r="G448" t="s">
        <v>2250</v>
      </c>
      <c r="H448" t="s">
        <v>587</v>
      </c>
      <c r="I448" t="s">
        <v>1037</v>
      </c>
      <c r="J448" s="519">
        <v>46110</v>
      </c>
      <c r="K448" s="519">
        <v>46110</v>
      </c>
      <c r="L448" s="519">
        <v>46110</v>
      </c>
      <c r="U448" s="519">
        <v>46115</v>
      </c>
    </row>
    <row r="449" spans="1:21">
      <c r="A449" t="s">
        <v>953</v>
      </c>
      <c r="B449" t="s">
        <v>3101</v>
      </c>
      <c r="C449" t="s">
        <v>953</v>
      </c>
      <c r="D449">
        <v>20479195</v>
      </c>
      <c r="E449" t="s">
        <v>2245</v>
      </c>
      <c r="F449" t="s">
        <v>984</v>
      </c>
      <c r="G449" t="s">
        <v>2250</v>
      </c>
      <c r="H449" t="s">
        <v>592</v>
      </c>
      <c r="J449" s="519">
        <v>46105</v>
      </c>
      <c r="U449" s="519">
        <v>46117</v>
      </c>
    </row>
    <row r="450" spans="1:21">
      <c r="A450" t="s">
        <v>953</v>
      </c>
      <c r="B450" t="s">
        <v>3102</v>
      </c>
      <c r="C450" t="s">
        <v>953</v>
      </c>
      <c r="D450">
        <v>20477313</v>
      </c>
      <c r="E450" t="s">
        <v>2245</v>
      </c>
      <c r="F450" t="s">
        <v>581</v>
      </c>
      <c r="G450" t="s">
        <v>2250</v>
      </c>
      <c r="H450" t="s">
        <v>592</v>
      </c>
      <c r="J450" s="519">
        <v>46102</v>
      </c>
      <c r="U450" s="519">
        <v>46162</v>
      </c>
    </row>
    <row r="451" spans="1:21">
      <c r="A451" t="s">
        <v>953</v>
      </c>
      <c r="B451" t="s">
        <v>3103</v>
      </c>
      <c r="C451" t="s">
        <v>953</v>
      </c>
      <c r="D451">
        <v>20475524</v>
      </c>
      <c r="E451" t="s">
        <v>2245</v>
      </c>
      <c r="F451" t="s">
        <v>581</v>
      </c>
      <c r="G451" t="s">
        <v>2250</v>
      </c>
      <c r="H451" t="s">
        <v>592</v>
      </c>
      <c r="J451" s="519">
        <v>46099</v>
      </c>
      <c r="U451" s="519">
        <v>46160</v>
      </c>
    </row>
    <row r="452" spans="1:21">
      <c r="A452" t="s">
        <v>953</v>
      </c>
      <c r="B452" t="s">
        <v>579</v>
      </c>
      <c r="C452" t="s">
        <v>953</v>
      </c>
      <c r="D452">
        <v>20473219</v>
      </c>
      <c r="E452" t="s">
        <v>2258</v>
      </c>
      <c r="F452" t="s">
        <v>579</v>
      </c>
      <c r="G452" t="s">
        <v>2248</v>
      </c>
      <c r="H452" t="s">
        <v>588</v>
      </c>
      <c r="J452" s="519">
        <v>46098</v>
      </c>
      <c r="R452" s="519">
        <v>46102</v>
      </c>
      <c r="U452" s="519">
        <v>46098</v>
      </c>
    </row>
    <row r="453" spans="1:21">
      <c r="A453" t="s">
        <v>953</v>
      </c>
      <c r="B453" t="s">
        <v>1004</v>
      </c>
      <c r="C453" t="s">
        <v>953</v>
      </c>
      <c r="D453">
        <v>20463160</v>
      </c>
      <c r="E453" t="s">
        <v>2324</v>
      </c>
      <c r="F453" t="s">
        <v>583</v>
      </c>
      <c r="G453" t="s">
        <v>2248</v>
      </c>
      <c r="H453" t="s">
        <v>588</v>
      </c>
      <c r="I453" t="s">
        <v>1003</v>
      </c>
      <c r="J453" s="519">
        <v>46086</v>
      </c>
      <c r="K453" s="519">
        <v>46089</v>
      </c>
      <c r="L453" s="519">
        <v>46089</v>
      </c>
      <c r="M453" s="519">
        <v>46093</v>
      </c>
      <c r="N453" s="519">
        <v>46093</v>
      </c>
      <c r="P453" s="519">
        <v>46109</v>
      </c>
      <c r="Q453" s="519">
        <v>46109</v>
      </c>
      <c r="U453" s="519">
        <v>46137</v>
      </c>
    </row>
    <row r="454" spans="1:21">
      <c r="A454" t="s">
        <v>953</v>
      </c>
      <c r="B454" t="s">
        <v>1004</v>
      </c>
      <c r="C454" t="s">
        <v>953</v>
      </c>
      <c r="D454">
        <v>20464681</v>
      </c>
      <c r="E454" t="s">
        <v>2252</v>
      </c>
      <c r="F454" t="s">
        <v>1115</v>
      </c>
      <c r="G454" t="s">
        <v>2250</v>
      </c>
      <c r="H454" t="s">
        <v>587</v>
      </c>
      <c r="J454" s="519">
        <v>46088</v>
      </c>
      <c r="K454" s="519">
        <v>46088</v>
      </c>
      <c r="R454" s="519">
        <v>46090</v>
      </c>
      <c r="U454" s="519">
        <v>46088</v>
      </c>
    </row>
    <row r="455" spans="1:21">
      <c r="A455" t="s">
        <v>953</v>
      </c>
      <c r="B455" t="s">
        <v>3104</v>
      </c>
      <c r="C455" t="s">
        <v>953</v>
      </c>
      <c r="D455">
        <v>20477389</v>
      </c>
      <c r="E455" t="s">
        <v>2258</v>
      </c>
      <c r="F455" t="s">
        <v>579</v>
      </c>
      <c r="G455" t="s">
        <v>2248</v>
      </c>
      <c r="H455" t="s">
        <v>589</v>
      </c>
      <c r="I455" t="s">
        <v>1156</v>
      </c>
      <c r="J455" s="519">
        <v>46102</v>
      </c>
      <c r="R455" s="519">
        <v>46102</v>
      </c>
      <c r="U455" s="519">
        <v>46102</v>
      </c>
    </row>
    <row r="456" spans="1:21">
      <c r="A456" t="s">
        <v>953</v>
      </c>
      <c r="B456" t="s">
        <v>2605</v>
      </c>
      <c r="C456" t="s">
        <v>953</v>
      </c>
      <c r="D456">
        <v>20452027</v>
      </c>
      <c r="E456" t="s">
        <v>2252</v>
      </c>
      <c r="F456" t="s">
        <v>577</v>
      </c>
      <c r="G456" t="s">
        <v>2248</v>
      </c>
      <c r="H456" t="s">
        <v>588</v>
      </c>
      <c r="I456" t="s">
        <v>2266</v>
      </c>
      <c r="J456" s="519">
        <v>46071</v>
      </c>
      <c r="K456" s="519">
        <v>46078</v>
      </c>
      <c r="L456" s="519">
        <v>46079</v>
      </c>
      <c r="R456" s="519">
        <v>46098</v>
      </c>
      <c r="U456" s="519">
        <v>46102</v>
      </c>
    </row>
    <row r="457" spans="1:21">
      <c r="A457" t="s">
        <v>953</v>
      </c>
      <c r="B457" t="s">
        <v>3105</v>
      </c>
      <c r="C457" t="s">
        <v>953</v>
      </c>
      <c r="D457">
        <v>20480105</v>
      </c>
      <c r="E457" t="s">
        <v>2245</v>
      </c>
      <c r="F457" t="s">
        <v>581</v>
      </c>
      <c r="G457" t="s">
        <v>2290</v>
      </c>
      <c r="H457" t="s">
        <v>591</v>
      </c>
      <c r="J457" s="519">
        <v>46106</v>
      </c>
      <c r="U457" s="519">
        <v>46106</v>
      </c>
    </row>
    <row r="458" spans="1:21">
      <c r="A458" t="s">
        <v>953</v>
      </c>
      <c r="B458" t="s">
        <v>3106</v>
      </c>
      <c r="C458" t="s">
        <v>953</v>
      </c>
      <c r="D458">
        <v>20483458</v>
      </c>
      <c r="E458" t="s">
        <v>2245</v>
      </c>
      <c r="F458" t="s">
        <v>581</v>
      </c>
      <c r="G458" t="s">
        <v>2250</v>
      </c>
      <c r="H458" t="s">
        <v>592</v>
      </c>
      <c r="J458" s="519">
        <v>46111</v>
      </c>
      <c r="U458" s="519">
        <v>46263</v>
      </c>
    </row>
    <row r="459" spans="1:21">
      <c r="A459" t="s">
        <v>953</v>
      </c>
      <c r="B459" t="s">
        <v>3107</v>
      </c>
      <c r="C459" t="s">
        <v>953</v>
      </c>
      <c r="D459">
        <v>20476851</v>
      </c>
      <c r="E459" t="s">
        <v>2245</v>
      </c>
      <c r="F459" t="s">
        <v>579</v>
      </c>
      <c r="G459" t="s">
        <v>2248</v>
      </c>
      <c r="H459" t="s">
        <v>588</v>
      </c>
      <c r="J459" s="519">
        <v>46101</v>
      </c>
      <c r="U459" s="519">
        <v>46101</v>
      </c>
    </row>
    <row r="460" spans="1:21">
      <c r="A460" t="s">
        <v>953</v>
      </c>
      <c r="B460" t="s">
        <v>2606</v>
      </c>
      <c r="C460" t="s">
        <v>953</v>
      </c>
      <c r="D460">
        <v>20444508</v>
      </c>
      <c r="E460" t="s">
        <v>2252</v>
      </c>
      <c r="F460" t="s">
        <v>1115</v>
      </c>
      <c r="G460" t="s">
        <v>2250</v>
      </c>
      <c r="H460" t="s">
        <v>589</v>
      </c>
      <c r="J460" s="519">
        <v>46063</v>
      </c>
      <c r="K460" s="519">
        <v>46063</v>
      </c>
      <c r="R460" s="519">
        <v>46083</v>
      </c>
      <c r="U460" s="519">
        <v>46063</v>
      </c>
    </row>
    <row r="461" spans="1:21">
      <c r="A461" t="s">
        <v>953</v>
      </c>
      <c r="B461" t="s">
        <v>3108</v>
      </c>
      <c r="C461" t="s">
        <v>953</v>
      </c>
      <c r="D461">
        <v>20483672</v>
      </c>
      <c r="E461" t="s">
        <v>2245</v>
      </c>
      <c r="F461" t="s">
        <v>581</v>
      </c>
      <c r="G461" t="s">
        <v>2250</v>
      </c>
      <c r="H461" t="s">
        <v>592</v>
      </c>
      <c r="J461" s="519">
        <v>46111</v>
      </c>
      <c r="U461" s="519">
        <v>46122</v>
      </c>
    </row>
    <row r="462" spans="1:21">
      <c r="A462" t="s">
        <v>953</v>
      </c>
      <c r="B462" t="s">
        <v>3109</v>
      </c>
      <c r="C462" t="s">
        <v>953</v>
      </c>
      <c r="D462">
        <v>20474170</v>
      </c>
      <c r="E462" t="s">
        <v>2245</v>
      </c>
      <c r="F462" t="s">
        <v>581</v>
      </c>
      <c r="G462" t="s">
        <v>2250</v>
      </c>
      <c r="H462" t="s">
        <v>592</v>
      </c>
      <c r="J462" s="519">
        <v>46098</v>
      </c>
      <c r="U462" s="519">
        <v>46131</v>
      </c>
    </row>
    <row r="463" spans="1:21">
      <c r="A463" t="s">
        <v>953</v>
      </c>
      <c r="B463" t="s">
        <v>1143</v>
      </c>
      <c r="C463" t="s">
        <v>953</v>
      </c>
      <c r="D463">
        <v>20465610</v>
      </c>
      <c r="E463" t="s">
        <v>1100</v>
      </c>
      <c r="F463" t="s">
        <v>579</v>
      </c>
      <c r="G463" t="s">
        <v>2250</v>
      </c>
      <c r="H463" t="s">
        <v>1144</v>
      </c>
      <c r="I463" t="s">
        <v>1142</v>
      </c>
      <c r="J463" s="519">
        <v>46090</v>
      </c>
      <c r="K463" s="519">
        <v>46090</v>
      </c>
      <c r="U463" s="519">
        <v>46113</v>
      </c>
    </row>
    <row r="464" spans="1:21">
      <c r="A464" t="s">
        <v>953</v>
      </c>
      <c r="B464" t="s">
        <v>2611</v>
      </c>
      <c r="C464" t="s">
        <v>953</v>
      </c>
      <c r="D464">
        <v>20457433</v>
      </c>
      <c r="E464" t="s">
        <v>2252</v>
      </c>
      <c r="F464" t="s">
        <v>579</v>
      </c>
      <c r="G464" t="s">
        <v>2259</v>
      </c>
      <c r="H464" t="s">
        <v>592</v>
      </c>
      <c r="I464" t="s">
        <v>986</v>
      </c>
      <c r="J464" s="519">
        <v>46078</v>
      </c>
      <c r="K464" s="519">
        <v>46088</v>
      </c>
      <c r="L464" s="519">
        <v>46088</v>
      </c>
      <c r="M464" s="519">
        <v>46104</v>
      </c>
      <c r="N464" s="519">
        <v>46104</v>
      </c>
      <c r="R464" s="519">
        <v>46108</v>
      </c>
      <c r="U464" s="519">
        <v>46109</v>
      </c>
    </row>
    <row r="465" spans="1:21">
      <c r="A465" t="s">
        <v>953</v>
      </c>
      <c r="B465" t="s">
        <v>3110</v>
      </c>
      <c r="C465" t="s">
        <v>953</v>
      </c>
      <c r="D465">
        <v>20461301</v>
      </c>
      <c r="E465" t="s">
        <v>2324</v>
      </c>
      <c r="F465" t="s">
        <v>579</v>
      </c>
      <c r="G465" t="s">
        <v>2250</v>
      </c>
      <c r="H465" t="s">
        <v>3089</v>
      </c>
      <c r="I465" t="s">
        <v>3111</v>
      </c>
      <c r="J465" s="519">
        <v>46084</v>
      </c>
      <c r="K465" s="519">
        <v>46084</v>
      </c>
      <c r="L465" s="519">
        <v>46084</v>
      </c>
      <c r="M465" s="519">
        <v>46101</v>
      </c>
      <c r="N465" s="519">
        <v>46101</v>
      </c>
      <c r="O465" s="519">
        <v>46102</v>
      </c>
      <c r="P465" s="519">
        <v>46102</v>
      </c>
      <c r="Q465" s="519">
        <v>46103</v>
      </c>
      <c r="U465" s="519">
        <v>46172</v>
      </c>
    </row>
    <row r="466" spans="1:21">
      <c r="A466" t="s">
        <v>953</v>
      </c>
      <c r="B466" t="s">
        <v>3112</v>
      </c>
      <c r="C466" t="s">
        <v>953</v>
      </c>
      <c r="D466">
        <v>20471352</v>
      </c>
      <c r="E466" t="s">
        <v>2245</v>
      </c>
      <c r="F466" t="s">
        <v>984</v>
      </c>
      <c r="G466" t="s">
        <v>2250</v>
      </c>
      <c r="H466" t="s">
        <v>592</v>
      </c>
      <c r="J466" s="519">
        <v>46095</v>
      </c>
      <c r="U466" s="519">
        <v>46111</v>
      </c>
    </row>
    <row r="467" spans="1:21">
      <c r="A467" t="s">
        <v>953</v>
      </c>
      <c r="B467" t="s">
        <v>3113</v>
      </c>
      <c r="C467" t="s">
        <v>953</v>
      </c>
      <c r="D467">
        <v>20471990</v>
      </c>
      <c r="E467" t="s">
        <v>2245</v>
      </c>
      <c r="F467" t="s">
        <v>581</v>
      </c>
      <c r="G467" t="s">
        <v>2250</v>
      </c>
      <c r="H467" t="s">
        <v>592</v>
      </c>
      <c r="J467" s="519">
        <v>46096</v>
      </c>
      <c r="U467" s="519">
        <v>46097</v>
      </c>
    </row>
    <row r="468" spans="1:21">
      <c r="A468" t="s">
        <v>953</v>
      </c>
      <c r="B468" t="s">
        <v>1011</v>
      </c>
      <c r="C468" t="s">
        <v>953</v>
      </c>
      <c r="D468">
        <v>20470735</v>
      </c>
      <c r="E468" t="s">
        <v>2252</v>
      </c>
      <c r="F468" t="s">
        <v>582</v>
      </c>
      <c r="G468" t="s">
        <v>2248</v>
      </c>
      <c r="H468" t="s">
        <v>591</v>
      </c>
      <c r="I468" t="s">
        <v>1010</v>
      </c>
      <c r="J468" s="519">
        <v>46094</v>
      </c>
      <c r="K468" s="519">
        <v>46094</v>
      </c>
      <c r="L468" s="519">
        <v>46094</v>
      </c>
      <c r="M468" s="519">
        <v>46104</v>
      </c>
      <c r="N468" s="519">
        <v>46106</v>
      </c>
      <c r="R468" s="519">
        <v>46107</v>
      </c>
      <c r="U468" s="519">
        <v>46111</v>
      </c>
    </row>
    <row r="469" spans="1:21">
      <c r="A469" t="s">
        <v>953</v>
      </c>
      <c r="B469" t="s">
        <v>3114</v>
      </c>
      <c r="C469" t="s">
        <v>953</v>
      </c>
      <c r="D469">
        <v>20475942</v>
      </c>
      <c r="E469" t="s">
        <v>2245</v>
      </c>
      <c r="F469" t="s">
        <v>581</v>
      </c>
      <c r="G469" t="s">
        <v>2248</v>
      </c>
      <c r="H469" t="s">
        <v>588</v>
      </c>
      <c r="J469" s="519">
        <v>46100</v>
      </c>
      <c r="U469" s="519">
        <v>46143</v>
      </c>
    </row>
    <row r="470" spans="1:21">
      <c r="A470" t="s">
        <v>953</v>
      </c>
      <c r="B470" t="s">
        <v>3115</v>
      </c>
      <c r="C470" t="s">
        <v>953</v>
      </c>
      <c r="D470">
        <v>20471888</v>
      </c>
      <c r="E470" t="s">
        <v>2245</v>
      </c>
      <c r="F470" t="s">
        <v>581</v>
      </c>
      <c r="G470" t="s">
        <v>2250</v>
      </c>
      <c r="H470" t="s">
        <v>592</v>
      </c>
      <c r="J470" s="519">
        <v>46096</v>
      </c>
      <c r="U470" s="519">
        <v>46128</v>
      </c>
    </row>
    <row r="471" spans="1:21">
      <c r="A471" t="s">
        <v>953</v>
      </c>
      <c r="B471" t="s">
        <v>3116</v>
      </c>
      <c r="C471" t="s">
        <v>953</v>
      </c>
      <c r="D471">
        <v>20478172</v>
      </c>
      <c r="E471" t="s">
        <v>1100</v>
      </c>
      <c r="F471" t="s">
        <v>984</v>
      </c>
      <c r="G471" t="s">
        <v>2250</v>
      </c>
      <c r="H471" t="s">
        <v>592</v>
      </c>
      <c r="I471" t="s">
        <v>1120</v>
      </c>
      <c r="J471" s="519">
        <v>46104</v>
      </c>
      <c r="K471" s="519">
        <v>46105</v>
      </c>
      <c r="U471" s="519">
        <v>46134</v>
      </c>
    </row>
    <row r="472" spans="1:21">
      <c r="A472" t="s">
        <v>953</v>
      </c>
      <c r="B472" t="s">
        <v>3117</v>
      </c>
      <c r="C472" t="s">
        <v>953</v>
      </c>
      <c r="D472">
        <v>20483448</v>
      </c>
      <c r="E472" t="s">
        <v>1100</v>
      </c>
      <c r="F472" t="s">
        <v>1115</v>
      </c>
      <c r="G472" t="s">
        <v>2250</v>
      </c>
      <c r="H472" t="s">
        <v>587</v>
      </c>
      <c r="I472" t="s">
        <v>3118</v>
      </c>
      <c r="J472" s="519">
        <v>46111</v>
      </c>
      <c r="K472" s="519">
        <v>46111</v>
      </c>
      <c r="U472" s="519">
        <v>46111</v>
      </c>
    </row>
    <row r="473" spans="1:21">
      <c r="A473" t="s">
        <v>953</v>
      </c>
      <c r="B473" t="s">
        <v>3119</v>
      </c>
      <c r="C473" t="s">
        <v>953</v>
      </c>
      <c r="D473">
        <v>20473038</v>
      </c>
      <c r="E473" t="s">
        <v>1100</v>
      </c>
      <c r="F473" t="s">
        <v>1001</v>
      </c>
      <c r="G473" t="s">
        <v>2250</v>
      </c>
      <c r="H473" t="s">
        <v>2453</v>
      </c>
      <c r="I473" t="s">
        <v>1042</v>
      </c>
      <c r="J473" s="519">
        <v>46098</v>
      </c>
      <c r="K473" s="519">
        <v>46098</v>
      </c>
      <c r="U473" s="519">
        <v>46098</v>
      </c>
    </row>
    <row r="474" spans="1:21">
      <c r="A474" t="s">
        <v>953</v>
      </c>
      <c r="B474" t="s">
        <v>3120</v>
      </c>
      <c r="C474" t="s">
        <v>953</v>
      </c>
      <c r="D474">
        <v>20478278</v>
      </c>
      <c r="E474" t="s">
        <v>2245</v>
      </c>
      <c r="F474" t="s">
        <v>581</v>
      </c>
      <c r="G474" t="s">
        <v>2246</v>
      </c>
      <c r="H474" t="s">
        <v>588</v>
      </c>
      <c r="J474" s="519">
        <v>46104</v>
      </c>
      <c r="U474" s="519">
        <v>46143</v>
      </c>
    </row>
    <row r="475" spans="1:21">
      <c r="A475" t="s">
        <v>953</v>
      </c>
      <c r="B475" t="s">
        <v>3121</v>
      </c>
      <c r="C475" t="s">
        <v>953</v>
      </c>
      <c r="D475">
        <v>20476332</v>
      </c>
      <c r="E475" t="s">
        <v>2245</v>
      </c>
      <c r="F475" t="s">
        <v>581</v>
      </c>
      <c r="G475" t="s">
        <v>2250</v>
      </c>
      <c r="H475" t="s">
        <v>592</v>
      </c>
      <c r="J475" s="519">
        <v>46100</v>
      </c>
      <c r="U475" s="519">
        <v>46144</v>
      </c>
    </row>
    <row r="476" spans="1:21">
      <c r="A476" t="s">
        <v>953</v>
      </c>
      <c r="B476" t="s">
        <v>3122</v>
      </c>
      <c r="C476" t="s">
        <v>953</v>
      </c>
      <c r="D476">
        <v>20477535</v>
      </c>
      <c r="E476" t="s">
        <v>2245</v>
      </c>
      <c r="F476" t="s">
        <v>984</v>
      </c>
      <c r="G476" t="s">
        <v>2246</v>
      </c>
      <c r="H476" t="s">
        <v>591</v>
      </c>
      <c r="J476" s="519">
        <v>46102</v>
      </c>
      <c r="U476" s="519">
        <v>46164</v>
      </c>
    </row>
    <row r="477" spans="1:21">
      <c r="A477" t="s">
        <v>953</v>
      </c>
      <c r="B477" t="s">
        <v>3123</v>
      </c>
      <c r="C477" t="s">
        <v>953</v>
      </c>
      <c r="D477">
        <v>20463549</v>
      </c>
      <c r="E477" t="s">
        <v>2245</v>
      </c>
      <c r="F477" t="s">
        <v>984</v>
      </c>
      <c r="G477" t="s">
        <v>2246</v>
      </c>
      <c r="H477" t="s">
        <v>587</v>
      </c>
      <c r="J477" s="519">
        <v>46087</v>
      </c>
      <c r="U477" s="519">
        <v>46107</v>
      </c>
    </row>
    <row r="478" spans="1:21">
      <c r="A478" t="s">
        <v>953</v>
      </c>
      <c r="B478" t="s">
        <v>3124</v>
      </c>
      <c r="C478" t="s">
        <v>953</v>
      </c>
      <c r="D478">
        <v>20475849</v>
      </c>
      <c r="E478" t="s">
        <v>2245</v>
      </c>
      <c r="F478" t="s">
        <v>984</v>
      </c>
      <c r="G478" t="s">
        <v>2259</v>
      </c>
      <c r="H478" t="s">
        <v>2388</v>
      </c>
      <c r="I478" t="s">
        <v>1034</v>
      </c>
      <c r="J478" s="519">
        <v>46100</v>
      </c>
      <c r="U478" s="519">
        <v>46100</v>
      </c>
    </row>
    <row r="479" spans="1:21">
      <c r="A479" t="s">
        <v>953</v>
      </c>
      <c r="B479" t="s">
        <v>3125</v>
      </c>
      <c r="C479" t="s">
        <v>953</v>
      </c>
      <c r="D479">
        <v>20478891</v>
      </c>
      <c r="E479" t="s">
        <v>2245</v>
      </c>
      <c r="F479" t="s">
        <v>577</v>
      </c>
      <c r="G479" t="s">
        <v>2248</v>
      </c>
      <c r="H479" t="s">
        <v>2428</v>
      </c>
      <c r="J479" s="519">
        <v>46105</v>
      </c>
      <c r="U479" s="519">
        <v>46108</v>
      </c>
    </row>
    <row r="480" spans="1:21">
      <c r="A480" t="s">
        <v>953</v>
      </c>
      <c r="B480" t="s">
        <v>3126</v>
      </c>
      <c r="C480" t="s">
        <v>953</v>
      </c>
      <c r="D480">
        <v>20477356</v>
      </c>
      <c r="E480" t="s">
        <v>2245</v>
      </c>
      <c r="F480" t="s">
        <v>984</v>
      </c>
      <c r="G480" t="s">
        <v>2250</v>
      </c>
      <c r="H480" t="s">
        <v>592</v>
      </c>
      <c r="J480" s="519">
        <v>46102</v>
      </c>
      <c r="U480" s="519">
        <v>46112</v>
      </c>
    </row>
    <row r="481" spans="1:21">
      <c r="A481" t="s">
        <v>953</v>
      </c>
      <c r="B481" t="s">
        <v>3127</v>
      </c>
      <c r="C481" t="s">
        <v>953</v>
      </c>
      <c r="D481">
        <v>20468519</v>
      </c>
      <c r="E481" t="s">
        <v>2245</v>
      </c>
      <c r="F481" t="s">
        <v>577</v>
      </c>
      <c r="G481" t="s">
        <v>2290</v>
      </c>
      <c r="H481" t="s">
        <v>591</v>
      </c>
      <c r="J481" s="519">
        <v>46092</v>
      </c>
      <c r="U481" s="519">
        <v>46113</v>
      </c>
    </row>
    <row r="482" spans="1:21">
      <c r="A482" t="s">
        <v>953</v>
      </c>
      <c r="B482" t="s">
        <v>3128</v>
      </c>
      <c r="C482" t="s">
        <v>953</v>
      </c>
      <c r="D482">
        <v>20471179</v>
      </c>
      <c r="E482" t="s">
        <v>2245</v>
      </c>
      <c r="F482" t="s">
        <v>984</v>
      </c>
      <c r="G482" t="s">
        <v>2246</v>
      </c>
      <c r="H482" t="s">
        <v>587</v>
      </c>
      <c r="J482" s="519">
        <v>46094</v>
      </c>
      <c r="U482" s="519">
        <v>46094</v>
      </c>
    </row>
    <row r="483" spans="1:21">
      <c r="A483" t="s">
        <v>953</v>
      </c>
      <c r="B483" t="s">
        <v>3129</v>
      </c>
      <c r="C483" t="s">
        <v>953</v>
      </c>
      <c r="D483">
        <v>20479832</v>
      </c>
      <c r="E483" t="s">
        <v>2245</v>
      </c>
      <c r="F483" t="s">
        <v>984</v>
      </c>
      <c r="G483" t="s">
        <v>2246</v>
      </c>
      <c r="H483" t="s">
        <v>588</v>
      </c>
      <c r="J483" s="519">
        <v>46106</v>
      </c>
      <c r="U483" s="519">
        <v>46106</v>
      </c>
    </row>
    <row r="484" spans="1:21">
      <c r="A484" t="s">
        <v>953</v>
      </c>
      <c r="B484" t="s">
        <v>3130</v>
      </c>
      <c r="C484" t="s">
        <v>953</v>
      </c>
      <c r="D484">
        <v>20477945</v>
      </c>
      <c r="E484" t="s">
        <v>2245</v>
      </c>
      <c r="F484" t="s">
        <v>577</v>
      </c>
      <c r="G484" t="s">
        <v>2248</v>
      </c>
      <c r="H484" t="s">
        <v>591</v>
      </c>
      <c r="I484" t="s">
        <v>982</v>
      </c>
      <c r="J484" s="519">
        <v>46103</v>
      </c>
      <c r="U484" s="519">
        <v>46103</v>
      </c>
    </row>
    <row r="485" spans="1:21">
      <c r="A485" t="s">
        <v>953</v>
      </c>
      <c r="B485" t="s">
        <v>3131</v>
      </c>
      <c r="C485" t="s">
        <v>953</v>
      </c>
      <c r="D485">
        <v>20470548</v>
      </c>
      <c r="E485" t="s">
        <v>2245</v>
      </c>
      <c r="F485" t="s">
        <v>984</v>
      </c>
      <c r="G485" t="s">
        <v>2250</v>
      </c>
      <c r="H485" t="s">
        <v>592</v>
      </c>
      <c r="J485" s="519">
        <v>46093</v>
      </c>
      <c r="U485" s="519">
        <v>46119</v>
      </c>
    </row>
    <row r="486" spans="1:21">
      <c r="A486" t="s">
        <v>953</v>
      </c>
      <c r="B486" t="s">
        <v>3132</v>
      </c>
      <c r="C486" t="s">
        <v>953</v>
      </c>
      <c r="D486">
        <v>20465440</v>
      </c>
      <c r="E486" t="s">
        <v>2245</v>
      </c>
      <c r="F486" t="s">
        <v>581</v>
      </c>
      <c r="G486" t="s">
        <v>1213</v>
      </c>
      <c r="H486" t="s">
        <v>591</v>
      </c>
      <c r="J486" s="519">
        <v>46090</v>
      </c>
      <c r="U486" s="519">
        <v>46090</v>
      </c>
    </row>
    <row r="487" spans="1:21">
      <c r="A487" t="s">
        <v>953</v>
      </c>
      <c r="B487" t="s">
        <v>3133</v>
      </c>
      <c r="C487" t="s">
        <v>953</v>
      </c>
      <c r="D487">
        <v>20464008</v>
      </c>
      <c r="E487" t="s">
        <v>2245</v>
      </c>
      <c r="F487" t="s">
        <v>984</v>
      </c>
      <c r="G487" t="s">
        <v>2246</v>
      </c>
      <c r="H487" t="s">
        <v>591</v>
      </c>
      <c r="J487" s="519">
        <v>46087</v>
      </c>
      <c r="U487" s="519">
        <v>46088</v>
      </c>
    </row>
    <row r="488" spans="1:21">
      <c r="A488" t="s">
        <v>953</v>
      </c>
      <c r="B488" t="s">
        <v>3134</v>
      </c>
      <c r="C488" t="s">
        <v>953</v>
      </c>
      <c r="D488">
        <v>20473423</v>
      </c>
      <c r="E488" t="s">
        <v>2258</v>
      </c>
      <c r="F488" t="s">
        <v>581</v>
      </c>
      <c r="G488" t="s">
        <v>2248</v>
      </c>
      <c r="H488" t="s">
        <v>591</v>
      </c>
      <c r="I488" t="s">
        <v>1034</v>
      </c>
      <c r="J488" s="519">
        <v>46098</v>
      </c>
      <c r="K488" s="519">
        <v>46098</v>
      </c>
      <c r="R488" s="519">
        <v>46100</v>
      </c>
      <c r="U488" s="519">
        <v>46098</v>
      </c>
    </row>
    <row r="489" spans="1:21">
      <c r="A489" t="s">
        <v>953</v>
      </c>
      <c r="B489" t="s">
        <v>3134</v>
      </c>
      <c r="C489" t="s">
        <v>953</v>
      </c>
      <c r="D489">
        <v>20473722</v>
      </c>
      <c r="E489" t="s">
        <v>2252</v>
      </c>
      <c r="F489" t="s">
        <v>577</v>
      </c>
      <c r="G489" t="s">
        <v>2250</v>
      </c>
      <c r="H489" t="s">
        <v>587</v>
      </c>
      <c r="I489" t="s">
        <v>1347</v>
      </c>
      <c r="J489" s="519">
        <v>46098</v>
      </c>
      <c r="K489" s="519">
        <v>46098</v>
      </c>
      <c r="L489" s="519">
        <v>46098</v>
      </c>
      <c r="R489" s="519">
        <v>46105</v>
      </c>
      <c r="U489" s="519">
        <v>46106</v>
      </c>
    </row>
    <row r="490" spans="1:21">
      <c r="A490" t="s">
        <v>953</v>
      </c>
      <c r="B490" t="s">
        <v>3135</v>
      </c>
      <c r="C490" t="s">
        <v>953</v>
      </c>
      <c r="D490">
        <v>20466420</v>
      </c>
      <c r="E490" t="s">
        <v>2245</v>
      </c>
      <c r="F490" t="s">
        <v>578</v>
      </c>
      <c r="G490" t="s">
        <v>2248</v>
      </c>
      <c r="H490" t="s">
        <v>592</v>
      </c>
      <c r="J490" s="519">
        <v>46091</v>
      </c>
      <c r="U490" s="519">
        <v>46091</v>
      </c>
    </row>
    <row r="491" spans="1:21">
      <c r="A491" t="s">
        <v>953</v>
      </c>
      <c r="B491" t="s">
        <v>3136</v>
      </c>
      <c r="C491" t="s">
        <v>953</v>
      </c>
      <c r="D491">
        <v>20471696</v>
      </c>
      <c r="E491" t="s">
        <v>2245</v>
      </c>
      <c r="F491" t="s">
        <v>581</v>
      </c>
      <c r="G491" t="s">
        <v>2250</v>
      </c>
      <c r="H491" t="s">
        <v>592</v>
      </c>
      <c r="I491" t="s">
        <v>1142</v>
      </c>
      <c r="J491" s="519">
        <v>46095</v>
      </c>
      <c r="U491" s="519">
        <v>46203</v>
      </c>
    </row>
    <row r="492" spans="1:21">
      <c r="A492" t="s">
        <v>953</v>
      </c>
      <c r="B492" t="s">
        <v>3137</v>
      </c>
      <c r="C492" t="s">
        <v>953</v>
      </c>
      <c r="D492">
        <v>20482139</v>
      </c>
      <c r="E492" t="s">
        <v>2245</v>
      </c>
      <c r="F492" t="s">
        <v>984</v>
      </c>
      <c r="G492" t="s">
        <v>2250</v>
      </c>
      <c r="H492" t="s">
        <v>592</v>
      </c>
      <c r="J492" s="519">
        <v>46109</v>
      </c>
      <c r="U492" s="519">
        <v>46110</v>
      </c>
    </row>
    <row r="493" spans="1:21">
      <c r="A493" t="s">
        <v>953</v>
      </c>
      <c r="B493" t="s">
        <v>2622</v>
      </c>
      <c r="C493" t="s">
        <v>953</v>
      </c>
      <c r="D493">
        <v>20454112</v>
      </c>
      <c r="E493" t="s">
        <v>2252</v>
      </c>
      <c r="F493" t="s">
        <v>578</v>
      </c>
      <c r="G493" t="s">
        <v>2250</v>
      </c>
      <c r="H493" t="s">
        <v>587</v>
      </c>
      <c r="I493" t="s">
        <v>1378</v>
      </c>
      <c r="J493" s="519">
        <v>46073</v>
      </c>
      <c r="K493" s="519">
        <v>46073</v>
      </c>
      <c r="L493" s="519">
        <v>46080</v>
      </c>
      <c r="M493" s="519">
        <v>46090</v>
      </c>
      <c r="R493" s="519">
        <v>46091</v>
      </c>
      <c r="U493" s="519">
        <v>46090</v>
      </c>
    </row>
    <row r="494" spans="1:21">
      <c r="A494" t="s">
        <v>953</v>
      </c>
      <c r="B494" t="s">
        <v>999</v>
      </c>
      <c r="C494" t="s">
        <v>953</v>
      </c>
      <c r="D494">
        <v>20465210</v>
      </c>
      <c r="E494" t="s">
        <v>1110</v>
      </c>
      <c r="F494" t="s">
        <v>1001</v>
      </c>
      <c r="G494" t="s">
        <v>2259</v>
      </c>
      <c r="H494" t="s">
        <v>3138</v>
      </c>
      <c r="I494" t="s">
        <v>998</v>
      </c>
      <c r="J494" s="519">
        <v>46090</v>
      </c>
      <c r="K494" s="519">
        <v>46090</v>
      </c>
      <c r="L494" s="519">
        <v>46090</v>
      </c>
      <c r="U494" s="519">
        <v>46120</v>
      </c>
    </row>
    <row r="495" spans="1:21">
      <c r="A495" t="s">
        <v>953</v>
      </c>
      <c r="B495" t="s">
        <v>3139</v>
      </c>
      <c r="C495" t="s">
        <v>953</v>
      </c>
      <c r="D495">
        <v>20464729</v>
      </c>
      <c r="E495" t="s">
        <v>1100</v>
      </c>
      <c r="F495" t="s">
        <v>1115</v>
      </c>
      <c r="G495" t="s">
        <v>2250</v>
      </c>
      <c r="H495" t="s">
        <v>587</v>
      </c>
      <c r="J495" s="519">
        <v>46089</v>
      </c>
      <c r="K495" s="519">
        <v>46089</v>
      </c>
      <c r="U495" s="519">
        <v>46089</v>
      </c>
    </row>
    <row r="496" spans="1:21">
      <c r="A496" t="s">
        <v>953</v>
      </c>
      <c r="B496" t="s">
        <v>3140</v>
      </c>
      <c r="C496" t="s">
        <v>953</v>
      </c>
      <c r="D496">
        <v>20476066</v>
      </c>
      <c r="E496" t="s">
        <v>2252</v>
      </c>
      <c r="F496" t="s">
        <v>583</v>
      </c>
      <c r="G496" t="s">
        <v>2250</v>
      </c>
      <c r="H496" t="s">
        <v>587</v>
      </c>
      <c r="I496" t="s">
        <v>1336</v>
      </c>
      <c r="J496" s="519">
        <v>46100</v>
      </c>
      <c r="K496" s="519">
        <v>46100</v>
      </c>
      <c r="L496" s="519">
        <v>46100</v>
      </c>
      <c r="R496" s="519">
        <v>46105</v>
      </c>
      <c r="U496" s="519">
        <v>46105</v>
      </c>
    </row>
    <row r="497" spans="1:21">
      <c r="A497" t="s">
        <v>953</v>
      </c>
      <c r="B497" t="s">
        <v>3141</v>
      </c>
      <c r="C497" t="s">
        <v>953</v>
      </c>
      <c r="D497">
        <v>20462271</v>
      </c>
      <c r="E497" t="s">
        <v>1100</v>
      </c>
      <c r="F497" t="s">
        <v>578</v>
      </c>
      <c r="G497" t="s">
        <v>2250</v>
      </c>
      <c r="H497" t="s">
        <v>591</v>
      </c>
      <c r="J497" s="519">
        <v>46085</v>
      </c>
      <c r="K497" s="519">
        <v>46085</v>
      </c>
      <c r="U497" s="519">
        <v>46125</v>
      </c>
    </row>
    <row r="498" spans="1:21">
      <c r="A498" t="s">
        <v>953</v>
      </c>
      <c r="B498" t="s">
        <v>3141</v>
      </c>
      <c r="C498" t="s">
        <v>953</v>
      </c>
      <c r="D498">
        <v>20461940</v>
      </c>
      <c r="E498" t="s">
        <v>2324</v>
      </c>
      <c r="F498" t="s">
        <v>578</v>
      </c>
      <c r="G498" t="s">
        <v>2246</v>
      </c>
      <c r="H498" t="s">
        <v>592</v>
      </c>
      <c r="I498" t="s">
        <v>2508</v>
      </c>
      <c r="J498" s="519">
        <v>46084</v>
      </c>
      <c r="K498" s="519">
        <v>46085</v>
      </c>
      <c r="L498" s="519">
        <v>46086</v>
      </c>
      <c r="M498" s="519">
        <v>46093</v>
      </c>
      <c r="N498" s="519">
        <v>46093</v>
      </c>
      <c r="P498" s="519">
        <v>46095</v>
      </c>
      <c r="Q498" s="519">
        <v>46095</v>
      </c>
      <c r="T498" s="519">
        <v>46090</v>
      </c>
      <c r="U498" s="519">
        <v>46127</v>
      </c>
    </row>
    <row r="499" spans="1:21">
      <c r="A499" t="s">
        <v>953</v>
      </c>
      <c r="B499" t="s">
        <v>3142</v>
      </c>
      <c r="C499" t="s">
        <v>953</v>
      </c>
      <c r="D499">
        <v>20475075</v>
      </c>
      <c r="E499" t="s">
        <v>2245</v>
      </c>
      <c r="F499" t="s">
        <v>581</v>
      </c>
      <c r="G499" t="s">
        <v>2250</v>
      </c>
      <c r="H499" t="s">
        <v>592</v>
      </c>
      <c r="J499" s="519">
        <v>46099</v>
      </c>
      <c r="U499" s="519">
        <v>46113</v>
      </c>
    </row>
    <row r="500" spans="1:21">
      <c r="A500" t="s">
        <v>953</v>
      </c>
      <c r="B500" t="s">
        <v>3143</v>
      </c>
      <c r="C500" t="s">
        <v>953</v>
      </c>
      <c r="D500">
        <v>20476402</v>
      </c>
      <c r="E500" t="s">
        <v>2245</v>
      </c>
      <c r="F500" t="s">
        <v>984</v>
      </c>
      <c r="G500" t="s">
        <v>2250</v>
      </c>
      <c r="H500" t="s">
        <v>592</v>
      </c>
      <c r="J500" s="519">
        <v>46100</v>
      </c>
      <c r="U500" s="519">
        <v>46199</v>
      </c>
    </row>
    <row r="501" spans="1:21">
      <c r="A501" t="s">
        <v>953</v>
      </c>
      <c r="B501" t="s">
        <v>3144</v>
      </c>
      <c r="C501" t="s">
        <v>953</v>
      </c>
      <c r="D501">
        <v>20466181</v>
      </c>
      <c r="E501" t="s">
        <v>2245</v>
      </c>
      <c r="F501" t="s">
        <v>984</v>
      </c>
      <c r="G501" t="s">
        <v>2259</v>
      </c>
      <c r="H501" t="s">
        <v>592</v>
      </c>
      <c r="J501" s="519">
        <v>46091</v>
      </c>
      <c r="U501" s="519">
        <v>46091</v>
      </c>
    </row>
    <row r="502" spans="1:21">
      <c r="A502" t="s">
        <v>953</v>
      </c>
      <c r="B502" t="s">
        <v>3145</v>
      </c>
      <c r="C502" t="s">
        <v>953</v>
      </c>
      <c r="D502">
        <v>20472177</v>
      </c>
      <c r="E502" t="s">
        <v>2252</v>
      </c>
      <c r="F502" t="s">
        <v>1001</v>
      </c>
      <c r="G502" t="s">
        <v>2250</v>
      </c>
      <c r="H502" t="s">
        <v>592</v>
      </c>
      <c r="J502" s="519">
        <v>46097</v>
      </c>
      <c r="K502" s="519">
        <v>46097</v>
      </c>
      <c r="R502" s="519">
        <v>46098</v>
      </c>
      <c r="U502" s="519">
        <v>46097</v>
      </c>
    </row>
    <row r="503" spans="1:21">
      <c r="A503" t="s">
        <v>953</v>
      </c>
      <c r="B503" t="s">
        <v>1109</v>
      </c>
      <c r="C503" t="s">
        <v>953</v>
      </c>
      <c r="D503">
        <v>20442666</v>
      </c>
      <c r="E503" t="s">
        <v>2324</v>
      </c>
      <c r="F503" t="s">
        <v>578</v>
      </c>
      <c r="G503" t="s">
        <v>2250</v>
      </c>
      <c r="H503" t="s">
        <v>592</v>
      </c>
      <c r="I503" t="s">
        <v>1108</v>
      </c>
      <c r="J503" s="519">
        <v>46060</v>
      </c>
      <c r="K503" s="519">
        <v>46060</v>
      </c>
      <c r="L503" s="519">
        <v>46060</v>
      </c>
      <c r="M503" s="519">
        <v>46073</v>
      </c>
      <c r="N503" s="519">
        <v>46085</v>
      </c>
      <c r="P503" s="519">
        <v>46085</v>
      </c>
      <c r="Q503" s="519">
        <v>46086</v>
      </c>
      <c r="U503" s="519">
        <v>46087</v>
      </c>
    </row>
    <row r="504" spans="1:21">
      <c r="A504" t="s">
        <v>953</v>
      </c>
      <c r="B504" t="s">
        <v>3146</v>
      </c>
      <c r="C504" t="s">
        <v>953</v>
      </c>
      <c r="D504">
        <v>20475390</v>
      </c>
      <c r="E504" t="s">
        <v>2258</v>
      </c>
      <c r="F504" t="s">
        <v>578</v>
      </c>
      <c r="G504" t="s">
        <v>2248</v>
      </c>
      <c r="H504" t="s">
        <v>591</v>
      </c>
      <c r="J504" s="519">
        <v>46099</v>
      </c>
      <c r="R504" s="519">
        <v>46099</v>
      </c>
      <c r="U504" s="519">
        <v>46099</v>
      </c>
    </row>
    <row r="505" spans="1:21">
      <c r="A505" t="s">
        <v>953</v>
      </c>
      <c r="B505" t="s">
        <v>3147</v>
      </c>
      <c r="C505" t="s">
        <v>953</v>
      </c>
      <c r="D505">
        <v>20460674</v>
      </c>
      <c r="E505" t="s">
        <v>2252</v>
      </c>
      <c r="F505" t="s">
        <v>582</v>
      </c>
      <c r="G505" t="s">
        <v>2248</v>
      </c>
      <c r="H505" t="s">
        <v>588</v>
      </c>
      <c r="I505" t="s">
        <v>899</v>
      </c>
      <c r="J505" s="519">
        <v>46083</v>
      </c>
      <c r="K505" s="519">
        <v>46083</v>
      </c>
      <c r="L505" s="519">
        <v>46084</v>
      </c>
      <c r="R505" s="519">
        <v>46090</v>
      </c>
      <c r="U505" s="519">
        <v>46091</v>
      </c>
    </row>
    <row r="506" spans="1:21">
      <c r="A506" t="s">
        <v>953</v>
      </c>
      <c r="B506" t="s">
        <v>1123</v>
      </c>
      <c r="C506" t="s">
        <v>953</v>
      </c>
      <c r="D506">
        <v>20453635</v>
      </c>
      <c r="E506" t="s">
        <v>2324</v>
      </c>
      <c r="F506" t="s">
        <v>579</v>
      </c>
      <c r="G506" t="s">
        <v>2250</v>
      </c>
      <c r="H506" t="s">
        <v>592</v>
      </c>
      <c r="I506" t="s">
        <v>1122</v>
      </c>
      <c r="J506" s="519">
        <v>46072</v>
      </c>
      <c r="K506" s="519">
        <v>46072</v>
      </c>
      <c r="L506" s="519">
        <v>46072</v>
      </c>
      <c r="M506" s="519">
        <v>46101</v>
      </c>
      <c r="N506" s="519">
        <v>46101</v>
      </c>
      <c r="O506" s="519">
        <v>46101</v>
      </c>
      <c r="P506" s="519">
        <v>46101</v>
      </c>
      <c r="Q506" s="519">
        <v>46103</v>
      </c>
      <c r="U506" s="519">
        <v>46101</v>
      </c>
    </row>
    <row r="507" spans="1:21">
      <c r="A507" t="s">
        <v>953</v>
      </c>
      <c r="B507" t="s">
        <v>3148</v>
      </c>
      <c r="C507" t="s">
        <v>953</v>
      </c>
      <c r="D507">
        <v>20460030</v>
      </c>
      <c r="E507" t="s">
        <v>2258</v>
      </c>
      <c r="F507" t="s">
        <v>577</v>
      </c>
      <c r="G507" t="s">
        <v>2246</v>
      </c>
      <c r="H507" t="s">
        <v>591</v>
      </c>
      <c r="I507" t="s">
        <v>2266</v>
      </c>
      <c r="J507" s="519">
        <v>46082</v>
      </c>
      <c r="R507" s="519">
        <v>46094</v>
      </c>
      <c r="U507" s="519">
        <v>46082</v>
      </c>
    </row>
    <row r="508" spans="1:21">
      <c r="A508" t="s">
        <v>953</v>
      </c>
      <c r="B508" t="s">
        <v>3149</v>
      </c>
      <c r="C508" t="s">
        <v>953</v>
      </c>
      <c r="D508">
        <v>20463863</v>
      </c>
      <c r="E508" t="s">
        <v>2252</v>
      </c>
      <c r="F508" t="s">
        <v>579</v>
      </c>
      <c r="G508" t="s">
        <v>2250</v>
      </c>
      <c r="H508" t="s">
        <v>587</v>
      </c>
      <c r="I508" t="s">
        <v>1347</v>
      </c>
      <c r="J508" s="519">
        <v>46087</v>
      </c>
      <c r="K508" s="519">
        <v>46087</v>
      </c>
      <c r="L508" s="519">
        <v>46093</v>
      </c>
      <c r="R508" s="519">
        <v>46098</v>
      </c>
      <c r="U508" s="519">
        <v>46106</v>
      </c>
    </row>
    <row r="509" spans="1:21">
      <c r="A509" t="s">
        <v>953</v>
      </c>
      <c r="B509" t="s">
        <v>3150</v>
      </c>
      <c r="C509" t="s">
        <v>953</v>
      </c>
      <c r="D509">
        <v>20470445</v>
      </c>
      <c r="E509" t="s">
        <v>1100</v>
      </c>
      <c r="F509" t="s">
        <v>1115</v>
      </c>
      <c r="G509" t="s">
        <v>2250</v>
      </c>
      <c r="H509" t="s">
        <v>587</v>
      </c>
      <c r="I509" t="s">
        <v>1336</v>
      </c>
      <c r="J509" s="519">
        <v>46093</v>
      </c>
      <c r="K509" s="519">
        <v>46093</v>
      </c>
      <c r="U509" s="519">
        <v>46093</v>
      </c>
    </row>
    <row r="510" spans="1:21">
      <c r="A510" t="s">
        <v>953</v>
      </c>
      <c r="B510" t="s">
        <v>3151</v>
      </c>
      <c r="C510" t="s">
        <v>953</v>
      </c>
      <c r="D510">
        <v>20482556</v>
      </c>
      <c r="E510" t="s">
        <v>2245</v>
      </c>
      <c r="F510" t="s">
        <v>984</v>
      </c>
      <c r="G510" t="s">
        <v>2246</v>
      </c>
      <c r="H510" t="s">
        <v>592</v>
      </c>
      <c r="J510" s="519">
        <v>46110</v>
      </c>
      <c r="U510" s="519">
        <v>46143</v>
      </c>
    </row>
    <row r="511" spans="1:21">
      <c r="A511" t="s">
        <v>953</v>
      </c>
      <c r="B511" t="s">
        <v>3152</v>
      </c>
      <c r="C511" t="s">
        <v>953</v>
      </c>
      <c r="D511">
        <v>20483482</v>
      </c>
      <c r="E511" t="s">
        <v>2245</v>
      </c>
      <c r="F511" t="s">
        <v>581</v>
      </c>
      <c r="G511" t="s">
        <v>1213</v>
      </c>
      <c r="H511" t="s">
        <v>588</v>
      </c>
      <c r="J511" s="519">
        <v>46111</v>
      </c>
      <c r="U511" s="519">
        <v>46147</v>
      </c>
    </row>
    <row r="512" spans="1:21">
      <c r="A512" t="s">
        <v>953</v>
      </c>
      <c r="B512" t="s">
        <v>3153</v>
      </c>
      <c r="C512" t="s">
        <v>953</v>
      </c>
      <c r="D512">
        <v>20471945</v>
      </c>
      <c r="E512" t="s">
        <v>2245</v>
      </c>
      <c r="F512" t="s">
        <v>984</v>
      </c>
      <c r="G512" t="s">
        <v>2250</v>
      </c>
      <c r="H512" t="s">
        <v>592</v>
      </c>
      <c r="J512" s="519">
        <v>46096</v>
      </c>
      <c r="U512" s="519">
        <v>46097</v>
      </c>
    </row>
    <row r="513" spans="1:21">
      <c r="A513" t="s">
        <v>953</v>
      </c>
      <c r="B513" t="s">
        <v>3154</v>
      </c>
      <c r="C513" t="s">
        <v>953</v>
      </c>
      <c r="D513">
        <v>20483283</v>
      </c>
      <c r="E513" t="s">
        <v>2245</v>
      </c>
      <c r="F513" t="s">
        <v>581</v>
      </c>
      <c r="G513" t="s">
        <v>2259</v>
      </c>
      <c r="H513" t="s">
        <v>2388</v>
      </c>
      <c r="J513" s="519">
        <v>46111</v>
      </c>
      <c r="U513" s="519">
        <v>46112</v>
      </c>
    </row>
    <row r="514" spans="1:21">
      <c r="A514" t="s">
        <v>953</v>
      </c>
      <c r="B514" t="s">
        <v>3155</v>
      </c>
      <c r="C514" t="s">
        <v>953</v>
      </c>
      <c r="D514">
        <v>20477378</v>
      </c>
      <c r="E514" t="s">
        <v>2245</v>
      </c>
      <c r="F514" t="s">
        <v>984</v>
      </c>
      <c r="G514" t="s">
        <v>2250</v>
      </c>
      <c r="H514" t="s">
        <v>592</v>
      </c>
      <c r="I514" t="s">
        <v>1156</v>
      </c>
      <c r="J514" s="519">
        <v>46102</v>
      </c>
      <c r="U514" s="519">
        <v>46183</v>
      </c>
    </row>
    <row r="515" spans="1:21">
      <c r="A515" t="s">
        <v>953</v>
      </c>
      <c r="B515" t="s">
        <v>2643</v>
      </c>
      <c r="C515" t="s">
        <v>953</v>
      </c>
      <c r="D515">
        <v>20465576</v>
      </c>
      <c r="E515" t="s">
        <v>1100</v>
      </c>
      <c r="F515" t="s">
        <v>583</v>
      </c>
      <c r="G515" t="s">
        <v>2250</v>
      </c>
      <c r="H515" t="s">
        <v>587</v>
      </c>
      <c r="I515" t="s">
        <v>1134</v>
      </c>
      <c r="J515" s="519">
        <v>46090</v>
      </c>
      <c r="K515" s="519">
        <v>46090</v>
      </c>
      <c r="U515" s="519">
        <v>46094</v>
      </c>
    </row>
    <row r="516" spans="1:21">
      <c r="A516" t="s">
        <v>953</v>
      </c>
      <c r="B516" t="s">
        <v>3156</v>
      </c>
      <c r="C516" t="s">
        <v>953</v>
      </c>
      <c r="D516">
        <v>20462252</v>
      </c>
      <c r="E516" t="s">
        <v>2245</v>
      </c>
      <c r="F516" t="s">
        <v>581</v>
      </c>
      <c r="G516" t="s">
        <v>2290</v>
      </c>
      <c r="H516" t="s">
        <v>587</v>
      </c>
      <c r="J516" s="519">
        <v>46085</v>
      </c>
      <c r="U516" s="519">
        <v>46095</v>
      </c>
    </row>
    <row r="517" spans="1:21">
      <c r="A517" t="s">
        <v>953</v>
      </c>
      <c r="B517" t="s">
        <v>2646</v>
      </c>
      <c r="C517" t="s">
        <v>953</v>
      </c>
      <c r="D517">
        <v>20455772</v>
      </c>
      <c r="E517" t="s">
        <v>2252</v>
      </c>
      <c r="F517" t="s">
        <v>579</v>
      </c>
      <c r="G517" t="s">
        <v>2259</v>
      </c>
      <c r="H517" t="s">
        <v>2287</v>
      </c>
      <c r="I517" t="s">
        <v>1023</v>
      </c>
      <c r="J517" s="519">
        <v>46076</v>
      </c>
      <c r="K517" s="519">
        <v>46076</v>
      </c>
      <c r="L517" s="519">
        <v>46078</v>
      </c>
      <c r="R517" s="519">
        <v>46084</v>
      </c>
      <c r="U517" s="519">
        <v>46109</v>
      </c>
    </row>
    <row r="518" spans="1:21">
      <c r="A518" t="s">
        <v>953</v>
      </c>
      <c r="B518" t="s">
        <v>3157</v>
      </c>
      <c r="C518" t="s">
        <v>953</v>
      </c>
      <c r="D518">
        <v>20461036</v>
      </c>
      <c r="E518" t="s">
        <v>1100</v>
      </c>
      <c r="F518" t="s">
        <v>1115</v>
      </c>
      <c r="G518" t="s">
        <v>2250</v>
      </c>
      <c r="H518" t="s">
        <v>587</v>
      </c>
      <c r="J518" s="519">
        <v>46083</v>
      </c>
      <c r="K518" s="519">
        <v>46083</v>
      </c>
      <c r="U518" s="519">
        <v>46083</v>
      </c>
    </row>
    <row r="519" spans="1:21">
      <c r="A519" t="s">
        <v>953</v>
      </c>
      <c r="B519" t="s">
        <v>3157</v>
      </c>
      <c r="C519" t="s">
        <v>953</v>
      </c>
      <c r="D519">
        <v>20461031</v>
      </c>
      <c r="E519" t="s">
        <v>2252</v>
      </c>
      <c r="F519" t="s">
        <v>583</v>
      </c>
      <c r="G519" t="s">
        <v>1213</v>
      </c>
      <c r="H519" t="s">
        <v>587</v>
      </c>
      <c r="I519" t="s">
        <v>1030</v>
      </c>
      <c r="J519" s="519">
        <v>46083</v>
      </c>
      <c r="K519" s="519">
        <v>46083</v>
      </c>
      <c r="L519" s="519">
        <v>46084</v>
      </c>
      <c r="R519" s="519">
        <v>46086</v>
      </c>
      <c r="U519" s="519">
        <v>46090</v>
      </c>
    </row>
    <row r="520" spans="1:21">
      <c r="A520" t="s">
        <v>953</v>
      </c>
      <c r="B520" t="s">
        <v>3158</v>
      </c>
      <c r="C520" t="s">
        <v>953</v>
      </c>
      <c r="D520">
        <v>20483721</v>
      </c>
      <c r="E520" t="s">
        <v>2245</v>
      </c>
      <c r="F520" t="s">
        <v>984</v>
      </c>
      <c r="G520" t="s">
        <v>2250</v>
      </c>
      <c r="H520" t="s">
        <v>592</v>
      </c>
      <c r="J520" s="519">
        <v>46111</v>
      </c>
      <c r="U520" s="519">
        <v>46183</v>
      </c>
    </row>
    <row r="521" spans="1:21">
      <c r="A521" t="s">
        <v>953</v>
      </c>
      <c r="B521" t="s">
        <v>3159</v>
      </c>
      <c r="C521" t="s">
        <v>953</v>
      </c>
      <c r="D521">
        <v>20411917</v>
      </c>
      <c r="E521" t="s">
        <v>2324</v>
      </c>
      <c r="F521" t="s">
        <v>577</v>
      </c>
      <c r="G521" t="s">
        <v>2259</v>
      </c>
      <c r="H521" t="s">
        <v>587</v>
      </c>
      <c r="I521" t="s">
        <v>2465</v>
      </c>
      <c r="J521" s="519">
        <v>46014</v>
      </c>
      <c r="K521" s="519">
        <v>46034</v>
      </c>
      <c r="L521" s="519">
        <v>46045</v>
      </c>
      <c r="M521" s="519">
        <v>46087</v>
      </c>
      <c r="N521" s="519">
        <v>46087</v>
      </c>
      <c r="P521" s="519">
        <v>46087</v>
      </c>
      <c r="Q521" s="519">
        <v>46088</v>
      </c>
      <c r="U521" s="519">
        <v>46092</v>
      </c>
    </row>
    <row r="522" spans="1:21">
      <c r="A522" t="s">
        <v>953</v>
      </c>
      <c r="B522" t="s">
        <v>3160</v>
      </c>
      <c r="C522" t="s">
        <v>953</v>
      </c>
      <c r="D522">
        <v>20478283</v>
      </c>
      <c r="E522" t="s">
        <v>2245</v>
      </c>
      <c r="F522" t="s">
        <v>984</v>
      </c>
      <c r="G522" t="s">
        <v>3161</v>
      </c>
      <c r="H522" t="s">
        <v>587</v>
      </c>
      <c r="J522" s="519">
        <v>46104</v>
      </c>
      <c r="U522" s="519">
        <v>46104</v>
      </c>
    </row>
    <row r="523" spans="1:21">
      <c r="A523" t="s">
        <v>953</v>
      </c>
      <c r="B523" t="s">
        <v>3162</v>
      </c>
      <c r="C523" t="s">
        <v>953</v>
      </c>
      <c r="D523">
        <v>20484147</v>
      </c>
      <c r="E523" t="s">
        <v>2245</v>
      </c>
      <c r="F523" t="s">
        <v>581</v>
      </c>
      <c r="G523" t="s">
        <v>1213</v>
      </c>
      <c r="H523" t="s">
        <v>2361</v>
      </c>
      <c r="J523" s="519">
        <v>46112</v>
      </c>
      <c r="U523" s="519">
        <v>46112</v>
      </c>
    </row>
    <row r="524" spans="1:21">
      <c r="A524" t="s">
        <v>953</v>
      </c>
      <c r="B524" t="s">
        <v>3163</v>
      </c>
      <c r="C524" t="s">
        <v>953</v>
      </c>
      <c r="D524">
        <v>20468654</v>
      </c>
      <c r="E524" t="s">
        <v>2245</v>
      </c>
      <c r="F524" t="s">
        <v>984</v>
      </c>
      <c r="G524" t="s">
        <v>2246</v>
      </c>
      <c r="H524" t="s">
        <v>587</v>
      </c>
      <c r="J524" s="519">
        <v>46092</v>
      </c>
      <c r="U524" s="519">
        <v>46152</v>
      </c>
    </row>
    <row r="525" spans="1:21">
      <c r="A525" t="s">
        <v>953</v>
      </c>
      <c r="B525" t="s">
        <v>3164</v>
      </c>
      <c r="C525" t="s">
        <v>953</v>
      </c>
      <c r="D525">
        <v>20464926</v>
      </c>
      <c r="E525" t="s">
        <v>2245</v>
      </c>
      <c r="F525" t="s">
        <v>984</v>
      </c>
      <c r="G525" t="s">
        <v>2248</v>
      </c>
      <c r="H525" t="s">
        <v>1526</v>
      </c>
      <c r="I525" t="s">
        <v>1034</v>
      </c>
      <c r="J525" s="519">
        <v>46089</v>
      </c>
      <c r="U525" s="519">
        <v>46089</v>
      </c>
    </row>
    <row r="526" spans="1:21">
      <c r="A526" t="s">
        <v>953</v>
      </c>
      <c r="B526" t="s">
        <v>3165</v>
      </c>
      <c r="C526" t="s">
        <v>953</v>
      </c>
      <c r="D526">
        <v>20479466</v>
      </c>
      <c r="E526" t="s">
        <v>2245</v>
      </c>
      <c r="F526" t="s">
        <v>984</v>
      </c>
      <c r="G526" t="s">
        <v>1213</v>
      </c>
      <c r="H526" t="s">
        <v>2361</v>
      </c>
      <c r="J526" s="519">
        <v>46105</v>
      </c>
      <c r="U526" s="519">
        <v>46105</v>
      </c>
    </row>
    <row r="527" spans="1:21">
      <c r="A527" t="s">
        <v>953</v>
      </c>
      <c r="B527" t="s">
        <v>3166</v>
      </c>
      <c r="C527" t="s">
        <v>953</v>
      </c>
      <c r="D527">
        <v>20482687</v>
      </c>
      <c r="E527" t="s">
        <v>2245</v>
      </c>
      <c r="F527" t="s">
        <v>581</v>
      </c>
      <c r="G527" t="s">
        <v>2250</v>
      </c>
      <c r="H527" t="s">
        <v>592</v>
      </c>
      <c r="J527" s="519">
        <v>46110</v>
      </c>
      <c r="U527" s="519">
        <v>46119</v>
      </c>
    </row>
    <row r="528" spans="1:21">
      <c r="A528" t="s">
        <v>953</v>
      </c>
      <c r="B528" t="s">
        <v>3167</v>
      </c>
      <c r="C528" t="s">
        <v>953</v>
      </c>
      <c r="D528">
        <v>20482090</v>
      </c>
      <c r="E528" t="s">
        <v>2245</v>
      </c>
      <c r="F528" t="s">
        <v>581</v>
      </c>
      <c r="G528" t="s">
        <v>2248</v>
      </c>
      <c r="H528" t="s">
        <v>592</v>
      </c>
      <c r="J528" s="519">
        <v>46109</v>
      </c>
      <c r="U528" s="519">
        <v>46109</v>
      </c>
    </row>
    <row r="529" spans="1:21">
      <c r="A529" t="s">
        <v>953</v>
      </c>
      <c r="B529" t="s">
        <v>3168</v>
      </c>
      <c r="C529" t="s">
        <v>953</v>
      </c>
      <c r="D529">
        <v>20471294</v>
      </c>
      <c r="E529" t="s">
        <v>2245</v>
      </c>
      <c r="F529" t="s">
        <v>984</v>
      </c>
      <c r="G529" t="s">
        <v>2250</v>
      </c>
      <c r="H529" t="s">
        <v>592</v>
      </c>
      <c r="J529" s="519">
        <v>46095</v>
      </c>
      <c r="U529" s="519">
        <v>46113</v>
      </c>
    </row>
    <row r="530" spans="1:21">
      <c r="A530" t="s">
        <v>953</v>
      </c>
      <c r="B530" t="s">
        <v>3169</v>
      </c>
      <c r="C530" t="s">
        <v>953</v>
      </c>
      <c r="D530">
        <v>20483943</v>
      </c>
      <c r="E530" t="s">
        <v>2245</v>
      </c>
      <c r="F530" t="s">
        <v>577</v>
      </c>
      <c r="G530" t="s">
        <v>1213</v>
      </c>
      <c r="H530" t="s">
        <v>588</v>
      </c>
      <c r="J530" s="519">
        <v>46112</v>
      </c>
      <c r="U530" s="519">
        <v>46123</v>
      </c>
    </row>
    <row r="531" spans="1:21">
      <c r="A531" t="s">
        <v>953</v>
      </c>
      <c r="B531" t="s">
        <v>3170</v>
      </c>
      <c r="C531" t="s">
        <v>953</v>
      </c>
      <c r="D531">
        <v>20482511</v>
      </c>
      <c r="E531" t="s">
        <v>2245</v>
      </c>
      <c r="F531" t="s">
        <v>984</v>
      </c>
      <c r="G531" t="s">
        <v>2250</v>
      </c>
      <c r="H531" t="s">
        <v>592</v>
      </c>
      <c r="J531" s="519">
        <v>46110</v>
      </c>
      <c r="U531" s="519">
        <v>46111</v>
      </c>
    </row>
    <row r="532" spans="1:21">
      <c r="A532" t="s">
        <v>953</v>
      </c>
      <c r="B532" t="s">
        <v>3171</v>
      </c>
      <c r="C532" t="s">
        <v>953</v>
      </c>
      <c r="D532">
        <v>20462471</v>
      </c>
      <c r="E532" t="s">
        <v>2245</v>
      </c>
      <c r="F532" t="s">
        <v>984</v>
      </c>
      <c r="G532" t="s">
        <v>2246</v>
      </c>
      <c r="H532" t="s">
        <v>588</v>
      </c>
      <c r="J532" s="519">
        <v>46085</v>
      </c>
      <c r="U532" s="519">
        <v>46095</v>
      </c>
    </row>
    <row r="533" spans="1:21">
      <c r="A533" t="s">
        <v>953</v>
      </c>
      <c r="B533" t="s">
        <v>1703</v>
      </c>
      <c r="C533" t="s">
        <v>953</v>
      </c>
      <c r="D533">
        <v>20480846</v>
      </c>
      <c r="E533" t="s">
        <v>1100</v>
      </c>
      <c r="F533" t="s">
        <v>578</v>
      </c>
      <c r="G533" t="s">
        <v>2250</v>
      </c>
      <c r="H533" t="s">
        <v>592</v>
      </c>
      <c r="I533" t="s">
        <v>1142</v>
      </c>
      <c r="J533" s="519">
        <v>46107</v>
      </c>
      <c r="K533" s="519">
        <v>46107</v>
      </c>
      <c r="U533" s="519">
        <v>46116</v>
      </c>
    </row>
    <row r="534" spans="1:21">
      <c r="A534" t="s">
        <v>953</v>
      </c>
      <c r="B534" t="s">
        <v>1703</v>
      </c>
      <c r="C534" t="s">
        <v>953</v>
      </c>
      <c r="D534">
        <v>20474192</v>
      </c>
      <c r="E534" t="s">
        <v>1110</v>
      </c>
      <c r="F534" t="s">
        <v>984</v>
      </c>
      <c r="G534" t="s">
        <v>2250</v>
      </c>
      <c r="H534" t="s">
        <v>592</v>
      </c>
      <c r="I534" t="s">
        <v>1142</v>
      </c>
      <c r="J534" s="519">
        <v>46098</v>
      </c>
      <c r="K534" s="519">
        <v>46107</v>
      </c>
      <c r="L534" s="519">
        <v>46107</v>
      </c>
      <c r="U534" s="519">
        <v>46113</v>
      </c>
    </row>
    <row r="535" spans="1:21">
      <c r="A535" t="s">
        <v>953</v>
      </c>
      <c r="B535" t="s">
        <v>3172</v>
      </c>
      <c r="C535" t="s">
        <v>953</v>
      </c>
      <c r="D535">
        <v>20480956</v>
      </c>
      <c r="E535" t="s">
        <v>2245</v>
      </c>
      <c r="F535" t="s">
        <v>984</v>
      </c>
      <c r="G535" t="s">
        <v>2250</v>
      </c>
      <c r="H535" t="s">
        <v>592</v>
      </c>
      <c r="J535" s="519">
        <v>46107</v>
      </c>
      <c r="U535" s="519">
        <v>46111</v>
      </c>
    </row>
    <row r="536" spans="1:21">
      <c r="A536" t="s">
        <v>953</v>
      </c>
      <c r="B536" t="s">
        <v>3173</v>
      </c>
      <c r="C536" t="s">
        <v>953</v>
      </c>
      <c r="D536">
        <v>20477151</v>
      </c>
      <c r="E536" t="s">
        <v>2245</v>
      </c>
      <c r="F536" t="s">
        <v>581</v>
      </c>
      <c r="G536" t="s">
        <v>2250</v>
      </c>
      <c r="H536" t="s">
        <v>592</v>
      </c>
      <c r="I536" t="s">
        <v>1034</v>
      </c>
      <c r="J536" s="519">
        <v>46102</v>
      </c>
      <c r="U536" s="519">
        <v>46232</v>
      </c>
    </row>
    <row r="537" spans="1:21">
      <c r="A537" t="s">
        <v>953</v>
      </c>
      <c r="B537" t="s">
        <v>3174</v>
      </c>
      <c r="C537" t="s">
        <v>953</v>
      </c>
      <c r="D537">
        <v>20478998</v>
      </c>
      <c r="E537" t="s">
        <v>2245</v>
      </c>
      <c r="F537" t="s">
        <v>581</v>
      </c>
      <c r="G537" t="s">
        <v>2250</v>
      </c>
      <c r="H537" t="s">
        <v>592</v>
      </c>
      <c r="J537" s="519">
        <v>46105</v>
      </c>
      <c r="U537" s="519">
        <v>46113</v>
      </c>
    </row>
    <row r="538" spans="1:21">
      <c r="A538" t="s">
        <v>953</v>
      </c>
      <c r="B538" t="s">
        <v>3175</v>
      </c>
      <c r="C538" t="s">
        <v>953</v>
      </c>
      <c r="D538">
        <v>20480716</v>
      </c>
      <c r="E538" t="s">
        <v>1110</v>
      </c>
      <c r="F538" t="s">
        <v>577</v>
      </c>
      <c r="G538" t="s">
        <v>2250</v>
      </c>
      <c r="H538" t="s">
        <v>2453</v>
      </c>
      <c r="I538" t="s">
        <v>1378</v>
      </c>
      <c r="J538" s="519">
        <v>46107</v>
      </c>
      <c r="K538" s="519">
        <v>46107</v>
      </c>
      <c r="L538" s="519">
        <v>46108</v>
      </c>
      <c r="U538" s="519">
        <v>46112</v>
      </c>
    </row>
    <row r="539" spans="1:21">
      <c r="A539" t="s">
        <v>953</v>
      </c>
      <c r="B539" t="s">
        <v>3175</v>
      </c>
      <c r="C539" t="s">
        <v>953</v>
      </c>
      <c r="D539">
        <v>20480668</v>
      </c>
      <c r="E539" t="s">
        <v>2245</v>
      </c>
      <c r="F539" t="s">
        <v>577</v>
      </c>
      <c r="G539" t="s">
        <v>2248</v>
      </c>
      <c r="H539" t="s">
        <v>588</v>
      </c>
      <c r="I539" t="s">
        <v>3081</v>
      </c>
      <c r="J539" s="519">
        <v>46107</v>
      </c>
      <c r="U539" s="519">
        <v>46113</v>
      </c>
    </row>
    <row r="540" spans="1:21">
      <c r="A540" t="s">
        <v>953</v>
      </c>
      <c r="B540" t="s">
        <v>3176</v>
      </c>
      <c r="C540" t="s">
        <v>953</v>
      </c>
      <c r="D540">
        <v>20479369</v>
      </c>
      <c r="E540" t="s">
        <v>2245</v>
      </c>
      <c r="F540" t="s">
        <v>581</v>
      </c>
      <c r="G540" t="s">
        <v>2250</v>
      </c>
      <c r="H540" t="s">
        <v>592</v>
      </c>
      <c r="J540" s="519">
        <v>46105</v>
      </c>
      <c r="U540" s="519">
        <v>46127</v>
      </c>
    </row>
    <row r="541" spans="1:21">
      <c r="A541" t="s">
        <v>953</v>
      </c>
      <c r="B541" t="s">
        <v>3177</v>
      </c>
      <c r="C541" t="s">
        <v>953</v>
      </c>
      <c r="D541">
        <v>20463689</v>
      </c>
      <c r="E541" t="s">
        <v>2245</v>
      </c>
      <c r="F541" t="s">
        <v>984</v>
      </c>
      <c r="G541" t="s">
        <v>2259</v>
      </c>
      <c r="H541" t="s">
        <v>2388</v>
      </c>
      <c r="J541" s="519">
        <v>46087</v>
      </c>
      <c r="U541" s="519">
        <v>46087</v>
      </c>
    </row>
    <row r="542" spans="1:21">
      <c r="A542" t="s">
        <v>953</v>
      </c>
      <c r="B542" t="s">
        <v>3178</v>
      </c>
      <c r="C542" t="s">
        <v>953</v>
      </c>
      <c r="D542">
        <v>20471544</v>
      </c>
      <c r="E542" t="s">
        <v>2245</v>
      </c>
      <c r="F542" t="s">
        <v>581</v>
      </c>
      <c r="G542" t="s">
        <v>2259</v>
      </c>
      <c r="H542" t="s">
        <v>592</v>
      </c>
      <c r="J542" s="519">
        <v>46095</v>
      </c>
      <c r="U542" s="519">
        <v>46157</v>
      </c>
    </row>
    <row r="543" spans="1:21">
      <c r="A543" t="s">
        <v>953</v>
      </c>
      <c r="B543" t="s">
        <v>3179</v>
      </c>
      <c r="C543" t="s">
        <v>953</v>
      </c>
      <c r="D543">
        <v>20480695</v>
      </c>
      <c r="E543" t="s">
        <v>2245</v>
      </c>
      <c r="F543" t="s">
        <v>581</v>
      </c>
      <c r="G543" t="s">
        <v>2259</v>
      </c>
      <c r="H543" t="s">
        <v>592</v>
      </c>
      <c r="J543" s="519">
        <v>46107</v>
      </c>
      <c r="U543" s="519">
        <v>46111</v>
      </c>
    </row>
    <row r="544" spans="1:21">
      <c r="A544" t="s">
        <v>953</v>
      </c>
      <c r="B544" t="s">
        <v>3180</v>
      </c>
      <c r="C544" t="s">
        <v>953</v>
      </c>
      <c r="D544">
        <v>20478229</v>
      </c>
      <c r="E544" t="s">
        <v>2245</v>
      </c>
      <c r="F544" t="s">
        <v>984</v>
      </c>
      <c r="G544" t="s">
        <v>2259</v>
      </c>
      <c r="H544" t="s">
        <v>2388</v>
      </c>
      <c r="J544" s="519">
        <v>46104</v>
      </c>
      <c r="U544" s="519">
        <v>46120</v>
      </c>
    </row>
    <row r="545" spans="1:21">
      <c r="A545" t="s">
        <v>953</v>
      </c>
      <c r="B545" t="s">
        <v>2668</v>
      </c>
      <c r="C545" t="s">
        <v>953</v>
      </c>
      <c r="D545">
        <v>20474349</v>
      </c>
      <c r="E545" t="s">
        <v>2245</v>
      </c>
      <c r="F545" t="s">
        <v>581</v>
      </c>
      <c r="G545" t="s">
        <v>2259</v>
      </c>
      <c r="H545" t="s">
        <v>592</v>
      </c>
      <c r="J545" s="519">
        <v>46099</v>
      </c>
      <c r="U545" s="519">
        <v>46142</v>
      </c>
    </row>
    <row r="546" spans="1:21">
      <c r="A546" t="s">
        <v>953</v>
      </c>
      <c r="B546" t="s">
        <v>3181</v>
      </c>
      <c r="C546" t="s">
        <v>953</v>
      </c>
      <c r="D546">
        <v>20478216</v>
      </c>
      <c r="E546" t="s">
        <v>2245</v>
      </c>
      <c r="F546" t="s">
        <v>581</v>
      </c>
      <c r="G546" t="s">
        <v>2259</v>
      </c>
      <c r="H546" t="s">
        <v>592</v>
      </c>
      <c r="J546" s="519">
        <v>46104</v>
      </c>
      <c r="U546" s="519">
        <v>46172</v>
      </c>
    </row>
    <row r="547" spans="1:21">
      <c r="A547" t="s">
        <v>953</v>
      </c>
      <c r="B547" t="s">
        <v>3182</v>
      </c>
      <c r="C547" t="s">
        <v>953</v>
      </c>
      <c r="D547">
        <v>20465252</v>
      </c>
      <c r="E547" t="s">
        <v>2245</v>
      </c>
      <c r="F547" t="s">
        <v>581</v>
      </c>
      <c r="G547" t="s">
        <v>2259</v>
      </c>
      <c r="H547" t="s">
        <v>593</v>
      </c>
      <c r="I547" t="s">
        <v>1798</v>
      </c>
      <c r="J547" s="519">
        <v>46090</v>
      </c>
      <c r="U547" s="519">
        <v>46115</v>
      </c>
    </row>
    <row r="548" spans="1:21">
      <c r="A548" t="s">
        <v>953</v>
      </c>
      <c r="B548" t="s">
        <v>3183</v>
      </c>
      <c r="C548" t="s">
        <v>953</v>
      </c>
      <c r="D548">
        <v>20476117</v>
      </c>
      <c r="E548" t="s">
        <v>2245</v>
      </c>
      <c r="F548" t="s">
        <v>581</v>
      </c>
      <c r="G548" t="s">
        <v>2259</v>
      </c>
      <c r="H548" t="s">
        <v>593</v>
      </c>
      <c r="I548" t="s">
        <v>1156</v>
      </c>
      <c r="J548" s="519">
        <v>46100</v>
      </c>
      <c r="U548" s="519">
        <v>46100</v>
      </c>
    </row>
    <row r="549" spans="1:21">
      <c r="A549" t="s">
        <v>953</v>
      </c>
      <c r="B549" t="s">
        <v>3184</v>
      </c>
      <c r="C549" t="s">
        <v>953</v>
      </c>
      <c r="D549">
        <v>20461132</v>
      </c>
      <c r="E549" t="s">
        <v>2245</v>
      </c>
      <c r="F549" t="s">
        <v>984</v>
      </c>
      <c r="G549" t="s">
        <v>2259</v>
      </c>
      <c r="H549" t="s">
        <v>2388</v>
      </c>
      <c r="J549" s="519">
        <v>46084</v>
      </c>
      <c r="U549" s="519">
        <v>46084</v>
      </c>
    </row>
    <row r="550" spans="1:21">
      <c r="A550" t="s">
        <v>953</v>
      </c>
      <c r="B550" t="s">
        <v>3185</v>
      </c>
      <c r="C550" t="s">
        <v>953</v>
      </c>
      <c r="D550">
        <v>20462200</v>
      </c>
      <c r="E550" t="s">
        <v>2245</v>
      </c>
      <c r="F550" t="s">
        <v>984</v>
      </c>
      <c r="G550" t="s">
        <v>2259</v>
      </c>
      <c r="H550" t="s">
        <v>592</v>
      </c>
      <c r="J550" s="519">
        <v>46085</v>
      </c>
      <c r="U550" s="519">
        <v>46099</v>
      </c>
    </row>
    <row r="551" spans="1:21">
      <c r="A551" t="s">
        <v>953</v>
      </c>
      <c r="B551" t="s">
        <v>3186</v>
      </c>
      <c r="C551" t="s">
        <v>953</v>
      </c>
      <c r="D551">
        <v>20463777</v>
      </c>
      <c r="E551" t="s">
        <v>2245</v>
      </c>
      <c r="F551" t="s">
        <v>984</v>
      </c>
      <c r="G551" t="s">
        <v>2259</v>
      </c>
      <c r="H551" t="s">
        <v>3138</v>
      </c>
      <c r="J551" s="519">
        <v>46087</v>
      </c>
      <c r="U551" s="519">
        <v>46087</v>
      </c>
    </row>
    <row r="552" spans="1:21">
      <c r="A552" t="s">
        <v>953</v>
      </c>
      <c r="B552" t="s">
        <v>3187</v>
      </c>
      <c r="C552" t="s">
        <v>953</v>
      </c>
      <c r="D552">
        <v>20464182</v>
      </c>
      <c r="E552" t="s">
        <v>2245</v>
      </c>
      <c r="F552" t="s">
        <v>984</v>
      </c>
      <c r="G552" t="s">
        <v>2259</v>
      </c>
      <c r="H552" t="s">
        <v>593</v>
      </c>
      <c r="J552" s="519">
        <v>46088</v>
      </c>
      <c r="U552" s="519">
        <v>46088</v>
      </c>
    </row>
    <row r="553" spans="1:21">
      <c r="A553" t="s">
        <v>953</v>
      </c>
      <c r="B553" t="s">
        <v>3188</v>
      </c>
      <c r="C553" t="s">
        <v>953</v>
      </c>
      <c r="D553">
        <v>20461471</v>
      </c>
      <c r="E553" t="s">
        <v>2245</v>
      </c>
      <c r="F553" t="s">
        <v>984</v>
      </c>
      <c r="G553" t="s">
        <v>2259</v>
      </c>
      <c r="H553" t="s">
        <v>592</v>
      </c>
      <c r="J553" s="519">
        <v>46084</v>
      </c>
      <c r="U553" s="519">
        <v>46174</v>
      </c>
    </row>
    <row r="554" spans="1:21">
      <c r="A554" t="s">
        <v>953</v>
      </c>
      <c r="B554" t="s">
        <v>3189</v>
      </c>
      <c r="C554" t="s">
        <v>953</v>
      </c>
      <c r="D554">
        <v>20462146</v>
      </c>
      <c r="E554" t="s">
        <v>2245</v>
      </c>
      <c r="F554" t="s">
        <v>984</v>
      </c>
      <c r="G554" t="s">
        <v>2259</v>
      </c>
      <c r="H554" t="s">
        <v>593</v>
      </c>
      <c r="J554" s="519">
        <v>46085</v>
      </c>
      <c r="U554" s="519">
        <v>46113</v>
      </c>
    </row>
    <row r="555" spans="1:21">
      <c r="A555" t="s">
        <v>953</v>
      </c>
      <c r="B555" t="s">
        <v>3190</v>
      </c>
      <c r="C555" t="s">
        <v>953</v>
      </c>
      <c r="D555">
        <v>20466417</v>
      </c>
      <c r="E555" t="s">
        <v>2245</v>
      </c>
      <c r="F555" t="s">
        <v>581</v>
      </c>
      <c r="G555" t="s">
        <v>2248</v>
      </c>
      <c r="H555" t="s">
        <v>587</v>
      </c>
      <c r="J555" s="519">
        <v>46091</v>
      </c>
      <c r="U555" s="519">
        <v>46091</v>
      </c>
    </row>
    <row r="556" spans="1:21">
      <c r="A556" t="s">
        <v>953</v>
      </c>
      <c r="B556" t="s">
        <v>3191</v>
      </c>
      <c r="C556" t="s">
        <v>953</v>
      </c>
      <c r="D556">
        <v>20465526</v>
      </c>
      <c r="E556" t="s">
        <v>2245</v>
      </c>
      <c r="F556" t="s">
        <v>984</v>
      </c>
      <c r="G556" t="s">
        <v>2259</v>
      </c>
      <c r="H556" t="s">
        <v>592</v>
      </c>
      <c r="J556" s="519">
        <v>46090</v>
      </c>
      <c r="U556" s="519">
        <v>46113</v>
      </c>
    </row>
    <row r="557" spans="1:21">
      <c r="A557" t="s">
        <v>953</v>
      </c>
      <c r="B557" t="s">
        <v>3192</v>
      </c>
      <c r="C557" t="s">
        <v>953</v>
      </c>
      <c r="D557">
        <v>20462888</v>
      </c>
      <c r="E557" t="s">
        <v>2245</v>
      </c>
      <c r="F557" t="s">
        <v>581</v>
      </c>
      <c r="G557" t="s">
        <v>2259</v>
      </c>
      <c r="H557" t="s">
        <v>592</v>
      </c>
      <c r="J557" s="519">
        <v>46086</v>
      </c>
      <c r="U557" s="519">
        <v>46096</v>
      </c>
    </row>
    <row r="558" spans="1:21">
      <c r="A558" t="s">
        <v>953</v>
      </c>
      <c r="B558" t="s">
        <v>3193</v>
      </c>
      <c r="C558" t="s">
        <v>953</v>
      </c>
      <c r="D558">
        <v>20471508</v>
      </c>
      <c r="E558" t="s">
        <v>2245</v>
      </c>
      <c r="F558" t="s">
        <v>581</v>
      </c>
      <c r="G558" t="s">
        <v>2259</v>
      </c>
      <c r="H558" t="s">
        <v>2388</v>
      </c>
      <c r="J558" s="519">
        <v>46095</v>
      </c>
      <c r="U558" s="519">
        <v>46095</v>
      </c>
    </row>
    <row r="559" spans="1:21">
      <c r="A559" t="s">
        <v>953</v>
      </c>
      <c r="B559" t="s">
        <v>3194</v>
      </c>
      <c r="C559" t="s">
        <v>953</v>
      </c>
      <c r="D559">
        <v>20481265</v>
      </c>
      <c r="E559" t="s">
        <v>2245</v>
      </c>
      <c r="F559" t="s">
        <v>984</v>
      </c>
      <c r="G559" t="s">
        <v>2259</v>
      </c>
      <c r="H559" t="s">
        <v>592</v>
      </c>
      <c r="J559" s="519">
        <v>46108</v>
      </c>
      <c r="U559" s="519">
        <v>46108</v>
      </c>
    </row>
    <row r="560" spans="1:21">
      <c r="A560" t="s">
        <v>953</v>
      </c>
      <c r="B560" t="s">
        <v>3195</v>
      </c>
      <c r="C560" t="s">
        <v>953</v>
      </c>
      <c r="D560">
        <v>20474053</v>
      </c>
      <c r="E560" t="s">
        <v>2245</v>
      </c>
      <c r="F560" t="s">
        <v>581</v>
      </c>
      <c r="G560" t="s">
        <v>2259</v>
      </c>
      <c r="H560" t="s">
        <v>593</v>
      </c>
      <c r="J560" s="519">
        <v>46098</v>
      </c>
      <c r="U560" s="519">
        <v>46098</v>
      </c>
    </row>
    <row r="561" spans="1:21">
      <c r="A561" t="s">
        <v>953</v>
      </c>
      <c r="B561" t="s">
        <v>3196</v>
      </c>
      <c r="C561" t="s">
        <v>953</v>
      </c>
      <c r="D561">
        <v>20479122</v>
      </c>
      <c r="E561" t="s">
        <v>2245</v>
      </c>
      <c r="F561" t="s">
        <v>984</v>
      </c>
      <c r="G561" t="s">
        <v>2259</v>
      </c>
      <c r="H561" t="s">
        <v>592</v>
      </c>
      <c r="J561" s="519">
        <v>46105</v>
      </c>
      <c r="U561" s="519">
        <v>46105</v>
      </c>
    </row>
    <row r="562" spans="1:21">
      <c r="A562" t="s">
        <v>953</v>
      </c>
      <c r="B562" t="s">
        <v>3197</v>
      </c>
      <c r="C562" t="s">
        <v>953</v>
      </c>
      <c r="D562">
        <v>20462849</v>
      </c>
      <c r="E562" t="s">
        <v>2245</v>
      </c>
      <c r="F562" t="s">
        <v>984</v>
      </c>
      <c r="G562" t="s">
        <v>2259</v>
      </c>
      <c r="H562" t="s">
        <v>3138</v>
      </c>
      <c r="J562" s="519">
        <v>46086</v>
      </c>
      <c r="U562" s="519">
        <v>46086</v>
      </c>
    </row>
    <row r="563" spans="1:21">
      <c r="A563" t="s">
        <v>953</v>
      </c>
      <c r="B563" t="s">
        <v>3198</v>
      </c>
      <c r="C563" t="s">
        <v>953</v>
      </c>
      <c r="D563">
        <v>20469399</v>
      </c>
      <c r="E563" t="s">
        <v>2245</v>
      </c>
      <c r="F563" t="s">
        <v>579</v>
      </c>
      <c r="G563" t="s">
        <v>2259</v>
      </c>
      <c r="H563" t="s">
        <v>593</v>
      </c>
      <c r="J563" s="519">
        <v>46093</v>
      </c>
      <c r="U563" s="519">
        <v>46082</v>
      </c>
    </row>
    <row r="564" spans="1:21">
      <c r="A564" t="s">
        <v>953</v>
      </c>
      <c r="B564" t="s">
        <v>3199</v>
      </c>
      <c r="C564" t="s">
        <v>953</v>
      </c>
      <c r="D564">
        <v>20461472</v>
      </c>
      <c r="E564" t="s">
        <v>2245</v>
      </c>
      <c r="F564" t="s">
        <v>581</v>
      </c>
      <c r="G564" t="s">
        <v>2259</v>
      </c>
      <c r="H564" t="s">
        <v>2388</v>
      </c>
      <c r="J564" s="519">
        <v>46084</v>
      </c>
      <c r="U564" s="519">
        <v>46084</v>
      </c>
    </row>
    <row r="565" spans="1:21">
      <c r="A565" t="s">
        <v>953</v>
      </c>
      <c r="B565" t="s">
        <v>3200</v>
      </c>
      <c r="C565" t="s">
        <v>953</v>
      </c>
      <c r="D565">
        <v>20479376</v>
      </c>
      <c r="E565" t="s">
        <v>2245</v>
      </c>
      <c r="F565" t="s">
        <v>581</v>
      </c>
      <c r="G565" t="s">
        <v>2259</v>
      </c>
      <c r="H565" t="s">
        <v>593</v>
      </c>
      <c r="J565" s="519">
        <v>46105</v>
      </c>
      <c r="U565" s="519">
        <v>46113</v>
      </c>
    </row>
    <row r="566" spans="1:21">
      <c r="A566" t="s">
        <v>953</v>
      </c>
      <c r="B566" t="s">
        <v>3201</v>
      </c>
      <c r="C566" t="s">
        <v>953</v>
      </c>
      <c r="D566">
        <v>20462459</v>
      </c>
      <c r="E566" t="s">
        <v>2245</v>
      </c>
      <c r="F566" t="s">
        <v>984</v>
      </c>
      <c r="G566" t="s">
        <v>2259</v>
      </c>
      <c r="H566" t="s">
        <v>592</v>
      </c>
      <c r="J566" s="519">
        <v>46085</v>
      </c>
      <c r="U566" s="519">
        <v>46085</v>
      </c>
    </row>
    <row r="567" spans="1:21">
      <c r="A567" t="s">
        <v>953</v>
      </c>
      <c r="B567" t="s">
        <v>3202</v>
      </c>
      <c r="C567" t="s">
        <v>953</v>
      </c>
      <c r="D567">
        <v>20469075</v>
      </c>
      <c r="E567" t="s">
        <v>2245</v>
      </c>
      <c r="F567" t="s">
        <v>984</v>
      </c>
      <c r="G567" t="s">
        <v>2246</v>
      </c>
      <c r="H567" t="s">
        <v>2428</v>
      </c>
      <c r="J567" s="519">
        <v>46093</v>
      </c>
      <c r="U567" s="519">
        <v>46093</v>
      </c>
    </row>
    <row r="568" spans="1:21">
      <c r="A568" t="s">
        <v>953</v>
      </c>
      <c r="B568" t="s">
        <v>3203</v>
      </c>
      <c r="C568" t="s">
        <v>953</v>
      </c>
      <c r="D568">
        <v>20462872</v>
      </c>
      <c r="E568" t="s">
        <v>2245</v>
      </c>
      <c r="F568" t="s">
        <v>581</v>
      </c>
      <c r="G568" t="s">
        <v>2248</v>
      </c>
      <c r="H568" t="s">
        <v>588</v>
      </c>
      <c r="J568" s="519">
        <v>46086</v>
      </c>
      <c r="U568" s="519">
        <v>46109</v>
      </c>
    </row>
    <row r="569" spans="1:21">
      <c r="A569" t="s">
        <v>953</v>
      </c>
      <c r="B569" t="s">
        <v>3204</v>
      </c>
      <c r="C569" t="s">
        <v>953</v>
      </c>
      <c r="D569">
        <v>20461557</v>
      </c>
      <c r="E569" t="s">
        <v>2245</v>
      </c>
      <c r="F569" t="s">
        <v>984</v>
      </c>
      <c r="G569" t="s">
        <v>2259</v>
      </c>
      <c r="H569" t="s">
        <v>593</v>
      </c>
      <c r="J569" s="519">
        <v>46084</v>
      </c>
      <c r="U569" s="519">
        <v>46084</v>
      </c>
    </row>
    <row r="570" spans="1:21">
      <c r="A570" t="s">
        <v>953</v>
      </c>
      <c r="B570" t="s">
        <v>3205</v>
      </c>
      <c r="C570" t="s">
        <v>953</v>
      </c>
      <c r="D570">
        <v>20465353</v>
      </c>
      <c r="E570" t="s">
        <v>2245</v>
      </c>
      <c r="F570" t="s">
        <v>984</v>
      </c>
      <c r="G570" t="s">
        <v>2259</v>
      </c>
      <c r="H570" t="s">
        <v>2388</v>
      </c>
      <c r="J570" s="519">
        <v>46090</v>
      </c>
      <c r="U570" s="519">
        <v>46090</v>
      </c>
    </row>
    <row r="571" spans="1:21">
      <c r="A571" t="s">
        <v>953</v>
      </c>
      <c r="B571" t="s">
        <v>3206</v>
      </c>
      <c r="C571" t="s">
        <v>953</v>
      </c>
      <c r="D571">
        <v>20463734</v>
      </c>
      <c r="E571" t="s">
        <v>2245</v>
      </c>
      <c r="F571" t="s">
        <v>581</v>
      </c>
      <c r="G571" t="s">
        <v>2259</v>
      </c>
      <c r="H571" t="s">
        <v>2388</v>
      </c>
      <c r="J571" s="519">
        <v>46087</v>
      </c>
      <c r="U571" s="519">
        <v>46087</v>
      </c>
    </row>
    <row r="572" spans="1:21">
      <c r="A572" t="s">
        <v>953</v>
      </c>
      <c r="B572" t="s">
        <v>2735</v>
      </c>
      <c r="C572" t="s">
        <v>953</v>
      </c>
      <c r="D572">
        <v>20475771</v>
      </c>
      <c r="E572" t="s">
        <v>2245</v>
      </c>
      <c r="F572" t="s">
        <v>581</v>
      </c>
      <c r="G572" t="s">
        <v>2259</v>
      </c>
      <c r="H572" t="s">
        <v>2388</v>
      </c>
      <c r="J572" s="519">
        <v>46100</v>
      </c>
      <c r="U572" s="519">
        <v>46157</v>
      </c>
    </row>
    <row r="573" spans="1:21">
      <c r="A573" t="s">
        <v>953</v>
      </c>
      <c r="B573" t="s">
        <v>2735</v>
      </c>
      <c r="C573" t="s">
        <v>953</v>
      </c>
      <c r="D573">
        <v>20465384</v>
      </c>
      <c r="E573" t="s">
        <v>2245</v>
      </c>
      <c r="F573" t="s">
        <v>984</v>
      </c>
      <c r="G573" t="s">
        <v>2259</v>
      </c>
      <c r="H573" t="s">
        <v>2388</v>
      </c>
      <c r="J573" s="519">
        <v>46090</v>
      </c>
      <c r="U573" s="519">
        <v>46090</v>
      </c>
    </row>
    <row r="574" spans="1:21">
      <c r="A574" t="s">
        <v>953</v>
      </c>
      <c r="B574" t="s">
        <v>2735</v>
      </c>
      <c r="C574" t="s">
        <v>953</v>
      </c>
      <c r="D574">
        <v>20463880</v>
      </c>
      <c r="E574" t="s">
        <v>2245</v>
      </c>
      <c r="F574" t="s">
        <v>581</v>
      </c>
      <c r="G574" t="s">
        <v>2259</v>
      </c>
      <c r="H574" t="s">
        <v>592</v>
      </c>
      <c r="J574" s="519">
        <v>46087</v>
      </c>
      <c r="U574" s="519">
        <v>46087</v>
      </c>
    </row>
    <row r="575" spans="1:21">
      <c r="A575" t="s">
        <v>953</v>
      </c>
      <c r="B575" t="s">
        <v>2735</v>
      </c>
      <c r="C575" t="s">
        <v>953</v>
      </c>
      <c r="D575">
        <v>20462220</v>
      </c>
      <c r="E575" t="s">
        <v>2245</v>
      </c>
      <c r="F575" t="s">
        <v>984</v>
      </c>
      <c r="G575" t="s">
        <v>2259</v>
      </c>
      <c r="H575" t="s">
        <v>2388</v>
      </c>
      <c r="J575" s="519">
        <v>46085</v>
      </c>
      <c r="U575" s="519">
        <v>46085</v>
      </c>
    </row>
    <row r="576" spans="1:21">
      <c r="A576" t="s">
        <v>953</v>
      </c>
      <c r="B576" t="s">
        <v>2735</v>
      </c>
      <c r="C576" t="s">
        <v>953</v>
      </c>
      <c r="D576">
        <v>20461559</v>
      </c>
      <c r="E576" t="s">
        <v>2245</v>
      </c>
      <c r="F576" t="s">
        <v>984</v>
      </c>
      <c r="G576" t="s">
        <v>2259</v>
      </c>
      <c r="H576" t="s">
        <v>2388</v>
      </c>
      <c r="J576" s="519">
        <v>46084</v>
      </c>
      <c r="U576" s="519">
        <v>46084</v>
      </c>
    </row>
    <row r="577" spans="1:21">
      <c r="A577" t="s">
        <v>953</v>
      </c>
      <c r="B577" t="s">
        <v>2735</v>
      </c>
      <c r="C577" t="s">
        <v>953</v>
      </c>
      <c r="D577">
        <v>20461553</v>
      </c>
      <c r="E577" t="s">
        <v>2245</v>
      </c>
      <c r="F577" t="s">
        <v>984</v>
      </c>
      <c r="G577" t="s">
        <v>2259</v>
      </c>
      <c r="H577" t="s">
        <v>2388</v>
      </c>
      <c r="J577" s="519">
        <v>46084</v>
      </c>
      <c r="U577" s="519">
        <v>46084</v>
      </c>
    </row>
    <row r="578" spans="1:21">
      <c r="A578" t="s">
        <v>953</v>
      </c>
      <c r="B578" t="s">
        <v>2735</v>
      </c>
      <c r="C578" t="s">
        <v>953</v>
      </c>
      <c r="D578">
        <v>20461435</v>
      </c>
      <c r="E578" t="s">
        <v>2245</v>
      </c>
      <c r="F578" t="s">
        <v>581</v>
      </c>
      <c r="G578" t="s">
        <v>2259</v>
      </c>
      <c r="H578" t="s">
        <v>592</v>
      </c>
      <c r="J578" s="519">
        <v>46084</v>
      </c>
      <c r="U578" s="519">
        <v>46084</v>
      </c>
    </row>
    <row r="579" spans="1:21">
      <c r="A579" t="s">
        <v>953</v>
      </c>
      <c r="B579" t="s">
        <v>2735</v>
      </c>
      <c r="C579" t="s">
        <v>953</v>
      </c>
      <c r="D579">
        <v>20482264</v>
      </c>
      <c r="E579" t="s">
        <v>2245</v>
      </c>
      <c r="F579" t="s">
        <v>984</v>
      </c>
      <c r="G579" t="s">
        <v>2259</v>
      </c>
      <c r="H579" t="s">
        <v>593</v>
      </c>
      <c r="J579" s="519">
        <v>46109</v>
      </c>
      <c r="U579" s="519">
        <v>46109</v>
      </c>
    </row>
    <row r="580" spans="1:21">
      <c r="A580" t="s">
        <v>953</v>
      </c>
      <c r="B580" t="s">
        <v>2735</v>
      </c>
      <c r="C580" t="s">
        <v>953</v>
      </c>
      <c r="D580">
        <v>20460387</v>
      </c>
      <c r="E580" t="s">
        <v>2245</v>
      </c>
      <c r="F580" t="s">
        <v>984</v>
      </c>
      <c r="G580" t="s">
        <v>2259</v>
      </c>
      <c r="H580" t="s">
        <v>2388</v>
      </c>
      <c r="J580" s="519">
        <v>46083</v>
      </c>
      <c r="U580" s="519">
        <v>46083</v>
      </c>
    </row>
    <row r="581" spans="1:21">
      <c r="A581" t="s">
        <v>953</v>
      </c>
      <c r="B581" t="s">
        <v>2735</v>
      </c>
      <c r="C581" t="s">
        <v>953</v>
      </c>
      <c r="D581">
        <v>20472330</v>
      </c>
      <c r="E581" t="s">
        <v>2245</v>
      </c>
      <c r="F581" t="s">
        <v>984</v>
      </c>
      <c r="G581" t="s">
        <v>2259</v>
      </c>
      <c r="H581" t="s">
        <v>2388</v>
      </c>
      <c r="J581" s="519">
        <v>46097</v>
      </c>
      <c r="U581" s="519">
        <v>46097</v>
      </c>
    </row>
    <row r="582" spans="1:21">
      <c r="A582" t="s">
        <v>953</v>
      </c>
      <c r="B582" t="s">
        <v>2735</v>
      </c>
      <c r="C582" t="s">
        <v>953</v>
      </c>
      <c r="D582">
        <v>20473505</v>
      </c>
      <c r="E582" t="s">
        <v>2245</v>
      </c>
      <c r="F582" t="s">
        <v>581</v>
      </c>
      <c r="G582" t="s">
        <v>2290</v>
      </c>
      <c r="H582" t="s">
        <v>587</v>
      </c>
      <c r="J582" s="519">
        <v>46098</v>
      </c>
      <c r="U582" s="519">
        <v>46098</v>
      </c>
    </row>
    <row r="583" spans="1:21">
      <c r="A583" t="s">
        <v>953</v>
      </c>
      <c r="B583" t="s">
        <v>3207</v>
      </c>
      <c r="C583" t="s">
        <v>953</v>
      </c>
      <c r="D583">
        <v>20461415</v>
      </c>
      <c r="E583" t="s">
        <v>2245</v>
      </c>
      <c r="F583" t="s">
        <v>984</v>
      </c>
      <c r="G583" t="s">
        <v>2259</v>
      </c>
      <c r="H583" t="s">
        <v>592</v>
      </c>
      <c r="J583" s="519">
        <v>46084</v>
      </c>
      <c r="U583" s="519">
        <v>46091</v>
      </c>
    </row>
    <row r="584" spans="1:21">
      <c r="A584" t="s">
        <v>953</v>
      </c>
      <c r="B584" t="s">
        <v>3208</v>
      </c>
      <c r="C584" t="s">
        <v>953</v>
      </c>
      <c r="D584">
        <v>20476240</v>
      </c>
      <c r="E584" t="s">
        <v>1100</v>
      </c>
      <c r="F584" t="s">
        <v>579</v>
      </c>
      <c r="G584" t="s">
        <v>2248</v>
      </c>
      <c r="H584" t="s">
        <v>2388</v>
      </c>
      <c r="I584" t="s">
        <v>1142</v>
      </c>
      <c r="J584" s="519">
        <v>46100</v>
      </c>
      <c r="K584" s="519">
        <v>46102</v>
      </c>
      <c r="U584" s="519">
        <v>46114</v>
      </c>
    </row>
    <row r="585" spans="1:21">
      <c r="A585" t="s">
        <v>953</v>
      </c>
      <c r="B585" t="s">
        <v>3209</v>
      </c>
      <c r="C585" t="s">
        <v>953</v>
      </c>
      <c r="D585">
        <v>20463371</v>
      </c>
      <c r="E585" t="s">
        <v>1100</v>
      </c>
      <c r="F585" t="s">
        <v>1115</v>
      </c>
      <c r="G585" t="s">
        <v>2250</v>
      </c>
      <c r="H585" t="s">
        <v>587</v>
      </c>
      <c r="I585" t="s">
        <v>887</v>
      </c>
      <c r="J585" s="519">
        <v>46086</v>
      </c>
      <c r="K585" s="519">
        <v>46086</v>
      </c>
      <c r="U585" s="519">
        <v>46086</v>
      </c>
    </row>
    <row r="586" spans="1:21">
      <c r="A586" t="s">
        <v>953</v>
      </c>
      <c r="B586" t="s">
        <v>3209</v>
      </c>
      <c r="C586" t="s">
        <v>953</v>
      </c>
      <c r="D586">
        <v>20460026</v>
      </c>
      <c r="E586" t="s">
        <v>2245</v>
      </c>
      <c r="F586" t="s">
        <v>984</v>
      </c>
      <c r="G586" t="s">
        <v>2290</v>
      </c>
      <c r="H586" t="s">
        <v>587</v>
      </c>
      <c r="J586" s="519">
        <v>46082</v>
      </c>
      <c r="U586" s="519">
        <v>46082</v>
      </c>
    </row>
    <row r="587" spans="1:21">
      <c r="A587" t="s">
        <v>953</v>
      </c>
      <c r="B587" t="s">
        <v>3210</v>
      </c>
      <c r="C587" t="s">
        <v>953</v>
      </c>
      <c r="D587">
        <v>20416476</v>
      </c>
      <c r="E587" t="s">
        <v>2252</v>
      </c>
      <c r="F587" t="s">
        <v>577</v>
      </c>
      <c r="G587" t="s">
        <v>2250</v>
      </c>
      <c r="H587" t="s">
        <v>2453</v>
      </c>
      <c r="I587" t="s">
        <v>3211</v>
      </c>
      <c r="J587" s="519">
        <v>46024</v>
      </c>
      <c r="K587" s="519">
        <v>46024</v>
      </c>
      <c r="R587" s="519">
        <v>46091</v>
      </c>
      <c r="U587" s="519">
        <v>46032</v>
      </c>
    </row>
    <row r="588" spans="1:21">
      <c r="A588" t="s">
        <v>953</v>
      </c>
      <c r="B588" t="s">
        <v>1121</v>
      </c>
      <c r="C588" t="s">
        <v>953</v>
      </c>
      <c r="D588">
        <v>20453249</v>
      </c>
      <c r="E588" t="s">
        <v>2252</v>
      </c>
      <c r="F588" t="s">
        <v>579</v>
      </c>
      <c r="G588" t="s">
        <v>2250</v>
      </c>
      <c r="H588" t="s">
        <v>589</v>
      </c>
      <c r="I588" t="s">
        <v>1120</v>
      </c>
      <c r="J588" s="519">
        <v>46072</v>
      </c>
      <c r="K588" s="519">
        <v>46072</v>
      </c>
      <c r="L588" s="519">
        <v>46072</v>
      </c>
      <c r="R588" s="519">
        <v>46098</v>
      </c>
      <c r="U588" s="519">
        <v>46098</v>
      </c>
    </row>
    <row r="589" spans="1:21">
      <c r="A589" t="s">
        <v>953</v>
      </c>
      <c r="B589" t="s">
        <v>2748</v>
      </c>
      <c r="C589" t="s">
        <v>953</v>
      </c>
      <c r="D589">
        <v>20452419</v>
      </c>
      <c r="E589" t="s">
        <v>2252</v>
      </c>
      <c r="F589" t="s">
        <v>2256</v>
      </c>
      <c r="G589" t="s">
        <v>2248</v>
      </c>
      <c r="H589" t="s">
        <v>589</v>
      </c>
      <c r="I589" t="s">
        <v>1630</v>
      </c>
      <c r="J589" s="519">
        <v>46071</v>
      </c>
      <c r="K589" s="519">
        <v>46073</v>
      </c>
      <c r="L589" s="519">
        <v>46073</v>
      </c>
      <c r="R589" s="519">
        <v>46091</v>
      </c>
      <c r="U589" s="519">
        <v>46094</v>
      </c>
    </row>
    <row r="590" spans="1:21">
      <c r="A590" t="s">
        <v>953</v>
      </c>
      <c r="B590" t="s">
        <v>3212</v>
      </c>
      <c r="C590" t="s">
        <v>953</v>
      </c>
      <c r="D590">
        <v>20481326</v>
      </c>
      <c r="E590" t="s">
        <v>2245</v>
      </c>
      <c r="F590" t="s">
        <v>581</v>
      </c>
      <c r="G590" t="s">
        <v>2290</v>
      </c>
      <c r="H590" t="s">
        <v>2361</v>
      </c>
      <c r="J590" s="519">
        <v>46108</v>
      </c>
      <c r="U590" s="519">
        <v>46108</v>
      </c>
    </row>
    <row r="591" spans="1:21">
      <c r="A591" t="s">
        <v>953</v>
      </c>
      <c r="B591" t="s">
        <v>3213</v>
      </c>
      <c r="C591" t="s">
        <v>953</v>
      </c>
      <c r="D591">
        <v>20473119</v>
      </c>
      <c r="E591" t="s">
        <v>2245</v>
      </c>
      <c r="F591" t="s">
        <v>581</v>
      </c>
      <c r="G591" t="s">
        <v>2248</v>
      </c>
      <c r="H591" t="s">
        <v>591</v>
      </c>
      <c r="J591" s="519">
        <v>46098</v>
      </c>
      <c r="U591" s="519">
        <v>46098</v>
      </c>
    </row>
    <row r="592" spans="1:21">
      <c r="A592" t="s">
        <v>953</v>
      </c>
      <c r="B592" t="s">
        <v>3214</v>
      </c>
      <c r="C592" t="s">
        <v>953</v>
      </c>
      <c r="D592">
        <v>20480831</v>
      </c>
      <c r="E592" t="s">
        <v>2245</v>
      </c>
      <c r="F592" t="s">
        <v>581</v>
      </c>
      <c r="G592" t="s">
        <v>2250</v>
      </c>
      <c r="H592" t="s">
        <v>592</v>
      </c>
      <c r="J592" s="519">
        <v>46107</v>
      </c>
      <c r="U592" s="519">
        <v>46113</v>
      </c>
    </row>
    <row r="593" spans="1:21">
      <c r="A593" t="s">
        <v>953</v>
      </c>
      <c r="B593" t="s">
        <v>3215</v>
      </c>
      <c r="C593" t="s">
        <v>953</v>
      </c>
      <c r="D593">
        <v>20471043</v>
      </c>
      <c r="E593" t="s">
        <v>2245</v>
      </c>
      <c r="F593" t="s">
        <v>579</v>
      </c>
      <c r="G593" t="s">
        <v>2248</v>
      </c>
      <c r="H593" t="s">
        <v>588</v>
      </c>
      <c r="I593" t="s">
        <v>1156</v>
      </c>
      <c r="J593" s="519">
        <v>46094</v>
      </c>
      <c r="U593" s="519">
        <v>46094</v>
      </c>
    </row>
    <row r="594" spans="1:21">
      <c r="A594" t="s">
        <v>953</v>
      </c>
      <c r="B594" t="s">
        <v>3216</v>
      </c>
      <c r="C594" t="s">
        <v>953</v>
      </c>
      <c r="D594">
        <v>20482608</v>
      </c>
      <c r="E594" t="s">
        <v>2245</v>
      </c>
      <c r="F594" t="s">
        <v>984</v>
      </c>
      <c r="G594" t="s">
        <v>2250</v>
      </c>
      <c r="H594" t="s">
        <v>592</v>
      </c>
      <c r="J594" s="519">
        <v>46110</v>
      </c>
      <c r="U594" s="519">
        <v>46162</v>
      </c>
    </row>
    <row r="595" spans="1:21">
      <c r="A595" t="s">
        <v>953</v>
      </c>
      <c r="B595" t="s">
        <v>3217</v>
      </c>
      <c r="C595" t="s">
        <v>953</v>
      </c>
      <c r="D595">
        <v>20482834</v>
      </c>
      <c r="E595" t="s">
        <v>1100</v>
      </c>
      <c r="F595" t="s">
        <v>1115</v>
      </c>
      <c r="G595" t="s">
        <v>2250</v>
      </c>
      <c r="H595" t="s">
        <v>587</v>
      </c>
      <c r="J595" s="519">
        <v>46110</v>
      </c>
      <c r="K595" s="519">
        <v>46110</v>
      </c>
      <c r="U595" s="519">
        <v>46110</v>
      </c>
    </row>
    <row r="596" spans="1:21">
      <c r="A596" t="s">
        <v>953</v>
      </c>
      <c r="B596" t="s">
        <v>3217</v>
      </c>
      <c r="C596" t="s">
        <v>953</v>
      </c>
      <c r="D596">
        <v>20478567</v>
      </c>
      <c r="E596" t="s">
        <v>1100</v>
      </c>
      <c r="F596" t="s">
        <v>1001</v>
      </c>
      <c r="G596" t="s">
        <v>2250</v>
      </c>
      <c r="H596" t="s">
        <v>587</v>
      </c>
      <c r="I596" t="s">
        <v>899</v>
      </c>
      <c r="J596" s="519">
        <v>46104</v>
      </c>
      <c r="K596" s="519">
        <v>46104</v>
      </c>
      <c r="U596" s="519">
        <v>46113</v>
      </c>
    </row>
    <row r="597" spans="1:21">
      <c r="A597" t="s">
        <v>953</v>
      </c>
      <c r="B597" t="s">
        <v>3218</v>
      </c>
      <c r="C597" t="s">
        <v>953</v>
      </c>
      <c r="D597">
        <v>20460972</v>
      </c>
      <c r="E597" t="s">
        <v>2324</v>
      </c>
      <c r="F597" t="s">
        <v>583</v>
      </c>
      <c r="G597" t="s">
        <v>2250</v>
      </c>
      <c r="H597" t="s">
        <v>587</v>
      </c>
      <c r="I597" t="s">
        <v>1130</v>
      </c>
      <c r="J597" s="519">
        <v>46083</v>
      </c>
      <c r="K597" s="519">
        <v>46083</v>
      </c>
      <c r="L597" s="519">
        <v>46084</v>
      </c>
      <c r="M597" s="519">
        <v>46091</v>
      </c>
      <c r="N597" s="519">
        <v>46091</v>
      </c>
      <c r="O597" s="519">
        <v>46091</v>
      </c>
      <c r="P597" s="519">
        <v>46091</v>
      </c>
      <c r="Q597" s="519">
        <v>46095</v>
      </c>
      <c r="U597" s="519">
        <v>46094</v>
      </c>
    </row>
    <row r="598" spans="1:21">
      <c r="A598" t="s">
        <v>953</v>
      </c>
      <c r="B598" t="s">
        <v>3219</v>
      </c>
      <c r="C598" t="s">
        <v>953</v>
      </c>
      <c r="D598">
        <v>20469775</v>
      </c>
      <c r="E598" t="s">
        <v>2245</v>
      </c>
      <c r="F598" t="s">
        <v>581</v>
      </c>
      <c r="G598" t="s">
        <v>2290</v>
      </c>
      <c r="H598" t="s">
        <v>591</v>
      </c>
      <c r="I598" t="s">
        <v>1156</v>
      </c>
      <c r="J598" s="519">
        <v>46093</v>
      </c>
      <c r="U598" s="519">
        <v>46112</v>
      </c>
    </row>
    <row r="599" spans="1:21">
      <c r="A599" t="s">
        <v>953</v>
      </c>
      <c r="B599" t="s">
        <v>3220</v>
      </c>
      <c r="C599" t="s">
        <v>953</v>
      </c>
      <c r="D599">
        <v>20478212</v>
      </c>
      <c r="E599" t="s">
        <v>2245</v>
      </c>
      <c r="F599" t="s">
        <v>579</v>
      </c>
      <c r="G599" t="s">
        <v>2259</v>
      </c>
      <c r="H599" t="s">
        <v>587</v>
      </c>
      <c r="J599" s="519">
        <v>46104</v>
      </c>
      <c r="U599" s="519">
        <v>46104</v>
      </c>
    </row>
    <row r="600" spans="1:21">
      <c r="A600" t="s">
        <v>953</v>
      </c>
      <c r="B600" t="s">
        <v>1112</v>
      </c>
      <c r="C600" t="s">
        <v>953</v>
      </c>
      <c r="D600">
        <v>20443508</v>
      </c>
      <c r="E600" t="s">
        <v>2258</v>
      </c>
      <c r="F600" t="s">
        <v>984</v>
      </c>
      <c r="G600" t="s">
        <v>2259</v>
      </c>
      <c r="H600" t="s">
        <v>592</v>
      </c>
      <c r="I600" t="s">
        <v>1111</v>
      </c>
      <c r="J600" s="519">
        <v>46062</v>
      </c>
      <c r="K600" s="519">
        <v>46062</v>
      </c>
      <c r="R600" s="519">
        <v>46085</v>
      </c>
      <c r="U600" s="519">
        <v>46088</v>
      </c>
    </row>
    <row r="601" spans="1:21">
      <c r="A601" t="s">
        <v>953</v>
      </c>
      <c r="B601" t="s">
        <v>3221</v>
      </c>
      <c r="C601" t="s">
        <v>953</v>
      </c>
      <c r="D601">
        <v>20478800</v>
      </c>
      <c r="E601" t="s">
        <v>1100</v>
      </c>
      <c r="F601" t="s">
        <v>581</v>
      </c>
      <c r="G601" t="s">
        <v>2250</v>
      </c>
      <c r="H601" t="s">
        <v>587</v>
      </c>
      <c r="I601" t="s">
        <v>1386</v>
      </c>
      <c r="J601" s="519">
        <v>46105</v>
      </c>
      <c r="K601" s="519">
        <v>46105</v>
      </c>
      <c r="U601" s="519">
        <v>46105</v>
      </c>
    </row>
    <row r="602" spans="1:21">
      <c r="A602" t="s">
        <v>953</v>
      </c>
      <c r="B602" t="s">
        <v>3221</v>
      </c>
      <c r="C602" t="s">
        <v>953</v>
      </c>
      <c r="D602">
        <v>20482329</v>
      </c>
      <c r="E602" t="s">
        <v>2245</v>
      </c>
      <c r="F602" t="s">
        <v>984</v>
      </c>
      <c r="G602" t="s">
        <v>2246</v>
      </c>
      <c r="H602" t="s">
        <v>592</v>
      </c>
      <c r="J602" s="519">
        <v>46109</v>
      </c>
      <c r="U602" s="519">
        <v>46109</v>
      </c>
    </row>
    <row r="603" spans="1:21">
      <c r="A603" t="s">
        <v>953</v>
      </c>
      <c r="B603" t="s">
        <v>3222</v>
      </c>
      <c r="C603" t="s">
        <v>953</v>
      </c>
      <c r="D603">
        <v>20469437</v>
      </c>
      <c r="E603" t="s">
        <v>2245</v>
      </c>
      <c r="F603" t="s">
        <v>984</v>
      </c>
      <c r="G603" t="s">
        <v>2250</v>
      </c>
      <c r="H603" t="s">
        <v>592</v>
      </c>
      <c r="J603" s="519">
        <v>46093</v>
      </c>
      <c r="U603" s="519">
        <v>46193</v>
      </c>
    </row>
    <row r="604" spans="1:21">
      <c r="A604" t="s">
        <v>953</v>
      </c>
      <c r="B604" t="s">
        <v>3223</v>
      </c>
      <c r="C604" t="s">
        <v>953</v>
      </c>
      <c r="D604">
        <v>20478062</v>
      </c>
      <c r="E604" t="s">
        <v>2245</v>
      </c>
      <c r="F604" t="s">
        <v>581</v>
      </c>
      <c r="G604" t="s">
        <v>2250</v>
      </c>
      <c r="H604" t="s">
        <v>592</v>
      </c>
      <c r="J604" s="519">
        <v>46104</v>
      </c>
      <c r="U604" s="519">
        <v>46143</v>
      </c>
    </row>
    <row r="605" spans="1:21">
      <c r="A605" t="s">
        <v>953</v>
      </c>
      <c r="B605" t="s">
        <v>3224</v>
      </c>
      <c r="C605" t="s">
        <v>953</v>
      </c>
      <c r="D605">
        <v>20476241</v>
      </c>
      <c r="E605" t="s">
        <v>1100</v>
      </c>
      <c r="F605" t="s">
        <v>581</v>
      </c>
      <c r="G605" t="s">
        <v>2250</v>
      </c>
      <c r="H605" t="s">
        <v>587</v>
      </c>
      <c r="J605" s="519">
        <v>46100</v>
      </c>
      <c r="K605" s="519">
        <v>46100</v>
      </c>
      <c r="U605" s="519">
        <v>46105</v>
      </c>
    </row>
    <row r="606" spans="1:21">
      <c r="A606" t="s">
        <v>953</v>
      </c>
      <c r="B606" t="s">
        <v>3225</v>
      </c>
      <c r="C606" t="s">
        <v>953</v>
      </c>
      <c r="D606">
        <v>20462330</v>
      </c>
      <c r="E606" t="s">
        <v>2245</v>
      </c>
      <c r="F606" t="s">
        <v>582</v>
      </c>
      <c r="G606" t="s">
        <v>2248</v>
      </c>
      <c r="H606" t="s">
        <v>591</v>
      </c>
      <c r="J606" s="519">
        <v>46085</v>
      </c>
      <c r="U606" s="519">
        <v>46085</v>
      </c>
    </row>
    <row r="607" spans="1:21">
      <c r="A607" t="s">
        <v>953</v>
      </c>
      <c r="B607" t="s">
        <v>3226</v>
      </c>
      <c r="C607" t="s">
        <v>953</v>
      </c>
      <c r="D607">
        <v>20465212</v>
      </c>
      <c r="E607" t="s">
        <v>2245</v>
      </c>
      <c r="F607" t="s">
        <v>581</v>
      </c>
      <c r="G607" t="s">
        <v>2248</v>
      </c>
      <c r="H607" t="s">
        <v>588</v>
      </c>
      <c r="I607" t="s">
        <v>2508</v>
      </c>
      <c r="J607" s="519">
        <v>46090</v>
      </c>
      <c r="U607" s="519">
        <v>46094</v>
      </c>
    </row>
    <row r="608" spans="1:21">
      <c r="A608" t="s">
        <v>953</v>
      </c>
      <c r="B608" t="s">
        <v>3227</v>
      </c>
      <c r="C608" t="s">
        <v>953</v>
      </c>
      <c r="D608">
        <v>20475606</v>
      </c>
      <c r="E608" t="s">
        <v>2245</v>
      </c>
      <c r="F608" t="s">
        <v>581</v>
      </c>
      <c r="G608" t="s">
        <v>2250</v>
      </c>
      <c r="H608" t="s">
        <v>592</v>
      </c>
      <c r="J608" s="519">
        <v>46100</v>
      </c>
      <c r="U608" s="519">
        <v>46101</v>
      </c>
    </row>
    <row r="609" spans="1:21">
      <c r="A609" t="s">
        <v>953</v>
      </c>
      <c r="B609" t="s">
        <v>3228</v>
      </c>
      <c r="C609" t="s">
        <v>953</v>
      </c>
      <c r="D609">
        <v>20461672</v>
      </c>
      <c r="E609" t="s">
        <v>1100</v>
      </c>
      <c r="F609" t="s">
        <v>577</v>
      </c>
      <c r="G609" t="s">
        <v>2248</v>
      </c>
      <c r="H609" t="s">
        <v>588</v>
      </c>
      <c r="I609" t="s">
        <v>567</v>
      </c>
      <c r="J609" s="519">
        <v>46084</v>
      </c>
      <c r="K609" s="519">
        <v>46086</v>
      </c>
      <c r="U609" s="519">
        <v>46104</v>
      </c>
    </row>
    <row r="610" spans="1:21">
      <c r="A610" t="s">
        <v>953</v>
      </c>
      <c r="B610" t="s">
        <v>3229</v>
      </c>
      <c r="C610" t="s">
        <v>953</v>
      </c>
      <c r="D610">
        <v>20471251</v>
      </c>
      <c r="E610" t="s">
        <v>2245</v>
      </c>
      <c r="F610" t="s">
        <v>984</v>
      </c>
      <c r="G610" t="s">
        <v>2250</v>
      </c>
      <c r="H610" t="s">
        <v>592</v>
      </c>
      <c r="J610" s="519">
        <v>46095</v>
      </c>
      <c r="U610" s="519">
        <v>46198</v>
      </c>
    </row>
    <row r="611" spans="1:21">
      <c r="A611" t="s">
        <v>953</v>
      </c>
      <c r="B611" t="s">
        <v>2762</v>
      </c>
      <c r="C611" t="s">
        <v>953</v>
      </c>
      <c r="D611">
        <v>20441366</v>
      </c>
      <c r="E611" t="s">
        <v>2252</v>
      </c>
      <c r="F611" t="s">
        <v>577</v>
      </c>
      <c r="G611" t="s">
        <v>2250</v>
      </c>
      <c r="H611" t="s">
        <v>587</v>
      </c>
      <c r="I611" t="s">
        <v>563</v>
      </c>
      <c r="J611" s="519">
        <v>46058</v>
      </c>
      <c r="K611" s="519">
        <v>46058</v>
      </c>
      <c r="L611" s="519">
        <v>46058</v>
      </c>
      <c r="R611" s="519">
        <v>46083</v>
      </c>
      <c r="U611" s="519">
        <v>46088</v>
      </c>
    </row>
    <row r="612" spans="1:21">
      <c r="A612" t="s">
        <v>953</v>
      </c>
      <c r="B612" t="s">
        <v>3230</v>
      </c>
      <c r="C612" t="s">
        <v>953</v>
      </c>
      <c r="D612">
        <v>20460470</v>
      </c>
      <c r="E612" t="s">
        <v>2252</v>
      </c>
      <c r="F612" t="s">
        <v>582</v>
      </c>
      <c r="G612" t="s">
        <v>2248</v>
      </c>
      <c r="H612" t="s">
        <v>592</v>
      </c>
      <c r="I612" t="s">
        <v>986</v>
      </c>
      <c r="J612" s="519">
        <v>46083</v>
      </c>
      <c r="K612" s="519">
        <v>46083</v>
      </c>
      <c r="L612" s="519">
        <v>46083</v>
      </c>
      <c r="R612" s="519">
        <v>46085</v>
      </c>
      <c r="U612" s="519">
        <v>46106</v>
      </c>
    </row>
    <row r="613" spans="1:21">
      <c r="A613" t="s">
        <v>953</v>
      </c>
      <c r="B613" t="s">
        <v>3231</v>
      </c>
      <c r="C613" t="s">
        <v>953</v>
      </c>
      <c r="D613">
        <v>20459996</v>
      </c>
      <c r="E613" t="s">
        <v>1100</v>
      </c>
      <c r="F613" t="s">
        <v>984</v>
      </c>
      <c r="G613" t="s">
        <v>2250</v>
      </c>
      <c r="H613" t="s">
        <v>587</v>
      </c>
      <c r="I613" t="s">
        <v>1142</v>
      </c>
      <c r="J613" s="519">
        <v>46082</v>
      </c>
      <c r="K613" s="519">
        <v>46082</v>
      </c>
      <c r="U613" s="519">
        <v>46072</v>
      </c>
    </row>
    <row r="614" spans="1:21">
      <c r="A614" t="s">
        <v>953</v>
      </c>
      <c r="B614" t="s">
        <v>3232</v>
      </c>
      <c r="C614" t="s">
        <v>953</v>
      </c>
      <c r="D614">
        <v>20474197</v>
      </c>
      <c r="E614" t="s">
        <v>2245</v>
      </c>
      <c r="F614" t="s">
        <v>984</v>
      </c>
      <c r="G614" t="s">
        <v>2250</v>
      </c>
      <c r="H614" t="s">
        <v>592</v>
      </c>
      <c r="J614" s="519">
        <v>46098</v>
      </c>
      <c r="U614" s="519">
        <v>46175</v>
      </c>
    </row>
    <row r="615" spans="1:21">
      <c r="A615" t="s">
        <v>953</v>
      </c>
      <c r="B615" t="s">
        <v>3233</v>
      </c>
      <c r="C615" t="s">
        <v>953</v>
      </c>
      <c r="D615">
        <v>20479683</v>
      </c>
      <c r="E615" t="s">
        <v>1100</v>
      </c>
      <c r="F615" t="s">
        <v>1001</v>
      </c>
      <c r="G615" t="s">
        <v>2250</v>
      </c>
      <c r="H615" t="s">
        <v>587</v>
      </c>
      <c r="I615" t="s">
        <v>1393</v>
      </c>
      <c r="J615" s="519">
        <v>46106</v>
      </c>
      <c r="K615" s="519">
        <v>46106</v>
      </c>
      <c r="U615" s="519">
        <v>46132</v>
      </c>
    </row>
    <row r="616" spans="1:21">
      <c r="A616" t="s">
        <v>953</v>
      </c>
      <c r="B616" t="s">
        <v>2770</v>
      </c>
      <c r="C616" t="s">
        <v>953</v>
      </c>
      <c r="D616">
        <v>20463874</v>
      </c>
      <c r="E616" t="s">
        <v>2258</v>
      </c>
      <c r="F616" t="s">
        <v>1115</v>
      </c>
      <c r="G616" t="s">
        <v>1213</v>
      </c>
      <c r="H616" t="s">
        <v>593</v>
      </c>
      <c r="J616" s="519">
        <v>46087</v>
      </c>
      <c r="K616" s="519">
        <v>46087</v>
      </c>
      <c r="R616" s="519">
        <v>46090</v>
      </c>
      <c r="U616" s="519">
        <v>46087</v>
      </c>
    </row>
    <row r="617" spans="1:21">
      <c r="A617" t="s">
        <v>953</v>
      </c>
      <c r="B617" t="s">
        <v>2770</v>
      </c>
      <c r="C617" t="s">
        <v>953</v>
      </c>
      <c r="D617">
        <v>20441630</v>
      </c>
      <c r="E617" t="s">
        <v>2324</v>
      </c>
      <c r="F617" t="s">
        <v>578</v>
      </c>
      <c r="G617" t="s">
        <v>2259</v>
      </c>
      <c r="H617" t="s">
        <v>593</v>
      </c>
      <c r="I617" t="s">
        <v>3234</v>
      </c>
      <c r="J617" s="519">
        <v>46058</v>
      </c>
      <c r="K617" s="519">
        <v>46059</v>
      </c>
      <c r="L617" s="519">
        <v>46062</v>
      </c>
      <c r="M617" s="519">
        <v>46085</v>
      </c>
      <c r="N617" s="519">
        <v>46085</v>
      </c>
      <c r="P617" s="519">
        <v>46085</v>
      </c>
      <c r="Q617" s="519">
        <v>46085</v>
      </c>
      <c r="U617" s="519">
        <v>46091</v>
      </c>
    </row>
    <row r="618" spans="1:21">
      <c r="A618" t="s">
        <v>953</v>
      </c>
      <c r="B618" t="s">
        <v>3235</v>
      </c>
      <c r="C618" t="s">
        <v>953</v>
      </c>
      <c r="D618">
        <v>20462254</v>
      </c>
      <c r="E618" t="s">
        <v>2245</v>
      </c>
      <c r="F618" t="s">
        <v>582</v>
      </c>
      <c r="G618" t="s">
        <v>2259</v>
      </c>
      <c r="H618" t="s">
        <v>591</v>
      </c>
      <c r="J618" s="519">
        <v>46085</v>
      </c>
      <c r="U618" s="519">
        <v>46085</v>
      </c>
    </row>
    <row r="619" spans="1:21">
      <c r="A619" t="s">
        <v>953</v>
      </c>
      <c r="B619" t="s">
        <v>3235</v>
      </c>
      <c r="C619" t="s">
        <v>953</v>
      </c>
      <c r="D619">
        <v>20462551</v>
      </c>
      <c r="E619" t="s">
        <v>2252</v>
      </c>
      <c r="F619" t="s">
        <v>582</v>
      </c>
      <c r="G619" t="s">
        <v>2248</v>
      </c>
      <c r="H619" t="s">
        <v>2453</v>
      </c>
      <c r="I619" t="s">
        <v>1142</v>
      </c>
      <c r="J619" s="519">
        <v>46085</v>
      </c>
      <c r="K619" s="519">
        <v>46085</v>
      </c>
      <c r="R619" s="519">
        <v>46090</v>
      </c>
      <c r="U619" s="519">
        <v>46085</v>
      </c>
    </row>
    <row r="620" spans="1:21">
      <c r="A620" t="s">
        <v>953</v>
      </c>
      <c r="B620" t="s">
        <v>1129</v>
      </c>
      <c r="C620" t="s">
        <v>953</v>
      </c>
      <c r="D620">
        <v>20458554</v>
      </c>
      <c r="E620" t="s">
        <v>2324</v>
      </c>
      <c r="F620" t="s">
        <v>582</v>
      </c>
      <c r="G620" t="s">
        <v>2250</v>
      </c>
      <c r="H620" t="s">
        <v>588</v>
      </c>
      <c r="I620" t="s">
        <v>1128</v>
      </c>
      <c r="J620" s="519">
        <v>46079</v>
      </c>
      <c r="K620" s="519">
        <v>46079</v>
      </c>
      <c r="L620" s="519">
        <v>46079</v>
      </c>
      <c r="M620" s="519">
        <v>46093</v>
      </c>
      <c r="N620" s="519">
        <v>46094</v>
      </c>
      <c r="P620" s="519">
        <v>46094</v>
      </c>
      <c r="Q620" s="519">
        <v>46094</v>
      </c>
      <c r="U620" s="519">
        <v>46094</v>
      </c>
    </row>
    <row r="621" spans="1:21">
      <c r="A621" t="s">
        <v>953</v>
      </c>
      <c r="B621" t="s">
        <v>1129</v>
      </c>
      <c r="C621" t="s">
        <v>953</v>
      </c>
      <c r="D621">
        <v>20457272</v>
      </c>
      <c r="E621" t="s">
        <v>1100</v>
      </c>
      <c r="F621" t="s">
        <v>582</v>
      </c>
      <c r="G621" t="s">
        <v>2248</v>
      </c>
      <c r="H621" t="s">
        <v>588</v>
      </c>
      <c r="J621" s="519">
        <v>46078</v>
      </c>
      <c r="K621" s="519">
        <v>46090</v>
      </c>
      <c r="U621" s="519">
        <v>46078</v>
      </c>
    </row>
    <row r="622" spans="1:21">
      <c r="A622" t="s">
        <v>953</v>
      </c>
      <c r="B622" t="s">
        <v>3236</v>
      </c>
      <c r="C622" t="s">
        <v>953</v>
      </c>
      <c r="D622">
        <v>20476341</v>
      </c>
      <c r="E622" t="s">
        <v>1100</v>
      </c>
      <c r="F622" t="s">
        <v>581</v>
      </c>
      <c r="G622" t="s">
        <v>2250</v>
      </c>
      <c r="H622" t="s">
        <v>588</v>
      </c>
      <c r="I622" t="s">
        <v>1739</v>
      </c>
      <c r="J622" s="519">
        <v>46100</v>
      </c>
      <c r="K622" s="519">
        <v>46100</v>
      </c>
      <c r="U622" s="519">
        <v>46174</v>
      </c>
    </row>
    <row r="623" spans="1:21">
      <c r="A623" t="s">
        <v>953</v>
      </c>
      <c r="B623" t="s">
        <v>3236</v>
      </c>
      <c r="C623" t="s">
        <v>953</v>
      </c>
      <c r="D623">
        <v>20477013</v>
      </c>
      <c r="E623" t="s">
        <v>1100</v>
      </c>
      <c r="F623" t="s">
        <v>582</v>
      </c>
      <c r="G623" t="s">
        <v>2250</v>
      </c>
      <c r="H623" t="s">
        <v>2428</v>
      </c>
      <c r="I623" t="s">
        <v>1739</v>
      </c>
      <c r="J623" s="519">
        <v>46101</v>
      </c>
      <c r="K623" s="519">
        <v>46101</v>
      </c>
      <c r="U623" s="519">
        <v>46174</v>
      </c>
    </row>
    <row r="624" spans="1:21">
      <c r="A624" t="s">
        <v>953</v>
      </c>
      <c r="B624" t="s">
        <v>3237</v>
      </c>
      <c r="C624" t="s">
        <v>953</v>
      </c>
      <c r="D624">
        <v>20472147</v>
      </c>
      <c r="E624" t="s">
        <v>2245</v>
      </c>
      <c r="F624" t="s">
        <v>577</v>
      </c>
      <c r="G624" t="s">
        <v>2250</v>
      </c>
      <c r="H624" t="s">
        <v>592</v>
      </c>
      <c r="I624" t="s">
        <v>3238</v>
      </c>
      <c r="J624" s="519">
        <v>46097</v>
      </c>
      <c r="U624" s="519">
        <v>46167</v>
      </c>
    </row>
    <row r="625" spans="1:21">
      <c r="A625" t="s">
        <v>953</v>
      </c>
      <c r="B625" t="s">
        <v>3239</v>
      </c>
      <c r="C625" t="s">
        <v>953</v>
      </c>
      <c r="D625">
        <v>20484050</v>
      </c>
      <c r="E625" t="s">
        <v>2245</v>
      </c>
      <c r="F625" t="s">
        <v>577</v>
      </c>
      <c r="G625" t="s">
        <v>1213</v>
      </c>
      <c r="H625" t="s">
        <v>592</v>
      </c>
      <c r="J625" s="519">
        <v>46112</v>
      </c>
      <c r="U625" s="519">
        <v>46178</v>
      </c>
    </row>
    <row r="626" spans="1:21">
      <c r="A626" t="s">
        <v>953</v>
      </c>
      <c r="B626" t="s">
        <v>3240</v>
      </c>
      <c r="C626" t="s">
        <v>953</v>
      </c>
      <c r="D626">
        <v>20475549</v>
      </c>
      <c r="E626" t="s">
        <v>2245</v>
      </c>
      <c r="F626" t="s">
        <v>984</v>
      </c>
      <c r="G626" t="s">
        <v>2250</v>
      </c>
      <c r="H626" t="s">
        <v>592</v>
      </c>
      <c r="J626" s="519">
        <v>46099</v>
      </c>
      <c r="U626" s="519">
        <v>46223</v>
      </c>
    </row>
    <row r="627" spans="1:21">
      <c r="A627" t="s">
        <v>953</v>
      </c>
      <c r="B627" t="s">
        <v>1024</v>
      </c>
      <c r="C627" t="s">
        <v>953</v>
      </c>
      <c r="D627">
        <v>20470891</v>
      </c>
      <c r="E627" t="s">
        <v>1110</v>
      </c>
      <c r="F627" t="s">
        <v>583</v>
      </c>
      <c r="G627" t="s">
        <v>2290</v>
      </c>
      <c r="H627" t="s">
        <v>587</v>
      </c>
      <c r="I627" t="s">
        <v>1023</v>
      </c>
      <c r="J627" s="519">
        <v>46094</v>
      </c>
      <c r="K627" s="519">
        <v>46095</v>
      </c>
      <c r="L627" s="519">
        <v>46095</v>
      </c>
      <c r="U627" s="519">
        <v>46113</v>
      </c>
    </row>
    <row r="628" spans="1:21">
      <c r="A628" t="s">
        <v>953</v>
      </c>
      <c r="B628" t="s">
        <v>3241</v>
      </c>
      <c r="C628" t="s">
        <v>953</v>
      </c>
      <c r="D628">
        <v>20475908</v>
      </c>
      <c r="E628" t="s">
        <v>2245</v>
      </c>
      <c r="F628" t="s">
        <v>581</v>
      </c>
      <c r="G628" t="s">
        <v>2248</v>
      </c>
      <c r="H628" t="s">
        <v>591</v>
      </c>
      <c r="J628" s="519">
        <v>46100</v>
      </c>
      <c r="U628" s="519">
        <v>46100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647EF-D7E0-40C4-9072-93CA007B14A9}">
  <sheetPr>
    <tabColor theme="6" tint="-0.499984740745262"/>
  </sheetPr>
  <dimension ref="A1:U1949"/>
  <sheetViews>
    <sheetView workbookViewId="0">
      <selection activeCell="Q5" sqref="Q5"/>
    </sheetView>
  </sheetViews>
  <sheetFormatPr defaultRowHeight="14.5"/>
  <sheetData>
    <row r="1" spans="1:21">
      <c r="A1" t="s">
        <v>2234</v>
      </c>
      <c r="B1" t="s">
        <v>963</v>
      </c>
      <c r="C1" t="s">
        <v>1536</v>
      </c>
      <c r="D1" t="s">
        <v>2235</v>
      </c>
      <c r="E1" t="s">
        <v>340</v>
      </c>
      <c r="F1" t="s">
        <v>573</v>
      </c>
      <c r="G1" t="s">
        <v>2236</v>
      </c>
      <c r="H1" t="s">
        <v>556</v>
      </c>
      <c r="I1" t="s">
        <v>962</v>
      </c>
      <c r="J1" t="s">
        <v>2237</v>
      </c>
      <c r="K1" t="s">
        <v>2238</v>
      </c>
      <c r="L1" t="s">
        <v>1527</v>
      </c>
      <c r="M1" t="s">
        <v>1531</v>
      </c>
      <c r="N1" t="s">
        <v>2239</v>
      </c>
      <c r="O1" t="s">
        <v>2240</v>
      </c>
      <c r="P1" t="s">
        <v>1533</v>
      </c>
      <c r="Q1" t="s">
        <v>1535</v>
      </c>
      <c r="R1" t="s">
        <v>2241</v>
      </c>
      <c r="S1" t="s">
        <v>2242</v>
      </c>
      <c r="T1" t="s">
        <v>2243</v>
      </c>
      <c r="U1" t="s">
        <v>1626</v>
      </c>
    </row>
    <row r="2" spans="1:21">
      <c r="A2" t="s">
        <v>953</v>
      </c>
      <c r="B2" t="s">
        <v>3242</v>
      </c>
      <c r="C2" t="s">
        <v>953</v>
      </c>
      <c r="D2">
        <v>20420963</v>
      </c>
      <c r="E2" t="s">
        <v>2258</v>
      </c>
      <c r="F2" t="s">
        <v>581</v>
      </c>
      <c r="G2" t="s">
        <v>2246</v>
      </c>
      <c r="H2" t="s">
        <v>593</v>
      </c>
      <c r="J2" s="519">
        <v>46030</v>
      </c>
      <c r="R2" s="519">
        <v>46114</v>
      </c>
      <c r="U2" s="519">
        <v>46125</v>
      </c>
    </row>
    <row r="3" spans="1:21">
      <c r="A3" t="s">
        <v>953</v>
      </c>
      <c r="B3" t="s">
        <v>6880</v>
      </c>
      <c r="C3" t="s">
        <v>953</v>
      </c>
      <c r="D3">
        <v>20505207</v>
      </c>
      <c r="E3" t="s">
        <v>1100</v>
      </c>
      <c r="F3" t="s">
        <v>984</v>
      </c>
      <c r="G3" t="s">
        <v>2250</v>
      </c>
      <c r="H3" t="s">
        <v>587</v>
      </c>
      <c r="I3" t="s">
        <v>1880</v>
      </c>
      <c r="J3" s="519">
        <v>46133</v>
      </c>
      <c r="K3" s="519">
        <v>46133</v>
      </c>
      <c r="U3" s="519">
        <v>46152</v>
      </c>
    </row>
    <row r="4" spans="1:21">
      <c r="A4" t="s">
        <v>953</v>
      </c>
      <c r="B4" t="s">
        <v>3243</v>
      </c>
      <c r="C4" t="s">
        <v>953</v>
      </c>
      <c r="D4">
        <v>20487124</v>
      </c>
      <c r="E4" t="s">
        <v>2324</v>
      </c>
      <c r="F4" t="s">
        <v>579</v>
      </c>
      <c r="G4" t="s">
        <v>2248</v>
      </c>
      <c r="H4" t="s">
        <v>591</v>
      </c>
      <c r="I4" t="s">
        <v>1378</v>
      </c>
      <c r="J4" s="519">
        <v>46116</v>
      </c>
      <c r="K4" s="519">
        <v>46122</v>
      </c>
      <c r="L4" s="519">
        <v>46123</v>
      </c>
      <c r="M4" s="519">
        <v>46127</v>
      </c>
      <c r="N4" s="519">
        <v>46129</v>
      </c>
      <c r="O4" s="519">
        <v>46129</v>
      </c>
      <c r="P4" s="519">
        <v>46129</v>
      </c>
      <c r="Q4" s="519">
        <v>46130</v>
      </c>
      <c r="U4" s="519">
        <v>46146</v>
      </c>
    </row>
    <row r="5" spans="1:21">
      <c r="A5" t="s">
        <v>953</v>
      </c>
      <c r="B5" t="s">
        <v>3243</v>
      </c>
      <c r="C5" t="s">
        <v>953</v>
      </c>
      <c r="D5">
        <v>20492177</v>
      </c>
      <c r="E5" t="s">
        <v>1100</v>
      </c>
      <c r="F5" t="s">
        <v>1115</v>
      </c>
      <c r="G5" t="s">
        <v>2250</v>
      </c>
      <c r="H5" t="s">
        <v>587</v>
      </c>
      <c r="J5" s="519">
        <v>46122</v>
      </c>
      <c r="K5" s="519">
        <v>46122</v>
      </c>
      <c r="U5" s="519">
        <v>46122</v>
      </c>
    </row>
    <row r="6" spans="1:21">
      <c r="A6" t="s">
        <v>953</v>
      </c>
      <c r="B6" t="s">
        <v>2781</v>
      </c>
      <c r="C6" t="s">
        <v>953</v>
      </c>
      <c r="D6">
        <v>20464585</v>
      </c>
      <c r="E6" t="s">
        <v>2258</v>
      </c>
      <c r="F6" t="s">
        <v>984</v>
      </c>
      <c r="G6" t="s">
        <v>2246</v>
      </c>
      <c r="H6" t="s">
        <v>587</v>
      </c>
      <c r="J6" s="519">
        <v>46088</v>
      </c>
      <c r="R6" s="519">
        <v>46114</v>
      </c>
      <c r="U6" s="519">
        <v>46116</v>
      </c>
    </row>
    <row r="7" spans="1:21">
      <c r="A7" t="s">
        <v>953</v>
      </c>
      <c r="B7" t="s">
        <v>3244</v>
      </c>
      <c r="C7" t="s">
        <v>953</v>
      </c>
      <c r="D7">
        <v>20486609</v>
      </c>
      <c r="E7" t="s">
        <v>2258</v>
      </c>
      <c r="F7" t="s">
        <v>984</v>
      </c>
      <c r="G7" t="s">
        <v>2250</v>
      </c>
      <c r="H7" t="s">
        <v>592</v>
      </c>
      <c r="J7" s="519">
        <v>46115</v>
      </c>
      <c r="R7" s="519">
        <v>46139</v>
      </c>
      <c r="U7" s="519">
        <v>46173</v>
      </c>
    </row>
    <row r="8" spans="1:21">
      <c r="A8" t="s">
        <v>953</v>
      </c>
      <c r="B8" t="s">
        <v>3245</v>
      </c>
      <c r="C8" t="s">
        <v>953</v>
      </c>
      <c r="D8">
        <v>20492133</v>
      </c>
      <c r="E8" t="s">
        <v>2258</v>
      </c>
      <c r="F8" t="s">
        <v>984</v>
      </c>
      <c r="G8" t="s">
        <v>2250</v>
      </c>
      <c r="H8" t="s">
        <v>2361</v>
      </c>
      <c r="J8" s="519">
        <v>46122</v>
      </c>
      <c r="R8" s="519">
        <v>46139</v>
      </c>
      <c r="U8" s="519">
        <v>46143</v>
      </c>
    </row>
    <row r="9" spans="1:21">
      <c r="A9" t="s">
        <v>953</v>
      </c>
      <c r="B9" t="s">
        <v>6881</v>
      </c>
      <c r="C9" t="s">
        <v>953</v>
      </c>
      <c r="D9">
        <v>20504689</v>
      </c>
      <c r="E9" t="s">
        <v>2245</v>
      </c>
      <c r="F9" t="s">
        <v>984</v>
      </c>
      <c r="G9" t="s">
        <v>2250</v>
      </c>
      <c r="H9" t="s">
        <v>2361</v>
      </c>
      <c r="J9" s="519">
        <v>46133</v>
      </c>
      <c r="U9" s="519">
        <v>46142</v>
      </c>
    </row>
    <row r="10" spans="1:21">
      <c r="A10" t="s">
        <v>953</v>
      </c>
      <c r="B10" t="s">
        <v>6882</v>
      </c>
      <c r="C10" t="s">
        <v>953</v>
      </c>
      <c r="D10">
        <v>20413770</v>
      </c>
      <c r="E10" t="s">
        <v>2258</v>
      </c>
      <c r="F10" t="s">
        <v>581</v>
      </c>
      <c r="G10" t="s">
        <v>2290</v>
      </c>
      <c r="H10" t="s">
        <v>2361</v>
      </c>
      <c r="J10" s="519">
        <v>46018</v>
      </c>
      <c r="R10" s="519">
        <v>46139</v>
      </c>
      <c r="U10" s="519">
        <v>46267</v>
      </c>
    </row>
    <row r="11" spans="1:21">
      <c r="A11" t="s">
        <v>953</v>
      </c>
      <c r="B11" t="s">
        <v>3246</v>
      </c>
      <c r="C11" t="s">
        <v>953</v>
      </c>
      <c r="D11">
        <v>20420952</v>
      </c>
      <c r="E11" t="s">
        <v>2252</v>
      </c>
      <c r="F11" t="s">
        <v>577</v>
      </c>
      <c r="G11" t="s">
        <v>2248</v>
      </c>
      <c r="H11" t="s">
        <v>589</v>
      </c>
      <c r="I11" t="s">
        <v>1132</v>
      </c>
      <c r="J11" s="519">
        <v>46030</v>
      </c>
      <c r="K11" s="519">
        <v>46036</v>
      </c>
      <c r="R11" s="519">
        <v>46114</v>
      </c>
      <c r="U11" s="519">
        <v>46078</v>
      </c>
    </row>
    <row r="12" spans="1:21">
      <c r="A12" t="s">
        <v>953</v>
      </c>
      <c r="B12" t="s">
        <v>2782</v>
      </c>
      <c r="C12" t="s">
        <v>953</v>
      </c>
      <c r="D12">
        <v>20479012</v>
      </c>
      <c r="E12" t="s">
        <v>2258</v>
      </c>
      <c r="F12" t="s">
        <v>577</v>
      </c>
      <c r="G12" t="s">
        <v>2250</v>
      </c>
      <c r="H12" t="s">
        <v>592</v>
      </c>
      <c r="I12" t="s">
        <v>2783</v>
      </c>
      <c r="J12" s="519">
        <v>46105</v>
      </c>
      <c r="R12" s="519">
        <v>46114</v>
      </c>
      <c r="U12" s="519">
        <v>46106</v>
      </c>
    </row>
    <row r="13" spans="1:21">
      <c r="A13" t="s">
        <v>953</v>
      </c>
      <c r="B13" t="s">
        <v>3247</v>
      </c>
      <c r="C13" t="s">
        <v>953</v>
      </c>
      <c r="D13">
        <v>20431320</v>
      </c>
      <c r="E13" t="s">
        <v>2258</v>
      </c>
      <c r="F13" t="s">
        <v>2728</v>
      </c>
      <c r="G13" t="s">
        <v>2246</v>
      </c>
      <c r="H13" t="s">
        <v>587</v>
      </c>
      <c r="J13" s="519">
        <v>46042</v>
      </c>
      <c r="R13" s="519">
        <v>46114</v>
      </c>
      <c r="U13" s="519">
        <v>46042</v>
      </c>
    </row>
    <row r="14" spans="1:21">
      <c r="A14" t="s">
        <v>953</v>
      </c>
      <c r="B14" t="s">
        <v>2784</v>
      </c>
      <c r="C14" t="s">
        <v>953</v>
      </c>
      <c r="D14">
        <v>20473648</v>
      </c>
      <c r="E14" t="s">
        <v>2258</v>
      </c>
      <c r="F14" t="s">
        <v>984</v>
      </c>
      <c r="G14" t="s">
        <v>2250</v>
      </c>
      <c r="H14" t="s">
        <v>592</v>
      </c>
      <c r="J14" s="519">
        <v>46098</v>
      </c>
      <c r="R14" s="519">
        <v>46114</v>
      </c>
      <c r="U14" s="519">
        <v>46111</v>
      </c>
    </row>
    <row r="15" spans="1:21">
      <c r="A15" t="s">
        <v>953</v>
      </c>
      <c r="B15" t="s">
        <v>2785</v>
      </c>
      <c r="C15" t="s">
        <v>953</v>
      </c>
      <c r="D15">
        <v>20463771</v>
      </c>
      <c r="E15" t="s">
        <v>2258</v>
      </c>
      <c r="F15" t="s">
        <v>984</v>
      </c>
      <c r="G15" t="s">
        <v>2259</v>
      </c>
      <c r="H15" t="s">
        <v>593</v>
      </c>
      <c r="J15" s="519">
        <v>46087</v>
      </c>
      <c r="R15" s="519">
        <v>46114</v>
      </c>
      <c r="U15" s="519">
        <v>46088</v>
      </c>
    </row>
    <row r="16" spans="1:21">
      <c r="A16" t="s">
        <v>953</v>
      </c>
      <c r="B16" t="s">
        <v>6883</v>
      </c>
      <c r="C16" t="s">
        <v>953</v>
      </c>
      <c r="D16">
        <v>20504125</v>
      </c>
      <c r="E16" t="s">
        <v>2245</v>
      </c>
      <c r="F16" t="s">
        <v>984</v>
      </c>
      <c r="G16" t="s">
        <v>2246</v>
      </c>
      <c r="H16" t="s">
        <v>592</v>
      </c>
      <c r="J16" s="519">
        <v>46132</v>
      </c>
      <c r="U16" s="519">
        <v>46192</v>
      </c>
    </row>
    <row r="17" spans="1:21">
      <c r="A17" t="s">
        <v>953</v>
      </c>
      <c r="B17" t="s">
        <v>6884</v>
      </c>
      <c r="C17" t="s">
        <v>953</v>
      </c>
      <c r="D17">
        <v>20506323</v>
      </c>
      <c r="E17" t="s">
        <v>2245</v>
      </c>
      <c r="F17" t="s">
        <v>984</v>
      </c>
      <c r="G17" t="s">
        <v>2250</v>
      </c>
      <c r="H17" t="s">
        <v>2361</v>
      </c>
      <c r="J17" s="519">
        <v>46134</v>
      </c>
      <c r="U17" s="519">
        <v>46179</v>
      </c>
    </row>
    <row r="18" spans="1:21">
      <c r="A18" t="s">
        <v>953</v>
      </c>
      <c r="B18" t="s">
        <v>3248</v>
      </c>
      <c r="C18" t="s">
        <v>953</v>
      </c>
      <c r="D18">
        <v>20491539</v>
      </c>
      <c r="E18" t="s">
        <v>1110</v>
      </c>
      <c r="F18" t="s">
        <v>577</v>
      </c>
      <c r="G18" t="s">
        <v>2250</v>
      </c>
      <c r="H18" t="s">
        <v>589</v>
      </c>
      <c r="I18" t="s">
        <v>1132</v>
      </c>
      <c r="J18" s="519">
        <v>46122</v>
      </c>
      <c r="K18" s="519">
        <v>46122</v>
      </c>
      <c r="L18" s="519">
        <v>46126</v>
      </c>
      <c r="U18" s="519">
        <v>46156</v>
      </c>
    </row>
    <row r="19" spans="1:21">
      <c r="A19" t="s">
        <v>953</v>
      </c>
      <c r="B19" t="s">
        <v>6885</v>
      </c>
      <c r="C19" t="s">
        <v>953</v>
      </c>
      <c r="D19">
        <v>20511577</v>
      </c>
      <c r="E19" t="s">
        <v>2245</v>
      </c>
      <c r="F19" t="s">
        <v>984</v>
      </c>
      <c r="G19" t="s">
        <v>2250</v>
      </c>
      <c r="H19" t="s">
        <v>2361</v>
      </c>
      <c r="J19" s="519">
        <v>46140</v>
      </c>
      <c r="U19" s="519">
        <v>46174</v>
      </c>
    </row>
    <row r="20" spans="1:21">
      <c r="A20" t="s">
        <v>953</v>
      </c>
      <c r="B20" t="s">
        <v>6886</v>
      </c>
      <c r="C20" t="s">
        <v>953</v>
      </c>
      <c r="D20">
        <v>20504230</v>
      </c>
      <c r="E20" t="s">
        <v>2245</v>
      </c>
      <c r="F20" t="s">
        <v>581</v>
      </c>
      <c r="G20" t="s">
        <v>2246</v>
      </c>
      <c r="H20" t="s">
        <v>592</v>
      </c>
      <c r="J20" s="519">
        <v>46132</v>
      </c>
      <c r="U20" s="519">
        <v>46143</v>
      </c>
    </row>
    <row r="21" spans="1:21">
      <c r="A21" t="s">
        <v>953</v>
      </c>
      <c r="B21" t="s">
        <v>3249</v>
      </c>
      <c r="C21" t="s">
        <v>953</v>
      </c>
      <c r="D21">
        <v>20424026</v>
      </c>
      <c r="E21" t="s">
        <v>2258</v>
      </c>
      <c r="F21" t="s">
        <v>984</v>
      </c>
      <c r="G21" t="s">
        <v>1213</v>
      </c>
      <c r="H21" t="s">
        <v>591</v>
      </c>
      <c r="J21" s="519">
        <v>46035</v>
      </c>
      <c r="R21" s="519">
        <v>46114</v>
      </c>
      <c r="U21" s="519">
        <v>46035</v>
      </c>
    </row>
    <row r="22" spans="1:21">
      <c r="A22" t="s">
        <v>953</v>
      </c>
      <c r="B22" t="s">
        <v>2786</v>
      </c>
      <c r="C22" t="s">
        <v>953</v>
      </c>
      <c r="D22">
        <v>20471142</v>
      </c>
      <c r="E22" t="s">
        <v>2258</v>
      </c>
      <c r="F22" t="s">
        <v>984</v>
      </c>
      <c r="G22" t="s">
        <v>2250</v>
      </c>
      <c r="H22" t="s">
        <v>592</v>
      </c>
      <c r="J22" s="519">
        <v>46094</v>
      </c>
      <c r="R22" s="519">
        <v>46114</v>
      </c>
      <c r="U22" s="519">
        <v>46113</v>
      </c>
    </row>
    <row r="23" spans="1:21">
      <c r="A23" t="s">
        <v>953</v>
      </c>
      <c r="B23" t="s">
        <v>6887</v>
      </c>
      <c r="C23" t="s">
        <v>953</v>
      </c>
      <c r="D23">
        <v>20499991</v>
      </c>
      <c r="E23" t="s">
        <v>2258</v>
      </c>
      <c r="F23" t="s">
        <v>582</v>
      </c>
      <c r="G23" t="s">
        <v>2248</v>
      </c>
      <c r="H23" t="s">
        <v>588</v>
      </c>
      <c r="I23" t="s">
        <v>1156</v>
      </c>
      <c r="J23" s="519">
        <v>46129</v>
      </c>
      <c r="R23" s="519">
        <v>46139</v>
      </c>
      <c r="U23" s="519">
        <v>46142</v>
      </c>
    </row>
    <row r="24" spans="1:21">
      <c r="A24" t="s">
        <v>953</v>
      </c>
      <c r="B24" t="s">
        <v>6887</v>
      </c>
      <c r="C24" t="s">
        <v>953</v>
      </c>
      <c r="D24">
        <v>20500682</v>
      </c>
      <c r="E24" t="s">
        <v>1110</v>
      </c>
      <c r="F24" t="s">
        <v>582</v>
      </c>
      <c r="G24" t="s">
        <v>2250</v>
      </c>
      <c r="H24" t="s">
        <v>587</v>
      </c>
      <c r="I24" t="s">
        <v>2337</v>
      </c>
      <c r="J24" s="519">
        <v>46130</v>
      </c>
      <c r="K24" s="519">
        <v>46130</v>
      </c>
      <c r="L24" s="519">
        <v>46134</v>
      </c>
      <c r="M24" s="519">
        <v>46137</v>
      </c>
      <c r="N24" s="519">
        <v>46137</v>
      </c>
      <c r="U24" s="519">
        <v>46142</v>
      </c>
    </row>
    <row r="25" spans="1:21">
      <c r="A25" t="s">
        <v>953</v>
      </c>
      <c r="B25" t="s">
        <v>6887</v>
      </c>
      <c r="C25" t="s">
        <v>953</v>
      </c>
      <c r="D25">
        <v>20500681</v>
      </c>
      <c r="E25" t="s">
        <v>1100</v>
      </c>
      <c r="F25" t="s">
        <v>1001</v>
      </c>
      <c r="G25" t="s">
        <v>2250</v>
      </c>
      <c r="H25" t="s">
        <v>587</v>
      </c>
      <c r="J25" s="519">
        <v>46130</v>
      </c>
      <c r="K25" s="519">
        <v>46130</v>
      </c>
      <c r="U25" s="519">
        <v>46130</v>
      </c>
    </row>
    <row r="26" spans="1:21">
      <c r="A26" t="s">
        <v>953</v>
      </c>
      <c r="B26" t="s">
        <v>3250</v>
      </c>
      <c r="C26" t="s">
        <v>953</v>
      </c>
      <c r="D26">
        <v>20488483</v>
      </c>
      <c r="E26" t="s">
        <v>1110</v>
      </c>
      <c r="F26" t="s">
        <v>6888</v>
      </c>
      <c r="G26" t="s">
        <v>2250</v>
      </c>
      <c r="H26" t="s">
        <v>587</v>
      </c>
      <c r="I26" t="s">
        <v>1347</v>
      </c>
      <c r="J26" s="519">
        <v>46118</v>
      </c>
      <c r="K26" s="519">
        <v>46118</v>
      </c>
      <c r="L26" s="519">
        <v>46118</v>
      </c>
      <c r="U26" s="519">
        <v>46147</v>
      </c>
    </row>
    <row r="27" spans="1:21">
      <c r="A27" t="s">
        <v>953</v>
      </c>
      <c r="B27" t="s">
        <v>3251</v>
      </c>
      <c r="C27" t="s">
        <v>953</v>
      </c>
      <c r="D27">
        <v>20423965</v>
      </c>
      <c r="E27" t="s">
        <v>2258</v>
      </c>
      <c r="F27" t="s">
        <v>579</v>
      </c>
      <c r="G27" t="s">
        <v>2259</v>
      </c>
      <c r="H27" t="s">
        <v>589</v>
      </c>
      <c r="J27" s="519">
        <v>46035</v>
      </c>
      <c r="R27" s="519">
        <v>46114</v>
      </c>
      <c r="U27" s="519">
        <v>46035</v>
      </c>
    </row>
    <row r="28" spans="1:21">
      <c r="A28" t="s">
        <v>953</v>
      </c>
      <c r="B28" t="s">
        <v>6889</v>
      </c>
      <c r="C28" t="s">
        <v>953</v>
      </c>
      <c r="D28">
        <v>20497129</v>
      </c>
      <c r="E28" t="s">
        <v>1100</v>
      </c>
      <c r="F28" t="s">
        <v>3440</v>
      </c>
      <c r="G28" t="s">
        <v>2250</v>
      </c>
      <c r="H28" t="s">
        <v>592</v>
      </c>
      <c r="I28" t="s">
        <v>1020</v>
      </c>
      <c r="J28" s="519">
        <v>46127</v>
      </c>
      <c r="K28" s="519">
        <v>46129</v>
      </c>
      <c r="U28" s="519">
        <v>46130</v>
      </c>
    </row>
    <row r="29" spans="1:21">
      <c r="A29" t="s">
        <v>953</v>
      </c>
      <c r="B29" t="s">
        <v>6889</v>
      </c>
      <c r="C29" t="s">
        <v>953</v>
      </c>
      <c r="D29">
        <v>20500235</v>
      </c>
      <c r="E29" t="s">
        <v>1100</v>
      </c>
      <c r="F29" t="s">
        <v>1001</v>
      </c>
      <c r="G29" t="s">
        <v>2250</v>
      </c>
      <c r="H29" t="s">
        <v>587</v>
      </c>
      <c r="J29" s="519">
        <v>46129</v>
      </c>
      <c r="K29" s="519">
        <v>46129</v>
      </c>
      <c r="U29" s="519">
        <v>46129</v>
      </c>
    </row>
    <row r="30" spans="1:21">
      <c r="A30" t="s">
        <v>953</v>
      </c>
      <c r="B30" t="s">
        <v>6890</v>
      </c>
      <c r="C30" t="s">
        <v>953</v>
      </c>
      <c r="D30">
        <v>20496091</v>
      </c>
      <c r="E30" t="s">
        <v>2258</v>
      </c>
      <c r="F30" t="s">
        <v>984</v>
      </c>
      <c r="G30" t="s">
        <v>2250</v>
      </c>
      <c r="H30" t="s">
        <v>592</v>
      </c>
      <c r="J30" s="519">
        <v>46127</v>
      </c>
      <c r="R30" s="519">
        <v>46139</v>
      </c>
      <c r="U30" s="519">
        <v>46143</v>
      </c>
    </row>
    <row r="31" spans="1:21">
      <c r="A31" t="s">
        <v>953</v>
      </c>
      <c r="B31" t="s">
        <v>6891</v>
      </c>
      <c r="C31" t="s">
        <v>953</v>
      </c>
      <c r="D31">
        <v>20482039</v>
      </c>
      <c r="E31" t="s">
        <v>1100</v>
      </c>
      <c r="F31" t="s">
        <v>581</v>
      </c>
      <c r="G31" t="s">
        <v>2246</v>
      </c>
      <c r="H31" t="s">
        <v>588</v>
      </c>
      <c r="J31" s="519">
        <v>46109</v>
      </c>
      <c r="K31" s="519">
        <v>46137</v>
      </c>
      <c r="U31" s="519">
        <v>46109</v>
      </c>
    </row>
    <row r="32" spans="1:21">
      <c r="A32" t="s">
        <v>953</v>
      </c>
      <c r="B32" t="s">
        <v>2788</v>
      </c>
      <c r="C32" t="s">
        <v>953</v>
      </c>
      <c r="D32">
        <v>20476492</v>
      </c>
      <c r="E32" t="s">
        <v>2258</v>
      </c>
      <c r="F32" t="s">
        <v>984</v>
      </c>
      <c r="G32" t="s">
        <v>2250</v>
      </c>
      <c r="H32" t="s">
        <v>592</v>
      </c>
      <c r="J32" s="519">
        <v>46101</v>
      </c>
      <c r="R32" s="519">
        <v>46114</v>
      </c>
      <c r="U32" s="519">
        <v>46101</v>
      </c>
    </row>
    <row r="33" spans="1:21">
      <c r="A33" t="s">
        <v>953</v>
      </c>
      <c r="B33" t="s">
        <v>3252</v>
      </c>
      <c r="C33" t="s">
        <v>953</v>
      </c>
      <c r="D33">
        <v>20491269</v>
      </c>
      <c r="E33" t="s">
        <v>2258</v>
      </c>
      <c r="F33" t="s">
        <v>577</v>
      </c>
      <c r="G33" t="s">
        <v>2250</v>
      </c>
      <c r="H33" t="s">
        <v>592</v>
      </c>
      <c r="I33" t="s">
        <v>2272</v>
      </c>
      <c r="J33" s="519">
        <v>46121</v>
      </c>
      <c r="R33" s="519">
        <v>46139</v>
      </c>
      <c r="U33" s="519">
        <v>46144</v>
      </c>
    </row>
    <row r="34" spans="1:21">
      <c r="A34" t="s">
        <v>953</v>
      </c>
      <c r="B34" t="s">
        <v>6892</v>
      </c>
      <c r="C34" t="s">
        <v>953</v>
      </c>
      <c r="D34">
        <v>20509822</v>
      </c>
      <c r="E34" t="s">
        <v>2245</v>
      </c>
      <c r="F34" t="s">
        <v>984</v>
      </c>
      <c r="G34" t="s">
        <v>2250</v>
      </c>
      <c r="H34" t="s">
        <v>2361</v>
      </c>
      <c r="J34" s="519">
        <v>46137</v>
      </c>
      <c r="U34" s="519">
        <v>46203</v>
      </c>
    </row>
    <row r="35" spans="1:21">
      <c r="A35" t="s">
        <v>953</v>
      </c>
      <c r="B35" t="s">
        <v>6893</v>
      </c>
      <c r="C35" t="s">
        <v>953</v>
      </c>
      <c r="D35">
        <v>20504199</v>
      </c>
      <c r="E35" t="s">
        <v>2245</v>
      </c>
      <c r="F35" t="s">
        <v>984</v>
      </c>
      <c r="G35" t="s">
        <v>2250</v>
      </c>
      <c r="H35" t="s">
        <v>2361</v>
      </c>
      <c r="J35" s="519">
        <v>46132</v>
      </c>
      <c r="U35" s="519">
        <v>46134</v>
      </c>
    </row>
    <row r="36" spans="1:21">
      <c r="A36" t="s">
        <v>953</v>
      </c>
      <c r="B36" t="s">
        <v>6894</v>
      </c>
      <c r="C36" t="s">
        <v>953</v>
      </c>
      <c r="D36">
        <v>20508714</v>
      </c>
      <c r="E36" t="s">
        <v>2245</v>
      </c>
      <c r="F36" t="s">
        <v>984</v>
      </c>
      <c r="G36" t="s">
        <v>2290</v>
      </c>
      <c r="H36" t="s">
        <v>592</v>
      </c>
      <c r="J36" s="519">
        <v>46136</v>
      </c>
      <c r="U36" s="519">
        <v>46174</v>
      </c>
    </row>
    <row r="37" spans="1:21">
      <c r="A37" t="s">
        <v>953</v>
      </c>
      <c r="B37" t="s">
        <v>2789</v>
      </c>
      <c r="C37" t="s">
        <v>953</v>
      </c>
      <c r="D37">
        <v>20478007</v>
      </c>
      <c r="E37" t="s">
        <v>2252</v>
      </c>
      <c r="F37" t="s">
        <v>581</v>
      </c>
      <c r="G37" t="s">
        <v>2250</v>
      </c>
      <c r="H37" t="s">
        <v>592</v>
      </c>
      <c r="J37" s="519">
        <v>46103</v>
      </c>
      <c r="K37" s="519">
        <v>46111</v>
      </c>
      <c r="R37" s="519">
        <v>46126</v>
      </c>
      <c r="U37" s="519">
        <v>46164</v>
      </c>
    </row>
    <row r="38" spans="1:21">
      <c r="A38" t="s">
        <v>953</v>
      </c>
      <c r="B38" t="s">
        <v>2789</v>
      </c>
      <c r="C38" t="s">
        <v>953</v>
      </c>
      <c r="D38">
        <v>20483723</v>
      </c>
      <c r="E38" t="s">
        <v>2252</v>
      </c>
      <c r="F38" t="s">
        <v>1115</v>
      </c>
      <c r="G38" t="s">
        <v>2250</v>
      </c>
      <c r="H38" t="s">
        <v>592</v>
      </c>
      <c r="I38" t="s">
        <v>2288</v>
      </c>
      <c r="J38" s="519">
        <v>46111</v>
      </c>
      <c r="K38" s="519">
        <v>46111</v>
      </c>
      <c r="R38" s="519">
        <v>46116</v>
      </c>
      <c r="U38" s="519">
        <v>46164</v>
      </c>
    </row>
    <row r="39" spans="1:21">
      <c r="A39" t="s">
        <v>953</v>
      </c>
      <c r="B39" t="s">
        <v>2260</v>
      </c>
      <c r="C39" t="s">
        <v>953</v>
      </c>
      <c r="D39">
        <v>20455583</v>
      </c>
      <c r="E39" t="s">
        <v>2258</v>
      </c>
      <c r="F39" t="s">
        <v>984</v>
      </c>
      <c r="G39" t="s">
        <v>2259</v>
      </c>
      <c r="H39" t="s">
        <v>592</v>
      </c>
      <c r="J39" s="519">
        <v>46076</v>
      </c>
      <c r="R39" s="519">
        <v>46114</v>
      </c>
      <c r="U39" s="519">
        <v>46077</v>
      </c>
    </row>
    <row r="40" spans="1:21">
      <c r="A40" t="s">
        <v>953</v>
      </c>
      <c r="B40" t="s">
        <v>3253</v>
      </c>
      <c r="C40" t="s">
        <v>953</v>
      </c>
      <c r="D40">
        <v>20417245</v>
      </c>
      <c r="E40" t="s">
        <v>2258</v>
      </c>
      <c r="F40" t="s">
        <v>581</v>
      </c>
      <c r="G40" t="s">
        <v>2259</v>
      </c>
      <c r="H40" t="s">
        <v>592</v>
      </c>
      <c r="J40" s="519">
        <v>46025</v>
      </c>
      <c r="R40" s="519">
        <v>46114</v>
      </c>
      <c r="U40" s="519">
        <v>46025</v>
      </c>
    </row>
    <row r="41" spans="1:21">
      <c r="A41" t="s">
        <v>953</v>
      </c>
      <c r="B41" t="s">
        <v>2262</v>
      </c>
      <c r="C41" t="s">
        <v>953</v>
      </c>
      <c r="D41">
        <v>20444775</v>
      </c>
      <c r="E41" t="s">
        <v>2258</v>
      </c>
      <c r="F41" t="s">
        <v>581</v>
      </c>
      <c r="G41" t="s">
        <v>1213</v>
      </c>
      <c r="H41" t="s">
        <v>587</v>
      </c>
      <c r="J41" s="519">
        <v>46063</v>
      </c>
      <c r="R41" s="519">
        <v>46114</v>
      </c>
      <c r="U41" s="519">
        <v>46084</v>
      </c>
    </row>
    <row r="42" spans="1:21">
      <c r="A42" t="s">
        <v>953</v>
      </c>
      <c r="B42" t="s">
        <v>2263</v>
      </c>
      <c r="C42" t="s">
        <v>953</v>
      </c>
      <c r="D42">
        <v>20448941</v>
      </c>
      <c r="E42" t="s">
        <v>2258</v>
      </c>
      <c r="F42" t="s">
        <v>984</v>
      </c>
      <c r="G42" t="s">
        <v>1213</v>
      </c>
      <c r="H42" t="s">
        <v>587</v>
      </c>
      <c r="J42" s="519">
        <v>46067</v>
      </c>
      <c r="R42" s="519">
        <v>46114</v>
      </c>
      <c r="U42" s="519">
        <v>46083</v>
      </c>
    </row>
    <row r="43" spans="1:21">
      <c r="A43" t="s">
        <v>953</v>
      </c>
      <c r="B43" t="s">
        <v>3254</v>
      </c>
      <c r="C43" t="s">
        <v>953</v>
      </c>
      <c r="D43">
        <v>20430305</v>
      </c>
      <c r="E43" t="s">
        <v>2252</v>
      </c>
      <c r="F43" t="s">
        <v>577</v>
      </c>
      <c r="G43" t="s">
        <v>2250</v>
      </c>
      <c r="H43" t="s">
        <v>587</v>
      </c>
      <c r="J43" s="519">
        <v>46041</v>
      </c>
      <c r="K43" s="519">
        <v>46041</v>
      </c>
      <c r="R43" s="519">
        <v>46114</v>
      </c>
      <c r="U43" s="519">
        <v>46041</v>
      </c>
    </row>
    <row r="44" spans="1:21">
      <c r="A44" t="s">
        <v>953</v>
      </c>
      <c r="B44" t="s">
        <v>2264</v>
      </c>
      <c r="C44" t="s">
        <v>953</v>
      </c>
      <c r="D44">
        <v>20440209</v>
      </c>
      <c r="E44" t="s">
        <v>2258</v>
      </c>
      <c r="F44" t="s">
        <v>984</v>
      </c>
      <c r="G44" t="s">
        <v>2259</v>
      </c>
      <c r="H44" t="s">
        <v>593</v>
      </c>
      <c r="J44" s="519">
        <v>46056</v>
      </c>
      <c r="R44" s="519">
        <v>46114</v>
      </c>
      <c r="U44" s="519">
        <v>46056</v>
      </c>
    </row>
    <row r="45" spans="1:21">
      <c r="A45" t="s">
        <v>953</v>
      </c>
      <c r="B45" t="s">
        <v>3255</v>
      </c>
      <c r="C45" t="s">
        <v>953</v>
      </c>
      <c r="D45">
        <v>20432796</v>
      </c>
      <c r="E45" t="s">
        <v>2252</v>
      </c>
      <c r="F45" t="s">
        <v>577</v>
      </c>
      <c r="G45" t="s">
        <v>2250</v>
      </c>
      <c r="H45" t="s">
        <v>587</v>
      </c>
      <c r="I45" t="s">
        <v>895</v>
      </c>
      <c r="J45" s="519">
        <v>46044</v>
      </c>
      <c r="K45" s="519">
        <v>46044</v>
      </c>
      <c r="R45" s="519">
        <v>46114</v>
      </c>
      <c r="U45" s="519">
        <v>46093</v>
      </c>
    </row>
    <row r="46" spans="1:21">
      <c r="A46" t="s">
        <v>953</v>
      </c>
      <c r="B46" t="s">
        <v>3256</v>
      </c>
      <c r="C46" t="s">
        <v>953</v>
      </c>
      <c r="D46">
        <v>20487031</v>
      </c>
      <c r="E46" t="s">
        <v>2245</v>
      </c>
      <c r="F46" t="s">
        <v>984</v>
      </c>
      <c r="G46" t="s">
        <v>2290</v>
      </c>
      <c r="H46" t="s">
        <v>2287</v>
      </c>
      <c r="J46" s="519">
        <v>46116</v>
      </c>
      <c r="U46" s="519">
        <v>46204</v>
      </c>
    </row>
    <row r="47" spans="1:21">
      <c r="A47" t="s">
        <v>953</v>
      </c>
      <c r="B47" t="s">
        <v>6895</v>
      </c>
      <c r="C47" t="s">
        <v>953</v>
      </c>
      <c r="D47">
        <v>20511908</v>
      </c>
      <c r="E47" t="s">
        <v>2245</v>
      </c>
      <c r="F47" t="s">
        <v>984</v>
      </c>
      <c r="G47" t="s">
        <v>2259</v>
      </c>
      <c r="H47" t="s">
        <v>2388</v>
      </c>
      <c r="J47" s="519">
        <v>46140</v>
      </c>
      <c r="U47" s="519">
        <v>46140</v>
      </c>
    </row>
    <row r="48" spans="1:21">
      <c r="A48" t="s">
        <v>953</v>
      </c>
      <c r="B48" t="s">
        <v>6896</v>
      </c>
      <c r="C48" t="s">
        <v>953</v>
      </c>
      <c r="D48">
        <v>20496980</v>
      </c>
      <c r="E48" t="s">
        <v>2258</v>
      </c>
      <c r="F48" t="s">
        <v>578</v>
      </c>
      <c r="G48" t="s">
        <v>2248</v>
      </c>
      <c r="H48" t="s">
        <v>588</v>
      </c>
      <c r="I48" t="s">
        <v>1849</v>
      </c>
      <c r="J48" s="519">
        <v>46127</v>
      </c>
      <c r="R48" s="519">
        <v>46139</v>
      </c>
      <c r="U48" s="519">
        <v>46179</v>
      </c>
    </row>
    <row r="49" spans="1:21">
      <c r="A49" t="s">
        <v>953</v>
      </c>
      <c r="B49" t="s">
        <v>1040</v>
      </c>
      <c r="C49" t="s">
        <v>953</v>
      </c>
      <c r="D49">
        <v>20443684</v>
      </c>
      <c r="E49" t="s">
        <v>2324</v>
      </c>
      <c r="F49" t="s">
        <v>577</v>
      </c>
      <c r="G49" t="s">
        <v>2248</v>
      </c>
      <c r="H49" t="s">
        <v>588</v>
      </c>
      <c r="I49" t="s">
        <v>872</v>
      </c>
      <c r="J49" s="519">
        <v>46062</v>
      </c>
      <c r="K49" s="519">
        <v>46090</v>
      </c>
      <c r="L49" s="519">
        <v>46104</v>
      </c>
      <c r="M49" s="519">
        <v>46113</v>
      </c>
      <c r="N49" s="519">
        <v>46113</v>
      </c>
      <c r="P49" s="519">
        <v>46113</v>
      </c>
      <c r="Q49" s="519">
        <v>46113</v>
      </c>
      <c r="U49" s="519">
        <v>46129</v>
      </c>
    </row>
    <row r="50" spans="1:21">
      <c r="A50" t="s">
        <v>953</v>
      </c>
      <c r="B50" t="s">
        <v>2267</v>
      </c>
      <c r="C50" t="s">
        <v>953</v>
      </c>
      <c r="D50">
        <v>20441240</v>
      </c>
      <c r="E50" t="s">
        <v>2258</v>
      </c>
      <c r="F50" t="s">
        <v>581</v>
      </c>
      <c r="G50" t="s">
        <v>2246</v>
      </c>
      <c r="H50" t="s">
        <v>591</v>
      </c>
      <c r="J50" s="519">
        <v>46057</v>
      </c>
      <c r="R50" s="519">
        <v>46114</v>
      </c>
      <c r="U50" s="519">
        <v>46057</v>
      </c>
    </row>
    <row r="51" spans="1:21">
      <c r="A51" t="s">
        <v>953</v>
      </c>
      <c r="B51" t="s">
        <v>3257</v>
      </c>
      <c r="C51" t="s">
        <v>953</v>
      </c>
      <c r="D51">
        <v>20433387</v>
      </c>
      <c r="E51" t="s">
        <v>2258</v>
      </c>
      <c r="F51" t="s">
        <v>579</v>
      </c>
      <c r="G51" t="s">
        <v>2248</v>
      </c>
      <c r="H51" t="s">
        <v>588</v>
      </c>
      <c r="J51" s="519">
        <v>46045</v>
      </c>
      <c r="R51" s="519">
        <v>46114</v>
      </c>
      <c r="U51" s="519">
        <v>46095</v>
      </c>
    </row>
    <row r="52" spans="1:21">
      <c r="A52" t="s">
        <v>953</v>
      </c>
      <c r="B52" t="s">
        <v>2268</v>
      </c>
      <c r="C52" t="s">
        <v>953</v>
      </c>
      <c r="D52">
        <v>20457180</v>
      </c>
      <c r="E52" t="s">
        <v>2258</v>
      </c>
      <c r="F52" t="s">
        <v>582</v>
      </c>
      <c r="G52" t="s">
        <v>2248</v>
      </c>
      <c r="H52" t="s">
        <v>589</v>
      </c>
      <c r="J52" s="519">
        <v>46078</v>
      </c>
      <c r="R52" s="519">
        <v>46114</v>
      </c>
      <c r="U52" s="519">
        <v>46103</v>
      </c>
    </row>
    <row r="53" spans="1:21">
      <c r="A53" t="s">
        <v>953</v>
      </c>
      <c r="B53" t="s">
        <v>2790</v>
      </c>
      <c r="C53" t="s">
        <v>953</v>
      </c>
      <c r="D53">
        <v>20476050</v>
      </c>
      <c r="E53" t="s">
        <v>2258</v>
      </c>
      <c r="F53" t="s">
        <v>581</v>
      </c>
      <c r="G53" t="s">
        <v>2250</v>
      </c>
      <c r="H53" t="s">
        <v>592</v>
      </c>
      <c r="J53" s="519">
        <v>46100</v>
      </c>
      <c r="R53" s="519">
        <v>46114</v>
      </c>
      <c r="U53" s="519">
        <v>46193</v>
      </c>
    </row>
    <row r="54" spans="1:21">
      <c r="A54" t="s">
        <v>953</v>
      </c>
      <c r="B54" t="s">
        <v>2791</v>
      </c>
      <c r="C54" t="s">
        <v>953</v>
      </c>
      <c r="D54">
        <v>20473092</v>
      </c>
      <c r="E54" t="s">
        <v>2258</v>
      </c>
      <c r="F54" t="s">
        <v>581</v>
      </c>
      <c r="G54" t="s">
        <v>2250</v>
      </c>
      <c r="H54" t="s">
        <v>592</v>
      </c>
      <c r="J54" s="519">
        <v>46098</v>
      </c>
      <c r="R54" s="519">
        <v>46114</v>
      </c>
      <c r="U54" s="519">
        <v>46172</v>
      </c>
    </row>
    <row r="55" spans="1:21">
      <c r="A55" t="s">
        <v>953</v>
      </c>
      <c r="B55" t="s">
        <v>2792</v>
      </c>
      <c r="C55" t="s">
        <v>953</v>
      </c>
      <c r="D55">
        <v>20471521</v>
      </c>
      <c r="E55" t="s">
        <v>2258</v>
      </c>
      <c r="F55" t="s">
        <v>581</v>
      </c>
      <c r="G55" t="s">
        <v>2248</v>
      </c>
      <c r="H55" t="s">
        <v>592</v>
      </c>
      <c r="I55" t="s">
        <v>1156</v>
      </c>
      <c r="J55" s="519">
        <v>46095</v>
      </c>
      <c r="R55" s="519">
        <v>46114</v>
      </c>
      <c r="U55" s="519">
        <v>46095</v>
      </c>
    </row>
    <row r="56" spans="1:21">
      <c r="A56" t="s">
        <v>953</v>
      </c>
      <c r="B56" t="s">
        <v>3258</v>
      </c>
      <c r="C56" t="s">
        <v>953</v>
      </c>
      <c r="D56">
        <v>20485528</v>
      </c>
      <c r="E56" t="s">
        <v>2258</v>
      </c>
      <c r="F56" t="s">
        <v>984</v>
      </c>
      <c r="G56" t="s">
        <v>2250</v>
      </c>
      <c r="H56" t="s">
        <v>592</v>
      </c>
      <c r="J56" s="519">
        <v>46114</v>
      </c>
      <c r="R56" s="519">
        <v>46114</v>
      </c>
      <c r="U56" s="519">
        <v>46142</v>
      </c>
    </row>
    <row r="57" spans="1:21">
      <c r="A57" t="s">
        <v>953</v>
      </c>
      <c r="B57" t="s">
        <v>2270</v>
      </c>
      <c r="C57" t="s">
        <v>953</v>
      </c>
      <c r="D57">
        <v>20457202</v>
      </c>
      <c r="E57" t="s">
        <v>2252</v>
      </c>
      <c r="F57" t="s">
        <v>578</v>
      </c>
      <c r="G57" t="s">
        <v>2250</v>
      </c>
      <c r="H57" t="s">
        <v>587</v>
      </c>
      <c r="I57" t="s">
        <v>2315</v>
      </c>
      <c r="J57" s="519">
        <v>46078</v>
      </c>
      <c r="K57" s="519">
        <v>46078</v>
      </c>
      <c r="R57" s="519">
        <v>46114</v>
      </c>
      <c r="U57" s="519">
        <v>46097</v>
      </c>
    </row>
    <row r="58" spans="1:21">
      <c r="A58" t="s">
        <v>953</v>
      </c>
      <c r="B58" t="s">
        <v>2793</v>
      </c>
      <c r="C58" t="s">
        <v>953</v>
      </c>
      <c r="D58">
        <v>20461150</v>
      </c>
      <c r="E58" t="s">
        <v>2258</v>
      </c>
      <c r="F58" t="s">
        <v>984</v>
      </c>
      <c r="G58" t="s">
        <v>2246</v>
      </c>
      <c r="H58" t="s">
        <v>587</v>
      </c>
      <c r="J58" s="519">
        <v>46084</v>
      </c>
      <c r="R58" s="519">
        <v>46139</v>
      </c>
      <c r="U58" s="519">
        <v>46164</v>
      </c>
    </row>
    <row r="59" spans="1:21">
      <c r="A59" t="s">
        <v>953</v>
      </c>
      <c r="B59" t="s">
        <v>6897</v>
      </c>
      <c r="C59" t="s">
        <v>953</v>
      </c>
      <c r="D59">
        <v>20500340</v>
      </c>
      <c r="E59" t="s">
        <v>2258</v>
      </c>
      <c r="F59" t="s">
        <v>984</v>
      </c>
      <c r="G59" t="s">
        <v>2246</v>
      </c>
      <c r="H59" t="s">
        <v>592</v>
      </c>
      <c r="J59" s="519">
        <v>46129</v>
      </c>
      <c r="R59" s="519">
        <v>46139</v>
      </c>
      <c r="U59" s="519">
        <v>46129</v>
      </c>
    </row>
    <row r="60" spans="1:21">
      <c r="A60" t="s">
        <v>953</v>
      </c>
      <c r="B60" t="s">
        <v>3259</v>
      </c>
      <c r="C60" t="s">
        <v>953</v>
      </c>
      <c r="D60">
        <v>20416800</v>
      </c>
      <c r="E60" t="s">
        <v>2258</v>
      </c>
      <c r="F60" t="s">
        <v>581</v>
      </c>
      <c r="G60" t="s">
        <v>2259</v>
      </c>
      <c r="H60" t="s">
        <v>587</v>
      </c>
      <c r="J60" s="519">
        <v>46024</v>
      </c>
      <c r="R60" s="519">
        <v>46114</v>
      </c>
      <c r="U60" s="519">
        <v>46024</v>
      </c>
    </row>
    <row r="61" spans="1:21">
      <c r="A61" t="s">
        <v>953</v>
      </c>
      <c r="B61" t="s">
        <v>6898</v>
      </c>
      <c r="C61" t="s">
        <v>953</v>
      </c>
      <c r="D61">
        <v>20509271</v>
      </c>
      <c r="E61" t="s">
        <v>2252</v>
      </c>
      <c r="F61" t="s">
        <v>581</v>
      </c>
      <c r="G61" t="s">
        <v>1213</v>
      </c>
      <c r="H61" t="s">
        <v>589</v>
      </c>
      <c r="I61" t="s">
        <v>1147</v>
      </c>
      <c r="J61" s="519">
        <v>46136</v>
      </c>
      <c r="K61" s="519">
        <v>46137</v>
      </c>
      <c r="R61" s="519">
        <v>46137</v>
      </c>
      <c r="U61" s="519">
        <v>46142</v>
      </c>
    </row>
    <row r="62" spans="1:21">
      <c r="A62" t="s">
        <v>953</v>
      </c>
      <c r="B62" t="s">
        <v>6898</v>
      </c>
      <c r="C62" t="s">
        <v>953</v>
      </c>
      <c r="D62">
        <v>20509542</v>
      </c>
      <c r="E62" t="s">
        <v>1110</v>
      </c>
      <c r="F62" t="s">
        <v>578</v>
      </c>
      <c r="G62" t="s">
        <v>2250</v>
      </c>
      <c r="H62" t="s">
        <v>589</v>
      </c>
      <c r="I62" t="s">
        <v>1147</v>
      </c>
      <c r="J62" s="519">
        <v>46137</v>
      </c>
      <c r="K62" s="519">
        <v>46137</v>
      </c>
      <c r="L62" s="519">
        <v>46137</v>
      </c>
      <c r="U62" s="519">
        <v>46141</v>
      </c>
    </row>
    <row r="63" spans="1:21">
      <c r="A63" t="s">
        <v>953</v>
      </c>
      <c r="B63" t="s">
        <v>3260</v>
      </c>
      <c r="C63" t="s">
        <v>953</v>
      </c>
      <c r="D63">
        <v>20485818</v>
      </c>
      <c r="E63" t="s">
        <v>2258</v>
      </c>
      <c r="F63" t="s">
        <v>581</v>
      </c>
      <c r="G63" t="s">
        <v>2259</v>
      </c>
      <c r="H63" t="s">
        <v>593</v>
      </c>
      <c r="J63" s="519">
        <v>46114</v>
      </c>
      <c r="R63" s="519">
        <v>46114</v>
      </c>
      <c r="U63" s="519">
        <v>46114</v>
      </c>
    </row>
    <row r="64" spans="1:21">
      <c r="A64" t="s">
        <v>953</v>
      </c>
      <c r="B64" t="s">
        <v>6899</v>
      </c>
      <c r="C64" t="s">
        <v>953</v>
      </c>
      <c r="D64">
        <v>20510109</v>
      </c>
      <c r="E64" t="s">
        <v>2245</v>
      </c>
      <c r="F64" t="s">
        <v>984</v>
      </c>
      <c r="G64" t="s">
        <v>2290</v>
      </c>
      <c r="H64" t="s">
        <v>592</v>
      </c>
      <c r="J64" s="519">
        <v>46138</v>
      </c>
      <c r="U64" s="519">
        <v>46162</v>
      </c>
    </row>
    <row r="65" spans="1:21">
      <c r="A65" t="s">
        <v>953</v>
      </c>
      <c r="B65" t="s">
        <v>3261</v>
      </c>
      <c r="C65" t="s">
        <v>953</v>
      </c>
      <c r="D65">
        <v>20491455</v>
      </c>
      <c r="E65" t="s">
        <v>2258</v>
      </c>
      <c r="F65" t="s">
        <v>581</v>
      </c>
      <c r="G65" t="s">
        <v>2250</v>
      </c>
      <c r="H65" t="s">
        <v>592</v>
      </c>
      <c r="J65" s="519">
        <v>46122</v>
      </c>
      <c r="R65" s="519">
        <v>46139</v>
      </c>
      <c r="U65" s="519">
        <v>46125</v>
      </c>
    </row>
    <row r="66" spans="1:21">
      <c r="A66" t="s">
        <v>953</v>
      </c>
      <c r="B66" t="s">
        <v>3261</v>
      </c>
      <c r="C66" t="s">
        <v>953</v>
      </c>
      <c r="D66">
        <v>20491456</v>
      </c>
      <c r="E66" t="s">
        <v>1100</v>
      </c>
      <c r="F66" t="s">
        <v>581</v>
      </c>
      <c r="G66" t="s">
        <v>2250</v>
      </c>
      <c r="H66" t="s">
        <v>587</v>
      </c>
      <c r="J66" s="519">
        <v>46122</v>
      </c>
      <c r="K66" s="519">
        <v>46122</v>
      </c>
      <c r="U66" s="519">
        <v>46122</v>
      </c>
    </row>
    <row r="67" spans="1:21">
      <c r="A67" t="s">
        <v>953</v>
      </c>
      <c r="B67" t="s">
        <v>6900</v>
      </c>
      <c r="C67" t="s">
        <v>953</v>
      </c>
      <c r="D67">
        <v>20508664</v>
      </c>
      <c r="E67" t="s">
        <v>2245</v>
      </c>
      <c r="F67" t="s">
        <v>582</v>
      </c>
      <c r="G67" t="s">
        <v>2290</v>
      </c>
      <c r="H67" t="s">
        <v>587</v>
      </c>
      <c r="I67" t="s">
        <v>1156</v>
      </c>
      <c r="J67" s="519">
        <v>46136</v>
      </c>
      <c r="U67" s="519">
        <v>46136</v>
      </c>
    </row>
    <row r="68" spans="1:21">
      <c r="A68" t="s">
        <v>953</v>
      </c>
      <c r="B68" t="s">
        <v>6901</v>
      </c>
      <c r="C68" t="s">
        <v>953</v>
      </c>
      <c r="D68">
        <v>20503769</v>
      </c>
      <c r="E68" t="s">
        <v>2245</v>
      </c>
      <c r="F68" t="s">
        <v>581</v>
      </c>
      <c r="G68" t="s">
        <v>2246</v>
      </c>
      <c r="H68" t="s">
        <v>592</v>
      </c>
      <c r="J68" s="519">
        <v>46132</v>
      </c>
      <c r="U68" s="519">
        <v>46133</v>
      </c>
    </row>
    <row r="69" spans="1:21">
      <c r="A69" t="s">
        <v>953</v>
      </c>
      <c r="B69" t="s">
        <v>1392</v>
      </c>
      <c r="C69" t="s">
        <v>953</v>
      </c>
      <c r="D69">
        <v>20495704</v>
      </c>
      <c r="E69" t="s">
        <v>2258</v>
      </c>
      <c r="F69" t="s">
        <v>984</v>
      </c>
      <c r="G69" t="s">
        <v>2246</v>
      </c>
      <c r="H69" t="s">
        <v>587</v>
      </c>
      <c r="J69" s="519">
        <v>46127</v>
      </c>
      <c r="R69" s="519">
        <v>46139</v>
      </c>
      <c r="U69" s="519">
        <v>46127</v>
      </c>
    </row>
    <row r="70" spans="1:21">
      <c r="A70" t="s">
        <v>953</v>
      </c>
      <c r="B70" t="s">
        <v>2794</v>
      </c>
      <c r="C70" t="s">
        <v>953</v>
      </c>
      <c r="D70">
        <v>20460984</v>
      </c>
      <c r="E70" t="s">
        <v>2258</v>
      </c>
      <c r="F70" t="s">
        <v>984</v>
      </c>
      <c r="G70" t="s">
        <v>2246</v>
      </c>
      <c r="H70" t="s">
        <v>587</v>
      </c>
      <c r="J70" s="519">
        <v>46083</v>
      </c>
      <c r="R70" s="519">
        <v>46114</v>
      </c>
      <c r="U70" s="519">
        <v>46084</v>
      </c>
    </row>
    <row r="71" spans="1:21">
      <c r="A71" t="s">
        <v>953</v>
      </c>
      <c r="B71" t="s">
        <v>3262</v>
      </c>
      <c r="C71" t="s">
        <v>953</v>
      </c>
      <c r="D71">
        <v>20437164</v>
      </c>
      <c r="E71" t="s">
        <v>2252</v>
      </c>
      <c r="F71" t="s">
        <v>577</v>
      </c>
      <c r="G71" t="s">
        <v>2250</v>
      </c>
      <c r="H71" t="s">
        <v>587</v>
      </c>
      <c r="J71" s="519">
        <v>46051</v>
      </c>
      <c r="K71" s="519">
        <v>46051</v>
      </c>
      <c r="R71" s="519">
        <v>46114</v>
      </c>
      <c r="U71" s="519">
        <v>46067</v>
      </c>
    </row>
    <row r="72" spans="1:21">
      <c r="A72" t="s">
        <v>953</v>
      </c>
      <c r="B72" t="s">
        <v>3262</v>
      </c>
      <c r="C72" t="s">
        <v>953</v>
      </c>
      <c r="D72">
        <v>20437182</v>
      </c>
      <c r="E72" t="s">
        <v>2252</v>
      </c>
      <c r="F72" t="s">
        <v>578</v>
      </c>
      <c r="G72" t="s">
        <v>2250</v>
      </c>
      <c r="H72" t="s">
        <v>587</v>
      </c>
      <c r="J72" s="519">
        <v>46051</v>
      </c>
      <c r="K72" s="519">
        <v>46051</v>
      </c>
      <c r="R72" s="519">
        <v>46114</v>
      </c>
      <c r="U72" s="519">
        <v>46067</v>
      </c>
    </row>
    <row r="73" spans="1:21">
      <c r="A73" t="s">
        <v>953</v>
      </c>
      <c r="B73" t="s">
        <v>3263</v>
      </c>
      <c r="C73" t="s">
        <v>953</v>
      </c>
      <c r="D73">
        <v>20418009</v>
      </c>
      <c r="E73" t="s">
        <v>2258</v>
      </c>
      <c r="F73" t="s">
        <v>577</v>
      </c>
      <c r="G73" t="s">
        <v>2290</v>
      </c>
      <c r="H73" t="s">
        <v>591</v>
      </c>
      <c r="J73" s="519">
        <v>46026</v>
      </c>
      <c r="R73" s="519">
        <v>46114</v>
      </c>
      <c r="U73" s="519">
        <v>46038</v>
      </c>
    </row>
    <row r="74" spans="1:21">
      <c r="A74" t="s">
        <v>953</v>
      </c>
      <c r="B74" t="s">
        <v>2795</v>
      </c>
      <c r="C74" t="s">
        <v>953</v>
      </c>
      <c r="D74">
        <v>20475570</v>
      </c>
      <c r="E74" t="s">
        <v>2258</v>
      </c>
      <c r="F74" t="s">
        <v>984</v>
      </c>
      <c r="G74" t="s">
        <v>2250</v>
      </c>
      <c r="H74" t="s">
        <v>592</v>
      </c>
      <c r="J74" s="519">
        <v>46100</v>
      </c>
      <c r="R74" s="519">
        <v>46114</v>
      </c>
      <c r="U74" s="519">
        <v>46103</v>
      </c>
    </row>
    <row r="75" spans="1:21">
      <c r="A75" t="s">
        <v>953</v>
      </c>
      <c r="B75" t="s">
        <v>6902</v>
      </c>
      <c r="C75" t="s">
        <v>953</v>
      </c>
      <c r="D75">
        <v>20497296</v>
      </c>
      <c r="E75" t="s">
        <v>2258</v>
      </c>
      <c r="F75" t="s">
        <v>581</v>
      </c>
      <c r="G75" t="s">
        <v>2250</v>
      </c>
      <c r="H75" t="s">
        <v>2361</v>
      </c>
      <c r="J75" s="519">
        <v>46128</v>
      </c>
      <c r="R75" s="519">
        <v>46139</v>
      </c>
      <c r="U75" s="519">
        <v>46266</v>
      </c>
    </row>
    <row r="76" spans="1:21">
      <c r="A76" t="s">
        <v>953</v>
      </c>
      <c r="B76" t="s">
        <v>6903</v>
      </c>
      <c r="C76" t="s">
        <v>953</v>
      </c>
      <c r="D76">
        <v>20497770</v>
      </c>
      <c r="E76" t="s">
        <v>2258</v>
      </c>
      <c r="F76" t="s">
        <v>581</v>
      </c>
      <c r="G76" t="s">
        <v>1213</v>
      </c>
      <c r="H76" t="s">
        <v>587</v>
      </c>
      <c r="J76" s="519">
        <v>46128</v>
      </c>
      <c r="R76" s="519">
        <v>46139</v>
      </c>
      <c r="U76" s="519">
        <v>46128</v>
      </c>
    </row>
    <row r="77" spans="1:21">
      <c r="A77" t="s">
        <v>953</v>
      </c>
      <c r="B77" t="s">
        <v>3264</v>
      </c>
      <c r="C77" t="s">
        <v>953</v>
      </c>
      <c r="D77">
        <v>20490738</v>
      </c>
      <c r="E77" t="s">
        <v>2258</v>
      </c>
      <c r="F77" t="s">
        <v>581</v>
      </c>
      <c r="G77" t="s">
        <v>2250</v>
      </c>
      <c r="H77" t="s">
        <v>592</v>
      </c>
      <c r="J77" s="519">
        <v>46121</v>
      </c>
      <c r="R77" s="519">
        <v>46139</v>
      </c>
      <c r="U77" s="519">
        <v>46204</v>
      </c>
    </row>
    <row r="78" spans="1:21">
      <c r="A78" t="s">
        <v>953</v>
      </c>
      <c r="B78" t="s">
        <v>3265</v>
      </c>
      <c r="C78" t="s">
        <v>953</v>
      </c>
      <c r="D78">
        <v>20490262</v>
      </c>
      <c r="E78" t="s">
        <v>2258</v>
      </c>
      <c r="F78" t="s">
        <v>984</v>
      </c>
      <c r="G78" t="s">
        <v>2250</v>
      </c>
      <c r="H78" t="s">
        <v>592</v>
      </c>
      <c r="J78" s="519">
        <v>46120</v>
      </c>
      <c r="R78" s="519">
        <v>46139</v>
      </c>
      <c r="U78" s="519">
        <v>46155</v>
      </c>
    </row>
    <row r="79" spans="1:21">
      <c r="A79" t="s">
        <v>953</v>
      </c>
      <c r="B79" t="s">
        <v>2279</v>
      </c>
      <c r="C79" t="s">
        <v>953</v>
      </c>
      <c r="D79">
        <v>20413385</v>
      </c>
      <c r="E79" t="s">
        <v>2252</v>
      </c>
      <c r="F79" t="s">
        <v>577</v>
      </c>
      <c r="G79" t="s">
        <v>2246</v>
      </c>
      <c r="H79" t="s">
        <v>592</v>
      </c>
      <c r="J79" s="519">
        <v>46018</v>
      </c>
      <c r="K79" s="519">
        <v>46055</v>
      </c>
      <c r="R79" s="519">
        <v>46114</v>
      </c>
      <c r="U79" s="519">
        <v>46059</v>
      </c>
    </row>
    <row r="80" spans="1:21">
      <c r="A80" t="s">
        <v>953</v>
      </c>
      <c r="B80" t="s">
        <v>2280</v>
      </c>
      <c r="C80" t="s">
        <v>953</v>
      </c>
      <c r="D80">
        <v>20452742</v>
      </c>
      <c r="E80" t="s">
        <v>2258</v>
      </c>
      <c r="F80" t="s">
        <v>984</v>
      </c>
      <c r="G80" t="s">
        <v>2246</v>
      </c>
      <c r="H80" t="s">
        <v>587</v>
      </c>
      <c r="J80" s="519">
        <v>46072</v>
      </c>
      <c r="R80" s="519">
        <v>46114</v>
      </c>
      <c r="U80" s="519">
        <v>46113</v>
      </c>
    </row>
    <row r="81" spans="1:21">
      <c r="A81" t="s">
        <v>953</v>
      </c>
      <c r="B81" t="s">
        <v>3266</v>
      </c>
      <c r="C81" t="s">
        <v>953</v>
      </c>
      <c r="D81">
        <v>20494048</v>
      </c>
      <c r="E81" t="s">
        <v>1100</v>
      </c>
      <c r="F81" t="s">
        <v>3440</v>
      </c>
      <c r="G81" t="s">
        <v>2290</v>
      </c>
      <c r="H81" t="s">
        <v>587</v>
      </c>
      <c r="J81" s="519">
        <v>46125</v>
      </c>
      <c r="K81" s="519">
        <v>46126</v>
      </c>
      <c r="U81" s="519">
        <v>46142</v>
      </c>
    </row>
    <row r="82" spans="1:21">
      <c r="A82" t="s">
        <v>953</v>
      </c>
      <c r="B82" t="s">
        <v>3266</v>
      </c>
      <c r="C82" t="s">
        <v>953</v>
      </c>
      <c r="D82">
        <v>20494798</v>
      </c>
      <c r="E82" t="s">
        <v>2324</v>
      </c>
      <c r="F82" t="s">
        <v>3440</v>
      </c>
      <c r="G82" t="s">
        <v>2250</v>
      </c>
      <c r="H82" t="s">
        <v>587</v>
      </c>
      <c r="I82" t="s">
        <v>5623</v>
      </c>
      <c r="J82" s="519">
        <v>46126</v>
      </c>
      <c r="K82" s="519">
        <v>46126</v>
      </c>
      <c r="L82" s="519">
        <v>46126</v>
      </c>
      <c r="M82" s="519">
        <v>46133</v>
      </c>
      <c r="N82" s="519">
        <v>46135</v>
      </c>
      <c r="O82" s="519">
        <v>46135</v>
      </c>
      <c r="P82" s="519">
        <v>46135</v>
      </c>
      <c r="Q82" s="519">
        <v>46139</v>
      </c>
      <c r="U82" s="519">
        <v>46142</v>
      </c>
    </row>
    <row r="83" spans="1:21">
      <c r="A83" t="s">
        <v>953</v>
      </c>
      <c r="B83" t="s">
        <v>3267</v>
      </c>
      <c r="C83" t="s">
        <v>953</v>
      </c>
      <c r="D83">
        <v>20418038</v>
      </c>
      <c r="E83" t="s">
        <v>2252</v>
      </c>
      <c r="F83" t="s">
        <v>578</v>
      </c>
      <c r="G83" t="s">
        <v>2250</v>
      </c>
      <c r="H83" t="s">
        <v>2453</v>
      </c>
      <c r="I83" t="s">
        <v>2454</v>
      </c>
      <c r="J83" s="519">
        <v>46026</v>
      </c>
      <c r="K83" s="519">
        <v>46026</v>
      </c>
      <c r="R83" s="519">
        <v>46114</v>
      </c>
      <c r="U83" s="519">
        <v>46027</v>
      </c>
    </row>
    <row r="84" spans="1:21">
      <c r="A84" t="s">
        <v>953</v>
      </c>
      <c r="B84" t="s">
        <v>2796</v>
      </c>
      <c r="C84" t="s">
        <v>953</v>
      </c>
      <c r="D84">
        <v>20480689</v>
      </c>
      <c r="E84" t="s">
        <v>2252</v>
      </c>
      <c r="F84" t="s">
        <v>984</v>
      </c>
      <c r="G84" t="s">
        <v>2259</v>
      </c>
      <c r="H84" t="s">
        <v>2388</v>
      </c>
      <c r="I84" t="s">
        <v>1156</v>
      </c>
      <c r="J84" s="519">
        <v>46107</v>
      </c>
      <c r="K84" s="519">
        <v>46107</v>
      </c>
      <c r="R84" s="519">
        <v>46114</v>
      </c>
      <c r="U84" s="519">
        <v>46137</v>
      </c>
    </row>
    <row r="85" spans="1:21">
      <c r="A85" t="s">
        <v>953</v>
      </c>
      <c r="B85" t="s">
        <v>3268</v>
      </c>
      <c r="C85" t="s">
        <v>953</v>
      </c>
      <c r="D85">
        <v>20423236</v>
      </c>
      <c r="E85" t="s">
        <v>2258</v>
      </c>
      <c r="F85" t="s">
        <v>579</v>
      </c>
      <c r="G85" t="s">
        <v>2248</v>
      </c>
      <c r="H85" t="s">
        <v>2287</v>
      </c>
      <c r="J85" s="519">
        <v>46034</v>
      </c>
      <c r="R85" s="519">
        <v>46114</v>
      </c>
      <c r="U85" s="519">
        <v>46034</v>
      </c>
    </row>
    <row r="86" spans="1:21">
      <c r="A86" t="s">
        <v>953</v>
      </c>
      <c r="B86" t="s">
        <v>3269</v>
      </c>
      <c r="C86" t="s">
        <v>953</v>
      </c>
      <c r="D86">
        <v>20489159</v>
      </c>
      <c r="E86" t="s">
        <v>2258</v>
      </c>
      <c r="F86" t="s">
        <v>581</v>
      </c>
      <c r="G86" t="s">
        <v>2248</v>
      </c>
      <c r="H86" t="s">
        <v>588</v>
      </c>
      <c r="J86" s="519">
        <v>46119</v>
      </c>
      <c r="R86" s="519">
        <v>46139</v>
      </c>
      <c r="U86" s="519">
        <v>46132</v>
      </c>
    </row>
    <row r="87" spans="1:21">
      <c r="A87" t="s">
        <v>953</v>
      </c>
      <c r="B87" t="s">
        <v>6904</v>
      </c>
      <c r="C87" t="s">
        <v>953</v>
      </c>
      <c r="D87">
        <v>20507122</v>
      </c>
      <c r="E87" t="s">
        <v>2245</v>
      </c>
      <c r="F87" t="s">
        <v>581</v>
      </c>
      <c r="G87" t="s">
        <v>2248</v>
      </c>
      <c r="H87" t="s">
        <v>592</v>
      </c>
      <c r="J87" s="519">
        <v>46134</v>
      </c>
      <c r="U87" s="519">
        <v>46142</v>
      </c>
    </row>
    <row r="88" spans="1:21">
      <c r="A88" t="s">
        <v>953</v>
      </c>
      <c r="B88" t="s">
        <v>6905</v>
      </c>
      <c r="C88" t="s">
        <v>953</v>
      </c>
      <c r="D88">
        <v>20512367</v>
      </c>
      <c r="E88" t="s">
        <v>2245</v>
      </c>
      <c r="F88" t="s">
        <v>581</v>
      </c>
      <c r="G88" t="s">
        <v>2250</v>
      </c>
      <c r="H88" t="s">
        <v>592</v>
      </c>
      <c r="J88" s="519">
        <v>46140</v>
      </c>
      <c r="U88" s="519">
        <v>46357</v>
      </c>
    </row>
    <row r="89" spans="1:21">
      <c r="A89" t="s">
        <v>953</v>
      </c>
      <c r="B89" t="s">
        <v>6905</v>
      </c>
      <c r="C89" t="s">
        <v>953</v>
      </c>
      <c r="D89">
        <v>20512366</v>
      </c>
      <c r="E89" t="s">
        <v>2245</v>
      </c>
      <c r="F89" t="s">
        <v>581</v>
      </c>
      <c r="G89" t="s">
        <v>1213</v>
      </c>
      <c r="H89" t="s">
        <v>592</v>
      </c>
      <c r="J89" s="519">
        <v>46140</v>
      </c>
      <c r="U89" s="519">
        <v>46357</v>
      </c>
    </row>
    <row r="90" spans="1:21">
      <c r="A90" t="s">
        <v>953</v>
      </c>
      <c r="B90" t="s">
        <v>6906</v>
      </c>
      <c r="C90" t="s">
        <v>953</v>
      </c>
      <c r="D90">
        <v>20510261</v>
      </c>
      <c r="E90" t="s">
        <v>2245</v>
      </c>
      <c r="F90" t="s">
        <v>984</v>
      </c>
      <c r="G90" t="s">
        <v>2246</v>
      </c>
      <c r="H90" t="s">
        <v>592</v>
      </c>
      <c r="J90" s="519">
        <v>46138</v>
      </c>
      <c r="U90" s="519">
        <v>46181</v>
      </c>
    </row>
    <row r="91" spans="1:21">
      <c r="A91" t="s">
        <v>953</v>
      </c>
      <c r="B91" t="s">
        <v>6907</v>
      </c>
      <c r="C91" t="s">
        <v>953</v>
      </c>
      <c r="D91">
        <v>20505663</v>
      </c>
      <c r="E91" t="s">
        <v>2245</v>
      </c>
      <c r="F91" t="s">
        <v>984</v>
      </c>
      <c r="G91" t="s">
        <v>2250</v>
      </c>
      <c r="H91" t="s">
        <v>2361</v>
      </c>
      <c r="J91" s="519">
        <v>46134</v>
      </c>
      <c r="U91" s="519">
        <v>46174</v>
      </c>
    </row>
    <row r="92" spans="1:21">
      <c r="A92" t="s">
        <v>953</v>
      </c>
      <c r="B92" t="s">
        <v>2797</v>
      </c>
      <c r="C92" t="s">
        <v>953</v>
      </c>
      <c r="D92">
        <v>20477365</v>
      </c>
      <c r="E92" t="s">
        <v>2258</v>
      </c>
      <c r="F92" t="s">
        <v>578</v>
      </c>
      <c r="G92" t="s">
        <v>2248</v>
      </c>
      <c r="H92" t="s">
        <v>592</v>
      </c>
      <c r="I92" t="s">
        <v>1151</v>
      </c>
      <c r="J92" s="519">
        <v>46102</v>
      </c>
      <c r="R92" s="519">
        <v>46114</v>
      </c>
      <c r="U92" s="519">
        <v>46136</v>
      </c>
    </row>
    <row r="93" spans="1:21">
      <c r="A93" t="s">
        <v>953</v>
      </c>
      <c r="B93" t="s">
        <v>3270</v>
      </c>
      <c r="C93" t="s">
        <v>953</v>
      </c>
      <c r="D93">
        <v>20412630</v>
      </c>
      <c r="E93" t="s">
        <v>2252</v>
      </c>
      <c r="F93" t="s">
        <v>579</v>
      </c>
      <c r="G93" t="s">
        <v>2250</v>
      </c>
      <c r="H93" t="s">
        <v>587</v>
      </c>
      <c r="I93" t="s">
        <v>1098</v>
      </c>
      <c r="J93" s="519">
        <v>46016</v>
      </c>
      <c r="K93" s="519">
        <v>46016</v>
      </c>
      <c r="R93" s="519">
        <v>46114</v>
      </c>
      <c r="U93" s="519">
        <v>46017</v>
      </c>
    </row>
    <row r="94" spans="1:21">
      <c r="A94" t="s">
        <v>953</v>
      </c>
      <c r="B94" t="s">
        <v>2282</v>
      </c>
      <c r="C94" t="s">
        <v>953</v>
      </c>
      <c r="D94">
        <v>20440321</v>
      </c>
      <c r="E94" t="s">
        <v>2252</v>
      </c>
      <c r="F94" t="s">
        <v>579</v>
      </c>
      <c r="G94" t="s">
        <v>2250</v>
      </c>
      <c r="H94" t="s">
        <v>587</v>
      </c>
      <c r="J94" s="519">
        <v>46056</v>
      </c>
      <c r="K94" s="519">
        <v>46056</v>
      </c>
      <c r="R94" s="519">
        <v>46114</v>
      </c>
      <c r="U94" s="519">
        <v>46056</v>
      </c>
    </row>
    <row r="95" spans="1:21">
      <c r="A95" t="s">
        <v>953</v>
      </c>
      <c r="B95" t="s">
        <v>3271</v>
      </c>
      <c r="C95" t="s">
        <v>953</v>
      </c>
      <c r="D95">
        <v>20491772</v>
      </c>
      <c r="E95" t="s">
        <v>2258</v>
      </c>
      <c r="F95" t="s">
        <v>581</v>
      </c>
      <c r="G95" t="s">
        <v>2250</v>
      </c>
      <c r="H95" t="s">
        <v>2361</v>
      </c>
      <c r="J95" s="519">
        <v>46122</v>
      </c>
      <c r="R95" s="519">
        <v>46139</v>
      </c>
      <c r="U95" s="519">
        <v>46123</v>
      </c>
    </row>
    <row r="96" spans="1:21">
      <c r="A96" t="s">
        <v>953</v>
      </c>
      <c r="B96" t="s">
        <v>3272</v>
      </c>
      <c r="C96" t="s">
        <v>953</v>
      </c>
      <c r="D96">
        <v>20489865</v>
      </c>
      <c r="E96" t="s">
        <v>2258</v>
      </c>
      <c r="F96" t="s">
        <v>577</v>
      </c>
      <c r="G96" t="s">
        <v>2248</v>
      </c>
      <c r="H96" t="s">
        <v>588</v>
      </c>
      <c r="J96" s="519">
        <v>46120</v>
      </c>
      <c r="R96" s="519">
        <v>46139</v>
      </c>
      <c r="U96" s="519">
        <v>46120</v>
      </c>
    </row>
    <row r="97" spans="1:21">
      <c r="A97" t="s">
        <v>953</v>
      </c>
      <c r="B97" t="s">
        <v>2798</v>
      </c>
      <c r="C97" t="s">
        <v>953</v>
      </c>
      <c r="D97">
        <v>20471764</v>
      </c>
      <c r="E97" t="s">
        <v>2258</v>
      </c>
      <c r="F97" t="s">
        <v>581</v>
      </c>
      <c r="G97" t="s">
        <v>2250</v>
      </c>
      <c r="H97" t="s">
        <v>592</v>
      </c>
      <c r="J97" s="519">
        <v>46095</v>
      </c>
      <c r="R97" s="519">
        <v>46114</v>
      </c>
      <c r="U97" s="519">
        <v>46113</v>
      </c>
    </row>
    <row r="98" spans="1:21">
      <c r="A98" t="s">
        <v>953</v>
      </c>
      <c r="B98" t="s">
        <v>2284</v>
      </c>
      <c r="C98" t="s">
        <v>953</v>
      </c>
      <c r="D98">
        <v>20442372</v>
      </c>
      <c r="E98" t="s">
        <v>2258</v>
      </c>
      <c r="F98" t="s">
        <v>579</v>
      </c>
      <c r="G98" t="s">
        <v>2248</v>
      </c>
      <c r="H98" t="s">
        <v>588</v>
      </c>
      <c r="I98" t="s">
        <v>2285</v>
      </c>
      <c r="J98" s="519">
        <v>46059</v>
      </c>
      <c r="R98" s="519">
        <v>46114</v>
      </c>
      <c r="U98" s="519">
        <v>46066</v>
      </c>
    </row>
    <row r="99" spans="1:21">
      <c r="A99" t="s">
        <v>953</v>
      </c>
      <c r="B99" t="s">
        <v>3273</v>
      </c>
      <c r="C99" t="s">
        <v>953</v>
      </c>
      <c r="D99">
        <v>20489236</v>
      </c>
      <c r="E99" t="s">
        <v>2258</v>
      </c>
      <c r="F99" t="s">
        <v>984</v>
      </c>
      <c r="G99" t="s">
        <v>2250</v>
      </c>
      <c r="H99" t="s">
        <v>592</v>
      </c>
      <c r="J99" s="519">
        <v>46119</v>
      </c>
      <c r="R99" s="519">
        <v>46139</v>
      </c>
      <c r="U99" s="519">
        <v>46137</v>
      </c>
    </row>
    <row r="100" spans="1:21">
      <c r="A100" t="s">
        <v>953</v>
      </c>
      <c r="B100" t="s">
        <v>2799</v>
      </c>
      <c r="C100" t="s">
        <v>953</v>
      </c>
      <c r="D100">
        <v>20475336</v>
      </c>
      <c r="E100" t="s">
        <v>2258</v>
      </c>
      <c r="F100" t="s">
        <v>581</v>
      </c>
      <c r="G100" t="s">
        <v>2250</v>
      </c>
      <c r="H100" t="s">
        <v>592</v>
      </c>
      <c r="J100" s="519">
        <v>46099</v>
      </c>
      <c r="R100" s="519">
        <v>46114</v>
      </c>
      <c r="U100" s="519">
        <v>46113</v>
      </c>
    </row>
    <row r="101" spans="1:21">
      <c r="A101" t="s">
        <v>953</v>
      </c>
      <c r="B101" t="s">
        <v>2801</v>
      </c>
      <c r="C101" t="s">
        <v>953</v>
      </c>
      <c r="D101">
        <v>20462534</v>
      </c>
      <c r="E101" t="s">
        <v>2258</v>
      </c>
      <c r="F101" t="s">
        <v>581</v>
      </c>
      <c r="G101" t="s">
        <v>2259</v>
      </c>
      <c r="H101" t="s">
        <v>592</v>
      </c>
      <c r="J101" s="519">
        <v>46085</v>
      </c>
      <c r="R101" s="519">
        <v>46114</v>
      </c>
      <c r="U101" s="519">
        <v>46085</v>
      </c>
    </row>
    <row r="102" spans="1:21">
      <c r="A102" t="s">
        <v>953</v>
      </c>
      <c r="B102" t="s">
        <v>6908</v>
      </c>
      <c r="C102" t="s">
        <v>953</v>
      </c>
      <c r="D102">
        <v>20511028</v>
      </c>
      <c r="E102" t="s">
        <v>2245</v>
      </c>
      <c r="F102" t="s">
        <v>581</v>
      </c>
      <c r="G102" t="s">
        <v>2259</v>
      </c>
      <c r="H102" t="s">
        <v>2388</v>
      </c>
      <c r="J102" s="519">
        <v>46139</v>
      </c>
      <c r="U102" s="519">
        <v>46139</v>
      </c>
    </row>
    <row r="103" spans="1:21">
      <c r="A103" t="s">
        <v>953</v>
      </c>
      <c r="B103" t="s">
        <v>2802</v>
      </c>
      <c r="C103" t="s">
        <v>953</v>
      </c>
      <c r="D103">
        <v>20481504</v>
      </c>
      <c r="E103" t="s">
        <v>2258</v>
      </c>
      <c r="F103" t="s">
        <v>581</v>
      </c>
      <c r="G103" t="s">
        <v>2259</v>
      </c>
      <c r="H103" t="s">
        <v>2388</v>
      </c>
      <c r="I103" t="s">
        <v>1156</v>
      </c>
      <c r="J103" s="519">
        <v>46108</v>
      </c>
      <c r="R103" s="519">
        <v>46139</v>
      </c>
      <c r="U103" s="519">
        <v>46116</v>
      </c>
    </row>
    <row r="104" spans="1:21">
      <c r="A104" t="s">
        <v>953</v>
      </c>
      <c r="B104" t="s">
        <v>6909</v>
      </c>
      <c r="C104" t="s">
        <v>953</v>
      </c>
      <c r="D104">
        <v>20512279</v>
      </c>
      <c r="E104" t="s">
        <v>2245</v>
      </c>
      <c r="F104" t="s">
        <v>984</v>
      </c>
      <c r="G104" t="s">
        <v>2290</v>
      </c>
      <c r="H104" t="s">
        <v>592</v>
      </c>
      <c r="J104" s="519">
        <v>46140</v>
      </c>
      <c r="U104" s="519">
        <v>46249</v>
      </c>
    </row>
    <row r="105" spans="1:21">
      <c r="A105" t="s">
        <v>953</v>
      </c>
      <c r="B105" t="s">
        <v>3274</v>
      </c>
      <c r="C105" t="s">
        <v>953</v>
      </c>
      <c r="D105">
        <v>20492402</v>
      </c>
      <c r="E105" t="s">
        <v>2258</v>
      </c>
      <c r="F105" t="s">
        <v>581</v>
      </c>
      <c r="G105" t="s">
        <v>2250</v>
      </c>
      <c r="H105" t="s">
        <v>2361</v>
      </c>
      <c r="J105" s="519">
        <v>46123</v>
      </c>
      <c r="R105" s="519">
        <v>46139</v>
      </c>
      <c r="U105" s="519">
        <v>46235</v>
      </c>
    </row>
    <row r="106" spans="1:21">
      <c r="A106" t="s">
        <v>953</v>
      </c>
      <c r="B106" t="s">
        <v>3275</v>
      </c>
      <c r="C106" t="s">
        <v>953</v>
      </c>
      <c r="D106">
        <v>20486095</v>
      </c>
      <c r="E106" t="s">
        <v>2258</v>
      </c>
      <c r="F106" t="s">
        <v>984</v>
      </c>
      <c r="G106" t="s">
        <v>2250</v>
      </c>
      <c r="H106" t="s">
        <v>592</v>
      </c>
      <c r="J106" s="519">
        <v>46114</v>
      </c>
      <c r="R106" s="519">
        <v>46139</v>
      </c>
      <c r="U106" s="519">
        <v>46146</v>
      </c>
    </row>
    <row r="107" spans="1:21">
      <c r="A107" t="s">
        <v>953</v>
      </c>
      <c r="B107" t="s">
        <v>2803</v>
      </c>
      <c r="C107" t="s">
        <v>953</v>
      </c>
      <c r="D107">
        <v>20482962</v>
      </c>
      <c r="E107" t="s">
        <v>2252</v>
      </c>
      <c r="F107" t="s">
        <v>1001</v>
      </c>
      <c r="G107" t="s">
        <v>2250</v>
      </c>
      <c r="H107" t="s">
        <v>2428</v>
      </c>
      <c r="I107" t="s">
        <v>1171</v>
      </c>
      <c r="J107" s="519">
        <v>46111</v>
      </c>
      <c r="K107" s="519">
        <v>46111</v>
      </c>
      <c r="L107" s="519">
        <v>46111</v>
      </c>
      <c r="R107" s="519">
        <v>46120</v>
      </c>
      <c r="U107" s="519">
        <v>46118</v>
      </c>
    </row>
    <row r="108" spans="1:21">
      <c r="A108" t="s">
        <v>953</v>
      </c>
      <c r="B108" t="s">
        <v>1872</v>
      </c>
      <c r="C108" t="s">
        <v>953</v>
      </c>
      <c r="D108">
        <v>20437851</v>
      </c>
      <c r="E108" t="s">
        <v>2252</v>
      </c>
      <c r="F108" t="s">
        <v>581</v>
      </c>
      <c r="G108" t="s">
        <v>2250</v>
      </c>
      <c r="H108" t="s">
        <v>589</v>
      </c>
      <c r="I108" t="s">
        <v>2935</v>
      </c>
      <c r="J108" s="519">
        <v>46052</v>
      </c>
      <c r="K108" s="519">
        <v>46052</v>
      </c>
      <c r="R108" s="519">
        <v>46114</v>
      </c>
      <c r="U108" s="519">
        <v>46071</v>
      </c>
    </row>
    <row r="109" spans="1:21">
      <c r="A109" t="s">
        <v>953</v>
      </c>
      <c r="B109" t="s">
        <v>2289</v>
      </c>
      <c r="C109" t="s">
        <v>953</v>
      </c>
      <c r="D109">
        <v>20443741</v>
      </c>
      <c r="E109" t="s">
        <v>2258</v>
      </c>
      <c r="F109" t="s">
        <v>984</v>
      </c>
      <c r="G109" t="s">
        <v>2290</v>
      </c>
      <c r="H109" t="s">
        <v>587</v>
      </c>
      <c r="J109" s="519">
        <v>46062</v>
      </c>
      <c r="R109" s="519">
        <v>46114</v>
      </c>
      <c r="U109" s="519">
        <v>46082</v>
      </c>
    </row>
    <row r="110" spans="1:21">
      <c r="A110" t="s">
        <v>953</v>
      </c>
      <c r="B110" t="s">
        <v>6910</v>
      </c>
      <c r="C110" t="s">
        <v>953</v>
      </c>
      <c r="D110">
        <v>20510070</v>
      </c>
      <c r="E110" t="s">
        <v>2245</v>
      </c>
      <c r="F110" t="s">
        <v>581</v>
      </c>
      <c r="G110" t="s">
        <v>1213</v>
      </c>
      <c r="H110" t="s">
        <v>587</v>
      </c>
      <c r="J110" s="519">
        <v>46138</v>
      </c>
      <c r="U110" s="519">
        <v>46138</v>
      </c>
    </row>
    <row r="111" spans="1:21">
      <c r="A111" t="s">
        <v>953</v>
      </c>
      <c r="B111" t="s">
        <v>2291</v>
      </c>
      <c r="C111" t="s">
        <v>953</v>
      </c>
      <c r="D111">
        <v>20443949</v>
      </c>
      <c r="E111" t="s">
        <v>2258</v>
      </c>
      <c r="F111" t="s">
        <v>581</v>
      </c>
      <c r="G111" t="s">
        <v>2259</v>
      </c>
      <c r="H111" t="s">
        <v>592</v>
      </c>
      <c r="J111" s="519">
        <v>46062</v>
      </c>
      <c r="R111" s="519">
        <v>46114</v>
      </c>
      <c r="U111" s="519">
        <v>46143</v>
      </c>
    </row>
    <row r="112" spans="1:21">
      <c r="A112" t="s">
        <v>953</v>
      </c>
      <c r="B112" t="s">
        <v>6911</v>
      </c>
      <c r="C112" t="s">
        <v>953</v>
      </c>
      <c r="D112">
        <v>20508667</v>
      </c>
      <c r="E112" t="s">
        <v>2245</v>
      </c>
      <c r="F112" t="s">
        <v>577</v>
      </c>
      <c r="G112" t="s">
        <v>2248</v>
      </c>
      <c r="H112" t="s">
        <v>591</v>
      </c>
      <c r="J112" s="519">
        <v>46136</v>
      </c>
      <c r="U112" s="519">
        <v>46136</v>
      </c>
    </row>
    <row r="113" spans="1:21">
      <c r="A113" t="s">
        <v>953</v>
      </c>
      <c r="B113" t="s">
        <v>6912</v>
      </c>
      <c r="C113" t="s">
        <v>953</v>
      </c>
      <c r="D113">
        <v>20511859</v>
      </c>
      <c r="E113" t="s">
        <v>2245</v>
      </c>
      <c r="F113" t="s">
        <v>984</v>
      </c>
      <c r="G113" t="s">
        <v>2246</v>
      </c>
      <c r="H113" t="s">
        <v>587</v>
      </c>
      <c r="J113" s="519">
        <v>46140</v>
      </c>
      <c r="U113" s="519">
        <v>46174</v>
      </c>
    </row>
    <row r="114" spans="1:21">
      <c r="A114" t="s">
        <v>953</v>
      </c>
      <c r="B114" t="s">
        <v>6913</v>
      </c>
      <c r="C114" t="s">
        <v>953</v>
      </c>
      <c r="D114">
        <v>20511841</v>
      </c>
      <c r="E114" t="s">
        <v>2245</v>
      </c>
      <c r="F114" t="s">
        <v>582</v>
      </c>
      <c r="G114" t="s">
        <v>2259</v>
      </c>
      <c r="H114" t="s">
        <v>592</v>
      </c>
      <c r="J114" s="519">
        <v>46140</v>
      </c>
      <c r="U114" s="519">
        <v>46140</v>
      </c>
    </row>
    <row r="115" spans="1:21">
      <c r="A115" t="s">
        <v>953</v>
      </c>
      <c r="B115" t="s">
        <v>3276</v>
      </c>
      <c r="C115" t="s">
        <v>953</v>
      </c>
      <c r="D115">
        <v>20419363</v>
      </c>
      <c r="E115" t="s">
        <v>2258</v>
      </c>
      <c r="F115" t="s">
        <v>577</v>
      </c>
      <c r="G115" t="s">
        <v>2290</v>
      </c>
      <c r="H115" t="s">
        <v>591</v>
      </c>
      <c r="J115" s="519">
        <v>46028</v>
      </c>
      <c r="R115" s="519">
        <v>46114</v>
      </c>
      <c r="U115" s="519">
        <v>46059</v>
      </c>
    </row>
    <row r="116" spans="1:21">
      <c r="A116" t="s">
        <v>953</v>
      </c>
      <c r="B116" t="s">
        <v>2805</v>
      </c>
      <c r="C116" t="s">
        <v>953</v>
      </c>
      <c r="D116">
        <v>20471770</v>
      </c>
      <c r="E116" t="s">
        <v>2258</v>
      </c>
      <c r="F116" t="s">
        <v>581</v>
      </c>
      <c r="G116" t="s">
        <v>2250</v>
      </c>
      <c r="H116" t="s">
        <v>592</v>
      </c>
      <c r="J116" s="519">
        <v>46095</v>
      </c>
      <c r="R116" s="519">
        <v>46114</v>
      </c>
      <c r="U116" s="519">
        <v>46115</v>
      </c>
    </row>
    <row r="117" spans="1:21">
      <c r="A117" t="s">
        <v>953</v>
      </c>
      <c r="B117" t="s">
        <v>2805</v>
      </c>
      <c r="C117" t="s">
        <v>953</v>
      </c>
      <c r="D117">
        <v>20498003</v>
      </c>
      <c r="E117" t="s">
        <v>2258</v>
      </c>
      <c r="F117" t="s">
        <v>581</v>
      </c>
      <c r="G117" t="s">
        <v>2250</v>
      </c>
      <c r="H117" t="s">
        <v>592</v>
      </c>
      <c r="J117" s="519">
        <v>46128</v>
      </c>
      <c r="R117" s="519">
        <v>46139</v>
      </c>
      <c r="U117" s="519">
        <v>46128</v>
      </c>
    </row>
    <row r="118" spans="1:21">
      <c r="A118" t="s">
        <v>953</v>
      </c>
      <c r="B118" t="s">
        <v>2293</v>
      </c>
      <c r="C118" t="s">
        <v>953</v>
      </c>
      <c r="D118">
        <v>20450641</v>
      </c>
      <c r="E118" t="s">
        <v>2258</v>
      </c>
      <c r="F118" t="s">
        <v>581</v>
      </c>
      <c r="G118" t="s">
        <v>2259</v>
      </c>
      <c r="H118" t="s">
        <v>587</v>
      </c>
      <c r="J118" s="519">
        <v>46070</v>
      </c>
      <c r="R118" s="519">
        <v>46114</v>
      </c>
      <c r="U118" s="519">
        <v>46070</v>
      </c>
    </row>
    <row r="119" spans="1:21">
      <c r="A119" t="s">
        <v>953</v>
      </c>
      <c r="B119" t="s">
        <v>6914</v>
      </c>
      <c r="C119" t="s">
        <v>953</v>
      </c>
      <c r="D119">
        <v>20504680</v>
      </c>
      <c r="E119" t="s">
        <v>2245</v>
      </c>
      <c r="F119" t="s">
        <v>984</v>
      </c>
      <c r="G119" t="s">
        <v>2250</v>
      </c>
      <c r="H119" t="s">
        <v>2361</v>
      </c>
      <c r="J119" s="519">
        <v>46133</v>
      </c>
      <c r="U119" s="519">
        <v>46143</v>
      </c>
    </row>
    <row r="120" spans="1:21">
      <c r="A120" t="s">
        <v>953</v>
      </c>
      <c r="B120" t="s">
        <v>2806</v>
      </c>
      <c r="C120" t="s">
        <v>953</v>
      </c>
      <c r="D120">
        <v>20460250</v>
      </c>
      <c r="E120" t="s">
        <v>2258</v>
      </c>
      <c r="F120" t="s">
        <v>581</v>
      </c>
      <c r="G120" t="s">
        <v>2290</v>
      </c>
      <c r="H120" t="s">
        <v>587</v>
      </c>
      <c r="J120" s="519">
        <v>46083</v>
      </c>
      <c r="R120" s="519">
        <v>46139</v>
      </c>
      <c r="U120" s="519">
        <v>46083</v>
      </c>
    </row>
    <row r="121" spans="1:21">
      <c r="A121" t="s">
        <v>953</v>
      </c>
      <c r="B121" t="s">
        <v>2294</v>
      </c>
      <c r="C121" t="s">
        <v>953</v>
      </c>
      <c r="D121">
        <v>20451166</v>
      </c>
      <c r="E121" t="s">
        <v>2252</v>
      </c>
      <c r="F121" t="s">
        <v>582</v>
      </c>
      <c r="G121" t="s">
        <v>2250</v>
      </c>
      <c r="H121" t="s">
        <v>587</v>
      </c>
      <c r="I121" t="s">
        <v>1705</v>
      </c>
      <c r="J121" s="519">
        <v>46071</v>
      </c>
      <c r="K121" s="519">
        <v>46071</v>
      </c>
      <c r="R121" s="519">
        <v>46114</v>
      </c>
      <c r="U121" s="519">
        <v>46088</v>
      </c>
    </row>
    <row r="122" spans="1:21">
      <c r="A122" t="s">
        <v>953</v>
      </c>
      <c r="B122" t="s">
        <v>2295</v>
      </c>
      <c r="C122" t="s">
        <v>953</v>
      </c>
      <c r="D122">
        <v>20439985</v>
      </c>
      <c r="E122" t="s">
        <v>2252</v>
      </c>
      <c r="F122" t="s">
        <v>578</v>
      </c>
      <c r="G122" t="s">
        <v>2250</v>
      </c>
      <c r="H122" t="s">
        <v>587</v>
      </c>
      <c r="J122" s="519">
        <v>46056</v>
      </c>
      <c r="K122" s="519">
        <v>46056</v>
      </c>
      <c r="R122" s="519">
        <v>46114</v>
      </c>
      <c r="U122" s="519">
        <v>46056</v>
      </c>
    </row>
    <row r="123" spans="1:21">
      <c r="A123" t="s">
        <v>953</v>
      </c>
      <c r="B123" t="s">
        <v>2296</v>
      </c>
      <c r="C123" t="s">
        <v>953</v>
      </c>
      <c r="D123">
        <v>20458531</v>
      </c>
      <c r="E123" t="s">
        <v>2252</v>
      </c>
      <c r="F123" t="s">
        <v>581</v>
      </c>
      <c r="G123" t="s">
        <v>2250</v>
      </c>
      <c r="H123" t="s">
        <v>587</v>
      </c>
      <c r="J123" s="519">
        <v>46079</v>
      </c>
      <c r="K123" s="519">
        <v>46079</v>
      </c>
      <c r="R123" s="519">
        <v>46114</v>
      </c>
      <c r="U123" s="519">
        <v>46132</v>
      </c>
    </row>
    <row r="124" spans="1:21">
      <c r="A124" t="s">
        <v>953</v>
      </c>
      <c r="B124" t="s">
        <v>3277</v>
      </c>
      <c r="C124" t="s">
        <v>953</v>
      </c>
      <c r="D124">
        <v>20488832</v>
      </c>
      <c r="E124" t="s">
        <v>1100</v>
      </c>
      <c r="F124" t="s">
        <v>1115</v>
      </c>
      <c r="G124" t="s">
        <v>2250</v>
      </c>
      <c r="H124" t="s">
        <v>587</v>
      </c>
      <c r="I124" t="s">
        <v>1132</v>
      </c>
      <c r="J124" s="519">
        <v>46118</v>
      </c>
      <c r="K124" s="519">
        <v>46118</v>
      </c>
      <c r="U124" s="519">
        <v>46118</v>
      </c>
    </row>
    <row r="125" spans="1:21">
      <c r="A125" t="s">
        <v>953</v>
      </c>
      <c r="B125" t="s">
        <v>3277</v>
      </c>
      <c r="C125" t="s">
        <v>953</v>
      </c>
      <c r="D125">
        <v>20488833</v>
      </c>
      <c r="E125" t="s">
        <v>2252</v>
      </c>
      <c r="F125" t="s">
        <v>581</v>
      </c>
      <c r="G125" t="s">
        <v>2250</v>
      </c>
      <c r="H125" t="s">
        <v>587</v>
      </c>
      <c r="J125" s="519">
        <v>46118</v>
      </c>
      <c r="K125" s="519">
        <v>46118</v>
      </c>
      <c r="R125" s="519">
        <v>46126</v>
      </c>
      <c r="U125" s="519">
        <v>46118</v>
      </c>
    </row>
    <row r="126" spans="1:21">
      <c r="A126" t="s">
        <v>953</v>
      </c>
      <c r="B126" t="s">
        <v>3278</v>
      </c>
      <c r="C126" t="s">
        <v>953</v>
      </c>
      <c r="D126">
        <v>20491476</v>
      </c>
      <c r="E126" t="s">
        <v>2258</v>
      </c>
      <c r="F126" t="s">
        <v>581</v>
      </c>
      <c r="G126" t="s">
        <v>2250</v>
      </c>
      <c r="H126" t="s">
        <v>592</v>
      </c>
      <c r="J126" s="519">
        <v>46122</v>
      </c>
      <c r="R126" s="519">
        <v>46139</v>
      </c>
      <c r="U126" s="519">
        <v>46129</v>
      </c>
    </row>
    <row r="127" spans="1:21">
      <c r="A127" t="s">
        <v>953</v>
      </c>
      <c r="B127" t="s">
        <v>2808</v>
      </c>
      <c r="C127" t="s">
        <v>953</v>
      </c>
      <c r="D127">
        <v>20471388</v>
      </c>
      <c r="E127" t="s">
        <v>2252</v>
      </c>
      <c r="F127" t="s">
        <v>1115</v>
      </c>
      <c r="G127" t="s">
        <v>2250</v>
      </c>
      <c r="H127" t="s">
        <v>587</v>
      </c>
      <c r="J127" s="519">
        <v>46095</v>
      </c>
      <c r="K127" s="519">
        <v>46095</v>
      </c>
      <c r="R127" s="519">
        <v>46114</v>
      </c>
      <c r="U127" s="519">
        <v>46095</v>
      </c>
    </row>
    <row r="128" spans="1:21">
      <c r="A128" t="s">
        <v>953</v>
      </c>
      <c r="B128" t="s">
        <v>2809</v>
      </c>
      <c r="C128" t="s">
        <v>953</v>
      </c>
      <c r="D128">
        <v>20478175</v>
      </c>
      <c r="E128" t="s">
        <v>2258</v>
      </c>
      <c r="F128" t="s">
        <v>577</v>
      </c>
      <c r="G128" t="s">
        <v>1213</v>
      </c>
      <c r="H128" t="s">
        <v>588</v>
      </c>
      <c r="J128" s="519">
        <v>46104</v>
      </c>
      <c r="R128" s="519">
        <v>46114</v>
      </c>
      <c r="U128" s="519">
        <v>46114</v>
      </c>
    </row>
    <row r="129" spans="1:21">
      <c r="A129" t="s">
        <v>953</v>
      </c>
      <c r="B129" t="s">
        <v>3279</v>
      </c>
      <c r="C129" t="s">
        <v>953</v>
      </c>
      <c r="D129">
        <v>20435200</v>
      </c>
      <c r="E129" t="s">
        <v>2252</v>
      </c>
      <c r="F129" t="s">
        <v>577</v>
      </c>
      <c r="G129" t="s">
        <v>2250</v>
      </c>
      <c r="H129" t="s">
        <v>587</v>
      </c>
      <c r="J129" s="519">
        <v>46048</v>
      </c>
      <c r="K129" s="519">
        <v>46048</v>
      </c>
      <c r="R129" s="519">
        <v>46114</v>
      </c>
      <c r="U129" s="519">
        <v>46048</v>
      </c>
    </row>
    <row r="130" spans="1:21">
      <c r="A130" t="s">
        <v>953</v>
      </c>
      <c r="B130" t="s">
        <v>2810</v>
      </c>
      <c r="C130" t="s">
        <v>953</v>
      </c>
      <c r="D130">
        <v>20465759</v>
      </c>
      <c r="E130" t="s">
        <v>2258</v>
      </c>
      <c r="F130" t="s">
        <v>984</v>
      </c>
      <c r="G130" t="s">
        <v>2246</v>
      </c>
      <c r="H130" t="s">
        <v>587</v>
      </c>
      <c r="J130" s="519">
        <v>46090</v>
      </c>
      <c r="R130" s="519">
        <v>46114</v>
      </c>
      <c r="U130" s="519">
        <v>46234</v>
      </c>
    </row>
    <row r="131" spans="1:21">
      <c r="A131" t="s">
        <v>953</v>
      </c>
      <c r="B131" t="s">
        <v>2299</v>
      </c>
      <c r="C131" t="s">
        <v>953</v>
      </c>
      <c r="D131">
        <v>20441063</v>
      </c>
      <c r="E131" t="s">
        <v>2258</v>
      </c>
      <c r="F131" t="s">
        <v>984</v>
      </c>
      <c r="G131" t="s">
        <v>2259</v>
      </c>
      <c r="H131" t="s">
        <v>593</v>
      </c>
      <c r="J131" s="519">
        <v>46057</v>
      </c>
      <c r="R131" s="519">
        <v>46114</v>
      </c>
      <c r="U131" s="519">
        <v>46057</v>
      </c>
    </row>
    <row r="132" spans="1:21">
      <c r="A132" t="s">
        <v>953</v>
      </c>
      <c r="B132" t="s">
        <v>6915</v>
      </c>
      <c r="C132" t="s">
        <v>953</v>
      </c>
      <c r="D132">
        <v>20495525</v>
      </c>
      <c r="E132" t="s">
        <v>2258</v>
      </c>
      <c r="F132" t="s">
        <v>581</v>
      </c>
      <c r="G132" t="s">
        <v>2250</v>
      </c>
      <c r="H132" t="s">
        <v>592</v>
      </c>
      <c r="J132" s="519">
        <v>46127</v>
      </c>
      <c r="R132" s="519">
        <v>46139</v>
      </c>
      <c r="U132" s="519">
        <v>46143</v>
      </c>
    </row>
    <row r="133" spans="1:21">
      <c r="A133" t="s">
        <v>953</v>
      </c>
      <c r="B133" t="s">
        <v>6916</v>
      </c>
      <c r="C133" t="s">
        <v>953</v>
      </c>
      <c r="D133">
        <v>20510094</v>
      </c>
      <c r="E133" t="s">
        <v>2245</v>
      </c>
      <c r="F133" t="s">
        <v>984</v>
      </c>
      <c r="G133" t="s">
        <v>2250</v>
      </c>
      <c r="H133" t="s">
        <v>2361</v>
      </c>
      <c r="J133" s="519">
        <v>46138</v>
      </c>
      <c r="U133" s="519">
        <v>46139</v>
      </c>
    </row>
    <row r="134" spans="1:21">
      <c r="A134" t="s">
        <v>953</v>
      </c>
      <c r="B134" t="s">
        <v>2811</v>
      </c>
      <c r="C134" t="s">
        <v>953</v>
      </c>
      <c r="D134">
        <v>20477569</v>
      </c>
      <c r="E134" t="s">
        <v>2258</v>
      </c>
      <c r="F134" t="s">
        <v>984</v>
      </c>
      <c r="G134" t="s">
        <v>2250</v>
      </c>
      <c r="H134" t="s">
        <v>592</v>
      </c>
      <c r="J134" s="519">
        <v>46102</v>
      </c>
      <c r="R134" s="519">
        <v>46114</v>
      </c>
      <c r="U134" s="519">
        <v>46174</v>
      </c>
    </row>
    <row r="135" spans="1:21">
      <c r="A135" t="s">
        <v>953</v>
      </c>
      <c r="B135" t="s">
        <v>6917</v>
      </c>
      <c r="C135" t="s">
        <v>953</v>
      </c>
      <c r="D135">
        <v>20505067</v>
      </c>
      <c r="E135" t="s">
        <v>2245</v>
      </c>
      <c r="F135" t="s">
        <v>984</v>
      </c>
      <c r="G135" t="s">
        <v>2250</v>
      </c>
      <c r="H135" t="s">
        <v>2361</v>
      </c>
      <c r="J135" s="519">
        <v>46133</v>
      </c>
      <c r="U135" s="519">
        <v>46135</v>
      </c>
    </row>
    <row r="136" spans="1:21">
      <c r="A136" t="s">
        <v>953</v>
      </c>
      <c r="B136" t="s">
        <v>2300</v>
      </c>
      <c r="C136" t="s">
        <v>953</v>
      </c>
      <c r="D136">
        <v>20440723</v>
      </c>
      <c r="E136" t="s">
        <v>2258</v>
      </c>
      <c r="F136" t="s">
        <v>984</v>
      </c>
      <c r="G136" t="s">
        <v>2259</v>
      </c>
      <c r="H136" t="s">
        <v>592</v>
      </c>
      <c r="J136" s="519">
        <v>46057</v>
      </c>
      <c r="R136" s="519">
        <v>46114</v>
      </c>
      <c r="U136" s="519">
        <v>46057</v>
      </c>
    </row>
    <row r="137" spans="1:21">
      <c r="A137" t="s">
        <v>953</v>
      </c>
      <c r="B137" t="s">
        <v>2301</v>
      </c>
      <c r="C137" t="s">
        <v>953</v>
      </c>
      <c r="D137">
        <v>20454877</v>
      </c>
      <c r="E137" t="s">
        <v>2258</v>
      </c>
      <c r="F137" t="s">
        <v>579</v>
      </c>
      <c r="G137" t="s">
        <v>2248</v>
      </c>
      <c r="H137" t="s">
        <v>2287</v>
      </c>
      <c r="J137" s="519">
        <v>46074</v>
      </c>
      <c r="R137" s="519">
        <v>46115</v>
      </c>
      <c r="U137" s="519">
        <v>46074</v>
      </c>
    </row>
    <row r="138" spans="1:21">
      <c r="A138" t="s">
        <v>953</v>
      </c>
      <c r="B138" t="s">
        <v>3280</v>
      </c>
      <c r="C138" t="s">
        <v>953</v>
      </c>
      <c r="D138">
        <v>20412330</v>
      </c>
      <c r="E138" t="s">
        <v>2258</v>
      </c>
      <c r="F138" t="s">
        <v>581</v>
      </c>
      <c r="G138" t="s">
        <v>2259</v>
      </c>
      <c r="H138" t="s">
        <v>592</v>
      </c>
      <c r="J138" s="519">
        <v>46015</v>
      </c>
      <c r="R138" s="519">
        <v>46114</v>
      </c>
      <c r="U138" s="519">
        <v>46081</v>
      </c>
    </row>
    <row r="139" spans="1:21">
      <c r="A139" t="s">
        <v>953</v>
      </c>
      <c r="B139" t="s">
        <v>6918</v>
      </c>
      <c r="C139" t="s">
        <v>953</v>
      </c>
      <c r="D139">
        <v>20505607</v>
      </c>
      <c r="E139" t="s">
        <v>2245</v>
      </c>
      <c r="F139" t="s">
        <v>581</v>
      </c>
      <c r="G139" t="s">
        <v>2250</v>
      </c>
      <c r="H139" t="s">
        <v>2361</v>
      </c>
      <c r="J139" s="519">
        <v>46134</v>
      </c>
      <c r="U139" s="519">
        <v>46141</v>
      </c>
    </row>
    <row r="140" spans="1:21">
      <c r="A140" t="s">
        <v>953</v>
      </c>
      <c r="B140" t="s">
        <v>3281</v>
      </c>
      <c r="C140" t="s">
        <v>953</v>
      </c>
      <c r="D140">
        <v>20432045</v>
      </c>
      <c r="E140" t="s">
        <v>2258</v>
      </c>
      <c r="F140" t="s">
        <v>577</v>
      </c>
      <c r="G140" t="s">
        <v>1213</v>
      </c>
      <c r="H140" t="s">
        <v>591</v>
      </c>
      <c r="J140" s="519">
        <v>46043</v>
      </c>
      <c r="R140" s="519">
        <v>46114</v>
      </c>
      <c r="U140" s="519">
        <v>46082</v>
      </c>
    </row>
    <row r="141" spans="1:21">
      <c r="A141" t="s">
        <v>953</v>
      </c>
      <c r="B141" t="s">
        <v>2813</v>
      </c>
      <c r="C141" t="s">
        <v>953</v>
      </c>
      <c r="D141">
        <v>20481796</v>
      </c>
      <c r="E141" t="s">
        <v>2258</v>
      </c>
      <c r="F141" t="s">
        <v>984</v>
      </c>
      <c r="G141" t="s">
        <v>2250</v>
      </c>
      <c r="H141" t="s">
        <v>592</v>
      </c>
      <c r="J141" s="519">
        <v>46108</v>
      </c>
      <c r="R141" s="519">
        <v>46139</v>
      </c>
      <c r="U141" s="519">
        <v>46142</v>
      </c>
    </row>
    <row r="142" spans="1:21">
      <c r="A142" t="s">
        <v>953</v>
      </c>
      <c r="B142" t="s">
        <v>3282</v>
      </c>
      <c r="C142" t="s">
        <v>953</v>
      </c>
      <c r="D142">
        <v>20487670</v>
      </c>
      <c r="E142" t="s">
        <v>2258</v>
      </c>
      <c r="F142" t="s">
        <v>984</v>
      </c>
      <c r="G142" t="s">
        <v>2246</v>
      </c>
      <c r="H142" t="s">
        <v>587</v>
      </c>
      <c r="J142" s="519">
        <v>46117</v>
      </c>
      <c r="R142" s="519">
        <v>46139</v>
      </c>
      <c r="U142" s="519">
        <v>46117</v>
      </c>
    </row>
    <row r="143" spans="1:21">
      <c r="A143" t="s">
        <v>953</v>
      </c>
      <c r="B143" t="s">
        <v>6919</v>
      </c>
      <c r="C143" t="s">
        <v>953</v>
      </c>
      <c r="D143">
        <v>20500372</v>
      </c>
      <c r="E143" t="s">
        <v>2245</v>
      </c>
      <c r="F143" t="s">
        <v>984</v>
      </c>
      <c r="G143" t="s">
        <v>2250</v>
      </c>
      <c r="H143" t="s">
        <v>2361</v>
      </c>
      <c r="J143" s="519">
        <v>46129</v>
      </c>
      <c r="U143" s="519">
        <v>46174</v>
      </c>
    </row>
    <row r="144" spans="1:21">
      <c r="A144" t="s">
        <v>953</v>
      </c>
      <c r="B144" t="s">
        <v>6920</v>
      </c>
      <c r="C144" t="s">
        <v>953</v>
      </c>
      <c r="D144">
        <v>20509141</v>
      </c>
      <c r="E144" t="s">
        <v>2245</v>
      </c>
      <c r="F144" t="s">
        <v>578</v>
      </c>
      <c r="G144" t="s">
        <v>2259</v>
      </c>
      <c r="H144" t="s">
        <v>592</v>
      </c>
      <c r="J144" s="519">
        <v>46136</v>
      </c>
      <c r="U144" s="519">
        <v>46193</v>
      </c>
    </row>
    <row r="145" spans="1:21">
      <c r="A145" t="s">
        <v>953</v>
      </c>
      <c r="B145" t="s">
        <v>3283</v>
      </c>
      <c r="C145" t="s">
        <v>953</v>
      </c>
      <c r="D145">
        <v>20485519</v>
      </c>
      <c r="E145" t="s">
        <v>2252</v>
      </c>
      <c r="F145" t="s">
        <v>984</v>
      </c>
      <c r="G145" t="s">
        <v>2250</v>
      </c>
      <c r="H145" t="s">
        <v>592</v>
      </c>
      <c r="J145" s="519">
        <v>46114</v>
      </c>
      <c r="K145" s="519">
        <v>46114</v>
      </c>
      <c r="R145" s="519">
        <v>46136</v>
      </c>
      <c r="U145" s="519">
        <v>46114</v>
      </c>
    </row>
    <row r="146" spans="1:21">
      <c r="A146" t="s">
        <v>953</v>
      </c>
      <c r="B146" t="s">
        <v>3284</v>
      </c>
      <c r="C146" t="s">
        <v>953</v>
      </c>
      <c r="D146">
        <v>20438574</v>
      </c>
      <c r="E146" t="s">
        <v>2258</v>
      </c>
      <c r="F146" t="s">
        <v>984</v>
      </c>
      <c r="G146" t="s">
        <v>2259</v>
      </c>
      <c r="H146" t="s">
        <v>2388</v>
      </c>
      <c r="J146" s="519">
        <v>46053</v>
      </c>
      <c r="R146" s="519">
        <v>46114</v>
      </c>
      <c r="U146" s="519">
        <v>46053</v>
      </c>
    </row>
    <row r="147" spans="1:21">
      <c r="A147" t="s">
        <v>953</v>
      </c>
      <c r="B147" t="s">
        <v>2814</v>
      </c>
      <c r="C147" t="s">
        <v>953</v>
      </c>
      <c r="D147">
        <v>20482600</v>
      </c>
      <c r="E147" t="s">
        <v>2258</v>
      </c>
      <c r="F147" t="s">
        <v>1001</v>
      </c>
      <c r="G147" t="s">
        <v>2250</v>
      </c>
      <c r="H147" t="s">
        <v>592</v>
      </c>
      <c r="J147" s="519">
        <v>46110</v>
      </c>
      <c r="R147" s="519">
        <v>46139</v>
      </c>
      <c r="U147" s="519">
        <v>46144</v>
      </c>
    </row>
    <row r="148" spans="1:21">
      <c r="A148" t="s">
        <v>953</v>
      </c>
      <c r="B148" t="s">
        <v>3285</v>
      </c>
      <c r="C148" t="s">
        <v>953</v>
      </c>
      <c r="D148">
        <v>20421687</v>
      </c>
      <c r="E148" t="s">
        <v>2258</v>
      </c>
      <c r="F148" t="s">
        <v>578</v>
      </c>
      <c r="G148" t="s">
        <v>2248</v>
      </c>
      <c r="H148" t="s">
        <v>588</v>
      </c>
      <c r="J148" s="519">
        <v>46031</v>
      </c>
      <c r="R148" s="519">
        <v>46114</v>
      </c>
      <c r="U148" s="519">
        <v>46031</v>
      </c>
    </row>
    <row r="149" spans="1:21">
      <c r="A149" t="s">
        <v>953</v>
      </c>
      <c r="B149" t="s">
        <v>6921</v>
      </c>
      <c r="C149" t="s">
        <v>953</v>
      </c>
      <c r="D149">
        <v>20512207</v>
      </c>
      <c r="E149" t="s">
        <v>1100</v>
      </c>
      <c r="F149" t="s">
        <v>1115</v>
      </c>
      <c r="G149" t="s">
        <v>2250</v>
      </c>
      <c r="H149" t="s">
        <v>588</v>
      </c>
      <c r="J149" s="519">
        <v>46140</v>
      </c>
      <c r="K149" s="519">
        <v>46140</v>
      </c>
      <c r="U149" s="519">
        <v>46171</v>
      </c>
    </row>
    <row r="150" spans="1:21">
      <c r="A150" t="s">
        <v>953</v>
      </c>
      <c r="B150" t="s">
        <v>2303</v>
      </c>
      <c r="C150" t="s">
        <v>953</v>
      </c>
      <c r="D150">
        <v>20440792</v>
      </c>
      <c r="E150" t="s">
        <v>2258</v>
      </c>
      <c r="F150" t="s">
        <v>579</v>
      </c>
      <c r="G150" t="s">
        <v>2248</v>
      </c>
      <c r="H150" t="s">
        <v>588</v>
      </c>
      <c r="J150" s="519">
        <v>46057</v>
      </c>
      <c r="R150" s="519">
        <v>46114</v>
      </c>
      <c r="U150" s="519">
        <v>46057</v>
      </c>
    </row>
    <row r="151" spans="1:21">
      <c r="A151" t="s">
        <v>953</v>
      </c>
      <c r="B151" t="s">
        <v>2815</v>
      </c>
      <c r="C151" t="s">
        <v>953</v>
      </c>
      <c r="D151">
        <v>20470626</v>
      </c>
      <c r="E151" t="s">
        <v>2258</v>
      </c>
      <c r="F151" t="s">
        <v>581</v>
      </c>
      <c r="G151" t="s">
        <v>2250</v>
      </c>
      <c r="H151" t="s">
        <v>592</v>
      </c>
      <c r="J151" s="519">
        <v>46094</v>
      </c>
      <c r="R151" s="519">
        <v>46114</v>
      </c>
      <c r="U151" s="519">
        <v>46158</v>
      </c>
    </row>
    <row r="152" spans="1:21">
      <c r="A152" t="s">
        <v>953</v>
      </c>
      <c r="B152" t="s">
        <v>3286</v>
      </c>
      <c r="C152" t="s">
        <v>953</v>
      </c>
      <c r="D152">
        <v>20489246</v>
      </c>
      <c r="E152" t="s">
        <v>2258</v>
      </c>
      <c r="F152" t="s">
        <v>984</v>
      </c>
      <c r="G152" t="s">
        <v>2250</v>
      </c>
      <c r="H152" t="s">
        <v>592</v>
      </c>
      <c r="J152" s="519">
        <v>46119</v>
      </c>
      <c r="R152" s="519">
        <v>46139</v>
      </c>
      <c r="U152" s="519">
        <v>46129</v>
      </c>
    </row>
    <row r="153" spans="1:21">
      <c r="A153" t="s">
        <v>953</v>
      </c>
      <c r="B153" t="s">
        <v>2816</v>
      </c>
      <c r="C153" t="s">
        <v>953</v>
      </c>
      <c r="D153">
        <v>20477501</v>
      </c>
      <c r="E153" t="s">
        <v>2258</v>
      </c>
      <c r="F153" t="s">
        <v>984</v>
      </c>
      <c r="G153" t="s">
        <v>2250</v>
      </c>
      <c r="H153" t="s">
        <v>592</v>
      </c>
      <c r="J153" s="519">
        <v>46102</v>
      </c>
      <c r="R153" s="519">
        <v>46114</v>
      </c>
      <c r="U153" s="519">
        <v>46104</v>
      </c>
    </row>
    <row r="154" spans="1:21">
      <c r="A154" t="s">
        <v>953</v>
      </c>
      <c r="B154" t="s">
        <v>2816</v>
      </c>
      <c r="C154" t="s">
        <v>953</v>
      </c>
      <c r="D154">
        <v>20477522</v>
      </c>
      <c r="E154" t="s">
        <v>2252</v>
      </c>
      <c r="F154" t="s">
        <v>1115</v>
      </c>
      <c r="G154" t="s">
        <v>2250</v>
      </c>
      <c r="H154" t="s">
        <v>587</v>
      </c>
      <c r="J154" s="519">
        <v>46102</v>
      </c>
      <c r="K154" s="519">
        <v>46102</v>
      </c>
      <c r="R154" s="519">
        <v>46115</v>
      </c>
      <c r="U154" s="519">
        <v>46132</v>
      </c>
    </row>
    <row r="155" spans="1:21">
      <c r="A155" t="s">
        <v>953</v>
      </c>
      <c r="B155" t="s">
        <v>2817</v>
      </c>
      <c r="C155" t="s">
        <v>953</v>
      </c>
      <c r="D155">
        <v>20468407</v>
      </c>
      <c r="E155" t="s">
        <v>2252</v>
      </c>
      <c r="F155" t="s">
        <v>582</v>
      </c>
      <c r="G155" t="s">
        <v>2250</v>
      </c>
      <c r="H155" t="s">
        <v>590</v>
      </c>
      <c r="J155" s="519">
        <v>46092</v>
      </c>
      <c r="K155" s="519">
        <v>46092</v>
      </c>
      <c r="R155" s="519">
        <v>46114</v>
      </c>
      <c r="U155" s="519">
        <v>46092</v>
      </c>
    </row>
    <row r="156" spans="1:21">
      <c r="A156" t="s">
        <v>953</v>
      </c>
      <c r="B156" t="s">
        <v>1137</v>
      </c>
      <c r="C156" t="s">
        <v>953</v>
      </c>
      <c r="D156">
        <v>20460773</v>
      </c>
      <c r="E156" t="s">
        <v>2252</v>
      </c>
      <c r="F156" t="s">
        <v>581</v>
      </c>
      <c r="G156" t="s">
        <v>2248</v>
      </c>
      <c r="H156" t="s">
        <v>588</v>
      </c>
      <c r="I156" t="s">
        <v>1136</v>
      </c>
      <c r="J156" s="519">
        <v>46083</v>
      </c>
      <c r="K156" s="519">
        <v>46083</v>
      </c>
      <c r="R156" s="519">
        <v>46116</v>
      </c>
      <c r="U156" s="519">
        <v>46101</v>
      </c>
    </row>
    <row r="157" spans="1:21">
      <c r="A157" t="s">
        <v>953</v>
      </c>
      <c r="B157" t="s">
        <v>6922</v>
      </c>
      <c r="C157" t="s">
        <v>953</v>
      </c>
      <c r="D157">
        <v>20495285</v>
      </c>
      <c r="E157" t="s">
        <v>2245</v>
      </c>
      <c r="F157" t="s">
        <v>577</v>
      </c>
      <c r="G157" t="s">
        <v>2250</v>
      </c>
      <c r="H157" t="s">
        <v>592</v>
      </c>
      <c r="I157" t="s">
        <v>2272</v>
      </c>
      <c r="J157" s="519">
        <v>46126</v>
      </c>
      <c r="U157" s="519">
        <v>46153</v>
      </c>
    </row>
    <row r="158" spans="1:21">
      <c r="A158" t="s">
        <v>953</v>
      </c>
      <c r="B158" t="s">
        <v>3287</v>
      </c>
      <c r="C158" t="s">
        <v>953</v>
      </c>
      <c r="D158">
        <v>20429842</v>
      </c>
      <c r="E158" t="s">
        <v>2252</v>
      </c>
      <c r="F158" t="s">
        <v>577</v>
      </c>
      <c r="G158" t="s">
        <v>2250</v>
      </c>
      <c r="H158" t="s">
        <v>587</v>
      </c>
      <c r="J158" s="519">
        <v>46040</v>
      </c>
      <c r="K158" s="519">
        <v>46040</v>
      </c>
      <c r="R158" s="519">
        <v>46114</v>
      </c>
      <c r="U158" s="519">
        <v>46040</v>
      </c>
    </row>
    <row r="159" spans="1:21">
      <c r="A159" t="s">
        <v>953</v>
      </c>
      <c r="B159" t="s">
        <v>3288</v>
      </c>
      <c r="C159" t="s">
        <v>953</v>
      </c>
      <c r="D159">
        <v>20492862</v>
      </c>
      <c r="E159" t="s">
        <v>2258</v>
      </c>
      <c r="F159" t="s">
        <v>581</v>
      </c>
      <c r="G159" t="s">
        <v>2250</v>
      </c>
      <c r="H159" t="s">
        <v>592</v>
      </c>
      <c r="J159" s="519">
        <v>46124</v>
      </c>
      <c r="R159" s="519">
        <v>46139</v>
      </c>
      <c r="U159" s="519">
        <v>46128</v>
      </c>
    </row>
    <row r="160" spans="1:21">
      <c r="A160" t="s">
        <v>953</v>
      </c>
      <c r="B160" t="s">
        <v>2306</v>
      </c>
      <c r="C160" t="s">
        <v>953</v>
      </c>
      <c r="D160">
        <v>20452647</v>
      </c>
      <c r="E160" t="s">
        <v>2258</v>
      </c>
      <c r="F160" t="s">
        <v>984</v>
      </c>
      <c r="G160" t="s">
        <v>2246</v>
      </c>
      <c r="H160" t="s">
        <v>587</v>
      </c>
      <c r="J160" s="519">
        <v>46071</v>
      </c>
      <c r="R160" s="519">
        <v>46114</v>
      </c>
      <c r="U160" s="519">
        <v>46113</v>
      </c>
    </row>
    <row r="161" spans="1:21">
      <c r="A161" t="s">
        <v>953</v>
      </c>
      <c r="B161" t="s">
        <v>2819</v>
      </c>
      <c r="C161" t="s">
        <v>953</v>
      </c>
      <c r="D161">
        <v>20464177</v>
      </c>
      <c r="E161" t="s">
        <v>2252</v>
      </c>
      <c r="F161" t="s">
        <v>1115</v>
      </c>
      <c r="G161" t="s">
        <v>2250</v>
      </c>
      <c r="H161" t="s">
        <v>587</v>
      </c>
      <c r="I161" t="s">
        <v>1167</v>
      </c>
      <c r="J161" s="519">
        <v>46088</v>
      </c>
      <c r="K161" s="519">
        <v>46088</v>
      </c>
      <c r="R161" s="519">
        <v>46115</v>
      </c>
      <c r="U161" s="519">
        <v>46090</v>
      </c>
    </row>
    <row r="162" spans="1:21">
      <c r="A162" t="s">
        <v>953</v>
      </c>
      <c r="B162" t="s">
        <v>2307</v>
      </c>
      <c r="C162" t="s">
        <v>953</v>
      </c>
      <c r="D162">
        <v>20442733</v>
      </c>
      <c r="E162" t="s">
        <v>2258</v>
      </c>
      <c r="F162" t="s">
        <v>984</v>
      </c>
      <c r="G162" t="s">
        <v>2259</v>
      </c>
      <c r="H162" t="s">
        <v>593</v>
      </c>
      <c r="J162" s="519">
        <v>46060</v>
      </c>
      <c r="R162" s="519">
        <v>46114</v>
      </c>
      <c r="U162" s="519">
        <v>46060</v>
      </c>
    </row>
    <row r="163" spans="1:21">
      <c r="A163" t="s">
        <v>953</v>
      </c>
      <c r="B163" t="s">
        <v>3289</v>
      </c>
      <c r="C163" t="s">
        <v>953</v>
      </c>
      <c r="D163">
        <v>20491820</v>
      </c>
      <c r="E163" t="s">
        <v>2258</v>
      </c>
      <c r="F163" t="s">
        <v>984</v>
      </c>
      <c r="G163" t="s">
        <v>2246</v>
      </c>
      <c r="H163" t="s">
        <v>587</v>
      </c>
      <c r="J163" s="519">
        <v>46122</v>
      </c>
      <c r="R163" s="519">
        <v>46139</v>
      </c>
      <c r="U163" s="519">
        <v>46122</v>
      </c>
    </row>
    <row r="164" spans="1:21">
      <c r="A164" t="s">
        <v>953</v>
      </c>
      <c r="B164" t="s">
        <v>2308</v>
      </c>
      <c r="C164" t="s">
        <v>953</v>
      </c>
      <c r="D164">
        <v>20453959</v>
      </c>
      <c r="E164" t="s">
        <v>2258</v>
      </c>
      <c r="F164" t="s">
        <v>581</v>
      </c>
      <c r="G164" t="s">
        <v>1213</v>
      </c>
      <c r="H164" t="s">
        <v>592</v>
      </c>
      <c r="J164" s="519">
        <v>46073</v>
      </c>
      <c r="R164" s="519">
        <v>46114</v>
      </c>
      <c r="U164" s="519">
        <v>46073</v>
      </c>
    </row>
    <row r="165" spans="1:21">
      <c r="A165" t="s">
        <v>953</v>
      </c>
      <c r="B165" t="s">
        <v>3290</v>
      </c>
      <c r="C165" t="s">
        <v>953</v>
      </c>
      <c r="D165">
        <v>20485396</v>
      </c>
      <c r="E165" t="s">
        <v>1100</v>
      </c>
      <c r="F165" t="s">
        <v>581</v>
      </c>
      <c r="G165" t="s">
        <v>2250</v>
      </c>
      <c r="H165" t="s">
        <v>587</v>
      </c>
      <c r="I165" t="s">
        <v>570</v>
      </c>
      <c r="J165" s="519">
        <v>46113</v>
      </c>
      <c r="K165" s="519">
        <v>46113</v>
      </c>
      <c r="U165" s="519">
        <v>46125</v>
      </c>
    </row>
    <row r="166" spans="1:21">
      <c r="A166" t="s">
        <v>953</v>
      </c>
      <c r="B166" t="s">
        <v>6923</v>
      </c>
      <c r="C166" t="s">
        <v>953</v>
      </c>
      <c r="D166">
        <v>20495161</v>
      </c>
      <c r="E166" t="s">
        <v>2258</v>
      </c>
      <c r="F166" t="s">
        <v>581</v>
      </c>
      <c r="G166" t="s">
        <v>2250</v>
      </c>
      <c r="H166" t="s">
        <v>2361</v>
      </c>
      <c r="J166" s="519">
        <v>46126</v>
      </c>
      <c r="R166" s="519">
        <v>46139</v>
      </c>
      <c r="U166" s="519">
        <v>46127</v>
      </c>
    </row>
    <row r="167" spans="1:21">
      <c r="A167" t="s">
        <v>953</v>
      </c>
      <c r="B167" t="s">
        <v>6924</v>
      </c>
      <c r="C167" t="s">
        <v>953</v>
      </c>
      <c r="D167">
        <v>20498739</v>
      </c>
      <c r="E167" t="s">
        <v>2258</v>
      </c>
      <c r="F167" t="s">
        <v>581</v>
      </c>
      <c r="G167" t="s">
        <v>2250</v>
      </c>
      <c r="H167" t="s">
        <v>2361</v>
      </c>
      <c r="J167" s="519">
        <v>46129</v>
      </c>
      <c r="R167" s="519">
        <v>46139</v>
      </c>
      <c r="U167" s="519">
        <v>46130</v>
      </c>
    </row>
    <row r="168" spans="1:21">
      <c r="A168" t="s">
        <v>953</v>
      </c>
      <c r="B168" t="s">
        <v>3291</v>
      </c>
      <c r="C168" t="s">
        <v>953</v>
      </c>
      <c r="D168">
        <v>20489374</v>
      </c>
      <c r="E168" t="s">
        <v>2258</v>
      </c>
      <c r="F168" t="s">
        <v>984</v>
      </c>
      <c r="G168" t="s">
        <v>2250</v>
      </c>
      <c r="H168" t="s">
        <v>592</v>
      </c>
      <c r="J168" s="519">
        <v>46119</v>
      </c>
      <c r="R168" s="519">
        <v>46139</v>
      </c>
      <c r="U168" s="519">
        <v>46143</v>
      </c>
    </row>
    <row r="169" spans="1:21">
      <c r="A169" t="s">
        <v>953</v>
      </c>
      <c r="B169" t="s">
        <v>3292</v>
      </c>
      <c r="C169" t="s">
        <v>953</v>
      </c>
      <c r="D169">
        <v>20412625</v>
      </c>
      <c r="E169" t="s">
        <v>2258</v>
      </c>
      <c r="F169" t="s">
        <v>579</v>
      </c>
      <c r="G169" t="s">
        <v>2250</v>
      </c>
      <c r="H169" t="s">
        <v>587</v>
      </c>
      <c r="I169" t="s">
        <v>2465</v>
      </c>
      <c r="J169" s="519">
        <v>46016</v>
      </c>
      <c r="K169" s="519">
        <v>46016</v>
      </c>
      <c r="R169" s="519">
        <v>46114</v>
      </c>
      <c r="U169" s="519">
        <v>46024</v>
      </c>
    </row>
    <row r="170" spans="1:21">
      <c r="A170" t="s">
        <v>953</v>
      </c>
      <c r="B170" t="s">
        <v>6925</v>
      </c>
      <c r="C170" t="s">
        <v>953</v>
      </c>
      <c r="D170">
        <v>20504578</v>
      </c>
      <c r="E170" t="s">
        <v>2245</v>
      </c>
      <c r="F170" t="s">
        <v>984</v>
      </c>
      <c r="G170" t="s">
        <v>2250</v>
      </c>
      <c r="H170" t="s">
        <v>592</v>
      </c>
      <c r="J170" s="519">
        <v>46133</v>
      </c>
      <c r="U170" s="519">
        <v>46143</v>
      </c>
    </row>
    <row r="171" spans="1:21">
      <c r="A171" t="s">
        <v>953</v>
      </c>
      <c r="B171" t="s">
        <v>2820</v>
      </c>
      <c r="C171" t="s">
        <v>953</v>
      </c>
      <c r="D171">
        <v>20465182</v>
      </c>
      <c r="E171" t="s">
        <v>2258</v>
      </c>
      <c r="F171" t="s">
        <v>581</v>
      </c>
      <c r="G171" t="s">
        <v>1213</v>
      </c>
      <c r="H171" t="s">
        <v>591</v>
      </c>
      <c r="J171" s="519">
        <v>46090</v>
      </c>
      <c r="R171" s="519">
        <v>46114</v>
      </c>
      <c r="U171" s="519">
        <v>46090</v>
      </c>
    </row>
    <row r="172" spans="1:21">
      <c r="A172" t="s">
        <v>953</v>
      </c>
      <c r="B172" t="s">
        <v>3293</v>
      </c>
      <c r="C172" t="s">
        <v>953</v>
      </c>
      <c r="D172">
        <v>20412661</v>
      </c>
      <c r="E172" t="s">
        <v>2252</v>
      </c>
      <c r="F172" t="s">
        <v>579</v>
      </c>
      <c r="G172" t="s">
        <v>2250</v>
      </c>
      <c r="H172" t="s">
        <v>587</v>
      </c>
      <c r="I172" t="s">
        <v>1160</v>
      </c>
      <c r="J172" s="519">
        <v>46017</v>
      </c>
      <c r="K172" s="519">
        <v>46017</v>
      </c>
      <c r="L172" s="519">
        <v>46017</v>
      </c>
      <c r="R172" s="519">
        <v>46114</v>
      </c>
      <c r="U172" s="519">
        <v>46017</v>
      </c>
    </row>
    <row r="173" spans="1:21">
      <c r="A173" t="s">
        <v>953</v>
      </c>
      <c r="B173" t="s">
        <v>3294</v>
      </c>
      <c r="C173" t="s">
        <v>953</v>
      </c>
      <c r="D173">
        <v>20436726</v>
      </c>
      <c r="E173" t="s">
        <v>2258</v>
      </c>
      <c r="F173" t="s">
        <v>578</v>
      </c>
      <c r="G173" t="s">
        <v>2259</v>
      </c>
      <c r="H173" t="s">
        <v>591</v>
      </c>
      <c r="J173" s="519">
        <v>46051</v>
      </c>
      <c r="R173" s="519">
        <v>46114</v>
      </c>
      <c r="U173" s="519">
        <v>46051</v>
      </c>
    </row>
    <row r="174" spans="1:21">
      <c r="A174" t="s">
        <v>953</v>
      </c>
      <c r="B174" t="s">
        <v>2309</v>
      </c>
      <c r="C174" t="s">
        <v>953</v>
      </c>
      <c r="D174">
        <v>20442676</v>
      </c>
      <c r="E174" t="s">
        <v>2258</v>
      </c>
      <c r="F174" t="s">
        <v>577</v>
      </c>
      <c r="G174" t="s">
        <v>2248</v>
      </c>
      <c r="H174" t="s">
        <v>591</v>
      </c>
      <c r="I174" t="s">
        <v>1151</v>
      </c>
      <c r="J174" s="519">
        <v>46060</v>
      </c>
      <c r="R174" s="519">
        <v>46114</v>
      </c>
      <c r="U174" s="519">
        <v>46060</v>
      </c>
    </row>
    <row r="175" spans="1:21">
      <c r="A175" t="s">
        <v>953</v>
      </c>
      <c r="B175" t="s">
        <v>2821</v>
      </c>
      <c r="C175" t="s">
        <v>953</v>
      </c>
      <c r="D175">
        <v>20473471</v>
      </c>
      <c r="E175" t="s">
        <v>2258</v>
      </c>
      <c r="F175" t="s">
        <v>581</v>
      </c>
      <c r="G175" t="s">
        <v>2250</v>
      </c>
      <c r="H175" t="s">
        <v>592</v>
      </c>
      <c r="J175" s="519">
        <v>46098</v>
      </c>
      <c r="R175" s="519">
        <v>46114</v>
      </c>
      <c r="U175" s="519">
        <v>46158</v>
      </c>
    </row>
    <row r="176" spans="1:21">
      <c r="A176" t="s">
        <v>953</v>
      </c>
      <c r="B176" t="s">
        <v>2310</v>
      </c>
      <c r="C176" t="s">
        <v>953</v>
      </c>
      <c r="D176">
        <v>20441809</v>
      </c>
      <c r="E176" t="s">
        <v>2258</v>
      </c>
      <c r="F176" t="s">
        <v>579</v>
      </c>
      <c r="G176" t="s">
        <v>2248</v>
      </c>
      <c r="H176" t="s">
        <v>592</v>
      </c>
      <c r="J176" s="519">
        <v>46058</v>
      </c>
      <c r="R176" s="519">
        <v>46114</v>
      </c>
      <c r="U176" s="519">
        <v>46058</v>
      </c>
    </row>
    <row r="177" spans="1:21">
      <c r="A177" t="s">
        <v>953</v>
      </c>
      <c r="B177" t="s">
        <v>2311</v>
      </c>
      <c r="C177" t="s">
        <v>953</v>
      </c>
      <c r="D177">
        <v>20448448</v>
      </c>
      <c r="E177" t="s">
        <v>1110</v>
      </c>
      <c r="F177" t="s">
        <v>582</v>
      </c>
      <c r="G177" t="s">
        <v>2250</v>
      </c>
      <c r="H177" t="s">
        <v>587</v>
      </c>
      <c r="I177" t="s">
        <v>1880</v>
      </c>
      <c r="J177" s="519">
        <v>46066</v>
      </c>
      <c r="K177" s="519">
        <v>46066</v>
      </c>
      <c r="L177" s="519">
        <v>46077</v>
      </c>
      <c r="U177" s="519">
        <v>46162</v>
      </c>
    </row>
    <row r="178" spans="1:21">
      <c r="A178" t="s">
        <v>953</v>
      </c>
      <c r="B178" t="s">
        <v>6926</v>
      </c>
      <c r="C178" t="s">
        <v>953</v>
      </c>
      <c r="D178">
        <v>20497254</v>
      </c>
      <c r="E178" t="s">
        <v>2258</v>
      </c>
      <c r="F178" t="s">
        <v>581</v>
      </c>
      <c r="G178" t="s">
        <v>2250</v>
      </c>
      <c r="H178" t="s">
        <v>592</v>
      </c>
      <c r="J178" s="519">
        <v>46128</v>
      </c>
      <c r="R178" s="519">
        <v>46139</v>
      </c>
      <c r="U178" s="519">
        <v>46178</v>
      </c>
    </row>
    <row r="179" spans="1:21">
      <c r="A179" t="s">
        <v>953</v>
      </c>
      <c r="B179" t="s">
        <v>3295</v>
      </c>
      <c r="C179" t="s">
        <v>953</v>
      </c>
      <c r="D179">
        <v>20421412</v>
      </c>
      <c r="E179" t="s">
        <v>2258</v>
      </c>
      <c r="F179" t="s">
        <v>581</v>
      </c>
      <c r="G179" t="s">
        <v>2290</v>
      </c>
      <c r="H179" t="s">
        <v>592</v>
      </c>
      <c r="J179" s="519">
        <v>46031</v>
      </c>
      <c r="R179" s="519">
        <v>46114</v>
      </c>
      <c r="U179" s="519">
        <v>46087</v>
      </c>
    </row>
    <row r="180" spans="1:21">
      <c r="A180" t="s">
        <v>953</v>
      </c>
      <c r="B180" t="s">
        <v>3296</v>
      </c>
      <c r="C180" t="s">
        <v>953</v>
      </c>
      <c r="D180">
        <v>20490963</v>
      </c>
      <c r="E180" t="s">
        <v>1100</v>
      </c>
      <c r="F180" t="s">
        <v>984</v>
      </c>
      <c r="G180" t="s">
        <v>2250</v>
      </c>
      <c r="H180" t="s">
        <v>587</v>
      </c>
      <c r="J180" s="519">
        <v>46121</v>
      </c>
      <c r="K180" s="519">
        <v>46121</v>
      </c>
      <c r="U180" s="519">
        <v>46121</v>
      </c>
    </row>
    <row r="181" spans="1:21">
      <c r="A181" t="s">
        <v>953</v>
      </c>
      <c r="B181" t="s">
        <v>2822</v>
      </c>
      <c r="C181" t="s">
        <v>953</v>
      </c>
      <c r="D181">
        <v>20471056</v>
      </c>
      <c r="E181" t="s">
        <v>2258</v>
      </c>
      <c r="F181" t="s">
        <v>984</v>
      </c>
      <c r="G181" t="s">
        <v>2250</v>
      </c>
      <c r="H181" t="s">
        <v>592</v>
      </c>
      <c r="J181" s="519">
        <v>46094</v>
      </c>
      <c r="R181" s="519">
        <v>46114</v>
      </c>
      <c r="U181" s="519">
        <v>46143</v>
      </c>
    </row>
    <row r="182" spans="1:21">
      <c r="A182" t="s">
        <v>953</v>
      </c>
      <c r="B182" t="s">
        <v>3297</v>
      </c>
      <c r="C182" t="s">
        <v>953</v>
      </c>
      <c r="D182">
        <v>20419799</v>
      </c>
      <c r="E182" t="s">
        <v>2258</v>
      </c>
      <c r="F182" t="s">
        <v>984</v>
      </c>
      <c r="G182" t="s">
        <v>2246</v>
      </c>
      <c r="H182" t="s">
        <v>587</v>
      </c>
      <c r="J182" s="519">
        <v>46028</v>
      </c>
      <c r="R182" s="519">
        <v>46114</v>
      </c>
      <c r="U182" s="519">
        <v>46028</v>
      </c>
    </row>
    <row r="183" spans="1:21">
      <c r="A183" t="s">
        <v>953</v>
      </c>
      <c r="B183" t="s">
        <v>2826</v>
      </c>
      <c r="C183" t="s">
        <v>953</v>
      </c>
      <c r="D183">
        <v>20463746</v>
      </c>
      <c r="E183" t="s">
        <v>2258</v>
      </c>
      <c r="F183" t="s">
        <v>581</v>
      </c>
      <c r="G183" t="s">
        <v>1213</v>
      </c>
      <c r="H183" t="s">
        <v>588</v>
      </c>
      <c r="J183" s="519">
        <v>46087</v>
      </c>
      <c r="R183" s="519">
        <v>46114</v>
      </c>
      <c r="U183" s="519">
        <v>46087</v>
      </c>
    </row>
    <row r="184" spans="1:21">
      <c r="A184" t="s">
        <v>953</v>
      </c>
      <c r="B184" t="s">
        <v>2827</v>
      </c>
      <c r="C184" t="s">
        <v>953</v>
      </c>
      <c r="D184">
        <v>20460761</v>
      </c>
      <c r="E184" t="s">
        <v>2258</v>
      </c>
      <c r="F184" t="s">
        <v>984</v>
      </c>
      <c r="G184" t="s">
        <v>2259</v>
      </c>
      <c r="H184" t="s">
        <v>593</v>
      </c>
      <c r="J184" s="519">
        <v>46083</v>
      </c>
      <c r="R184" s="519">
        <v>46114</v>
      </c>
      <c r="U184" s="519">
        <v>46083</v>
      </c>
    </row>
    <row r="185" spans="1:21">
      <c r="A185" t="s">
        <v>953</v>
      </c>
      <c r="B185" t="s">
        <v>6927</v>
      </c>
      <c r="C185" t="s">
        <v>953</v>
      </c>
      <c r="D185">
        <v>20511624</v>
      </c>
      <c r="E185" t="s">
        <v>2245</v>
      </c>
      <c r="F185" t="s">
        <v>984</v>
      </c>
      <c r="G185" t="s">
        <v>2250</v>
      </c>
      <c r="H185" t="s">
        <v>2361</v>
      </c>
      <c r="J185" s="519">
        <v>46140</v>
      </c>
      <c r="U185" s="519">
        <v>46174</v>
      </c>
    </row>
    <row r="186" spans="1:21">
      <c r="A186" t="s">
        <v>953</v>
      </c>
      <c r="B186" t="s">
        <v>3298</v>
      </c>
      <c r="C186" t="s">
        <v>953</v>
      </c>
      <c r="D186">
        <v>20488772</v>
      </c>
      <c r="E186" t="s">
        <v>2324</v>
      </c>
      <c r="F186" t="s">
        <v>1001</v>
      </c>
      <c r="G186" t="s">
        <v>2259</v>
      </c>
      <c r="H186" t="s">
        <v>593</v>
      </c>
      <c r="I186" t="s">
        <v>3299</v>
      </c>
      <c r="J186" s="519">
        <v>46118</v>
      </c>
      <c r="K186" s="519">
        <v>46122</v>
      </c>
      <c r="L186" s="519">
        <v>46122</v>
      </c>
      <c r="M186" s="519">
        <v>46128</v>
      </c>
      <c r="N186" s="519">
        <v>46128</v>
      </c>
      <c r="O186" s="519">
        <v>46132</v>
      </c>
      <c r="P186" s="519">
        <v>46132</v>
      </c>
      <c r="Q186" s="519">
        <v>46133</v>
      </c>
      <c r="U186" s="519">
        <v>46204</v>
      </c>
    </row>
    <row r="187" spans="1:21">
      <c r="A187" t="s">
        <v>953</v>
      </c>
      <c r="B187" t="s">
        <v>3300</v>
      </c>
      <c r="C187" t="s">
        <v>953</v>
      </c>
      <c r="D187">
        <v>20411791</v>
      </c>
      <c r="E187" t="s">
        <v>2252</v>
      </c>
      <c r="F187" t="s">
        <v>1001</v>
      </c>
      <c r="G187" t="s">
        <v>2250</v>
      </c>
      <c r="H187" t="s">
        <v>592</v>
      </c>
      <c r="J187" s="519">
        <v>46014</v>
      </c>
      <c r="K187" s="519">
        <v>46014</v>
      </c>
      <c r="R187" s="519">
        <v>46114</v>
      </c>
      <c r="U187" s="519">
        <v>46014</v>
      </c>
    </row>
    <row r="188" spans="1:21">
      <c r="A188" t="s">
        <v>953</v>
      </c>
      <c r="B188" t="s">
        <v>6928</v>
      </c>
      <c r="C188" t="s">
        <v>953</v>
      </c>
      <c r="D188">
        <v>20505794</v>
      </c>
      <c r="E188" t="s">
        <v>2245</v>
      </c>
      <c r="F188" t="s">
        <v>984</v>
      </c>
      <c r="G188" t="s">
        <v>2259</v>
      </c>
      <c r="H188" t="s">
        <v>2388</v>
      </c>
      <c r="J188" s="519">
        <v>46134</v>
      </c>
      <c r="U188" s="519">
        <v>46134</v>
      </c>
    </row>
    <row r="189" spans="1:21">
      <c r="A189" t="s">
        <v>953</v>
      </c>
      <c r="B189" t="s">
        <v>2829</v>
      </c>
      <c r="C189" t="s">
        <v>953</v>
      </c>
      <c r="D189">
        <v>20479076</v>
      </c>
      <c r="E189" t="s">
        <v>2252</v>
      </c>
      <c r="F189" t="s">
        <v>577</v>
      </c>
      <c r="G189" t="s">
        <v>2250</v>
      </c>
      <c r="H189" t="s">
        <v>590</v>
      </c>
      <c r="I189" t="s">
        <v>1151</v>
      </c>
      <c r="J189" s="519">
        <v>46105</v>
      </c>
      <c r="K189" s="519">
        <v>46105</v>
      </c>
      <c r="L189" s="519">
        <v>46105</v>
      </c>
      <c r="R189" s="519">
        <v>46114</v>
      </c>
      <c r="U189" s="519">
        <v>46116</v>
      </c>
    </row>
    <row r="190" spans="1:21">
      <c r="A190" t="s">
        <v>953</v>
      </c>
      <c r="B190" t="s">
        <v>2316</v>
      </c>
      <c r="C190" t="s">
        <v>953</v>
      </c>
      <c r="D190">
        <v>20452081</v>
      </c>
      <c r="E190" t="s">
        <v>2258</v>
      </c>
      <c r="F190" t="s">
        <v>581</v>
      </c>
      <c r="G190" t="s">
        <v>2259</v>
      </c>
      <c r="H190" t="s">
        <v>592</v>
      </c>
      <c r="J190" s="519">
        <v>46071</v>
      </c>
      <c r="R190" s="519">
        <v>46114</v>
      </c>
      <c r="U190" s="519">
        <v>46071</v>
      </c>
    </row>
    <row r="191" spans="1:21">
      <c r="A191" t="s">
        <v>953</v>
      </c>
      <c r="B191" t="s">
        <v>6929</v>
      </c>
      <c r="C191" t="s">
        <v>953</v>
      </c>
      <c r="D191">
        <v>20510228</v>
      </c>
      <c r="E191" t="s">
        <v>2245</v>
      </c>
      <c r="F191" t="s">
        <v>581</v>
      </c>
      <c r="G191" t="s">
        <v>1213</v>
      </c>
      <c r="H191" t="s">
        <v>592</v>
      </c>
      <c r="J191" s="519">
        <v>46138</v>
      </c>
      <c r="U191" s="519">
        <v>46143</v>
      </c>
    </row>
    <row r="192" spans="1:21">
      <c r="A192" t="s">
        <v>953</v>
      </c>
      <c r="B192" t="s">
        <v>3301</v>
      </c>
      <c r="C192" t="s">
        <v>953</v>
      </c>
      <c r="D192">
        <v>20413361</v>
      </c>
      <c r="E192" t="s">
        <v>2258</v>
      </c>
      <c r="F192" t="s">
        <v>984</v>
      </c>
      <c r="G192" t="s">
        <v>2259</v>
      </c>
      <c r="H192" t="s">
        <v>587</v>
      </c>
      <c r="J192" s="519">
        <v>46018</v>
      </c>
      <c r="R192" s="519">
        <v>46114</v>
      </c>
      <c r="U192" s="519">
        <v>46018</v>
      </c>
    </row>
    <row r="193" spans="1:21">
      <c r="A193" t="s">
        <v>953</v>
      </c>
      <c r="B193" t="s">
        <v>6930</v>
      </c>
      <c r="C193" t="s">
        <v>953</v>
      </c>
      <c r="D193">
        <v>20511579</v>
      </c>
      <c r="E193" t="s">
        <v>2245</v>
      </c>
      <c r="F193" t="s">
        <v>984</v>
      </c>
      <c r="G193" t="s">
        <v>2250</v>
      </c>
      <c r="H193" t="s">
        <v>592</v>
      </c>
      <c r="J193" s="519">
        <v>46140</v>
      </c>
      <c r="U193" s="519">
        <v>46174</v>
      </c>
    </row>
    <row r="194" spans="1:21">
      <c r="A194" t="s">
        <v>953</v>
      </c>
      <c r="B194" t="s">
        <v>6931</v>
      </c>
      <c r="C194" t="s">
        <v>953</v>
      </c>
      <c r="D194">
        <v>20508788</v>
      </c>
      <c r="E194" t="s">
        <v>2245</v>
      </c>
      <c r="F194" t="s">
        <v>984</v>
      </c>
      <c r="G194" t="s">
        <v>2250</v>
      </c>
      <c r="H194" t="s">
        <v>2361</v>
      </c>
      <c r="J194" s="519">
        <v>46136</v>
      </c>
      <c r="U194" s="519">
        <v>46235</v>
      </c>
    </row>
    <row r="195" spans="1:21">
      <c r="A195" t="s">
        <v>953</v>
      </c>
      <c r="B195" t="s">
        <v>2317</v>
      </c>
      <c r="C195" t="s">
        <v>953</v>
      </c>
      <c r="D195">
        <v>20454986</v>
      </c>
      <c r="E195" t="s">
        <v>2258</v>
      </c>
      <c r="F195" t="s">
        <v>581</v>
      </c>
      <c r="G195" t="s">
        <v>2290</v>
      </c>
      <c r="H195" t="s">
        <v>587</v>
      </c>
      <c r="J195" s="519">
        <v>46074</v>
      </c>
      <c r="R195" s="519">
        <v>46114</v>
      </c>
      <c r="U195" s="519">
        <v>46074</v>
      </c>
    </row>
    <row r="196" spans="1:21">
      <c r="A196" t="s">
        <v>953</v>
      </c>
      <c r="B196" t="s">
        <v>1114</v>
      </c>
      <c r="C196" t="s">
        <v>953</v>
      </c>
      <c r="D196">
        <v>20447674</v>
      </c>
      <c r="E196" t="s">
        <v>2252</v>
      </c>
      <c r="F196" t="s">
        <v>581</v>
      </c>
      <c r="G196" t="s">
        <v>2250</v>
      </c>
      <c r="H196" t="s">
        <v>587</v>
      </c>
      <c r="I196" t="s">
        <v>1113</v>
      </c>
      <c r="J196" s="519">
        <v>46065</v>
      </c>
      <c r="K196" s="519">
        <v>46065</v>
      </c>
      <c r="R196" s="519">
        <v>46114</v>
      </c>
      <c r="U196" s="519">
        <v>46072</v>
      </c>
    </row>
    <row r="197" spans="1:21">
      <c r="A197" t="s">
        <v>953</v>
      </c>
      <c r="B197" t="s">
        <v>6932</v>
      </c>
      <c r="C197" t="s">
        <v>953</v>
      </c>
      <c r="D197">
        <v>20510458</v>
      </c>
      <c r="E197" t="s">
        <v>2245</v>
      </c>
      <c r="F197" t="s">
        <v>984</v>
      </c>
      <c r="G197" t="s">
        <v>2250</v>
      </c>
      <c r="H197" t="s">
        <v>2361</v>
      </c>
      <c r="J197" s="519">
        <v>46138</v>
      </c>
      <c r="U197" s="519">
        <v>46172</v>
      </c>
    </row>
    <row r="198" spans="1:21">
      <c r="A198" t="s">
        <v>953</v>
      </c>
      <c r="B198" t="s">
        <v>2830</v>
      </c>
      <c r="C198" t="s">
        <v>953</v>
      </c>
      <c r="D198">
        <v>20472682</v>
      </c>
      <c r="E198" t="s">
        <v>2258</v>
      </c>
      <c r="F198" t="s">
        <v>1001</v>
      </c>
      <c r="G198" t="s">
        <v>2248</v>
      </c>
      <c r="H198" t="s">
        <v>588</v>
      </c>
      <c r="J198" s="519">
        <v>46097</v>
      </c>
      <c r="R198" s="519">
        <v>46114</v>
      </c>
      <c r="U198" s="519">
        <v>46113</v>
      </c>
    </row>
    <row r="199" spans="1:21">
      <c r="A199" t="s">
        <v>953</v>
      </c>
      <c r="B199" t="s">
        <v>2831</v>
      </c>
      <c r="C199" t="s">
        <v>953</v>
      </c>
      <c r="D199">
        <v>20470524</v>
      </c>
      <c r="E199" t="s">
        <v>2258</v>
      </c>
      <c r="F199" t="s">
        <v>984</v>
      </c>
      <c r="G199" t="s">
        <v>2250</v>
      </c>
      <c r="H199" t="s">
        <v>592</v>
      </c>
      <c r="J199" s="519">
        <v>46093</v>
      </c>
      <c r="R199" s="519">
        <v>46114</v>
      </c>
      <c r="U199" s="519">
        <v>46147</v>
      </c>
    </row>
    <row r="200" spans="1:21">
      <c r="A200" t="s">
        <v>953</v>
      </c>
      <c r="B200" t="s">
        <v>2318</v>
      </c>
      <c r="C200" t="s">
        <v>953</v>
      </c>
      <c r="D200">
        <v>20453256</v>
      </c>
      <c r="E200" t="s">
        <v>2252</v>
      </c>
      <c r="F200" t="s">
        <v>1115</v>
      </c>
      <c r="G200" t="s">
        <v>2250</v>
      </c>
      <c r="H200" t="s">
        <v>587</v>
      </c>
      <c r="J200" s="519">
        <v>46072</v>
      </c>
      <c r="K200" s="519">
        <v>46072</v>
      </c>
      <c r="R200" s="519">
        <v>46114</v>
      </c>
      <c r="U200" s="519">
        <v>46072</v>
      </c>
    </row>
    <row r="201" spans="1:21">
      <c r="A201" t="s">
        <v>953</v>
      </c>
      <c r="B201" t="s">
        <v>3302</v>
      </c>
      <c r="C201" t="s">
        <v>953</v>
      </c>
      <c r="D201">
        <v>20421413</v>
      </c>
      <c r="E201" t="s">
        <v>2258</v>
      </c>
      <c r="F201" t="s">
        <v>577</v>
      </c>
      <c r="G201" t="s">
        <v>2246</v>
      </c>
      <c r="H201" t="s">
        <v>592</v>
      </c>
      <c r="J201" s="519">
        <v>46031</v>
      </c>
      <c r="R201" s="519">
        <v>46114</v>
      </c>
      <c r="U201" s="519">
        <v>46031</v>
      </c>
    </row>
    <row r="202" spans="1:21">
      <c r="A202" t="s">
        <v>953</v>
      </c>
      <c r="B202" t="s">
        <v>2832</v>
      </c>
      <c r="C202" t="s">
        <v>953</v>
      </c>
      <c r="D202">
        <v>20465889</v>
      </c>
      <c r="E202" t="s">
        <v>2258</v>
      </c>
      <c r="F202" t="s">
        <v>984</v>
      </c>
      <c r="G202" t="s">
        <v>2246</v>
      </c>
      <c r="H202" t="s">
        <v>587</v>
      </c>
      <c r="J202" s="519">
        <v>46091</v>
      </c>
      <c r="R202" s="519">
        <v>46114</v>
      </c>
      <c r="U202" s="519">
        <v>46092</v>
      </c>
    </row>
    <row r="203" spans="1:21">
      <c r="A203" t="s">
        <v>953</v>
      </c>
      <c r="B203" t="s">
        <v>6933</v>
      </c>
      <c r="C203" t="s">
        <v>953</v>
      </c>
      <c r="D203">
        <v>20505736</v>
      </c>
      <c r="E203" t="s">
        <v>1100</v>
      </c>
      <c r="F203" t="s">
        <v>582</v>
      </c>
      <c r="G203" t="s">
        <v>2259</v>
      </c>
      <c r="H203" t="s">
        <v>592</v>
      </c>
      <c r="J203" s="519">
        <v>46134</v>
      </c>
      <c r="K203" s="519">
        <v>46134</v>
      </c>
      <c r="U203" s="519">
        <v>46134</v>
      </c>
    </row>
    <row r="204" spans="1:21">
      <c r="A204" t="s">
        <v>953</v>
      </c>
      <c r="B204" t="s">
        <v>6933</v>
      </c>
      <c r="C204" t="s">
        <v>953</v>
      </c>
      <c r="D204">
        <v>20506167</v>
      </c>
      <c r="E204" t="s">
        <v>1100</v>
      </c>
      <c r="F204" t="s">
        <v>582</v>
      </c>
      <c r="G204" t="s">
        <v>2250</v>
      </c>
      <c r="H204" t="s">
        <v>591</v>
      </c>
      <c r="I204" t="s">
        <v>1397</v>
      </c>
      <c r="J204" s="519">
        <v>46134</v>
      </c>
      <c r="K204" s="519">
        <v>46134</v>
      </c>
      <c r="U204" s="519">
        <v>46142</v>
      </c>
    </row>
    <row r="205" spans="1:21">
      <c r="A205" t="s">
        <v>953</v>
      </c>
      <c r="B205" t="s">
        <v>2834</v>
      </c>
      <c r="C205" t="s">
        <v>953</v>
      </c>
      <c r="D205">
        <v>20468588</v>
      </c>
      <c r="E205" t="s">
        <v>2258</v>
      </c>
      <c r="F205" t="s">
        <v>984</v>
      </c>
      <c r="G205" t="s">
        <v>2290</v>
      </c>
      <c r="H205" t="s">
        <v>587</v>
      </c>
      <c r="J205" s="519">
        <v>46092</v>
      </c>
      <c r="R205" s="519">
        <v>46114</v>
      </c>
      <c r="U205" s="519">
        <v>46134</v>
      </c>
    </row>
    <row r="206" spans="1:21">
      <c r="A206" t="s">
        <v>953</v>
      </c>
      <c r="B206" t="s">
        <v>3303</v>
      </c>
      <c r="C206" t="s">
        <v>953</v>
      </c>
      <c r="D206">
        <v>20435681</v>
      </c>
      <c r="E206" t="s">
        <v>2252</v>
      </c>
      <c r="F206" t="s">
        <v>577</v>
      </c>
      <c r="G206" t="s">
        <v>2250</v>
      </c>
      <c r="H206" t="s">
        <v>587</v>
      </c>
      <c r="I206" t="s">
        <v>1042</v>
      </c>
      <c r="J206" s="519">
        <v>46049</v>
      </c>
      <c r="K206" s="519">
        <v>46049</v>
      </c>
      <c r="R206" s="519">
        <v>46114</v>
      </c>
      <c r="U206" s="519">
        <v>46049</v>
      </c>
    </row>
    <row r="207" spans="1:21">
      <c r="A207" t="s">
        <v>953</v>
      </c>
      <c r="B207" t="s">
        <v>1148</v>
      </c>
      <c r="C207" t="s">
        <v>953</v>
      </c>
      <c r="D207">
        <v>20468485</v>
      </c>
      <c r="E207" t="s">
        <v>2252</v>
      </c>
      <c r="F207" t="s">
        <v>581</v>
      </c>
      <c r="G207" t="s">
        <v>2250</v>
      </c>
      <c r="H207" t="s">
        <v>587</v>
      </c>
      <c r="I207" t="s">
        <v>1147</v>
      </c>
      <c r="J207" s="519">
        <v>46092</v>
      </c>
      <c r="K207" s="519">
        <v>46092</v>
      </c>
      <c r="R207" s="519">
        <v>46116</v>
      </c>
      <c r="U207" s="519">
        <v>46092</v>
      </c>
    </row>
    <row r="208" spans="1:21">
      <c r="A208" t="s">
        <v>953</v>
      </c>
      <c r="B208" t="s">
        <v>2835</v>
      </c>
      <c r="C208" t="s">
        <v>953</v>
      </c>
      <c r="D208">
        <v>20499143</v>
      </c>
      <c r="E208" t="s">
        <v>1100</v>
      </c>
      <c r="F208" t="s">
        <v>1115</v>
      </c>
      <c r="G208" t="s">
        <v>2250</v>
      </c>
      <c r="H208" t="s">
        <v>587</v>
      </c>
      <c r="I208" t="s">
        <v>2266</v>
      </c>
      <c r="J208" s="519">
        <v>46129</v>
      </c>
      <c r="K208" s="519">
        <v>46129</v>
      </c>
      <c r="U208" s="519">
        <v>46129</v>
      </c>
    </row>
    <row r="209" spans="1:21">
      <c r="A209" t="s">
        <v>953</v>
      </c>
      <c r="B209" t="s">
        <v>2835</v>
      </c>
      <c r="C209" t="s">
        <v>953</v>
      </c>
      <c r="D209">
        <v>20480667</v>
      </c>
      <c r="E209" t="s">
        <v>2258</v>
      </c>
      <c r="F209" t="s">
        <v>581</v>
      </c>
      <c r="G209" t="s">
        <v>2290</v>
      </c>
      <c r="H209" t="s">
        <v>591</v>
      </c>
      <c r="J209" s="519">
        <v>46107</v>
      </c>
      <c r="R209" s="519">
        <v>46139</v>
      </c>
      <c r="U209" s="519">
        <v>46107</v>
      </c>
    </row>
    <row r="210" spans="1:21">
      <c r="A210" t="s">
        <v>953</v>
      </c>
      <c r="B210" t="s">
        <v>2836</v>
      </c>
      <c r="C210" t="s">
        <v>953</v>
      </c>
      <c r="D210">
        <v>20472919</v>
      </c>
      <c r="E210" t="s">
        <v>2258</v>
      </c>
      <c r="F210" t="s">
        <v>984</v>
      </c>
      <c r="G210" t="s">
        <v>2250</v>
      </c>
      <c r="H210" t="s">
        <v>592</v>
      </c>
      <c r="J210" s="519">
        <v>46097</v>
      </c>
      <c r="R210" s="519">
        <v>46114</v>
      </c>
      <c r="U210" s="519">
        <v>46098</v>
      </c>
    </row>
    <row r="211" spans="1:21">
      <c r="A211" t="s">
        <v>953</v>
      </c>
      <c r="B211" t="s">
        <v>6934</v>
      </c>
      <c r="C211" t="s">
        <v>953</v>
      </c>
      <c r="D211">
        <v>20504247</v>
      </c>
      <c r="E211" t="s">
        <v>1100</v>
      </c>
      <c r="F211" t="s">
        <v>1001</v>
      </c>
      <c r="G211" t="s">
        <v>2250</v>
      </c>
      <c r="H211" t="s">
        <v>587</v>
      </c>
      <c r="I211" t="s">
        <v>1356</v>
      </c>
      <c r="J211" s="519">
        <v>46132</v>
      </c>
      <c r="K211" s="519">
        <v>46132</v>
      </c>
      <c r="U211" s="519">
        <v>46137</v>
      </c>
    </row>
    <row r="212" spans="1:21">
      <c r="A212" t="s">
        <v>953</v>
      </c>
      <c r="B212" t="s">
        <v>6934</v>
      </c>
      <c r="C212" t="s">
        <v>953</v>
      </c>
      <c r="D212">
        <v>20504238</v>
      </c>
      <c r="E212" t="s">
        <v>1100</v>
      </c>
      <c r="F212" t="s">
        <v>581</v>
      </c>
      <c r="G212" t="s">
        <v>2250</v>
      </c>
      <c r="H212" t="s">
        <v>587</v>
      </c>
      <c r="I212" t="s">
        <v>2463</v>
      </c>
      <c r="J212" s="519">
        <v>46132</v>
      </c>
      <c r="K212" s="519">
        <v>46132</v>
      </c>
      <c r="U212" s="519">
        <v>46132</v>
      </c>
    </row>
    <row r="213" spans="1:21">
      <c r="A213" t="s">
        <v>953</v>
      </c>
      <c r="B213" t="s">
        <v>3304</v>
      </c>
      <c r="C213" t="s">
        <v>953</v>
      </c>
      <c r="D213">
        <v>20425719</v>
      </c>
      <c r="E213" t="s">
        <v>2258</v>
      </c>
      <c r="F213" t="s">
        <v>984</v>
      </c>
      <c r="G213" t="s">
        <v>1213</v>
      </c>
      <c r="H213" t="s">
        <v>592</v>
      </c>
      <c r="J213" s="519">
        <v>46036</v>
      </c>
      <c r="R213" s="519">
        <v>46114</v>
      </c>
      <c r="U213" s="519">
        <v>46036</v>
      </c>
    </row>
    <row r="214" spans="1:21">
      <c r="A214" t="s">
        <v>953</v>
      </c>
      <c r="B214" t="s">
        <v>2837</v>
      </c>
      <c r="C214" t="s">
        <v>953</v>
      </c>
      <c r="D214">
        <v>20477345</v>
      </c>
      <c r="E214" t="s">
        <v>2258</v>
      </c>
      <c r="F214" t="s">
        <v>579</v>
      </c>
      <c r="G214" t="s">
        <v>2248</v>
      </c>
      <c r="H214" t="s">
        <v>591</v>
      </c>
      <c r="J214" s="519">
        <v>46102</v>
      </c>
      <c r="R214" s="519">
        <v>46114</v>
      </c>
      <c r="U214" s="519">
        <v>46102</v>
      </c>
    </row>
    <row r="215" spans="1:21">
      <c r="A215" t="s">
        <v>953</v>
      </c>
      <c r="B215" t="s">
        <v>6935</v>
      </c>
      <c r="C215" t="s">
        <v>953</v>
      </c>
      <c r="D215">
        <v>20503800</v>
      </c>
      <c r="E215" t="s">
        <v>2245</v>
      </c>
      <c r="F215" t="s">
        <v>984</v>
      </c>
      <c r="G215" t="s">
        <v>2290</v>
      </c>
      <c r="H215" t="s">
        <v>592</v>
      </c>
      <c r="J215" s="519">
        <v>46132</v>
      </c>
      <c r="U215" s="519">
        <v>46136</v>
      </c>
    </row>
    <row r="216" spans="1:21">
      <c r="A216" t="s">
        <v>953</v>
      </c>
      <c r="B216" t="s">
        <v>6936</v>
      </c>
      <c r="C216" t="s">
        <v>953</v>
      </c>
      <c r="D216">
        <v>20509301</v>
      </c>
      <c r="E216" t="s">
        <v>2245</v>
      </c>
      <c r="F216" t="s">
        <v>984</v>
      </c>
      <c r="G216" t="s">
        <v>2250</v>
      </c>
      <c r="H216" t="s">
        <v>2361</v>
      </c>
      <c r="J216" s="519">
        <v>46136</v>
      </c>
      <c r="U216" s="519">
        <v>46173</v>
      </c>
    </row>
    <row r="217" spans="1:21">
      <c r="A217" t="s">
        <v>953</v>
      </c>
      <c r="B217" t="s">
        <v>6937</v>
      </c>
      <c r="C217" t="s">
        <v>953</v>
      </c>
      <c r="D217">
        <v>20510680</v>
      </c>
      <c r="E217" t="s">
        <v>2245</v>
      </c>
      <c r="F217" t="s">
        <v>581</v>
      </c>
      <c r="G217" t="s">
        <v>2259</v>
      </c>
      <c r="H217" t="s">
        <v>592</v>
      </c>
      <c r="J217" s="519">
        <v>46139</v>
      </c>
      <c r="U217" s="519">
        <v>46139</v>
      </c>
    </row>
    <row r="218" spans="1:21">
      <c r="A218" t="s">
        <v>953</v>
      </c>
      <c r="B218" t="s">
        <v>2320</v>
      </c>
      <c r="C218" t="s">
        <v>953</v>
      </c>
      <c r="D218">
        <v>20450400</v>
      </c>
      <c r="E218" t="s">
        <v>2258</v>
      </c>
      <c r="F218" t="s">
        <v>984</v>
      </c>
      <c r="G218" t="s">
        <v>2246</v>
      </c>
      <c r="H218" t="s">
        <v>587</v>
      </c>
      <c r="J218" s="519">
        <v>46070</v>
      </c>
      <c r="R218" s="519">
        <v>46114</v>
      </c>
      <c r="U218" s="519">
        <v>46143</v>
      </c>
    </row>
    <row r="219" spans="1:21">
      <c r="A219" t="s">
        <v>953</v>
      </c>
      <c r="B219" t="s">
        <v>2321</v>
      </c>
      <c r="C219" t="s">
        <v>953</v>
      </c>
      <c r="D219">
        <v>20455740</v>
      </c>
      <c r="E219" t="s">
        <v>2258</v>
      </c>
      <c r="F219" t="s">
        <v>581</v>
      </c>
      <c r="G219" t="s">
        <v>1213</v>
      </c>
      <c r="H219" t="s">
        <v>588</v>
      </c>
      <c r="J219" s="519">
        <v>46076</v>
      </c>
      <c r="R219" s="519">
        <v>46114</v>
      </c>
      <c r="U219" s="519">
        <v>46091</v>
      </c>
    </row>
    <row r="220" spans="1:21">
      <c r="A220" t="s">
        <v>953</v>
      </c>
      <c r="B220" t="s">
        <v>3305</v>
      </c>
      <c r="C220" t="s">
        <v>953</v>
      </c>
      <c r="D220">
        <v>20490975</v>
      </c>
      <c r="E220" t="s">
        <v>2258</v>
      </c>
      <c r="F220" t="s">
        <v>984</v>
      </c>
      <c r="G220" t="s">
        <v>2259</v>
      </c>
      <c r="H220" t="s">
        <v>593</v>
      </c>
      <c r="J220" s="519">
        <v>46121</v>
      </c>
      <c r="R220" s="519">
        <v>46139</v>
      </c>
      <c r="U220" s="519">
        <v>46121</v>
      </c>
    </row>
    <row r="221" spans="1:21">
      <c r="A221" t="s">
        <v>953</v>
      </c>
      <c r="B221" t="s">
        <v>3306</v>
      </c>
      <c r="C221" t="s">
        <v>953</v>
      </c>
      <c r="D221">
        <v>20435352</v>
      </c>
      <c r="E221" t="s">
        <v>2258</v>
      </c>
      <c r="F221" t="s">
        <v>984</v>
      </c>
      <c r="G221" t="s">
        <v>2290</v>
      </c>
      <c r="H221" t="s">
        <v>591</v>
      </c>
      <c r="J221" s="519">
        <v>46048</v>
      </c>
      <c r="R221" s="519">
        <v>46114</v>
      </c>
      <c r="U221" s="519">
        <v>46048</v>
      </c>
    </row>
    <row r="222" spans="1:21">
      <c r="A222" t="s">
        <v>953</v>
      </c>
      <c r="B222" t="s">
        <v>6938</v>
      </c>
      <c r="C222" t="s">
        <v>953</v>
      </c>
      <c r="D222">
        <v>20509257</v>
      </c>
      <c r="E222" t="s">
        <v>2245</v>
      </c>
      <c r="F222" t="s">
        <v>984</v>
      </c>
      <c r="G222" t="s">
        <v>2259</v>
      </c>
      <c r="H222" t="s">
        <v>2388</v>
      </c>
      <c r="J222" s="519">
        <v>46136</v>
      </c>
      <c r="U222" s="519">
        <v>46136</v>
      </c>
    </row>
    <row r="223" spans="1:21">
      <c r="A223" t="s">
        <v>953</v>
      </c>
      <c r="B223" t="s">
        <v>6939</v>
      </c>
      <c r="C223" t="s">
        <v>953</v>
      </c>
      <c r="D223">
        <v>20509923</v>
      </c>
      <c r="E223" t="s">
        <v>2245</v>
      </c>
      <c r="F223" t="s">
        <v>984</v>
      </c>
      <c r="G223" t="s">
        <v>2246</v>
      </c>
      <c r="H223" t="s">
        <v>592</v>
      </c>
      <c r="J223" s="519">
        <v>46137</v>
      </c>
      <c r="U223" s="519">
        <v>46152</v>
      </c>
    </row>
    <row r="224" spans="1:21">
      <c r="A224" t="s">
        <v>953</v>
      </c>
      <c r="B224" t="s">
        <v>6940</v>
      </c>
      <c r="C224" t="s">
        <v>953</v>
      </c>
      <c r="D224">
        <v>20504471</v>
      </c>
      <c r="E224" t="s">
        <v>2245</v>
      </c>
      <c r="F224" t="s">
        <v>984</v>
      </c>
      <c r="G224" t="s">
        <v>2250</v>
      </c>
      <c r="H224" t="s">
        <v>592</v>
      </c>
      <c r="J224" s="519">
        <v>46133</v>
      </c>
      <c r="U224" s="519">
        <v>46204</v>
      </c>
    </row>
    <row r="225" spans="1:21">
      <c r="A225" t="s">
        <v>953</v>
      </c>
      <c r="B225" t="s">
        <v>6941</v>
      </c>
      <c r="C225" t="s">
        <v>953</v>
      </c>
      <c r="D225">
        <v>20511345</v>
      </c>
      <c r="E225" t="s">
        <v>2245</v>
      </c>
      <c r="F225" t="s">
        <v>579</v>
      </c>
      <c r="G225" t="s">
        <v>2248</v>
      </c>
      <c r="H225" t="s">
        <v>588</v>
      </c>
      <c r="I225" t="s">
        <v>1156</v>
      </c>
      <c r="J225" s="519">
        <v>46139</v>
      </c>
      <c r="U225" s="519">
        <v>46139</v>
      </c>
    </row>
    <row r="226" spans="1:21">
      <c r="A226" t="s">
        <v>953</v>
      </c>
      <c r="B226" t="s">
        <v>6942</v>
      </c>
      <c r="C226" t="s">
        <v>953</v>
      </c>
      <c r="D226">
        <v>20508896</v>
      </c>
      <c r="E226" t="s">
        <v>2245</v>
      </c>
      <c r="F226" t="s">
        <v>581</v>
      </c>
      <c r="G226" t="s">
        <v>2290</v>
      </c>
      <c r="H226" t="s">
        <v>592</v>
      </c>
      <c r="J226" s="519">
        <v>46136</v>
      </c>
      <c r="U226" s="519">
        <v>46137</v>
      </c>
    </row>
    <row r="227" spans="1:21">
      <c r="A227" t="s">
        <v>953</v>
      </c>
      <c r="B227" t="s">
        <v>6943</v>
      </c>
      <c r="C227" t="s">
        <v>953</v>
      </c>
      <c r="D227">
        <v>20510983</v>
      </c>
      <c r="E227" t="s">
        <v>2245</v>
      </c>
      <c r="F227" t="s">
        <v>582</v>
      </c>
      <c r="G227" t="s">
        <v>1213</v>
      </c>
      <c r="H227" t="s">
        <v>591</v>
      </c>
      <c r="J227" s="519">
        <v>46139</v>
      </c>
      <c r="U227" s="519">
        <v>46143</v>
      </c>
    </row>
    <row r="228" spans="1:21">
      <c r="A228" t="s">
        <v>953</v>
      </c>
      <c r="B228" t="s">
        <v>3307</v>
      </c>
      <c r="C228" t="s">
        <v>953</v>
      </c>
      <c r="D228">
        <v>20417241</v>
      </c>
      <c r="E228" t="s">
        <v>2258</v>
      </c>
      <c r="F228" t="s">
        <v>984</v>
      </c>
      <c r="G228" t="s">
        <v>2246</v>
      </c>
      <c r="H228" t="s">
        <v>587</v>
      </c>
      <c r="J228" s="519">
        <v>46025</v>
      </c>
      <c r="R228" s="519">
        <v>46114</v>
      </c>
      <c r="U228" s="519">
        <v>46025</v>
      </c>
    </row>
    <row r="229" spans="1:21">
      <c r="A229" t="s">
        <v>953</v>
      </c>
      <c r="B229" t="s">
        <v>3308</v>
      </c>
      <c r="C229" t="s">
        <v>953</v>
      </c>
      <c r="D229">
        <v>20429778</v>
      </c>
      <c r="E229" t="s">
        <v>2258</v>
      </c>
      <c r="F229" t="s">
        <v>577</v>
      </c>
      <c r="G229" t="s">
        <v>2246</v>
      </c>
      <c r="H229" t="s">
        <v>593</v>
      </c>
      <c r="J229" s="519">
        <v>46039</v>
      </c>
      <c r="R229" s="519">
        <v>46114</v>
      </c>
      <c r="U229" s="519">
        <v>46235</v>
      </c>
    </row>
    <row r="230" spans="1:21">
      <c r="A230" t="s">
        <v>953</v>
      </c>
      <c r="B230" t="s">
        <v>3309</v>
      </c>
      <c r="C230" t="s">
        <v>953</v>
      </c>
      <c r="D230">
        <v>20410350</v>
      </c>
      <c r="E230" t="s">
        <v>2258</v>
      </c>
      <c r="F230" t="s">
        <v>581</v>
      </c>
      <c r="G230" t="s">
        <v>2259</v>
      </c>
      <c r="H230" t="s">
        <v>592</v>
      </c>
      <c r="J230" s="519">
        <v>46011</v>
      </c>
      <c r="R230" s="519">
        <v>46114</v>
      </c>
      <c r="U230" s="519">
        <v>46011</v>
      </c>
    </row>
    <row r="231" spans="1:21">
      <c r="A231" t="s">
        <v>953</v>
      </c>
      <c r="B231" t="s">
        <v>6944</v>
      </c>
      <c r="C231" t="s">
        <v>953</v>
      </c>
      <c r="D231">
        <v>20501416</v>
      </c>
      <c r="E231" t="s">
        <v>2258</v>
      </c>
      <c r="F231" t="s">
        <v>984</v>
      </c>
      <c r="G231" t="s">
        <v>2250</v>
      </c>
      <c r="H231" t="s">
        <v>2361</v>
      </c>
      <c r="J231" s="519">
        <v>46131</v>
      </c>
      <c r="R231" s="519">
        <v>46139</v>
      </c>
      <c r="U231" s="519">
        <v>46133</v>
      </c>
    </row>
    <row r="232" spans="1:21">
      <c r="A232" t="s">
        <v>953</v>
      </c>
      <c r="B232" t="s">
        <v>2840</v>
      </c>
      <c r="C232" t="s">
        <v>953</v>
      </c>
      <c r="D232">
        <v>20471215</v>
      </c>
      <c r="E232" t="s">
        <v>2258</v>
      </c>
      <c r="F232" t="s">
        <v>581</v>
      </c>
      <c r="G232" t="s">
        <v>2290</v>
      </c>
      <c r="H232" t="s">
        <v>587</v>
      </c>
      <c r="J232" s="519">
        <v>46094</v>
      </c>
      <c r="R232" s="519">
        <v>46114</v>
      </c>
      <c r="U232" s="519">
        <v>46094</v>
      </c>
    </row>
    <row r="233" spans="1:21">
      <c r="A233" t="s">
        <v>953</v>
      </c>
      <c r="B233" t="s">
        <v>2326</v>
      </c>
      <c r="C233" t="s">
        <v>953</v>
      </c>
      <c r="D233">
        <v>20454767</v>
      </c>
      <c r="E233" t="s">
        <v>2258</v>
      </c>
      <c r="F233" t="s">
        <v>579</v>
      </c>
      <c r="G233" t="s">
        <v>2248</v>
      </c>
      <c r="H233" t="s">
        <v>588</v>
      </c>
      <c r="J233" s="519">
        <v>46074</v>
      </c>
      <c r="R233" s="519">
        <v>46115</v>
      </c>
      <c r="U233" s="519">
        <v>46074</v>
      </c>
    </row>
    <row r="234" spans="1:21">
      <c r="A234" t="s">
        <v>953</v>
      </c>
      <c r="B234" t="s">
        <v>6945</v>
      </c>
      <c r="C234" t="s">
        <v>953</v>
      </c>
      <c r="D234">
        <v>20498109</v>
      </c>
      <c r="E234" t="s">
        <v>2258</v>
      </c>
      <c r="F234" t="s">
        <v>581</v>
      </c>
      <c r="G234" t="s">
        <v>2290</v>
      </c>
      <c r="H234" t="s">
        <v>587</v>
      </c>
      <c r="J234" s="519">
        <v>46128</v>
      </c>
      <c r="R234" s="519">
        <v>46139</v>
      </c>
      <c r="U234" s="519">
        <v>46128</v>
      </c>
    </row>
    <row r="235" spans="1:21">
      <c r="A235" t="s">
        <v>953</v>
      </c>
      <c r="B235" t="s">
        <v>3310</v>
      </c>
      <c r="C235" t="s">
        <v>953</v>
      </c>
      <c r="D235">
        <v>20489364</v>
      </c>
      <c r="E235" t="s">
        <v>1100</v>
      </c>
      <c r="F235" t="s">
        <v>6888</v>
      </c>
      <c r="G235" t="s">
        <v>2250</v>
      </c>
      <c r="H235" t="s">
        <v>592</v>
      </c>
      <c r="I235" t="s">
        <v>1030</v>
      </c>
      <c r="J235" s="519">
        <v>46119</v>
      </c>
      <c r="K235" s="519">
        <v>46120</v>
      </c>
      <c r="U235" s="519">
        <v>46143</v>
      </c>
    </row>
    <row r="236" spans="1:21">
      <c r="A236" t="s">
        <v>953</v>
      </c>
      <c r="B236" t="s">
        <v>6946</v>
      </c>
      <c r="C236" t="s">
        <v>953</v>
      </c>
      <c r="D236">
        <v>20506984</v>
      </c>
      <c r="E236" t="s">
        <v>2245</v>
      </c>
      <c r="F236" t="s">
        <v>581</v>
      </c>
      <c r="G236" t="s">
        <v>2250</v>
      </c>
      <c r="H236" t="s">
        <v>2361</v>
      </c>
      <c r="J236" s="519">
        <v>46134</v>
      </c>
      <c r="U236" s="519">
        <v>46142</v>
      </c>
    </row>
    <row r="237" spans="1:21">
      <c r="A237" t="s">
        <v>953</v>
      </c>
      <c r="B237" t="s">
        <v>2841</v>
      </c>
      <c r="C237" t="s">
        <v>953</v>
      </c>
      <c r="D237">
        <v>20460807</v>
      </c>
      <c r="E237" t="s">
        <v>2258</v>
      </c>
      <c r="F237" t="s">
        <v>984</v>
      </c>
      <c r="G237" t="s">
        <v>2246</v>
      </c>
      <c r="H237" t="s">
        <v>2469</v>
      </c>
      <c r="J237" s="519">
        <v>46083</v>
      </c>
      <c r="R237" s="519">
        <v>46114</v>
      </c>
      <c r="U237" s="519">
        <v>46083</v>
      </c>
    </row>
    <row r="238" spans="1:21">
      <c r="A238" t="s">
        <v>953</v>
      </c>
      <c r="B238" t="s">
        <v>2842</v>
      </c>
      <c r="C238" t="s">
        <v>953</v>
      </c>
      <c r="D238">
        <v>20471601</v>
      </c>
      <c r="E238" t="s">
        <v>2258</v>
      </c>
      <c r="F238" t="s">
        <v>578</v>
      </c>
      <c r="G238" t="s">
        <v>2248</v>
      </c>
      <c r="H238" t="s">
        <v>588</v>
      </c>
      <c r="J238" s="519">
        <v>46095</v>
      </c>
      <c r="R238" s="519">
        <v>46115</v>
      </c>
      <c r="U238" s="519">
        <v>46095</v>
      </c>
    </row>
    <row r="239" spans="1:21">
      <c r="A239" t="s">
        <v>953</v>
      </c>
      <c r="B239" t="s">
        <v>2843</v>
      </c>
      <c r="C239" t="s">
        <v>953</v>
      </c>
      <c r="D239">
        <v>20469110</v>
      </c>
      <c r="E239" t="s">
        <v>2258</v>
      </c>
      <c r="F239" t="s">
        <v>984</v>
      </c>
      <c r="G239" t="s">
        <v>2248</v>
      </c>
      <c r="H239" t="s">
        <v>588</v>
      </c>
      <c r="I239" t="s">
        <v>998</v>
      </c>
      <c r="J239" s="519">
        <v>46093</v>
      </c>
      <c r="R239" s="519">
        <v>46114</v>
      </c>
      <c r="U239" s="519">
        <v>46093</v>
      </c>
    </row>
    <row r="240" spans="1:21">
      <c r="A240" t="s">
        <v>953</v>
      </c>
      <c r="B240" t="s">
        <v>2844</v>
      </c>
      <c r="C240" t="s">
        <v>953</v>
      </c>
      <c r="D240">
        <v>20463037</v>
      </c>
      <c r="E240" t="s">
        <v>2258</v>
      </c>
      <c r="F240" t="s">
        <v>579</v>
      </c>
      <c r="G240" t="s">
        <v>2248</v>
      </c>
      <c r="H240" t="s">
        <v>592</v>
      </c>
      <c r="J240" s="519">
        <v>46086</v>
      </c>
      <c r="R240" s="519">
        <v>46114</v>
      </c>
      <c r="U240" s="519">
        <v>46157</v>
      </c>
    </row>
    <row r="241" spans="1:21">
      <c r="A241" t="s">
        <v>953</v>
      </c>
      <c r="B241" t="s">
        <v>2329</v>
      </c>
      <c r="C241" t="s">
        <v>953</v>
      </c>
      <c r="D241">
        <v>20442536</v>
      </c>
      <c r="E241" t="s">
        <v>2258</v>
      </c>
      <c r="F241" t="s">
        <v>581</v>
      </c>
      <c r="G241" t="s">
        <v>2246</v>
      </c>
      <c r="H241" t="s">
        <v>587</v>
      </c>
      <c r="J241" s="519">
        <v>46059</v>
      </c>
      <c r="R241" s="519">
        <v>46114</v>
      </c>
      <c r="U241" s="519">
        <v>46074</v>
      </c>
    </row>
    <row r="242" spans="1:21">
      <c r="A242" t="s">
        <v>953</v>
      </c>
      <c r="B242" t="s">
        <v>6947</v>
      </c>
      <c r="C242" t="s">
        <v>953</v>
      </c>
      <c r="D242">
        <v>20495495</v>
      </c>
      <c r="E242" t="s">
        <v>2245</v>
      </c>
      <c r="F242" t="s">
        <v>581</v>
      </c>
      <c r="G242" t="s">
        <v>2250</v>
      </c>
      <c r="H242" t="s">
        <v>592</v>
      </c>
      <c r="J242" s="519">
        <v>46127</v>
      </c>
      <c r="U242" s="519">
        <v>46161</v>
      </c>
    </row>
    <row r="243" spans="1:21">
      <c r="A243" t="s">
        <v>953</v>
      </c>
      <c r="B243" t="s">
        <v>6948</v>
      </c>
      <c r="C243" t="s">
        <v>953</v>
      </c>
      <c r="D243">
        <v>20511282</v>
      </c>
      <c r="E243" t="s">
        <v>2245</v>
      </c>
      <c r="F243" t="s">
        <v>581</v>
      </c>
      <c r="G243" t="s">
        <v>1213</v>
      </c>
      <c r="H243" t="s">
        <v>592</v>
      </c>
      <c r="J243" s="519">
        <v>46139</v>
      </c>
      <c r="U243" s="519">
        <v>46139</v>
      </c>
    </row>
    <row r="244" spans="1:21">
      <c r="A244" t="s">
        <v>953</v>
      </c>
      <c r="B244" t="s">
        <v>3311</v>
      </c>
      <c r="C244" t="s">
        <v>953</v>
      </c>
      <c r="D244">
        <v>20414434</v>
      </c>
      <c r="E244" t="s">
        <v>2258</v>
      </c>
      <c r="F244" t="s">
        <v>577</v>
      </c>
      <c r="G244" t="s">
        <v>2246</v>
      </c>
      <c r="H244" t="s">
        <v>592</v>
      </c>
      <c r="J244" s="519">
        <v>46020</v>
      </c>
      <c r="R244" s="519">
        <v>46114</v>
      </c>
      <c r="U244" s="519">
        <v>46081</v>
      </c>
    </row>
    <row r="245" spans="1:21">
      <c r="A245" t="s">
        <v>953</v>
      </c>
      <c r="B245" t="s">
        <v>2845</v>
      </c>
      <c r="C245" t="s">
        <v>953</v>
      </c>
      <c r="D245">
        <v>20483263</v>
      </c>
      <c r="E245" t="s">
        <v>2258</v>
      </c>
      <c r="F245" t="s">
        <v>577</v>
      </c>
      <c r="G245" t="s">
        <v>2250</v>
      </c>
      <c r="H245" t="s">
        <v>592</v>
      </c>
      <c r="I245" t="s">
        <v>2420</v>
      </c>
      <c r="J245" s="519">
        <v>46111</v>
      </c>
      <c r="R245" s="519">
        <v>46139</v>
      </c>
      <c r="U245" s="519">
        <v>46116</v>
      </c>
    </row>
    <row r="246" spans="1:21">
      <c r="A246" t="s">
        <v>953</v>
      </c>
      <c r="B246" t="s">
        <v>3312</v>
      </c>
      <c r="C246" t="s">
        <v>953</v>
      </c>
      <c r="D246">
        <v>20490180</v>
      </c>
      <c r="E246" t="s">
        <v>2258</v>
      </c>
      <c r="F246" t="s">
        <v>984</v>
      </c>
      <c r="G246" t="s">
        <v>2248</v>
      </c>
      <c r="H246" t="s">
        <v>588</v>
      </c>
      <c r="J246" s="519">
        <v>46120</v>
      </c>
      <c r="R246" s="519">
        <v>46139</v>
      </c>
      <c r="U246" s="519">
        <v>46200</v>
      </c>
    </row>
    <row r="247" spans="1:21">
      <c r="A247" t="s">
        <v>953</v>
      </c>
      <c r="B247" t="s">
        <v>6949</v>
      </c>
      <c r="C247" t="s">
        <v>953</v>
      </c>
      <c r="D247">
        <v>20494746</v>
      </c>
      <c r="E247" t="s">
        <v>2258</v>
      </c>
      <c r="F247" t="s">
        <v>579</v>
      </c>
      <c r="G247" t="s">
        <v>2248</v>
      </c>
      <c r="H247" t="s">
        <v>2287</v>
      </c>
      <c r="I247" t="s">
        <v>1798</v>
      </c>
      <c r="J247" s="519">
        <v>46126</v>
      </c>
      <c r="R247" s="519">
        <v>46139</v>
      </c>
      <c r="U247" s="519">
        <v>46126</v>
      </c>
    </row>
    <row r="248" spans="1:21">
      <c r="A248" t="s">
        <v>953</v>
      </c>
      <c r="B248" t="s">
        <v>6950</v>
      </c>
      <c r="C248" t="s">
        <v>953</v>
      </c>
      <c r="D248">
        <v>20504102</v>
      </c>
      <c r="E248" t="s">
        <v>2245</v>
      </c>
      <c r="F248" t="s">
        <v>579</v>
      </c>
      <c r="G248" t="s">
        <v>2248</v>
      </c>
      <c r="H248" t="s">
        <v>2287</v>
      </c>
      <c r="I248" t="s">
        <v>1156</v>
      </c>
      <c r="J248" s="519">
        <v>46132</v>
      </c>
      <c r="U248" s="519">
        <v>46132</v>
      </c>
    </row>
    <row r="249" spans="1:21">
      <c r="A249" t="s">
        <v>953</v>
      </c>
      <c r="B249" t="s">
        <v>3313</v>
      </c>
      <c r="C249" t="s">
        <v>953</v>
      </c>
      <c r="D249">
        <v>20487575</v>
      </c>
      <c r="E249" t="s">
        <v>1100</v>
      </c>
      <c r="F249" t="s">
        <v>581</v>
      </c>
      <c r="G249" t="s">
        <v>2250</v>
      </c>
      <c r="H249" t="s">
        <v>589</v>
      </c>
      <c r="I249" t="s">
        <v>1030</v>
      </c>
      <c r="J249" s="519">
        <v>46117</v>
      </c>
      <c r="K249" s="519">
        <v>46117</v>
      </c>
      <c r="U249" s="519">
        <v>46119</v>
      </c>
    </row>
    <row r="250" spans="1:21">
      <c r="A250" t="s">
        <v>953</v>
      </c>
      <c r="B250" t="s">
        <v>3314</v>
      </c>
      <c r="C250" t="s">
        <v>953</v>
      </c>
      <c r="D250">
        <v>20488481</v>
      </c>
      <c r="E250" t="s">
        <v>2258</v>
      </c>
      <c r="F250" t="s">
        <v>578</v>
      </c>
      <c r="G250" t="s">
        <v>2248</v>
      </c>
      <c r="H250" t="s">
        <v>592</v>
      </c>
      <c r="J250" s="519">
        <v>46118</v>
      </c>
      <c r="R250" s="519">
        <v>46139</v>
      </c>
      <c r="U250" s="519">
        <v>46123</v>
      </c>
    </row>
    <row r="251" spans="1:21">
      <c r="A251" t="s">
        <v>953</v>
      </c>
      <c r="B251" t="s">
        <v>2331</v>
      </c>
      <c r="C251" t="s">
        <v>953</v>
      </c>
      <c r="D251">
        <v>20444078</v>
      </c>
      <c r="E251" t="s">
        <v>2258</v>
      </c>
      <c r="F251" t="s">
        <v>581</v>
      </c>
      <c r="G251" t="s">
        <v>2290</v>
      </c>
      <c r="H251" t="s">
        <v>591</v>
      </c>
      <c r="J251" s="519">
        <v>46062</v>
      </c>
      <c r="R251" s="519">
        <v>46114</v>
      </c>
      <c r="U251" s="519">
        <v>46115</v>
      </c>
    </row>
    <row r="252" spans="1:21">
      <c r="A252" t="s">
        <v>953</v>
      </c>
      <c r="B252" t="s">
        <v>6951</v>
      </c>
      <c r="C252" t="s">
        <v>953</v>
      </c>
      <c r="D252">
        <v>20503743</v>
      </c>
      <c r="E252" t="s">
        <v>2245</v>
      </c>
      <c r="F252" t="s">
        <v>984</v>
      </c>
      <c r="G252" t="s">
        <v>2259</v>
      </c>
      <c r="H252" t="s">
        <v>592</v>
      </c>
      <c r="J252" s="519">
        <v>46132</v>
      </c>
      <c r="U252" s="519">
        <v>46132</v>
      </c>
    </row>
    <row r="253" spans="1:21">
      <c r="A253" t="s">
        <v>953</v>
      </c>
      <c r="B253" t="s">
        <v>2849</v>
      </c>
      <c r="C253" t="s">
        <v>953</v>
      </c>
      <c r="D253">
        <v>20475862</v>
      </c>
      <c r="E253" t="s">
        <v>2258</v>
      </c>
      <c r="F253" t="s">
        <v>577</v>
      </c>
      <c r="G253" t="s">
        <v>2248</v>
      </c>
      <c r="H253" t="s">
        <v>592</v>
      </c>
      <c r="I253" t="s">
        <v>1134</v>
      </c>
      <c r="J253" s="519">
        <v>46100</v>
      </c>
      <c r="R253" s="519">
        <v>46114</v>
      </c>
      <c r="U253" s="519">
        <v>46115</v>
      </c>
    </row>
    <row r="254" spans="1:21">
      <c r="A254" t="s">
        <v>953</v>
      </c>
      <c r="B254" t="s">
        <v>3315</v>
      </c>
      <c r="C254" t="s">
        <v>953</v>
      </c>
      <c r="D254">
        <v>20430698</v>
      </c>
      <c r="E254" t="s">
        <v>2258</v>
      </c>
      <c r="F254" t="s">
        <v>577</v>
      </c>
      <c r="G254" t="s">
        <v>2246</v>
      </c>
      <c r="H254" t="s">
        <v>592</v>
      </c>
      <c r="J254" s="519">
        <v>46042</v>
      </c>
      <c r="R254" s="519">
        <v>46114</v>
      </c>
      <c r="U254" s="519">
        <v>46042</v>
      </c>
    </row>
    <row r="255" spans="1:21">
      <c r="A255" t="s">
        <v>953</v>
      </c>
      <c r="B255" t="s">
        <v>2850</v>
      </c>
      <c r="C255" t="s">
        <v>953</v>
      </c>
      <c r="D255">
        <v>20478117</v>
      </c>
      <c r="E255" t="s">
        <v>2258</v>
      </c>
      <c r="F255" t="s">
        <v>984</v>
      </c>
      <c r="G255" t="s">
        <v>2250</v>
      </c>
      <c r="H255" t="s">
        <v>592</v>
      </c>
      <c r="J255" s="519">
        <v>46104</v>
      </c>
      <c r="R255" s="519">
        <v>46114</v>
      </c>
      <c r="U255" s="519">
        <v>46115</v>
      </c>
    </row>
    <row r="256" spans="1:21">
      <c r="A256" t="s">
        <v>953</v>
      </c>
      <c r="B256" t="s">
        <v>3316</v>
      </c>
      <c r="C256" t="s">
        <v>953</v>
      </c>
      <c r="D256">
        <v>20487675</v>
      </c>
      <c r="E256" t="s">
        <v>2252</v>
      </c>
      <c r="F256" t="s">
        <v>984</v>
      </c>
      <c r="G256" t="s">
        <v>2250</v>
      </c>
      <c r="H256" t="s">
        <v>592</v>
      </c>
      <c r="I256" t="s">
        <v>986</v>
      </c>
      <c r="J256" s="519">
        <v>46117</v>
      </c>
      <c r="K256" s="519">
        <v>46118</v>
      </c>
      <c r="L256" s="519">
        <v>46118</v>
      </c>
      <c r="R256" s="519">
        <v>46126</v>
      </c>
      <c r="U256" s="519">
        <v>46136</v>
      </c>
    </row>
    <row r="257" spans="1:21">
      <c r="A257" t="s">
        <v>953</v>
      </c>
      <c r="B257" t="s">
        <v>3316</v>
      </c>
      <c r="C257" t="s">
        <v>953</v>
      </c>
      <c r="D257">
        <v>20488591</v>
      </c>
      <c r="E257" t="s">
        <v>1100</v>
      </c>
      <c r="F257" t="s">
        <v>578</v>
      </c>
      <c r="G257" t="s">
        <v>2250</v>
      </c>
      <c r="H257" t="s">
        <v>587</v>
      </c>
      <c r="J257" s="519">
        <v>46118</v>
      </c>
      <c r="K257" s="519">
        <v>46118</v>
      </c>
      <c r="U257" s="519">
        <v>46118</v>
      </c>
    </row>
    <row r="258" spans="1:21">
      <c r="A258" t="s">
        <v>953</v>
      </c>
      <c r="B258" t="s">
        <v>6952</v>
      </c>
      <c r="C258" t="s">
        <v>953</v>
      </c>
      <c r="D258">
        <v>20511177</v>
      </c>
      <c r="E258" t="s">
        <v>2245</v>
      </c>
      <c r="F258" t="s">
        <v>984</v>
      </c>
      <c r="G258" t="s">
        <v>2246</v>
      </c>
      <c r="H258" t="s">
        <v>592</v>
      </c>
      <c r="J258" s="519">
        <v>46139</v>
      </c>
      <c r="U258" s="519">
        <v>46234</v>
      </c>
    </row>
    <row r="259" spans="1:21">
      <c r="A259" t="s">
        <v>953</v>
      </c>
      <c r="B259" t="s">
        <v>2333</v>
      </c>
      <c r="C259" t="s">
        <v>953</v>
      </c>
      <c r="D259">
        <v>20441040</v>
      </c>
      <c r="E259" t="s">
        <v>2258</v>
      </c>
      <c r="F259" t="s">
        <v>581</v>
      </c>
      <c r="G259" t="s">
        <v>2248</v>
      </c>
      <c r="H259" t="s">
        <v>592</v>
      </c>
      <c r="J259" s="519">
        <v>46057</v>
      </c>
      <c r="R259" s="519">
        <v>46114</v>
      </c>
      <c r="U259" s="519">
        <v>46081</v>
      </c>
    </row>
    <row r="260" spans="1:21">
      <c r="A260" t="s">
        <v>953</v>
      </c>
      <c r="B260" t="s">
        <v>3317</v>
      </c>
      <c r="C260" t="s">
        <v>953</v>
      </c>
      <c r="D260">
        <v>20485061</v>
      </c>
      <c r="E260" t="s">
        <v>2324</v>
      </c>
      <c r="F260" t="s">
        <v>579</v>
      </c>
      <c r="G260" t="s">
        <v>2259</v>
      </c>
      <c r="H260" t="s">
        <v>588</v>
      </c>
      <c r="I260" t="s">
        <v>2575</v>
      </c>
      <c r="J260" s="519">
        <v>46113</v>
      </c>
      <c r="K260" s="519">
        <v>46113</v>
      </c>
      <c r="L260" s="519">
        <v>46116</v>
      </c>
      <c r="M260" s="519">
        <v>46127</v>
      </c>
      <c r="N260" s="519">
        <v>46127</v>
      </c>
      <c r="O260" s="519">
        <v>46128</v>
      </c>
      <c r="P260" s="519">
        <v>46132</v>
      </c>
      <c r="Q260" s="519">
        <v>46132</v>
      </c>
      <c r="U260" s="519">
        <v>46143</v>
      </c>
    </row>
    <row r="261" spans="1:21">
      <c r="A261" t="s">
        <v>953</v>
      </c>
      <c r="B261" t="s">
        <v>6953</v>
      </c>
      <c r="C261" t="s">
        <v>953</v>
      </c>
      <c r="D261">
        <v>20497135</v>
      </c>
      <c r="E261" t="s">
        <v>2258</v>
      </c>
      <c r="F261" t="s">
        <v>581</v>
      </c>
      <c r="G261" t="s">
        <v>2250</v>
      </c>
      <c r="H261" t="s">
        <v>2361</v>
      </c>
      <c r="J261" s="519">
        <v>46127</v>
      </c>
      <c r="R261" s="519">
        <v>46139</v>
      </c>
      <c r="U261" s="519">
        <v>46156</v>
      </c>
    </row>
    <row r="262" spans="1:21">
      <c r="A262" t="s">
        <v>953</v>
      </c>
      <c r="B262" t="s">
        <v>2852</v>
      </c>
      <c r="C262" t="s">
        <v>953</v>
      </c>
      <c r="D262">
        <v>20476764</v>
      </c>
      <c r="E262" t="s">
        <v>2258</v>
      </c>
      <c r="F262" t="s">
        <v>577</v>
      </c>
      <c r="G262" t="s">
        <v>2248</v>
      </c>
      <c r="H262" t="s">
        <v>592</v>
      </c>
      <c r="I262" t="s">
        <v>1028</v>
      </c>
      <c r="J262" s="519">
        <v>46101</v>
      </c>
      <c r="R262" s="519">
        <v>46114</v>
      </c>
      <c r="U262" s="519">
        <v>46107</v>
      </c>
    </row>
    <row r="263" spans="1:21">
      <c r="A263" t="s">
        <v>953</v>
      </c>
      <c r="B263" t="s">
        <v>3318</v>
      </c>
      <c r="C263" t="s">
        <v>953</v>
      </c>
      <c r="D263">
        <v>20491992</v>
      </c>
      <c r="E263" t="s">
        <v>2252</v>
      </c>
      <c r="F263" t="s">
        <v>579</v>
      </c>
      <c r="G263" t="s">
        <v>2248</v>
      </c>
      <c r="H263" t="s">
        <v>592</v>
      </c>
      <c r="I263" t="s">
        <v>3238</v>
      </c>
      <c r="J263" s="519">
        <v>46122</v>
      </c>
      <c r="K263" s="519">
        <v>46123</v>
      </c>
      <c r="L263" s="519">
        <v>46123</v>
      </c>
      <c r="S263" s="519">
        <v>46126</v>
      </c>
      <c r="U263" s="519">
        <v>46136</v>
      </c>
    </row>
    <row r="264" spans="1:21">
      <c r="A264" t="s">
        <v>953</v>
      </c>
      <c r="B264" t="s">
        <v>6954</v>
      </c>
      <c r="C264" t="s">
        <v>953</v>
      </c>
      <c r="D264">
        <v>20498103</v>
      </c>
      <c r="E264" t="s">
        <v>2258</v>
      </c>
      <c r="F264" t="s">
        <v>581</v>
      </c>
      <c r="G264" t="s">
        <v>2259</v>
      </c>
      <c r="H264" t="s">
        <v>592</v>
      </c>
      <c r="J264" s="519">
        <v>46128</v>
      </c>
      <c r="R264" s="519">
        <v>46139</v>
      </c>
      <c r="U264" s="519">
        <v>46128</v>
      </c>
    </row>
    <row r="265" spans="1:21">
      <c r="A265" t="s">
        <v>953</v>
      </c>
      <c r="B265" t="s">
        <v>2853</v>
      </c>
      <c r="C265" t="s">
        <v>953</v>
      </c>
      <c r="D265">
        <v>20482205</v>
      </c>
      <c r="E265" t="s">
        <v>2258</v>
      </c>
      <c r="F265" t="s">
        <v>984</v>
      </c>
      <c r="G265" t="s">
        <v>2259</v>
      </c>
      <c r="H265" t="s">
        <v>592</v>
      </c>
      <c r="I265" t="s">
        <v>1156</v>
      </c>
      <c r="J265" s="519">
        <v>46109</v>
      </c>
      <c r="R265" s="519">
        <v>46139</v>
      </c>
      <c r="U265" s="519">
        <v>46115</v>
      </c>
    </row>
    <row r="266" spans="1:21">
      <c r="A266" t="s">
        <v>953</v>
      </c>
      <c r="B266" t="s">
        <v>2854</v>
      </c>
      <c r="C266" t="s">
        <v>953</v>
      </c>
      <c r="D266">
        <v>20471390</v>
      </c>
      <c r="E266" t="s">
        <v>2258</v>
      </c>
      <c r="F266" t="s">
        <v>581</v>
      </c>
      <c r="G266" t="s">
        <v>2248</v>
      </c>
      <c r="H266" t="s">
        <v>588</v>
      </c>
      <c r="I266" t="s">
        <v>1630</v>
      </c>
      <c r="J266" s="519">
        <v>46095</v>
      </c>
      <c r="R266" s="519">
        <v>46114</v>
      </c>
      <c r="U266" s="519">
        <v>46116</v>
      </c>
    </row>
    <row r="267" spans="1:21">
      <c r="A267" t="s">
        <v>953</v>
      </c>
      <c r="B267" t="s">
        <v>6955</v>
      </c>
      <c r="C267" t="s">
        <v>953</v>
      </c>
      <c r="D267">
        <v>20500052</v>
      </c>
      <c r="E267" t="s">
        <v>2258</v>
      </c>
      <c r="F267" t="s">
        <v>984</v>
      </c>
      <c r="G267" t="s">
        <v>2250</v>
      </c>
      <c r="H267" t="s">
        <v>2361</v>
      </c>
      <c r="J267" s="519">
        <v>46129</v>
      </c>
      <c r="R267" s="519">
        <v>46139</v>
      </c>
      <c r="U267" s="519">
        <v>46144</v>
      </c>
    </row>
    <row r="268" spans="1:21">
      <c r="A268" t="s">
        <v>953</v>
      </c>
      <c r="B268" t="s">
        <v>6956</v>
      </c>
      <c r="C268" t="s">
        <v>953</v>
      </c>
      <c r="D268">
        <v>20505641</v>
      </c>
      <c r="E268" t="s">
        <v>2245</v>
      </c>
      <c r="F268" t="s">
        <v>984</v>
      </c>
      <c r="G268" t="s">
        <v>2259</v>
      </c>
      <c r="H268" t="s">
        <v>592</v>
      </c>
      <c r="J268" s="519">
        <v>46134</v>
      </c>
      <c r="U268" s="519">
        <v>46170</v>
      </c>
    </row>
    <row r="269" spans="1:21">
      <c r="A269" t="s">
        <v>953</v>
      </c>
      <c r="B269" t="s">
        <v>3319</v>
      </c>
      <c r="C269" t="s">
        <v>953</v>
      </c>
      <c r="D269">
        <v>20437696</v>
      </c>
      <c r="E269" t="s">
        <v>2252</v>
      </c>
      <c r="F269" t="s">
        <v>581</v>
      </c>
      <c r="G269" t="s">
        <v>2250</v>
      </c>
      <c r="H269" t="s">
        <v>592</v>
      </c>
      <c r="J269" s="519">
        <v>46052</v>
      </c>
      <c r="K269" s="519">
        <v>46052</v>
      </c>
      <c r="R269" s="519">
        <v>46114</v>
      </c>
      <c r="U269" s="519">
        <v>46174</v>
      </c>
    </row>
    <row r="270" spans="1:21">
      <c r="A270" t="s">
        <v>953</v>
      </c>
      <c r="B270" t="s">
        <v>6957</v>
      </c>
      <c r="C270" t="s">
        <v>953</v>
      </c>
      <c r="D270">
        <v>20500330</v>
      </c>
      <c r="E270" t="s">
        <v>2258</v>
      </c>
      <c r="F270" t="s">
        <v>984</v>
      </c>
      <c r="G270" t="s">
        <v>2250</v>
      </c>
      <c r="H270" t="s">
        <v>2361</v>
      </c>
      <c r="J270" s="519">
        <v>46129</v>
      </c>
      <c r="R270" s="519">
        <v>46139</v>
      </c>
      <c r="U270" s="519">
        <v>46143</v>
      </c>
    </row>
    <row r="271" spans="1:21">
      <c r="A271" t="s">
        <v>953</v>
      </c>
      <c r="B271" t="s">
        <v>2856</v>
      </c>
      <c r="C271" t="s">
        <v>953</v>
      </c>
      <c r="D271">
        <v>20480378</v>
      </c>
      <c r="E271" t="s">
        <v>2258</v>
      </c>
      <c r="F271" t="s">
        <v>984</v>
      </c>
      <c r="G271" t="s">
        <v>2250</v>
      </c>
      <c r="H271" t="s">
        <v>592</v>
      </c>
      <c r="J271" s="519">
        <v>46106</v>
      </c>
      <c r="R271" s="519">
        <v>46114</v>
      </c>
      <c r="U271" s="519">
        <v>46183</v>
      </c>
    </row>
    <row r="272" spans="1:21">
      <c r="A272" t="s">
        <v>953</v>
      </c>
      <c r="B272" t="s">
        <v>3320</v>
      </c>
      <c r="C272" t="s">
        <v>953</v>
      </c>
      <c r="D272">
        <v>20410082</v>
      </c>
      <c r="E272" t="s">
        <v>2252</v>
      </c>
      <c r="F272" t="s">
        <v>2256</v>
      </c>
      <c r="G272" t="s">
        <v>2248</v>
      </c>
      <c r="H272" t="s">
        <v>588</v>
      </c>
      <c r="J272" s="519">
        <v>46010</v>
      </c>
      <c r="K272" s="519">
        <v>46020</v>
      </c>
      <c r="R272" s="519">
        <v>46114</v>
      </c>
      <c r="U272" s="519">
        <v>46010</v>
      </c>
    </row>
    <row r="273" spans="1:21">
      <c r="A273" t="s">
        <v>953</v>
      </c>
      <c r="B273" t="s">
        <v>6958</v>
      </c>
      <c r="C273" t="s">
        <v>953</v>
      </c>
      <c r="D273">
        <v>20501950</v>
      </c>
      <c r="E273" t="s">
        <v>2245</v>
      </c>
      <c r="F273" t="s">
        <v>984</v>
      </c>
      <c r="G273" t="s">
        <v>2246</v>
      </c>
      <c r="H273" t="s">
        <v>592</v>
      </c>
      <c r="J273" s="519">
        <v>46132</v>
      </c>
      <c r="U273" s="519">
        <v>46200</v>
      </c>
    </row>
    <row r="274" spans="1:21">
      <c r="A274" t="s">
        <v>953</v>
      </c>
      <c r="B274" t="s">
        <v>3321</v>
      </c>
      <c r="C274" t="s">
        <v>953</v>
      </c>
      <c r="D274">
        <v>20433203</v>
      </c>
      <c r="E274" t="s">
        <v>2258</v>
      </c>
      <c r="F274" t="s">
        <v>984</v>
      </c>
      <c r="G274" t="s">
        <v>2246</v>
      </c>
      <c r="H274" t="s">
        <v>587</v>
      </c>
      <c r="J274" s="519">
        <v>46045</v>
      </c>
      <c r="R274" s="519">
        <v>46114</v>
      </c>
      <c r="U274" s="519">
        <v>46045</v>
      </c>
    </row>
    <row r="275" spans="1:21">
      <c r="A275" t="s">
        <v>953</v>
      </c>
      <c r="B275" t="s">
        <v>3322</v>
      </c>
      <c r="C275" t="s">
        <v>953</v>
      </c>
      <c r="D275">
        <v>20416971</v>
      </c>
      <c r="E275" t="s">
        <v>2258</v>
      </c>
      <c r="F275" t="s">
        <v>2256</v>
      </c>
      <c r="G275" t="s">
        <v>2290</v>
      </c>
      <c r="H275" t="s">
        <v>587</v>
      </c>
      <c r="J275" s="519">
        <v>46024</v>
      </c>
      <c r="R275" s="519">
        <v>46114</v>
      </c>
      <c r="U275" s="519">
        <v>46055</v>
      </c>
    </row>
    <row r="276" spans="1:21">
      <c r="A276" t="s">
        <v>953</v>
      </c>
      <c r="B276" t="s">
        <v>6959</v>
      </c>
      <c r="C276" t="s">
        <v>953</v>
      </c>
      <c r="D276">
        <v>20510385</v>
      </c>
      <c r="E276" t="s">
        <v>2245</v>
      </c>
      <c r="F276" t="s">
        <v>984</v>
      </c>
      <c r="G276" t="s">
        <v>2250</v>
      </c>
      <c r="H276" t="s">
        <v>6960</v>
      </c>
      <c r="J276" s="519">
        <v>46138</v>
      </c>
      <c r="U276" s="519">
        <v>46143</v>
      </c>
    </row>
    <row r="277" spans="1:21">
      <c r="A277" t="s">
        <v>953</v>
      </c>
      <c r="B277" t="s">
        <v>2857</v>
      </c>
      <c r="C277" t="s">
        <v>953</v>
      </c>
      <c r="D277">
        <v>20464435</v>
      </c>
      <c r="E277" t="s">
        <v>2258</v>
      </c>
      <c r="F277" t="s">
        <v>984</v>
      </c>
      <c r="G277" t="s">
        <v>2246</v>
      </c>
      <c r="H277" t="s">
        <v>587</v>
      </c>
      <c r="J277" s="519">
        <v>46088</v>
      </c>
      <c r="R277" s="519">
        <v>46114</v>
      </c>
      <c r="U277" s="519">
        <v>46088</v>
      </c>
    </row>
    <row r="278" spans="1:21">
      <c r="A278" t="s">
        <v>953</v>
      </c>
      <c r="B278" t="s">
        <v>3323</v>
      </c>
      <c r="C278" t="s">
        <v>953</v>
      </c>
      <c r="D278">
        <v>20492348</v>
      </c>
      <c r="E278" t="s">
        <v>2258</v>
      </c>
      <c r="F278" t="s">
        <v>581</v>
      </c>
      <c r="G278" t="s">
        <v>1213</v>
      </c>
      <c r="H278" t="s">
        <v>588</v>
      </c>
      <c r="J278" s="519">
        <v>46123</v>
      </c>
      <c r="R278" s="519">
        <v>46139</v>
      </c>
      <c r="U278" s="519">
        <v>46123</v>
      </c>
    </row>
    <row r="279" spans="1:21">
      <c r="A279" t="s">
        <v>953</v>
      </c>
      <c r="B279" t="s">
        <v>2336</v>
      </c>
      <c r="C279" t="s">
        <v>953</v>
      </c>
      <c r="D279">
        <v>20439286</v>
      </c>
      <c r="E279" t="s">
        <v>2252</v>
      </c>
      <c r="F279" t="s">
        <v>581</v>
      </c>
      <c r="G279" t="s">
        <v>2250</v>
      </c>
      <c r="H279" t="s">
        <v>587</v>
      </c>
      <c r="I279" t="s">
        <v>2337</v>
      </c>
      <c r="J279" s="519">
        <v>46055</v>
      </c>
      <c r="K279" s="519">
        <v>46055</v>
      </c>
      <c r="R279" s="519">
        <v>46114</v>
      </c>
      <c r="U279" s="519">
        <v>46057</v>
      </c>
    </row>
    <row r="280" spans="1:21">
      <c r="A280" t="s">
        <v>953</v>
      </c>
      <c r="B280" t="s">
        <v>2858</v>
      </c>
      <c r="C280" t="s">
        <v>953</v>
      </c>
      <c r="D280">
        <v>20462067</v>
      </c>
      <c r="E280" t="s">
        <v>2258</v>
      </c>
      <c r="F280" t="s">
        <v>581</v>
      </c>
      <c r="G280" t="s">
        <v>2290</v>
      </c>
      <c r="H280" t="s">
        <v>2469</v>
      </c>
      <c r="J280" s="519">
        <v>46085</v>
      </c>
      <c r="R280" s="519">
        <v>46139</v>
      </c>
      <c r="U280" s="519">
        <v>46085</v>
      </c>
    </row>
    <row r="281" spans="1:21">
      <c r="A281" t="s">
        <v>953</v>
      </c>
      <c r="B281" t="s">
        <v>2859</v>
      </c>
      <c r="C281" t="s">
        <v>953</v>
      </c>
      <c r="D281">
        <v>20476333</v>
      </c>
      <c r="E281" t="s">
        <v>2258</v>
      </c>
      <c r="F281" t="s">
        <v>578</v>
      </c>
      <c r="G281" t="s">
        <v>2250</v>
      </c>
      <c r="H281" t="s">
        <v>592</v>
      </c>
      <c r="I281" t="s">
        <v>2420</v>
      </c>
      <c r="J281" s="519">
        <v>46100</v>
      </c>
      <c r="R281" s="519">
        <v>46114</v>
      </c>
      <c r="U281" s="519">
        <v>46113</v>
      </c>
    </row>
    <row r="282" spans="1:21">
      <c r="A282" t="s">
        <v>953</v>
      </c>
      <c r="B282" t="s">
        <v>6961</v>
      </c>
      <c r="C282" t="s">
        <v>953</v>
      </c>
      <c r="D282">
        <v>20500523</v>
      </c>
      <c r="E282" t="s">
        <v>2258</v>
      </c>
      <c r="F282" t="s">
        <v>984</v>
      </c>
      <c r="G282" t="s">
        <v>2246</v>
      </c>
      <c r="H282" t="s">
        <v>592</v>
      </c>
      <c r="J282" s="519">
        <v>46130</v>
      </c>
      <c r="R282" s="519">
        <v>46139</v>
      </c>
      <c r="U282" s="519">
        <v>46238</v>
      </c>
    </row>
    <row r="283" spans="1:21">
      <c r="A283" t="s">
        <v>953</v>
      </c>
      <c r="B283" t="s">
        <v>2860</v>
      </c>
      <c r="C283" t="s">
        <v>953</v>
      </c>
      <c r="D283">
        <v>20479253</v>
      </c>
      <c r="E283" t="s">
        <v>2258</v>
      </c>
      <c r="F283" t="s">
        <v>579</v>
      </c>
      <c r="G283" t="s">
        <v>2248</v>
      </c>
      <c r="H283" t="s">
        <v>588</v>
      </c>
      <c r="I283" t="s">
        <v>2861</v>
      </c>
      <c r="J283" s="519">
        <v>46105</v>
      </c>
      <c r="R283" s="519">
        <v>46114</v>
      </c>
      <c r="U283" s="519">
        <v>46105</v>
      </c>
    </row>
    <row r="284" spans="1:21">
      <c r="A284" t="s">
        <v>953</v>
      </c>
      <c r="B284" t="s">
        <v>3324</v>
      </c>
      <c r="C284" t="s">
        <v>953</v>
      </c>
      <c r="D284">
        <v>20486913</v>
      </c>
      <c r="E284" t="s">
        <v>1100</v>
      </c>
      <c r="F284" t="s">
        <v>581</v>
      </c>
      <c r="G284" t="s">
        <v>2250</v>
      </c>
      <c r="H284" t="s">
        <v>587</v>
      </c>
      <c r="I284" t="s">
        <v>1724</v>
      </c>
      <c r="J284" s="519">
        <v>46116</v>
      </c>
      <c r="K284" s="519">
        <v>46116</v>
      </c>
      <c r="U284" s="519">
        <v>46142</v>
      </c>
    </row>
    <row r="285" spans="1:21">
      <c r="A285" t="s">
        <v>953</v>
      </c>
      <c r="B285" t="s">
        <v>6962</v>
      </c>
      <c r="C285" t="s">
        <v>953</v>
      </c>
      <c r="D285">
        <v>20510245</v>
      </c>
      <c r="E285" t="s">
        <v>2245</v>
      </c>
      <c r="F285" t="s">
        <v>984</v>
      </c>
      <c r="G285" t="s">
        <v>2250</v>
      </c>
      <c r="H285" t="s">
        <v>2361</v>
      </c>
      <c r="J285" s="519">
        <v>46138</v>
      </c>
      <c r="U285" s="519">
        <v>46143</v>
      </c>
    </row>
    <row r="286" spans="1:21">
      <c r="A286" t="s">
        <v>953</v>
      </c>
      <c r="B286" t="s">
        <v>3325</v>
      </c>
      <c r="C286" t="s">
        <v>953</v>
      </c>
      <c r="D286">
        <v>20493368</v>
      </c>
      <c r="E286" t="s">
        <v>2258</v>
      </c>
      <c r="F286" t="s">
        <v>581</v>
      </c>
      <c r="G286" t="s">
        <v>2248</v>
      </c>
      <c r="H286" t="s">
        <v>592</v>
      </c>
      <c r="I286" t="s">
        <v>570</v>
      </c>
      <c r="J286" s="519">
        <v>46125</v>
      </c>
      <c r="R286" s="519">
        <v>46130</v>
      </c>
      <c r="U286" s="519">
        <v>46125</v>
      </c>
    </row>
    <row r="287" spans="1:21">
      <c r="A287" t="s">
        <v>953</v>
      </c>
      <c r="B287" t="s">
        <v>3325</v>
      </c>
      <c r="C287" t="s">
        <v>953</v>
      </c>
      <c r="D287">
        <v>20493394</v>
      </c>
      <c r="E287" t="s">
        <v>2324</v>
      </c>
      <c r="F287" t="s">
        <v>579</v>
      </c>
      <c r="G287" t="s">
        <v>2250</v>
      </c>
      <c r="H287" t="s">
        <v>592</v>
      </c>
      <c r="I287" t="s">
        <v>6661</v>
      </c>
      <c r="J287" s="519">
        <v>46125</v>
      </c>
      <c r="K287" s="519">
        <v>46125</v>
      </c>
      <c r="L287" s="519">
        <v>46125</v>
      </c>
      <c r="M287" s="519">
        <v>46135</v>
      </c>
      <c r="N287" s="519">
        <v>46135</v>
      </c>
      <c r="P287" s="519">
        <v>46136</v>
      </c>
      <c r="Q287" s="519">
        <v>46136</v>
      </c>
      <c r="U287" s="519">
        <v>46140</v>
      </c>
    </row>
    <row r="288" spans="1:21">
      <c r="A288" t="s">
        <v>953</v>
      </c>
      <c r="B288" t="s">
        <v>3326</v>
      </c>
      <c r="C288" t="s">
        <v>953</v>
      </c>
      <c r="D288">
        <v>20487847</v>
      </c>
      <c r="E288" t="s">
        <v>2258</v>
      </c>
      <c r="F288" t="s">
        <v>984</v>
      </c>
      <c r="G288" t="s">
        <v>2246</v>
      </c>
      <c r="H288" t="s">
        <v>587</v>
      </c>
      <c r="J288" s="519">
        <v>46118</v>
      </c>
      <c r="R288" s="519">
        <v>46139</v>
      </c>
      <c r="U288" s="519">
        <v>46183</v>
      </c>
    </row>
    <row r="289" spans="1:21">
      <c r="A289" t="s">
        <v>953</v>
      </c>
      <c r="B289" t="s">
        <v>3327</v>
      </c>
      <c r="C289" t="s">
        <v>953</v>
      </c>
      <c r="D289">
        <v>20412177</v>
      </c>
      <c r="E289" t="s">
        <v>2252</v>
      </c>
      <c r="F289" t="s">
        <v>579</v>
      </c>
      <c r="G289" t="s">
        <v>2250</v>
      </c>
      <c r="H289" t="s">
        <v>587</v>
      </c>
      <c r="I289" t="s">
        <v>2926</v>
      </c>
      <c r="J289" s="519">
        <v>46015</v>
      </c>
      <c r="K289" s="519">
        <v>46015</v>
      </c>
      <c r="R289" s="519">
        <v>46114</v>
      </c>
      <c r="U289" s="519">
        <v>46034</v>
      </c>
    </row>
    <row r="290" spans="1:21">
      <c r="A290" t="s">
        <v>953</v>
      </c>
      <c r="B290" t="s">
        <v>6963</v>
      </c>
      <c r="C290" t="s">
        <v>953</v>
      </c>
      <c r="D290">
        <v>20494774</v>
      </c>
      <c r="E290" t="s">
        <v>2258</v>
      </c>
      <c r="F290" t="s">
        <v>581</v>
      </c>
      <c r="G290" t="s">
        <v>2250</v>
      </c>
      <c r="H290" t="s">
        <v>592</v>
      </c>
      <c r="J290" s="519">
        <v>46126</v>
      </c>
      <c r="R290" s="519">
        <v>46139</v>
      </c>
      <c r="U290" s="519">
        <v>46143</v>
      </c>
    </row>
    <row r="291" spans="1:21">
      <c r="A291" t="s">
        <v>953</v>
      </c>
      <c r="B291" t="s">
        <v>3328</v>
      </c>
      <c r="C291" t="s">
        <v>953</v>
      </c>
      <c r="D291">
        <v>20492297</v>
      </c>
      <c r="E291" t="s">
        <v>2258</v>
      </c>
      <c r="F291" t="s">
        <v>581</v>
      </c>
      <c r="G291" t="s">
        <v>2290</v>
      </c>
      <c r="H291" t="s">
        <v>588</v>
      </c>
      <c r="J291" s="519">
        <v>46123</v>
      </c>
      <c r="R291" s="519">
        <v>46139</v>
      </c>
      <c r="U291" s="519">
        <v>46123</v>
      </c>
    </row>
    <row r="292" spans="1:21">
      <c r="A292" t="s">
        <v>953</v>
      </c>
      <c r="B292" t="s">
        <v>2338</v>
      </c>
      <c r="C292" t="s">
        <v>953</v>
      </c>
      <c r="D292">
        <v>20450299</v>
      </c>
      <c r="E292" t="s">
        <v>2252</v>
      </c>
      <c r="F292" t="s">
        <v>579</v>
      </c>
      <c r="G292" t="s">
        <v>2250</v>
      </c>
      <c r="H292" t="s">
        <v>591</v>
      </c>
      <c r="J292" s="519">
        <v>46070</v>
      </c>
      <c r="K292" s="519">
        <v>46070</v>
      </c>
      <c r="R292" s="519">
        <v>46116</v>
      </c>
      <c r="U292" s="519">
        <v>46080</v>
      </c>
    </row>
    <row r="293" spans="1:21">
      <c r="A293" t="s">
        <v>953</v>
      </c>
      <c r="B293" t="s">
        <v>2338</v>
      </c>
      <c r="C293" t="s">
        <v>953</v>
      </c>
      <c r="D293">
        <v>20450291</v>
      </c>
      <c r="E293" t="s">
        <v>2258</v>
      </c>
      <c r="F293" t="s">
        <v>984</v>
      </c>
      <c r="G293" t="s">
        <v>2246</v>
      </c>
      <c r="H293" t="s">
        <v>591</v>
      </c>
      <c r="J293" s="519">
        <v>46070</v>
      </c>
      <c r="R293" s="519">
        <v>46114</v>
      </c>
      <c r="U293" s="519">
        <v>46070</v>
      </c>
    </row>
    <row r="294" spans="1:21">
      <c r="A294" t="s">
        <v>953</v>
      </c>
      <c r="B294" t="s">
        <v>3329</v>
      </c>
      <c r="C294" t="s">
        <v>953</v>
      </c>
      <c r="D294">
        <v>20491369</v>
      </c>
      <c r="E294" t="s">
        <v>1100</v>
      </c>
      <c r="F294" t="s">
        <v>582</v>
      </c>
      <c r="G294" t="s">
        <v>2250</v>
      </c>
      <c r="H294" t="s">
        <v>587</v>
      </c>
      <c r="I294" t="s">
        <v>3330</v>
      </c>
      <c r="J294" s="519">
        <v>46121</v>
      </c>
      <c r="K294" s="519">
        <v>46121</v>
      </c>
      <c r="U294" s="519">
        <v>46170</v>
      </c>
    </row>
    <row r="295" spans="1:21">
      <c r="A295" t="s">
        <v>953</v>
      </c>
      <c r="B295" t="s">
        <v>3331</v>
      </c>
      <c r="C295" t="s">
        <v>953</v>
      </c>
      <c r="D295">
        <v>20433839</v>
      </c>
      <c r="E295" t="s">
        <v>2258</v>
      </c>
      <c r="F295" t="s">
        <v>984</v>
      </c>
      <c r="G295" t="s">
        <v>2290</v>
      </c>
      <c r="H295" t="s">
        <v>592</v>
      </c>
      <c r="J295" s="519">
        <v>46045</v>
      </c>
      <c r="R295" s="519">
        <v>46114</v>
      </c>
      <c r="U295" s="519">
        <v>46116</v>
      </c>
    </row>
    <row r="296" spans="1:21">
      <c r="A296" t="s">
        <v>953</v>
      </c>
      <c r="B296" t="s">
        <v>2340</v>
      </c>
      <c r="C296" t="s">
        <v>953</v>
      </c>
      <c r="D296">
        <v>20452178</v>
      </c>
      <c r="E296" t="s">
        <v>2252</v>
      </c>
      <c r="F296" t="s">
        <v>581</v>
      </c>
      <c r="G296" t="s">
        <v>2248</v>
      </c>
      <c r="H296" t="s">
        <v>588</v>
      </c>
      <c r="I296" t="s">
        <v>1042</v>
      </c>
      <c r="J296" s="519">
        <v>46071</v>
      </c>
      <c r="K296" s="519">
        <v>46071</v>
      </c>
      <c r="R296" s="519">
        <v>46116</v>
      </c>
      <c r="U296" s="519">
        <v>46088</v>
      </c>
    </row>
    <row r="297" spans="1:21">
      <c r="A297" t="s">
        <v>953</v>
      </c>
      <c r="B297" t="s">
        <v>6964</v>
      </c>
      <c r="C297" t="s">
        <v>953</v>
      </c>
      <c r="D297">
        <v>20498889</v>
      </c>
      <c r="E297" t="s">
        <v>1100</v>
      </c>
      <c r="F297" t="s">
        <v>1115</v>
      </c>
      <c r="G297" t="s">
        <v>2250</v>
      </c>
      <c r="H297" t="s">
        <v>587</v>
      </c>
      <c r="J297" s="519">
        <v>46129</v>
      </c>
      <c r="K297" s="519">
        <v>46129</v>
      </c>
      <c r="U297" s="519">
        <v>46142</v>
      </c>
    </row>
    <row r="298" spans="1:21">
      <c r="A298" t="s">
        <v>953</v>
      </c>
      <c r="B298" t="s">
        <v>6964</v>
      </c>
      <c r="C298" t="s">
        <v>953</v>
      </c>
      <c r="D298">
        <v>20498787</v>
      </c>
      <c r="E298" t="s">
        <v>1100</v>
      </c>
      <c r="F298" t="s">
        <v>582</v>
      </c>
      <c r="G298" t="s">
        <v>2290</v>
      </c>
      <c r="H298" t="s">
        <v>587</v>
      </c>
      <c r="I298" t="s">
        <v>1362</v>
      </c>
      <c r="J298" s="519">
        <v>46129</v>
      </c>
      <c r="K298" s="519">
        <v>46129</v>
      </c>
      <c r="U298" s="519">
        <v>46142</v>
      </c>
    </row>
    <row r="299" spans="1:21">
      <c r="A299" t="s">
        <v>953</v>
      </c>
      <c r="B299" t="s">
        <v>3332</v>
      </c>
      <c r="C299" t="s">
        <v>953</v>
      </c>
      <c r="D299">
        <v>20485744</v>
      </c>
      <c r="E299" t="s">
        <v>2245</v>
      </c>
      <c r="F299" t="s">
        <v>581</v>
      </c>
      <c r="G299" t="s">
        <v>2290</v>
      </c>
      <c r="H299" t="s">
        <v>587</v>
      </c>
      <c r="J299" s="519">
        <v>46114</v>
      </c>
      <c r="U299" s="519">
        <v>46114</v>
      </c>
    </row>
    <row r="300" spans="1:21">
      <c r="A300" t="s">
        <v>953</v>
      </c>
      <c r="B300" t="s">
        <v>6965</v>
      </c>
      <c r="C300" t="s">
        <v>953</v>
      </c>
      <c r="D300">
        <v>20510687</v>
      </c>
      <c r="E300" t="s">
        <v>2245</v>
      </c>
      <c r="F300" t="s">
        <v>984</v>
      </c>
      <c r="G300" t="s">
        <v>2248</v>
      </c>
      <c r="H300" t="s">
        <v>588</v>
      </c>
      <c r="I300" t="s">
        <v>1833</v>
      </c>
      <c r="J300" s="519">
        <v>46139</v>
      </c>
      <c r="U300" s="519">
        <v>46139</v>
      </c>
    </row>
    <row r="301" spans="1:21">
      <c r="A301" t="s">
        <v>953</v>
      </c>
      <c r="B301" t="s">
        <v>3333</v>
      </c>
      <c r="C301" t="s">
        <v>953</v>
      </c>
      <c r="D301">
        <v>20491378</v>
      </c>
      <c r="E301" t="s">
        <v>1100</v>
      </c>
      <c r="F301" t="s">
        <v>581</v>
      </c>
      <c r="G301" t="s">
        <v>2250</v>
      </c>
      <c r="H301" t="s">
        <v>587</v>
      </c>
      <c r="I301" t="s">
        <v>1171</v>
      </c>
      <c r="J301" s="519">
        <v>46121</v>
      </c>
      <c r="K301" s="519">
        <v>46121</v>
      </c>
      <c r="U301" s="519">
        <v>46136</v>
      </c>
    </row>
    <row r="302" spans="1:21">
      <c r="A302" t="s">
        <v>953</v>
      </c>
      <c r="B302" t="s">
        <v>3334</v>
      </c>
      <c r="C302" t="s">
        <v>953</v>
      </c>
      <c r="D302">
        <v>20416793</v>
      </c>
      <c r="E302" t="s">
        <v>2258</v>
      </c>
      <c r="F302" t="s">
        <v>984</v>
      </c>
      <c r="G302" t="s">
        <v>2259</v>
      </c>
      <c r="H302" t="s">
        <v>592</v>
      </c>
      <c r="J302" s="519">
        <v>46024</v>
      </c>
      <c r="R302" s="519">
        <v>46114</v>
      </c>
      <c r="U302" s="519">
        <v>46024</v>
      </c>
    </row>
    <row r="303" spans="1:21">
      <c r="A303" t="s">
        <v>953</v>
      </c>
      <c r="B303" t="s">
        <v>2341</v>
      </c>
      <c r="C303" t="s">
        <v>953</v>
      </c>
      <c r="D303">
        <v>20440808</v>
      </c>
      <c r="E303" t="s">
        <v>2258</v>
      </c>
      <c r="F303" t="s">
        <v>581</v>
      </c>
      <c r="G303" t="s">
        <v>1213</v>
      </c>
      <c r="H303" t="s">
        <v>591</v>
      </c>
      <c r="J303" s="519">
        <v>46057</v>
      </c>
      <c r="R303" s="519">
        <v>46114</v>
      </c>
      <c r="U303" s="519">
        <v>46057</v>
      </c>
    </row>
    <row r="304" spans="1:21">
      <c r="A304" t="s">
        <v>953</v>
      </c>
      <c r="B304" t="s">
        <v>2341</v>
      </c>
      <c r="C304" t="s">
        <v>953</v>
      </c>
      <c r="D304">
        <v>20442446</v>
      </c>
      <c r="E304" t="s">
        <v>2252</v>
      </c>
      <c r="F304" t="s">
        <v>578</v>
      </c>
      <c r="G304" t="s">
        <v>2250</v>
      </c>
      <c r="H304" t="s">
        <v>587</v>
      </c>
      <c r="J304" s="519">
        <v>46059</v>
      </c>
      <c r="K304" s="519">
        <v>46059</v>
      </c>
      <c r="R304" s="519">
        <v>46114</v>
      </c>
      <c r="U304" s="519">
        <v>46101</v>
      </c>
    </row>
    <row r="305" spans="1:21">
      <c r="A305" t="s">
        <v>953</v>
      </c>
      <c r="B305" t="s">
        <v>2862</v>
      </c>
      <c r="C305" t="s">
        <v>953</v>
      </c>
      <c r="D305">
        <v>20471670</v>
      </c>
      <c r="E305" t="s">
        <v>2258</v>
      </c>
      <c r="F305" t="s">
        <v>984</v>
      </c>
      <c r="G305" t="s">
        <v>2250</v>
      </c>
      <c r="H305" t="s">
        <v>592</v>
      </c>
      <c r="J305" s="519">
        <v>46095</v>
      </c>
      <c r="R305" s="519">
        <v>46114</v>
      </c>
      <c r="U305" s="519">
        <v>46155</v>
      </c>
    </row>
    <row r="306" spans="1:21">
      <c r="A306" t="s">
        <v>953</v>
      </c>
      <c r="B306" t="s">
        <v>2342</v>
      </c>
      <c r="C306" t="s">
        <v>953</v>
      </c>
      <c r="D306">
        <v>20448792</v>
      </c>
      <c r="E306" t="s">
        <v>2252</v>
      </c>
      <c r="F306" t="s">
        <v>1115</v>
      </c>
      <c r="G306" t="s">
        <v>2250</v>
      </c>
      <c r="H306" t="s">
        <v>592</v>
      </c>
      <c r="I306" t="s">
        <v>1397</v>
      </c>
      <c r="J306" s="519">
        <v>46066</v>
      </c>
      <c r="K306" s="519">
        <v>46066</v>
      </c>
      <c r="R306" s="519">
        <v>46114</v>
      </c>
      <c r="U306" s="519">
        <v>46083</v>
      </c>
    </row>
    <row r="307" spans="1:21">
      <c r="A307" t="s">
        <v>953</v>
      </c>
      <c r="B307" t="s">
        <v>1099</v>
      </c>
      <c r="C307" t="s">
        <v>953</v>
      </c>
      <c r="D307">
        <v>20440548</v>
      </c>
      <c r="E307" t="s">
        <v>2252</v>
      </c>
      <c r="F307" t="s">
        <v>984</v>
      </c>
      <c r="G307" t="s">
        <v>2250</v>
      </c>
      <c r="H307" t="s">
        <v>587</v>
      </c>
      <c r="I307" t="s">
        <v>1098</v>
      </c>
      <c r="J307" s="519">
        <v>46056</v>
      </c>
      <c r="K307" s="519">
        <v>46056</v>
      </c>
      <c r="R307" s="519">
        <v>46114</v>
      </c>
      <c r="U307" s="519">
        <v>46062</v>
      </c>
    </row>
    <row r="308" spans="1:21">
      <c r="A308" t="s">
        <v>953</v>
      </c>
      <c r="B308" t="s">
        <v>2864</v>
      </c>
      <c r="C308" t="s">
        <v>953</v>
      </c>
      <c r="D308">
        <v>20482294</v>
      </c>
      <c r="E308" t="s">
        <v>2258</v>
      </c>
      <c r="F308" t="s">
        <v>984</v>
      </c>
      <c r="G308" t="s">
        <v>2250</v>
      </c>
      <c r="H308" t="s">
        <v>592</v>
      </c>
      <c r="J308" s="519">
        <v>46109</v>
      </c>
      <c r="R308" s="519">
        <v>46139</v>
      </c>
      <c r="U308" s="519">
        <v>46143</v>
      </c>
    </row>
    <row r="309" spans="1:21">
      <c r="A309" t="s">
        <v>953</v>
      </c>
      <c r="B309" t="s">
        <v>2865</v>
      </c>
      <c r="C309" t="s">
        <v>953</v>
      </c>
      <c r="D309">
        <v>20479869</v>
      </c>
      <c r="E309" t="s">
        <v>2258</v>
      </c>
      <c r="F309" t="s">
        <v>984</v>
      </c>
      <c r="G309" t="s">
        <v>2246</v>
      </c>
      <c r="H309" t="s">
        <v>592</v>
      </c>
      <c r="J309" s="519">
        <v>46106</v>
      </c>
      <c r="R309" s="519">
        <v>46114</v>
      </c>
      <c r="U309" s="519">
        <v>46171</v>
      </c>
    </row>
    <row r="310" spans="1:21">
      <c r="A310" t="s">
        <v>953</v>
      </c>
      <c r="B310" t="s">
        <v>3335</v>
      </c>
      <c r="C310" t="s">
        <v>953</v>
      </c>
      <c r="D310">
        <v>20488358</v>
      </c>
      <c r="E310" t="s">
        <v>2258</v>
      </c>
      <c r="F310" t="s">
        <v>577</v>
      </c>
      <c r="G310" t="s">
        <v>2248</v>
      </c>
      <c r="H310" t="s">
        <v>592</v>
      </c>
      <c r="J310" s="519">
        <v>46118</v>
      </c>
      <c r="R310" s="519">
        <v>46123</v>
      </c>
      <c r="U310" s="519">
        <v>46196</v>
      </c>
    </row>
    <row r="311" spans="1:21">
      <c r="A311" t="s">
        <v>953</v>
      </c>
      <c r="B311" t="s">
        <v>3336</v>
      </c>
      <c r="C311" t="s">
        <v>953</v>
      </c>
      <c r="D311">
        <v>20416613</v>
      </c>
      <c r="E311" t="s">
        <v>2252</v>
      </c>
      <c r="F311" t="s">
        <v>577</v>
      </c>
      <c r="G311" t="s">
        <v>2250</v>
      </c>
      <c r="H311" t="s">
        <v>587</v>
      </c>
      <c r="I311" t="s">
        <v>3337</v>
      </c>
      <c r="J311" s="519">
        <v>46024</v>
      </c>
      <c r="K311" s="519">
        <v>46024</v>
      </c>
      <c r="R311" s="519">
        <v>46114</v>
      </c>
      <c r="U311" s="519">
        <v>46052</v>
      </c>
    </row>
    <row r="312" spans="1:21">
      <c r="A312" t="s">
        <v>953</v>
      </c>
      <c r="B312" t="s">
        <v>2866</v>
      </c>
      <c r="C312" t="s">
        <v>953</v>
      </c>
      <c r="D312">
        <v>20471511</v>
      </c>
      <c r="E312" t="s">
        <v>2252</v>
      </c>
      <c r="F312" t="s">
        <v>1115</v>
      </c>
      <c r="G312" t="s">
        <v>2250</v>
      </c>
      <c r="H312" t="s">
        <v>587</v>
      </c>
      <c r="J312" s="519">
        <v>46095</v>
      </c>
      <c r="K312" s="519">
        <v>46095</v>
      </c>
      <c r="R312" s="519">
        <v>46115</v>
      </c>
      <c r="U312" s="519">
        <v>46095</v>
      </c>
    </row>
    <row r="313" spans="1:21">
      <c r="A313" t="s">
        <v>953</v>
      </c>
      <c r="B313" t="s">
        <v>2867</v>
      </c>
      <c r="C313" t="s">
        <v>953</v>
      </c>
      <c r="D313">
        <v>20475789</v>
      </c>
      <c r="E313" t="s">
        <v>2258</v>
      </c>
      <c r="F313" t="s">
        <v>579</v>
      </c>
      <c r="G313" t="s">
        <v>2248</v>
      </c>
      <c r="H313" t="s">
        <v>592</v>
      </c>
      <c r="I313" t="s">
        <v>1034</v>
      </c>
      <c r="J313" s="519">
        <v>46100</v>
      </c>
      <c r="R313" s="519">
        <v>46114</v>
      </c>
      <c r="U313" s="519">
        <v>46109</v>
      </c>
    </row>
    <row r="314" spans="1:21">
      <c r="A314" t="s">
        <v>953</v>
      </c>
      <c r="B314" t="s">
        <v>2868</v>
      </c>
      <c r="C314" t="s">
        <v>953</v>
      </c>
      <c r="D314">
        <v>20467005</v>
      </c>
      <c r="E314" t="s">
        <v>2258</v>
      </c>
      <c r="F314" t="s">
        <v>984</v>
      </c>
      <c r="G314" t="s">
        <v>2290</v>
      </c>
      <c r="H314" t="s">
        <v>591</v>
      </c>
      <c r="J314" s="519">
        <v>46091</v>
      </c>
      <c r="R314" s="519">
        <v>46139</v>
      </c>
      <c r="U314" s="519">
        <v>46091</v>
      </c>
    </row>
    <row r="315" spans="1:21">
      <c r="A315" t="s">
        <v>953</v>
      </c>
      <c r="B315" t="s">
        <v>2869</v>
      </c>
      <c r="C315" t="s">
        <v>953</v>
      </c>
      <c r="D315">
        <v>20477690</v>
      </c>
      <c r="E315" t="s">
        <v>2258</v>
      </c>
      <c r="F315" t="s">
        <v>581</v>
      </c>
      <c r="G315" t="s">
        <v>2250</v>
      </c>
      <c r="H315" t="s">
        <v>592</v>
      </c>
      <c r="J315" s="519">
        <v>46103</v>
      </c>
      <c r="R315" s="519">
        <v>46114</v>
      </c>
      <c r="U315" s="519">
        <v>46112</v>
      </c>
    </row>
    <row r="316" spans="1:21">
      <c r="A316" t="s">
        <v>953</v>
      </c>
      <c r="B316" t="s">
        <v>3338</v>
      </c>
      <c r="C316" t="s">
        <v>953</v>
      </c>
      <c r="D316">
        <v>20418600</v>
      </c>
      <c r="E316" t="s">
        <v>2258</v>
      </c>
      <c r="F316" t="s">
        <v>581</v>
      </c>
      <c r="G316" t="s">
        <v>2259</v>
      </c>
      <c r="H316" t="s">
        <v>587</v>
      </c>
      <c r="J316" s="519">
        <v>46027</v>
      </c>
      <c r="R316" s="519">
        <v>46114</v>
      </c>
      <c r="U316" s="519">
        <v>46027</v>
      </c>
    </row>
    <row r="317" spans="1:21">
      <c r="A317" t="s">
        <v>953</v>
      </c>
      <c r="B317" t="s">
        <v>6966</v>
      </c>
      <c r="C317" t="s">
        <v>953</v>
      </c>
      <c r="D317">
        <v>20412594</v>
      </c>
      <c r="E317" t="s">
        <v>2258</v>
      </c>
      <c r="F317" t="s">
        <v>984</v>
      </c>
      <c r="G317" t="s">
        <v>2246</v>
      </c>
      <c r="H317" t="s">
        <v>592</v>
      </c>
      <c r="J317" s="519">
        <v>46016</v>
      </c>
      <c r="R317" s="519">
        <v>46139</v>
      </c>
      <c r="U317" s="519">
        <v>46151</v>
      </c>
    </row>
    <row r="318" spans="1:21">
      <c r="A318" t="s">
        <v>953</v>
      </c>
      <c r="B318" t="s">
        <v>2344</v>
      </c>
      <c r="C318" t="s">
        <v>953</v>
      </c>
      <c r="D318">
        <v>20449393</v>
      </c>
      <c r="E318" t="s">
        <v>2258</v>
      </c>
      <c r="F318" t="s">
        <v>581</v>
      </c>
      <c r="G318" t="s">
        <v>2259</v>
      </c>
      <c r="H318" t="s">
        <v>592</v>
      </c>
      <c r="J318" s="519">
        <v>46068</v>
      </c>
      <c r="R318" s="519">
        <v>46114</v>
      </c>
      <c r="U318" s="519">
        <v>46265</v>
      </c>
    </row>
    <row r="319" spans="1:21">
      <c r="A319" t="s">
        <v>953</v>
      </c>
      <c r="B319" t="s">
        <v>2870</v>
      </c>
      <c r="C319" t="s">
        <v>953</v>
      </c>
      <c r="D319">
        <v>20476209</v>
      </c>
      <c r="E319" t="s">
        <v>2258</v>
      </c>
      <c r="F319" t="s">
        <v>579</v>
      </c>
      <c r="G319" t="s">
        <v>2259</v>
      </c>
      <c r="H319" t="s">
        <v>592</v>
      </c>
      <c r="J319" s="519">
        <v>46100</v>
      </c>
      <c r="R319" s="519">
        <v>46114</v>
      </c>
      <c r="U319" s="519">
        <v>46130</v>
      </c>
    </row>
    <row r="320" spans="1:21">
      <c r="A320" t="s">
        <v>953</v>
      </c>
      <c r="B320" t="s">
        <v>3339</v>
      </c>
      <c r="C320" t="s">
        <v>953</v>
      </c>
      <c r="D320">
        <v>20420734</v>
      </c>
      <c r="E320" t="s">
        <v>2252</v>
      </c>
      <c r="F320" t="s">
        <v>579</v>
      </c>
      <c r="G320" t="s">
        <v>2250</v>
      </c>
      <c r="H320" t="s">
        <v>587</v>
      </c>
      <c r="J320" s="519">
        <v>46030</v>
      </c>
      <c r="K320" s="519">
        <v>46030</v>
      </c>
      <c r="R320" s="519">
        <v>46114</v>
      </c>
      <c r="U320" s="519">
        <v>46030</v>
      </c>
    </row>
    <row r="321" spans="1:21">
      <c r="A321" t="s">
        <v>953</v>
      </c>
      <c r="B321" t="s">
        <v>3340</v>
      </c>
      <c r="C321" t="s">
        <v>953</v>
      </c>
      <c r="D321">
        <v>20491895</v>
      </c>
      <c r="E321" t="s">
        <v>2258</v>
      </c>
      <c r="F321" t="s">
        <v>984</v>
      </c>
      <c r="G321" t="s">
        <v>2259</v>
      </c>
      <c r="H321" t="s">
        <v>2361</v>
      </c>
      <c r="J321" s="519">
        <v>46122</v>
      </c>
      <c r="R321" s="519">
        <v>46139</v>
      </c>
      <c r="U321" s="519">
        <v>46122</v>
      </c>
    </row>
    <row r="322" spans="1:21">
      <c r="A322" t="s">
        <v>953</v>
      </c>
      <c r="B322" t="s">
        <v>3340</v>
      </c>
      <c r="C322" t="s">
        <v>953</v>
      </c>
      <c r="D322">
        <v>20491898</v>
      </c>
      <c r="E322" t="s">
        <v>2258</v>
      </c>
      <c r="F322" t="s">
        <v>984</v>
      </c>
      <c r="G322" t="s">
        <v>2250</v>
      </c>
      <c r="H322" t="s">
        <v>2361</v>
      </c>
      <c r="J322" s="519">
        <v>46122</v>
      </c>
      <c r="R322" s="519">
        <v>46139</v>
      </c>
      <c r="U322" s="519">
        <v>46156</v>
      </c>
    </row>
    <row r="323" spans="1:21">
      <c r="A323" t="s">
        <v>953</v>
      </c>
      <c r="B323" t="s">
        <v>2871</v>
      </c>
      <c r="C323" t="s">
        <v>953</v>
      </c>
      <c r="D323">
        <v>20474153</v>
      </c>
      <c r="E323" t="s">
        <v>2258</v>
      </c>
      <c r="F323" t="s">
        <v>984</v>
      </c>
      <c r="G323" t="s">
        <v>2250</v>
      </c>
      <c r="H323" t="s">
        <v>592</v>
      </c>
      <c r="J323" s="519">
        <v>46098</v>
      </c>
      <c r="R323" s="519">
        <v>46139</v>
      </c>
      <c r="U323" s="519">
        <v>46099</v>
      </c>
    </row>
    <row r="324" spans="1:21">
      <c r="A324" t="s">
        <v>953</v>
      </c>
      <c r="B324" t="s">
        <v>3341</v>
      </c>
      <c r="C324" t="s">
        <v>953</v>
      </c>
      <c r="D324">
        <v>20487734</v>
      </c>
      <c r="E324" t="s">
        <v>2258</v>
      </c>
      <c r="F324" t="s">
        <v>984</v>
      </c>
      <c r="G324" t="s">
        <v>2250</v>
      </c>
      <c r="H324" t="s">
        <v>592</v>
      </c>
      <c r="J324" s="519">
        <v>46117</v>
      </c>
      <c r="R324" s="519">
        <v>46139</v>
      </c>
      <c r="U324" s="519">
        <v>46204</v>
      </c>
    </row>
    <row r="325" spans="1:21">
      <c r="A325" t="s">
        <v>953</v>
      </c>
      <c r="B325" t="s">
        <v>2872</v>
      </c>
      <c r="C325" t="s">
        <v>953</v>
      </c>
      <c r="D325">
        <v>20482663</v>
      </c>
      <c r="E325" t="s">
        <v>2258</v>
      </c>
      <c r="F325" t="s">
        <v>984</v>
      </c>
      <c r="G325" t="s">
        <v>2290</v>
      </c>
      <c r="H325" t="s">
        <v>592</v>
      </c>
      <c r="J325" s="519">
        <v>46110</v>
      </c>
      <c r="R325" s="519">
        <v>46139</v>
      </c>
      <c r="U325" s="519">
        <v>46110</v>
      </c>
    </row>
    <row r="326" spans="1:21">
      <c r="A326" t="s">
        <v>953</v>
      </c>
      <c r="B326" t="s">
        <v>2873</v>
      </c>
      <c r="C326" t="s">
        <v>953</v>
      </c>
      <c r="D326">
        <v>20482879</v>
      </c>
      <c r="E326" t="s">
        <v>2258</v>
      </c>
      <c r="F326" t="s">
        <v>581</v>
      </c>
      <c r="G326" t="s">
        <v>2250</v>
      </c>
      <c r="H326" t="s">
        <v>592</v>
      </c>
      <c r="J326" s="519">
        <v>46111</v>
      </c>
      <c r="R326" s="519">
        <v>46139</v>
      </c>
      <c r="U326" s="519">
        <v>46141</v>
      </c>
    </row>
    <row r="327" spans="1:21">
      <c r="A327" t="s">
        <v>953</v>
      </c>
      <c r="B327" t="s">
        <v>6967</v>
      </c>
      <c r="C327" t="s">
        <v>953</v>
      </c>
      <c r="D327">
        <v>20495504</v>
      </c>
      <c r="E327" t="s">
        <v>2258</v>
      </c>
      <c r="F327" t="s">
        <v>581</v>
      </c>
      <c r="G327" t="s">
        <v>2250</v>
      </c>
      <c r="H327" t="s">
        <v>592</v>
      </c>
      <c r="J327" s="519">
        <v>46127</v>
      </c>
      <c r="R327" s="519">
        <v>46139</v>
      </c>
      <c r="U327" s="519">
        <v>46142</v>
      </c>
    </row>
    <row r="328" spans="1:21">
      <c r="A328" t="s">
        <v>953</v>
      </c>
      <c r="B328" t="s">
        <v>2874</v>
      </c>
      <c r="C328" t="s">
        <v>953</v>
      </c>
      <c r="D328">
        <v>20481035</v>
      </c>
      <c r="E328" t="s">
        <v>2258</v>
      </c>
      <c r="F328" t="s">
        <v>581</v>
      </c>
      <c r="G328" t="s">
        <v>2250</v>
      </c>
      <c r="H328" t="s">
        <v>592</v>
      </c>
      <c r="J328" s="519">
        <v>46107</v>
      </c>
      <c r="R328" s="519">
        <v>46139</v>
      </c>
      <c r="U328" s="519">
        <v>46143</v>
      </c>
    </row>
    <row r="329" spans="1:21">
      <c r="A329" t="s">
        <v>953</v>
      </c>
      <c r="B329" t="s">
        <v>6968</v>
      </c>
      <c r="C329" t="s">
        <v>953</v>
      </c>
      <c r="D329">
        <v>20507846</v>
      </c>
      <c r="E329" t="s">
        <v>2245</v>
      </c>
      <c r="F329" t="s">
        <v>984</v>
      </c>
      <c r="G329" t="s">
        <v>2246</v>
      </c>
      <c r="H329" t="s">
        <v>587</v>
      </c>
      <c r="J329" s="519">
        <v>46135</v>
      </c>
      <c r="U329" s="519">
        <v>46135</v>
      </c>
    </row>
    <row r="330" spans="1:21">
      <c r="A330" t="s">
        <v>953</v>
      </c>
      <c r="B330" t="s">
        <v>3342</v>
      </c>
      <c r="C330" t="s">
        <v>953</v>
      </c>
      <c r="D330">
        <v>20492773</v>
      </c>
      <c r="E330" t="s">
        <v>1100</v>
      </c>
      <c r="F330" t="s">
        <v>1115</v>
      </c>
      <c r="G330" t="s">
        <v>2250</v>
      </c>
      <c r="H330" t="s">
        <v>587</v>
      </c>
      <c r="J330" s="519">
        <v>46123</v>
      </c>
      <c r="K330" s="519">
        <v>46123</v>
      </c>
      <c r="U330" s="519">
        <v>46204</v>
      </c>
    </row>
    <row r="331" spans="1:21">
      <c r="A331" t="s">
        <v>953</v>
      </c>
      <c r="B331" t="s">
        <v>3343</v>
      </c>
      <c r="C331" t="s">
        <v>953</v>
      </c>
      <c r="D331">
        <v>20490720</v>
      </c>
      <c r="E331" t="s">
        <v>2258</v>
      </c>
      <c r="F331" t="s">
        <v>984</v>
      </c>
      <c r="G331" t="s">
        <v>2246</v>
      </c>
      <c r="H331" t="s">
        <v>591</v>
      </c>
      <c r="J331" s="519">
        <v>46121</v>
      </c>
      <c r="R331" s="519">
        <v>46139</v>
      </c>
      <c r="U331" s="519">
        <v>46121</v>
      </c>
    </row>
    <row r="332" spans="1:21">
      <c r="A332" t="s">
        <v>953</v>
      </c>
      <c r="B332" t="s">
        <v>3344</v>
      </c>
      <c r="C332" t="s">
        <v>953</v>
      </c>
      <c r="D332">
        <v>20491954</v>
      </c>
      <c r="E332" t="s">
        <v>2258</v>
      </c>
      <c r="F332" t="s">
        <v>984</v>
      </c>
      <c r="G332" t="s">
        <v>2250</v>
      </c>
      <c r="H332" t="s">
        <v>592</v>
      </c>
      <c r="J332" s="519">
        <v>46122</v>
      </c>
      <c r="R332" s="519">
        <v>46139</v>
      </c>
      <c r="U332" s="519">
        <v>46123</v>
      </c>
    </row>
    <row r="333" spans="1:21">
      <c r="A333" t="s">
        <v>953</v>
      </c>
      <c r="B333" t="s">
        <v>2875</v>
      </c>
      <c r="C333" t="s">
        <v>953</v>
      </c>
      <c r="D333">
        <v>20472496</v>
      </c>
      <c r="E333" t="s">
        <v>2258</v>
      </c>
      <c r="F333" t="s">
        <v>581</v>
      </c>
      <c r="G333" t="s">
        <v>2250</v>
      </c>
      <c r="H333" t="s">
        <v>592</v>
      </c>
      <c r="J333" s="519">
        <v>46097</v>
      </c>
      <c r="R333" s="519">
        <v>46139</v>
      </c>
      <c r="U333" s="519">
        <v>46115</v>
      </c>
    </row>
    <row r="334" spans="1:21">
      <c r="A334" t="s">
        <v>953</v>
      </c>
      <c r="B334" t="s">
        <v>6969</v>
      </c>
      <c r="C334" t="s">
        <v>953</v>
      </c>
      <c r="D334">
        <v>20497035</v>
      </c>
      <c r="E334" t="s">
        <v>2258</v>
      </c>
      <c r="F334" t="s">
        <v>581</v>
      </c>
      <c r="G334" t="s">
        <v>2250</v>
      </c>
      <c r="H334" t="s">
        <v>2361</v>
      </c>
      <c r="J334" s="519">
        <v>46127</v>
      </c>
      <c r="R334" s="519">
        <v>46139</v>
      </c>
      <c r="U334" s="519">
        <v>46151</v>
      </c>
    </row>
    <row r="335" spans="1:21">
      <c r="A335" t="s">
        <v>953</v>
      </c>
      <c r="B335" t="s">
        <v>3345</v>
      </c>
      <c r="C335" t="s">
        <v>953</v>
      </c>
      <c r="D335">
        <v>20490161</v>
      </c>
      <c r="E335" t="s">
        <v>2258</v>
      </c>
      <c r="F335" t="s">
        <v>581</v>
      </c>
      <c r="G335" t="s">
        <v>2250</v>
      </c>
      <c r="H335" t="s">
        <v>592</v>
      </c>
      <c r="J335" s="519">
        <v>46120</v>
      </c>
      <c r="R335" s="519">
        <v>46139</v>
      </c>
      <c r="U335" s="519">
        <v>46174</v>
      </c>
    </row>
    <row r="336" spans="1:21">
      <c r="A336" t="s">
        <v>953</v>
      </c>
      <c r="B336" t="s">
        <v>3346</v>
      </c>
      <c r="C336" t="s">
        <v>953</v>
      </c>
      <c r="D336">
        <v>20412425</v>
      </c>
      <c r="E336" t="s">
        <v>2258</v>
      </c>
      <c r="F336" t="s">
        <v>579</v>
      </c>
      <c r="G336" t="s">
        <v>2250</v>
      </c>
      <c r="H336" t="s">
        <v>592</v>
      </c>
      <c r="I336" t="s">
        <v>563</v>
      </c>
      <c r="J336" s="519">
        <v>46016</v>
      </c>
      <c r="K336" s="519">
        <v>46016</v>
      </c>
      <c r="R336" s="519">
        <v>46114</v>
      </c>
      <c r="U336" s="519">
        <v>46038</v>
      </c>
    </row>
    <row r="337" spans="1:21">
      <c r="A337" t="s">
        <v>953</v>
      </c>
      <c r="B337" t="s">
        <v>2876</v>
      </c>
      <c r="C337" t="s">
        <v>953</v>
      </c>
      <c r="D337">
        <v>20461856</v>
      </c>
      <c r="E337" t="s">
        <v>2258</v>
      </c>
      <c r="F337" t="s">
        <v>582</v>
      </c>
      <c r="G337" t="s">
        <v>2290</v>
      </c>
      <c r="H337" t="s">
        <v>2412</v>
      </c>
      <c r="J337" s="519">
        <v>46084</v>
      </c>
      <c r="R337" s="519">
        <v>46114</v>
      </c>
      <c r="U337" s="519">
        <v>46084</v>
      </c>
    </row>
    <row r="338" spans="1:21">
      <c r="A338" t="s">
        <v>953</v>
      </c>
      <c r="B338" t="s">
        <v>3347</v>
      </c>
      <c r="C338" t="s">
        <v>953</v>
      </c>
      <c r="D338">
        <v>20485003</v>
      </c>
      <c r="E338" t="s">
        <v>2258</v>
      </c>
      <c r="F338" t="s">
        <v>577</v>
      </c>
      <c r="G338" t="s">
        <v>2248</v>
      </c>
      <c r="H338" t="s">
        <v>591</v>
      </c>
      <c r="J338" s="519">
        <v>46113</v>
      </c>
      <c r="R338" s="519">
        <v>46114</v>
      </c>
      <c r="U338" s="519">
        <v>46119</v>
      </c>
    </row>
    <row r="339" spans="1:21">
      <c r="A339" t="s">
        <v>953</v>
      </c>
      <c r="B339" t="s">
        <v>3348</v>
      </c>
      <c r="C339" t="s">
        <v>953</v>
      </c>
      <c r="D339">
        <v>20434640</v>
      </c>
      <c r="E339" t="s">
        <v>2252</v>
      </c>
      <c r="F339" t="s">
        <v>577</v>
      </c>
      <c r="G339" t="s">
        <v>2250</v>
      </c>
      <c r="H339" t="s">
        <v>587</v>
      </c>
      <c r="J339" s="519">
        <v>46047</v>
      </c>
      <c r="K339" s="519">
        <v>46047</v>
      </c>
      <c r="R339" s="519">
        <v>46114</v>
      </c>
      <c r="U339" s="519">
        <v>46069</v>
      </c>
    </row>
    <row r="340" spans="1:21">
      <c r="A340" t="s">
        <v>953</v>
      </c>
      <c r="B340" t="s">
        <v>3348</v>
      </c>
      <c r="C340" t="s">
        <v>953</v>
      </c>
      <c r="D340">
        <v>20488353</v>
      </c>
      <c r="E340" t="s">
        <v>1100</v>
      </c>
      <c r="F340" t="s">
        <v>581</v>
      </c>
      <c r="G340" t="s">
        <v>2250</v>
      </c>
      <c r="H340" t="s">
        <v>587</v>
      </c>
      <c r="J340" s="519">
        <v>46118</v>
      </c>
      <c r="K340" s="519">
        <v>46118</v>
      </c>
      <c r="U340" s="519">
        <v>46130</v>
      </c>
    </row>
    <row r="341" spans="1:21">
      <c r="A341" t="s">
        <v>953</v>
      </c>
      <c r="B341" t="s">
        <v>6970</v>
      </c>
      <c r="C341" t="s">
        <v>953</v>
      </c>
      <c r="D341">
        <v>20506855</v>
      </c>
      <c r="E341" t="s">
        <v>2245</v>
      </c>
      <c r="F341" t="s">
        <v>581</v>
      </c>
      <c r="G341" t="s">
        <v>2248</v>
      </c>
      <c r="H341" t="s">
        <v>588</v>
      </c>
      <c r="J341" s="519">
        <v>46134</v>
      </c>
      <c r="U341" s="519">
        <v>46143</v>
      </c>
    </row>
    <row r="342" spans="1:21">
      <c r="A342" t="s">
        <v>953</v>
      </c>
      <c r="B342" t="s">
        <v>2877</v>
      </c>
      <c r="C342" t="s">
        <v>953</v>
      </c>
      <c r="D342">
        <v>20460782</v>
      </c>
      <c r="E342" t="s">
        <v>2258</v>
      </c>
      <c r="F342" t="s">
        <v>582</v>
      </c>
      <c r="G342" t="s">
        <v>2248</v>
      </c>
      <c r="H342" t="s">
        <v>587</v>
      </c>
      <c r="J342" s="519">
        <v>46083</v>
      </c>
      <c r="R342" s="519">
        <v>46121</v>
      </c>
      <c r="U342" s="519">
        <v>46083</v>
      </c>
    </row>
    <row r="343" spans="1:21">
      <c r="A343" t="s">
        <v>953</v>
      </c>
      <c r="B343" t="s">
        <v>3349</v>
      </c>
      <c r="C343" t="s">
        <v>953</v>
      </c>
      <c r="D343">
        <v>20412913</v>
      </c>
      <c r="E343" t="s">
        <v>2258</v>
      </c>
      <c r="F343" t="s">
        <v>579</v>
      </c>
      <c r="G343" t="s">
        <v>2290</v>
      </c>
      <c r="H343" t="s">
        <v>587</v>
      </c>
      <c r="J343" s="519">
        <v>46017</v>
      </c>
      <c r="R343" s="519">
        <v>46114</v>
      </c>
      <c r="U343" s="519">
        <v>46042</v>
      </c>
    </row>
    <row r="344" spans="1:21">
      <c r="A344" t="s">
        <v>953</v>
      </c>
      <c r="B344" t="s">
        <v>3350</v>
      </c>
      <c r="C344" t="s">
        <v>953</v>
      </c>
      <c r="D344">
        <v>20422796</v>
      </c>
      <c r="E344" t="s">
        <v>2252</v>
      </c>
      <c r="F344" t="s">
        <v>577</v>
      </c>
      <c r="G344" t="s">
        <v>2250</v>
      </c>
      <c r="H344" t="s">
        <v>587</v>
      </c>
      <c r="I344" t="s">
        <v>3351</v>
      </c>
      <c r="J344" s="519">
        <v>46033</v>
      </c>
      <c r="K344" s="519">
        <v>46033</v>
      </c>
      <c r="R344" s="519">
        <v>46114</v>
      </c>
      <c r="U344" s="519">
        <v>46036</v>
      </c>
    </row>
    <row r="345" spans="1:21">
      <c r="A345" t="s">
        <v>953</v>
      </c>
      <c r="B345" t="s">
        <v>3352</v>
      </c>
      <c r="C345" t="s">
        <v>953</v>
      </c>
      <c r="D345">
        <v>20436498</v>
      </c>
      <c r="E345" t="s">
        <v>2258</v>
      </c>
      <c r="F345" t="s">
        <v>578</v>
      </c>
      <c r="G345" t="s">
        <v>2259</v>
      </c>
      <c r="H345" t="s">
        <v>592</v>
      </c>
      <c r="J345" s="519">
        <v>46050</v>
      </c>
      <c r="R345" s="519">
        <v>46114</v>
      </c>
      <c r="U345" s="519">
        <v>46050</v>
      </c>
    </row>
    <row r="346" spans="1:21">
      <c r="A346" t="s">
        <v>953</v>
      </c>
      <c r="B346" t="s">
        <v>6971</v>
      </c>
      <c r="C346" t="s">
        <v>953</v>
      </c>
      <c r="D346">
        <v>20498668</v>
      </c>
      <c r="E346" t="s">
        <v>2245</v>
      </c>
      <c r="F346" t="s">
        <v>984</v>
      </c>
      <c r="G346" t="s">
        <v>2250</v>
      </c>
      <c r="H346" t="s">
        <v>592</v>
      </c>
      <c r="J346" s="519">
        <v>46128</v>
      </c>
      <c r="U346" s="519">
        <v>46135</v>
      </c>
    </row>
    <row r="347" spans="1:21">
      <c r="A347" t="s">
        <v>953</v>
      </c>
      <c r="B347" t="s">
        <v>2096</v>
      </c>
      <c r="C347" t="s">
        <v>953</v>
      </c>
      <c r="D347">
        <v>20509284</v>
      </c>
      <c r="E347" t="s">
        <v>1110</v>
      </c>
      <c r="F347" t="s">
        <v>577</v>
      </c>
      <c r="G347" t="s">
        <v>2250</v>
      </c>
      <c r="H347" t="s">
        <v>587</v>
      </c>
      <c r="I347" t="s">
        <v>1356</v>
      </c>
      <c r="J347" s="519">
        <v>46136</v>
      </c>
      <c r="K347" s="519">
        <v>46136</v>
      </c>
      <c r="L347" s="519">
        <v>46136</v>
      </c>
      <c r="U347" s="519">
        <v>46142</v>
      </c>
    </row>
    <row r="348" spans="1:21">
      <c r="A348" t="s">
        <v>953</v>
      </c>
      <c r="B348" t="s">
        <v>2096</v>
      </c>
      <c r="C348" t="s">
        <v>953</v>
      </c>
      <c r="D348">
        <v>20505720</v>
      </c>
      <c r="E348" t="s">
        <v>2258</v>
      </c>
      <c r="F348" t="s">
        <v>577</v>
      </c>
      <c r="G348" t="s">
        <v>2290</v>
      </c>
      <c r="H348" t="s">
        <v>587</v>
      </c>
      <c r="I348" t="s">
        <v>2373</v>
      </c>
      <c r="J348" s="519">
        <v>46134</v>
      </c>
      <c r="R348" s="519">
        <v>46139</v>
      </c>
      <c r="U348" s="519">
        <v>46134</v>
      </c>
    </row>
    <row r="349" spans="1:21">
      <c r="A349" t="s">
        <v>953</v>
      </c>
      <c r="B349" t="s">
        <v>1164</v>
      </c>
      <c r="C349" t="s">
        <v>953</v>
      </c>
      <c r="D349">
        <v>20475799</v>
      </c>
      <c r="E349" t="s">
        <v>2252</v>
      </c>
      <c r="F349" t="s">
        <v>581</v>
      </c>
      <c r="G349" t="s">
        <v>2250</v>
      </c>
      <c r="H349" t="s">
        <v>587</v>
      </c>
      <c r="I349" t="s">
        <v>899</v>
      </c>
      <c r="J349" s="519">
        <v>46100</v>
      </c>
      <c r="K349" s="519">
        <v>46100</v>
      </c>
      <c r="R349" s="519">
        <v>46114</v>
      </c>
      <c r="U349" s="519">
        <v>46100</v>
      </c>
    </row>
    <row r="350" spans="1:21">
      <c r="A350" t="s">
        <v>953</v>
      </c>
      <c r="B350" t="s">
        <v>2346</v>
      </c>
      <c r="C350" t="s">
        <v>953</v>
      </c>
      <c r="D350">
        <v>20451073</v>
      </c>
      <c r="E350" t="s">
        <v>2258</v>
      </c>
      <c r="F350" t="s">
        <v>984</v>
      </c>
      <c r="G350" t="s">
        <v>2246</v>
      </c>
      <c r="H350" t="s">
        <v>587</v>
      </c>
      <c r="J350" s="519">
        <v>46070</v>
      </c>
      <c r="R350" s="519">
        <v>46114</v>
      </c>
      <c r="U350" s="519">
        <v>46082</v>
      </c>
    </row>
    <row r="351" spans="1:21">
      <c r="A351" t="s">
        <v>953</v>
      </c>
      <c r="B351" t="s">
        <v>2347</v>
      </c>
      <c r="C351" t="s">
        <v>953</v>
      </c>
      <c r="D351">
        <v>20449629</v>
      </c>
      <c r="E351" t="s">
        <v>2258</v>
      </c>
      <c r="F351" t="s">
        <v>984</v>
      </c>
      <c r="G351" t="s">
        <v>2246</v>
      </c>
      <c r="H351" t="s">
        <v>587</v>
      </c>
      <c r="J351" s="519">
        <v>46069</v>
      </c>
      <c r="R351" s="519">
        <v>46114</v>
      </c>
      <c r="U351" s="519">
        <v>46083</v>
      </c>
    </row>
    <row r="352" spans="1:21">
      <c r="A352" t="s">
        <v>953</v>
      </c>
      <c r="B352" t="s">
        <v>3353</v>
      </c>
      <c r="C352" t="s">
        <v>953</v>
      </c>
      <c r="D352">
        <v>20485499</v>
      </c>
      <c r="E352" t="s">
        <v>2258</v>
      </c>
      <c r="F352" t="s">
        <v>984</v>
      </c>
      <c r="G352" t="s">
        <v>2259</v>
      </c>
      <c r="H352" t="s">
        <v>2388</v>
      </c>
      <c r="J352" s="519">
        <v>46114</v>
      </c>
      <c r="R352" s="519">
        <v>46139</v>
      </c>
      <c r="U352" s="519">
        <v>46127</v>
      </c>
    </row>
    <row r="353" spans="1:21">
      <c r="A353" t="s">
        <v>953</v>
      </c>
      <c r="B353" t="s">
        <v>2349</v>
      </c>
      <c r="C353" t="s">
        <v>953</v>
      </c>
      <c r="D353">
        <v>20441010</v>
      </c>
      <c r="E353" t="s">
        <v>2252</v>
      </c>
      <c r="F353" t="s">
        <v>2256</v>
      </c>
      <c r="G353" t="s">
        <v>2250</v>
      </c>
      <c r="H353" t="s">
        <v>587</v>
      </c>
      <c r="J353" s="519">
        <v>46057</v>
      </c>
      <c r="K353" s="519">
        <v>46057</v>
      </c>
      <c r="R353" s="519">
        <v>46114</v>
      </c>
      <c r="U353" s="519">
        <v>46057</v>
      </c>
    </row>
    <row r="354" spans="1:21">
      <c r="A354" t="s">
        <v>953</v>
      </c>
      <c r="B354" t="s">
        <v>2879</v>
      </c>
      <c r="C354" t="s">
        <v>953</v>
      </c>
      <c r="D354">
        <v>20481251</v>
      </c>
      <c r="E354" t="s">
        <v>2258</v>
      </c>
      <c r="F354" t="s">
        <v>984</v>
      </c>
      <c r="G354" t="s">
        <v>2250</v>
      </c>
      <c r="H354" t="s">
        <v>592</v>
      </c>
      <c r="J354" s="519">
        <v>46108</v>
      </c>
      <c r="R354" s="519">
        <v>46139</v>
      </c>
      <c r="U354" s="519">
        <v>46126</v>
      </c>
    </row>
    <row r="355" spans="1:21">
      <c r="A355" t="s">
        <v>953</v>
      </c>
      <c r="B355" t="s">
        <v>3354</v>
      </c>
      <c r="C355" t="s">
        <v>953</v>
      </c>
      <c r="D355">
        <v>20436443</v>
      </c>
      <c r="E355" t="s">
        <v>2258</v>
      </c>
      <c r="F355" t="s">
        <v>578</v>
      </c>
      <c r="G355" t="s">
        <v>2246</v>
      </c>
      <c r="H355" t="s">
        <v>593</v>
      </c>
      <c r="J355" s="519">
        <v>46050</v>
      </c>
      <c r="R355" s="519">
        <v>46114</v>
      </c>
      <c r="U355" s="519">
        <v>46052</v>
      </c>
    </row>
    <row r="356" spans="1:21">
      <c r="A356" t="s">
        <v>953</v>
      </c>
      <c r="B356" t="s">
        <v>3355</v>
      </c>
      <c r="C356" t="s">
        <v>953</v>
      </c>
      <c r="D356">
        <v>20489043</v>
      </c>
      <c r="E356" t="s">
        <v>2258</v>
      </c>
      <c r="F356" t="s">
        <v>984</v>
      </c>
      <c r="G356" t="s">
        <v>2248</v>
      </c>
      <c r="H356" t="s">
        <v>588</v>
      </c>
      <c r="I356" t="s">
        <v>1156</v>
      </c>
      <c r="J356" s="519">
        <v>46119</v>
      </c>
      <c r="R356" s="519">
        <v>46139</v>
      </c>
      <c r="U356" s="519">
        <v>46119</v>
      </c>
    </row>
    <row r="357" spans="1:21">
      <c r="A357" t="s">
        <v>953</v>
      </c>
      <c r="B357" t="s">
        <v>2352</v>
      </c>
      <c r="C357" t="s">
        <v>953</v>
      </c>
      <c r="D357">
        <v>20453775</v>
      </c>
      <c r="E357" t="s">
        <v>2258</v>
      </c>
      <c r="F357" t="s">
        <v>984</v>
      </c>
      <c r="G357" t="s">
        <v>2246</v>
      </c>
      <c r="H357" t="s">
        <v>587</v>
      </c>
      <c r="J357" s="519">
        <v>46072</v>
      </c>
      <c r="R357" s="519">
        <v>46114</v>
      </c>
      <c r="U357" s="519">
        <v>46072</v>
      </c>
    </row>
    <row r="358" spans="1:21">
      <c r="A358" t="s">
        <v>953</v>
      </c>
      <c r="B358" t="s">
        <v>2880</v>
      </c>
      <c r="C358" t="s">
        <v>953</v>
      </c>
      <c r="D358">
        <v>20481680</v>
      </c>
      <c r="E358" t="s">
        <v>2258</v>
      </c>
      <c r="F358" t="s">
        <v>581</v>
      </c>
      <c r="G358" t="s">
        <v>2290</v>
      </c>
      <c r="H358" t="s">
        <v>592</v>
      </c>
      <c r="I358" t="s">
        <v>1156</v>
      </c>
      <c r="J358" s="519">
        <v>46108</v>
      </c>
      <c r="R358" s="519">
        <v>46116</v>
      </c>
      <c r="U358" s="519">
        <v>46108</v>
      </c>
    </row>
    <row r="359" spans="1:21">
      <c r="A359" t="s">
        <v>953</v>
      </c>
      <c r="B359" t="s">
        <v>3356</v>
      </c>
      <c r="C359" t="s">
        <v>953</v>
      </c>
      <c r="D359">
        <v>20425138</v>
      </c>
      <c r="E359" t="s">
        <v>2252</v>
      </c>
      <c r="F359" t="s">
        <v>577</v>
      </c>
      <c r="G359" t="s">
        <v>2250</v>
      </c>
      <c r="H359" t="s">
        <v>587</v>
      </c>
      <c r="I359" t="s">
        <v>1132</v>
      </c>
      <c r="J359" s="519">
        <v>46036</v>
      </c>
      <c r="K359" s="519">
        <v>46036</v>
      </c>
      <c r="R359" s="519">
        <v>46114</v>
      </c>
      <c r="U359" s="519">
        <v>46036</v>
      </c>
    </row>
    <row r="360" spans="1:21">
      <c r="A360" t="s">
        <v>953</v>
      </c>
      <c r="B360" t="s">
        <v>2881</v>
      </c>
      <c r="C360" t="s">
        <v>953</v>
      </c>
      <c r="D360">
        <v>20471917</v>
      </c>
      <c r="E360" t="s">
        <v>2258</v>
      </c>
      <c r="F360" t="s">
        <v>581</v>
      </c>
      <c r="G360" t="s">
        <v>2250</v>
      </c>
      <c r="H360" t="s">
        <v>592</v>
      </c>
      <c r="J360" s="519">
        <v>46096</v>
      </c>
      <c r="R360" s="519">
        <v>46114</v>
      </c>
      <c r="U360" s="519">
        <v>46113</v>
      </c>
    </row>
    <row r="361" spans="1:21">
      <c r="A361" t="s">
        <v>953</v>
      </c>
      <c r="B361" t="s">
        <v>2881</v>
      </c>
      <c r="C361" t="s">
        <v>953</v>
      </c>
      <c r="D361">
        <v>20495290</v>
      </c>
      <c r="E361" t="s">
        <v>2245</v>
      </c>
      <c r="F361" t="s">
        <v>581</v>
      </c>
      <c r="G361" t="s">
        <v>2290</v>
      </c>
      <c r="H361" t="s">
        <v>592</v>
      </c>
      <c r="J361" s="519">
        <v>46126</v>
      </c>
      <c r="U361" s="519">
        <v>46126</v>
      </c>
    </row>
    <row r="362" spans="1:21">
      <c r="A362" t="s">
        <v>953</v>
      </c>
      <c r="B362" t="s">
        <v>3357</v>
      </c>
      <c r="C362" t="s">
        <v>953</v>
      </c>
      <c r="D362">
        <v>20424868</v>
      </c>
      <c r="E362" t="s">
        <v>2258</v>
      </c>
      <c r="F362" t="s">
        <v>984</v>
      </c>
      <c r="G362" t="s">
        <v>2246</v>
      </c>
      <c r="H362" t="s">
        <v>591</v>
      </c>
      <c r="J362" s="519">
        <v>46036</v>
      </c>
      <c r="R362" s="519">
        <v>46114</v>
      </c>
      <c r="U362" s="519">
        <v>46097</v>
      </c>
    </row>
    <row r="363" spans="1:21">
      <c r="A363" t="s">
        <v>953</v>
      </c>
      <c r="B363" t="s">
        <v>3358</v>
      </c>
      <c r="C363" t="s">
        <v>953</v>
      </c>
      <c r="D363">
        <v>20485489</v>
      </c>
      <c r="E363" t="s">
        <v>1100</v>
      </c>
      <c r="F363" t="s">
        <v>582</v>
      </c>
      <c r="G363" t="s">
        <v>2250</v>
      </c>
      <c r="H363" t="s">
        <v>587</v>
      </c>
      <c r="I363" t="s">
        <v>1010</v>
      </c>
      <c r="J363" s="519">
        <v>46113</v>
      </c>
      <c r="K363" s="519">
        <v>46113</v>
      </c>
      <c r="U363" s="519">
        <v>46127</v>
      </c>
    </row>
    <row r="364" spans="1:21">
      <c r="A364" t="s">
        <v>953</v>
      </c>
      <c r="B364" t="s">
        <v>2882</v>
      </c>
      <c r="C364" t="s">
        <v>953</v>
      </c>
      <c r="D364">
        <v>20483473</v>
      </c>
      <c r="E364" t="s">
        <v>2258</v>
      </c>
      <c r="F364" t="s">
        <v>581</v>
      </c>
      <c r="G364" t="s">
        <v>2250</v>
      </c>
      <c r="H364" t="s">
        <v>592</v>
      </c>
      <c r="J364" s="519">
        <v>46111</v>
      </c>
      <c r="R364" s="519">
        <v>46139</v>
      </c>
      <c r="U364" s="519">
        <v>46143</v>
      </c>
    </row>
    <row r="365" spans="1:21">
      <c r="A365" t="s">
        <v>953</v>
      </c>
      <c r="B365" t="s">
        <v>2883</v>
      </c>
      <c r="C365" t="s">
        <v>953</v>
      </c>
      <c r="D365">
        <v>20475081</v>
      </c>
      <c r="E365" t="s">
        <v>2258</v>
      </c>
      <c r="F365" t="s">
        <v>581</v>
      </c>
      <c r="G365" t="s">
        <v>2250</v>
      </c>
      <c r="H365" t="s">
        <v>592</v>
      </c>
      <c r="J365" s="519">
        <v>46099</v>
      </c>
      <c r="R365" s="519">
        <v>46114</v>
      </c>
      <c r="U365" s="519">
        <v>46100</v>
      </c>
    </row>
    <row r="366" spans="1:21">
      <c r="A366" t="s">
        <v>953</v>
      </c>
      <c r="B366" t="s">
        <v>2884</v>
      </c>
      <c r="C366" t="s">
        <v>953</v>
      </c>
      <c r="D366">
        <v>20470283</v>
      </c>
      <c r="E366" t="s">
        <v>2252</v>
      </c>
      <c r="F366" t="s">
        <v>579</v>
      </c>
      <c r="G366" t="s">
        <v>2248</v>
      </c>
      <c r="H366" t="s">
        <v>2287</v>
      </c>
      <c r="I366" t="s">
        <v>2783</v>
      </c>
      <c r="J366" s="519">
        <v>46093</v>
      </c>
      <c r="K366" s="519">
        <v>46093</v>
      </c>
      <c r="R366" s="519">
        <v>46114</v>
      </c>
      <c r="U366" s="519">
        <v>46116</v>
      </c>
    </row>
    <row r="367" spans="1:21">
      <c r="A367" t="s">
        <v>953</v>
      </c>
      <c r="B367" t="s">
        <v>2353</v>
      </c>
      <c r="C367" t="s">
        <v>953</v>
      </c>
      <c r="D367">
        <v>20440608</v>
      </c>
      <c r="E367" t="s">
        <v>2258</v>
      </c>
      <c r="F367" t="s">
        <v>984</v>
      </c>
      <c r="G367" t="s">
        <v>2246</v>
      </c>
      <c r="H367" t="s">
        <v>591</v>
      </c>
      <c r="J367" s="519">
        <v>46056</v>
      </c>
      <c r="R367" s="519">
        <v>46114</v>
      </c>
      <c r="U367" s="519">
        <v>46056</v>
      </c>
    </row>
    <row r="368" spans="1:21">
      <c r="A368" t="s">
        <v>953</v>
      </c>
      <c r="B368" t="s">
        <v>2885</v>
      </c>
      <c r="C368" t="s">
        <v>953</v>
      </c>
      <c r="D368">
        <v>20477531</v>
      </c>
      <c r="E368" t="s">
        <v>2252</v>
      </c>
      <c r="F368" t="s">
        <v>581</v>
      </c>
      <c r="G368" t="s">
        <v>2250</v>
      </c>
      <c r="H368" t="s">
        <v>587</v>
      </c>
      <c r="J368" s="519">
        <v>46102</v>
      </c>
      <c r="K368" s="519">
        <v>46102</v>
      </c>
      <c r="R368" s="519">
        <v>46114</v>
      </c>
      <c r="U368" s="519">
        <v>46132</v>
      </c>
    </row>
    <row r="369" spans="1:21">
      <c r="A369" t="s">
        <v>953</v>
      </c>
      <c r="B369" t="s">
        <v>2885</v>
      </c>
      <c r="C369" t="s">
        <v>953</v>
      </c>
      <c r="D369">
        <v>20477555</v>
      </c>
      <c r="E369" t="s">
        <v>2252</v>
      </c>
      <c r="F369" t="s">
        <v>582</v>
      </c>
      <c r="G369" t="s">
        <v>2250</v>
      </c>
      <c r="H369" t="s">
        <v>587</v>
      </c>
      <c r="J369" s="519">
        <v>46102</v>
      </c>
      <c r="K369" s="519">
        <v>46102</v>
      </c>
      <c r="R369" s="519">
        <v>46114</v>
      </c>
      <c r="U369" s="519">
        <v>46102</v>
      </c>
    </row>
    <row r="370" spans="1:21">
      <c r="A370" t="s">
        <v>953</v>
      </c>
      <c r="B370" t="s">
        <v>6972</v>
      </c>
      <c r="C370" t="s">
        <v>953</v>
      </c>
      <c r="D370">
        <v>20507074</v>
      </c>
      <c r="E370" t="s">
        <v>2245</v>
      </c>
      <c r="F370" t="s">
        <v>984</v>
      </c>
      <c r="G370" t="s">
        <v>2290</v>
      </c>
      <c r="H370" t="s">
        <v>592</v>
      </c>
      <c r="J370" s="519">
        <v>46134</v>
      </c>
      <c r="U370" s="519">
        <v>46148</v>
      </c>
    </row>
    <row r="371" spans="1:21">
      <c r="A371" t="s">
        <v>953</v>
      </c>
      <c r="B371" t="s">
        <v>2354</v>
      </c>
      <c r="C371" t="s">
        <v>953</v>
      </c>
      <c r="D371">
        <v>20459687</v>
      </c>
      <c r="E371" t="s">
        <v>2258</v>
      </c>
      <c r="F371" t="s">
        <v>984</v>
      </c>
      <c r="G371" t="s">
        <v>2246</v>
      </c>
      <c r="H371" t="s">
        <v>587</v>
      </c>
      <c r="J371" s="519">
        <v>46081</v>
      </c>
      <c r="R371" s="519">
        <v>46114</v>
      </c>
      <c r="U371" s="519">
        <v>46101</v>
      </c>
    </row>
    <row r="372" spans="1:21">
      <c r="A372" t="s">
        <v>953</v>
      </c>
      <c r="B372" t="s">
        <v>3359</v>
      </c>
      <c r="C372" t="s">
        <v>953</v>
      </c>
      <c r="D372">
        <v>20416900</v>
      </c>
      <c r="E372" t="s">
        <v>2258</v>
      </c>
      <c r="F372" t="s">
        <v>579</v>
      </c>
      <c r="G372" t="s">
        <v>2259</v>
      </c>
      <c r="H372" t="s">
        <v>592</v>
      </c>
      <c r="J372" s="519">
        <v>46024</v>
      </c>
      <c r="R372" s="519">
        <v>46114</v>
      </c>
      <c r="U372" s="519">
        <v>46024</v>
      </c>
    </row>
    <row r="373" spans="1:21">
      <c r="A373" t="s">
        <v>953</v>
      </c>
      <c r="B373" t="s">
        <v>3360</v>
      </c>
      <c r="C373" t="s">
        <v>953</v>
      </c>
      <c r="D373">
        <v>20438134</v>
      </c>
      <c r="E373" t="s">
        <v>2258</v>
      </c>
      <c r="F373" t="s">
        <v>577</v>
      </c>
      <c r="G373" t="s">
        <v>2259</v>
      </c>
      <c r="H373" t="s">
        <v>593</v>
      </c>
      <c r="I373" t="s">
        <v>1128</v>
      </c>
      <c r="J373" s="519">
        <v>46052</v>
      </c>
      <c r="R373" s="519">
        <v>46114</v>
      </c>
      <c r="U373" s="519">
        <v>46069</v>
      </c>
    </row>
    <row r="374" spans="1:21">
      <c r="A374" t="s">
        <v>953</v>
      </c>
      <c r="B374" t="s">
        <v>3361</v>
      </c>
      <c r="C374" t="s">
        <v>953</v>
      </c>
      <c r="D374">
        <v>20422240</v>
      </c>
      <c r="E374" t="s">
        <v>2258</v>
      </c>
      <c r="F374" t="s">
        <v>579</v>
      </c>
      <c r="G374" t="s">
        <v>2248</v>
      </c>
      <c r="H374" t="s">
        <v>592</v>
      </c>
      <c r="J374" s="519">
        <v>46032</v>
      </c>
      <c r="R374" s="519">
        <v>46114</v>
      </c>
      <c r="U374" s="519">
        <v>46032</v>
      </c>
    </row>
    <row r="375" spans="1:21">
      <c r="A375" t="s">
        <v>953</v>
      </c>
      <c r="B375" t="s">
        <v>6973</v>
      </c>
      <c r="C375" t="s">
        <v>953</v>
      </c>
      <c r="D375">
        <v>20495673</v>
      </c>
      <c r="E375" t="s">
        <v>2245</v>
      </c>
      <c r="F375" t="s">
        <v>582</v>
      </c>
      <c r="G375" t="s">
        <v>2248</v>
      </c>
      <c r="H375" t="s">
        <v>2469</v>
      </c>
      <c r="I375" t="s">
        <v>1156</v>
      </c>
      <c r="J375" s="519">
        <v>46127</v>
      </c>
      <c r="U375" s="519">
        <v>46127</v>
      </c>
    </row>
    <row r="376" spans="1:21">
      <c r="A376" t="s">
        <v>953</v>
      </c>
      <c r="B376" t="s">
        <v>2886</v>
      </c>
      <c r="C376" t="s">
        <v>953</v>
      </c>
      <c r="D376">
        <v>20479459</v>
      </c>
      <c r="E376" t="s">
        <v>2258</v>
      </c>
      <c r="F376" t="s">
        <v>581</v>
      </c>
      <c r="G376" t="s">
        <v>2250</v>
      </c>
      <c r="H376" t="s">
        <v>592</v>
      </c>
      <c r="J376" s="519">
        <v>46105</v>
      </c>
      <c r="R376" s="519">
        <v>46139</v>
      </c>
      <c r="U376" s="519">
        <v>46113</v>
      </c>
    </row>
    <row r="377" spans="1:21">
      <c r="A377" t="s">
        <v>953</v>
      </c>
      <c r="B377" t="s">
        <v>1709</v>
      </c>
      <c r="C377" t="s">
        <v>953</v>
      </c>
      <c r="D377">
        <v>20481273</v>
      </c>
      <c r="E377" t="s">
        <v>2324</v>
      </c>
      <c r="F377" t="s">
        <v>583</v>
      </c>
      <c r="G377" t="s">
        <v>2250</v>
      </c>
      <c r="H377" t="s">
        <v>587</v>
      </c>
      <c r="I377" t="s">
        <v>567</v>
      </c>
      <c r="J377" s="519">
        <v>46108</v>
      </c>
      <c r="K377" s="519">
        <v>46108</v>
      </c>
      <c r="L377" s="519">
        <v>46108</v>
      </c>
      <c r="M377" s="519">
        <v>46113</v>
      </c>
      <c r="N377" s="519">
        <v>46113</v>
      </c>
      <c r="P377" s="519">
        <v>46114</v>
      </c>
      <c r="Q377" s="519">
        <v>46114</v>
      </c>
      <c r="U377" s="519">
        <v>46121</v>
      </c>
    </row>
    <row r="378" spans="1:21">
      <c r="A378" t="s">
        <v>953</v>
      </c>
      <c r="B378" t="s">
        <v>1709</v>
      </c>
      <c r="C378" t="s">
        <v>953</v>
      </c>
      <c r="D378">
        <v>20481272</v>
      </c>
      <c r="E378" t="s">
        <v>2252</v>
      </c>
      <c r="F378" t="s">
        <v>583</v>
      </c>
      <c r="G378" t="s">
        <v>2250</v>
      </c>
      <c r="H378" t="s">
        <v>587</v>
      </c>
      <c r="J378" s="519">
        <v>46108</v>
      </c>
      <c r="K378" s="519">
        <v>46108</v>
      </c>
      <c r="R378" s="519">
        <v>46122</v>
      </c>
      <c r="U378" s="519">
        <v>46108</v>
      </c>
    </row>
    <row r="379" spans="1:21">
      <c r="A379" t="s">
        <v>953</v>
      </c>
      <c r="B379" t="s">
        <v>3362</v>
      </c>
      <c r="C379" t="s">
        <v>953</v>
      </c>
      <c r="D379">
        <v>20417057</v>
      </c>
      <c r="E379" t="s">
        <v>2252</v>
      </c>
      <c r="F379" t="s">
        <v>577</v>
      </c>
      <c r="G379" t="s">
        <v>2250</v>
      </c>
      <c r="H379" t="s">
        <v>592</v>
      </c>
      <c r="I379" t="s">
        <v>2111</v>
      </c>
      <c r="J379" s="519">
        <v>46024</v>
      </c>
      <c r="K379" s="519">
        <v>46024</v>
      </c>
      <c r="R379" s="519">
        <v>46114</v>
      </c>
      <c r="U379" s="519">
        <v>46036</v>
      </c>
    </row>
    <row r="380" spans="1:21">
      <c r="A380" t="s">
        <v>953</v>
      </c>
      <c r="B380" t="s">
        <v>3362</v>
      </c>
      <c r="C380" t="s">
        <v>953</v>
      </c>
      <c r="D380">
        <v>20488020</v>
      </c>
      <c r="E380" t="s">
        <v>1104</v>
      </c>
      <c r="F380" t="s">
        <v>581</v>
      </c>
      <c r="G380" t="s">
        <v>2250</v>
      </c>
      <c r="H380" t="s">
        <v>587</v>
      </c>
      <c r="I380" t="s">
        <v>894</v>
      </c>
      <c r="J380" s="519">
        <v>46118</v>
      </c>
      <c r="K380" s="519">
        <v>46118</v>
      </c>
      <c r="L380" s="519">
        <v>46118</v>
      </c>
      <c r="U380" s="519">
        <v>46118</v>
      </c>
    </row>
    <row r="381" spans="1:21">
      <c r="A381" t="s">
        <v>953</v>
      </c>
      <c r="B381" t="s">
        <v>3363</v>
      </c>
      <c r="C381" t="s">
        <v>953</v>
      </c>
      <c r="D381">
        <v>20485395</v>
      </c>
      <c r="E381" t="s">
        <v>2258</v>
      </c>
      <c r="F381" t="s">
        <v>581</v>
      </c>
      <c r="G381" t="s">
        <v>2250</v>
      </c>
      <c r="H381" t="s">
        <v>592</v>
      </c>
      <c r="J381" s="519">
        <v>46113</v>
      </c>
      <c r="R381" s="519">
        <v>46139</v>
      </c>
      <c r="U381" s="519">
        <v>46190</v>
      </c>
    </row>
    <row r="382" spans="1:21">
      <c r="A382" t="s">
        <v>953</v>
      </c>
      <c r="B382" t="s">
        <v>6974</v>
      </c>
      <c r="C382" t="s">
        <v>953</v>
      </c>
      <c r="D382">
        <v>20505077</v>
      </c>
      <c r="E382" t="s">
        <v>2245</v>
      </c>
      <c r="F382" t="s">
        <v>984</v>
      </c>
      <c r="G382" t="s">
        <v>2259</v>
      </c>
      <c r="H382" t="s">
        <v>592</v>
      </c>
      <c r="I382" t="s">
        <v>5388</v>
      </c>
      <c r="J382" s="519">
        <v>46133</v>
      </c>
      <c r="U382" s="519">
        <v>46133</v>
      </c>
    </row>
    <row r="383" spans="1:21">
      <c r="A383" t="s">
        <v>953</v>
      </c>
      <c r="B383" t="s">
        <v>6974</v>
      </c>
      <c r="C383" t="s">
        <v>953</v>
      </c>
      <c r="D383">
        <v>20505747</v>
      </c>
      <c r="E383" t="s">
        <v>2245</v>
      </c>
      <c r="F383" t="s">
        <v>984</v>
      </c>
      <c r="G383" t="s">
        <v>2259</v>
      </c>
      <c r="H383" t="s">
        <v>587</v>
      </c>
      <c r="J383" s="519">
        <v>46134</v>
      </c>
      <c r="U383" s="519">
        <v>46134</v>
      </c>
    </row>
    <row r="384" spans="1:21">
      <c r="A384" t="s">
        <v>953</v>
      </c>
      <c r="B384" t="s">
        <v>3364</v>
      </c>
      <c r="C384" t="s">
        <v>953</v>
      </c>
      <c r="D384">
        <v>20420764</v>
      </c>
      <c r="E384" t="s">
        <v>2258</v>
      </c>
      <c r="F384" t="s">
        <v>984</v>
      </c>
      <c r="G384" t="s">
        <v>2290</v>
      </c>
      <c r="H384" t="s">
        <v>591</v>
      </c>
      <c r="J384" s="519">
        <v>46030</v>
      </c>
      <c r="R384" s="519">
        <v>46114</v>
      </c>
      <c r="U384" s="519">
        <v>46030</v>
      </c>
    </row>
    <row r="385" spans="1:21">
      <c r="A385" t="s">
        <v>953</v>
      </c>
      <c r="B385" t="s">
        <v>2887</v>
      </c>
      <c r="C385" t="s">
        <v>953</v>
      </c>
      <c r="D385">
        <v>20460410</v>
      </c>
      <c r="E385" t="s">
        <v>2258</v>
      </c>
      <c r="F385" t="s">
        <v>579</v>
      </c>
      <c r="G385" t="s">
        <v>2259</v>
      </c>
      <c r="H385" t="s">
        <v>590</v>
      </c>
      <c r="J385" s="519">
        <v>46083</v>
      </c>
      <c r="R385" s="519">
        <v>46115</v>
      </c>
      <c r="U385" s="519">
        <v>46083</v>
      </c>
    </row>
    <row r="386" spans="1:21">
      <c r="A386" t="s">
        <v>953</v>
      </c>
      <c r="B386" t="s">
        <v>3365</v>
      </c>
      <c r="C386" t="s">
        <v>953</v>
      </c>
      <c r="D386">
        <v>20493012</v>
      </c>
      <c r="E386" t="s">
        <v>1100</v>
      </c>
      <c r="F386" t="s">
        <v>1115</v>
      </c>
      <c r="G386" t="s">
        <v>2250</v>
      </c>
      <c r="H386" t="s">
        <v>590</v>
      </c>
      <c r="J386" s="519">
        <v>46124</v>
      </c>
      <c r="K386" s="519">
        <v>46124</v>
      </c>
      <c r="U386" s="519">
        <v>46135</v>
      </c>
    </row>
    <row r="387" spans="1:21">
      <c r="A387" t="s">
        <v>953</v>
      </c>
      <c r="B387" t="s">
        <v>6975</v>
      </c>
      <c r="C387" t="s">
        <v>953</v>
      </c>
      <c r="D387">
        <v>20497183</v>
      </c>
      <c r="E387" t="s">
        <v>2245</v>
      </c>
      <c r="F387" t="s">
        <v>581</v>
      </c>
      <c r="G387" t="s">
        <v>2250</v>
      </c>
      <c r="H387" t="s">
        <v>592</v>
      </c>
      <c r="J387" s="519">
        <v>46127</v>
      </c>
      <c r="U387" s="519">
        <v>46190</v>
      </c>
    </row>
    <row r="388" spans="1:21">
      <c r="A388" t="s">
        <v>953</v>
      </c>
      <c r="B388" t="s">
        <v>3366</v>
      </c>
      <c r="C388" t="s">
        <v>953</v>
      </c>
      <c r="D388">
        <v>20493349</v>
      </c>
      <c r="E388" t="s">
        <v>2258</v>
      </c>
      <c r="F388" t="s">
        <v>581</v>
      </c>
      <c r="G388" t="s">
        <v>2250</v>
      </c>
      <c r="H388" t="s">
        <v>592</v>
      </c>
      <c r="J388" s="519">
        <v>46125</v>
      </c>
      <c r="R388" s="519">
        <v>46139</v>
      </c>
      <c r="U388" s="519">
        <v>46150</v>
      </c>
    </row>
    <row r="389" spans="1:21">
      <c r="A389" t="s">
        <v>953</v>
      </c>
      <c r="B389" t="s">
        <v>3367</v>
      </c>
      <c r="C389" t="s">
        <v>953</v>
      </c>
      <c r="D389">
        <v>20493429</v>
      </c>
      <c r="E389" t="s">
        <v>2258</v>
      </c>
      <c r="F389" t="s">
        <v>581</v>
      </c>
      <c r="G389" t="s">
        <v>2250</v>
      </c>
      <c r="H389" t="s">
        <v>592</v>
      </c>
      <c r="J389" s="519">
        <v>46125</v>
      </c>
      <c r="R389" s="519">
        <v>46139</v>
      </c>
      <c r="U389" s="519">
        <v>46165</v>
      </c>
    </row>
    <row r="390" spans="1:21">
      <c r="A390" t="s">
        <v>953</v>
      </c>
      <c r="B390" t="s">
        <v>2356</v>
      </c>
      <c r="C390" t="s">
        <v>953</v>
      </c>
      <c r="D390">
        <v>20446981</v>
      </c>
      <c r="E390" t="s">
        <v>2258</v>
      </c>
      <c r="F390" t="s">
        <v>581</v>
      </c>
      <c r="G390" t="s">
        <v>1213</v>
      </c>
      <c r="H390" t="s">
        <v>587</v>
      </c>
      <c r="J390" s="519">
        <v>46064</v>
      </c>
      <c r="R390" s="519">
        <v>46114</v>
      </c>
      <c r="U390" s="519">
        <v>46113</v>
      </c>
    </row>
    <row r="391" spans="1:21">
      <c r="A391" t="s">
        <v>953</v>
      </c>
      <c r="B391" t="s">
        <v>2357</v>
      </c>
      <c r="C391" t="s">
        <v>953</v>
      </c>
      <c r="D391">
        <v>20455489</v>
      </c>
      <c r="E391" t="s">
        <v>2258</v>
      </c>
      <c r="F391" t="s">
        <v>581</v>
      </c>
      <c r="G391" t="s">
        <v>2290</v>
      </c>
      <c r="H391" t="s">
        <v>587</v>
      </c>
      <c r="J391" s="519">
        <v>46076</v>
      </c>
      <c r="R391" s="519">
        <v>46114</v>
      </c>
      <c r="U391" s="519">
        <v>46132</v>
      </c>
    </row>
    <row r="392" spans="1:21">
      <c r="A392" t="s">
        <v>953</v>
      </c>
      <c r="B392" t="s">
        <v>2358</v>
      </c>
      <c r="C392" t="s">
        <v>953</v>
      </c>
      <c r="D392">
        <v>20450723</v>
      </c>
      <c r="E392" t="s">
        <v>2258</v>
      </c>
      <c r="F392" t="s">
        <v>984</v>
      </c>
      <c r="G392" t="s">
        <v>2246</v>
      </c>
      <c r="H392" t="s">
        <v>587</v>
      </c>
      <c r="J392" s="519">
        <v>46070</v>
      </c>
      <c r="R392" s="519">
        <v>46114</v>
      </c>
      <c r="U392" s="519">
        <v>46213</v>
      </c>
    </row>
    <row r="393" spans="1:21">
      <c r="A393" t="s">
        <v>953</v>
      </c>
      <c r="B393" t="s">
        <v>1119</v>
      </c>
      <c r="C393" t="s">
        <v>953</v>
      </c>
      <c r="D393">
        <v>20451157</v>
      </c>
      <c r="E393" t="s">
        <v>2252</v>
      </c>
      <c r="F393" t="s">
        <v>578</v>
      </c>
      <c r="G393" t="s">
        <v>2250</v>
      </c>
      <c r="H393" t="s">
        <v>592</v>
      </c>
      <c r="I393" t="s">
        <v>1118</v>
      </c>
      <c r="J393" s="519">
        <v>46071</v>
      </c>
      <c r="K393" s="519">
        <v>46071</v>
      </c>
      <c r="R393" s="519">
        <v>46114</v>
      </c>
      <c r="U393" s="519">
        <v>46083</v>
      </c>
    </row>
    <row r="394" spans="1:21">
      <c r="A394" t="s">
        <v>953</v>
      </c>
      <c r="B394" t="s">
        <v>6976</v>
      </c>
      <c r="C394" t="s">
        <v>953</v>
      </c>
      <c r="D394">
        <v>20505600</v>
      </c>
      <c r="E394" t="s">
        <v>2245</v>
      </c>
      <c r="F394" t="s">
        <v>984</v>
      </c>
      <c r="G394" t="s">
        <v>2246</v>
      </c>
      <c r="H394" t="s">
        <v>592</v>
      </c>
      <c r="J394" s="519">
        <v>46134</v>
      </c>
      <c r="U394" s="519">
        <v>46134</v>
      </c>
    </row>
    <row r="395" spans="1:21">
      <c r="A395" t="s">
        <v>953</v>
      </c>
      <c r="B395" t="s">
        <v>3368</v>
      </c>
      <c r="C395" t="s">
        <v>953</v>
      </c>
      <c r="D395">
        <v>20489156</v>
      </c>
      <c r="E395" t="s">
        <v>2258</v>
      </c>
      <c r="F395" t="s">
        <v>984</v>
      </c>
      <c r="G395" t="s">
        <v>2250</v>
      </c>
      <c r="H395" t="s">
        <v>592</v>
      </c>
      <c r="J395" s="519">
        <v>46119</v>
      </c>
      <c r="R395" s="519">
        <v>46139</v>
      </c>
      <c r="U395" s="519">
        <v>46173</v>
      </c>
    </row>
    <row r="396" spans="1:21">
      <c r="A396" t="s">
        <v>953</v>
      </c>
      <c r="B396" t="s">
        <v>6977</v>
      </c>
      <c r="C396" t="s">
        <v>953</v>
      </c>
      <c r="D396">
        <v>20506321</v>
      </c>
      <c r="E396" t="s">
        <v>1110</v>
      </c>
      <c r="F396" t="s">
        <v>578</v>
      </c>
      <c r="G396" t="s">
        <v>2250</v>
      </c>
      <c r="H396" t="s">
        <v>587</v>
      </c>
      <c r="I396" t="s">
        <v>2445</v>
      </c>
      <c r="J396" s="519">
        <v>46134</v>
      </c>
      <c r="K396" s="519">
        <v>46134</v>
      </c>
      <c r="L396" s="519">
        <v>46134</v>
      </c>
      <c r="U396" s="519">
        <v>46141</v>
      </c>
    </row>
    <row r="397" spans="1:21">
      <c r="A397" t="s">
        <v>953</v>
      </c>
      <c r="B397" t="s">
        <v>2889</v>
      </c>
      <c r="C397" t="s">
        <v>953</v>
      </c>
      <c r="D397">
        <v>20469503</v>
      </c>
      <c r="E397" t="s">
        <v>2258</v>
      </c>
      <c r="F397" t="s">
        <v>984</v>
      </c>
      <c r="G397" t="s">
        <v>2246</v>
      </c>
      <c r="H397" t="s">
        <v>592</v>
      </c>
      <c r="J397" s="519">
        <v>46093</v>
      </c>
      <c r="R397" s="519">
        <v>46114</v>
      </c>
      <c r="U397" s="519">
        <v>46093</v>
      </c>
    </row>
    <row r="398" spans="1:21">
      <c r="A398" t="s">
        <v>953</v>
      </c>
      <c r="B398" t="s">
        <v>6978</v>
      </c>
      <c r="C398" t="s">
        <v>953</v>
      </c>
      <c r="D398">
        <v>20507538</v>
      </c>
      <c r="E398" t="s">
        <v>2245</v>
      </c>
      <c r="F398" t="s">
        <v>581</v>
      </c>
      <c r="G398" t="s">
        <v>2250</v>
      </c>
      <c r="H398" t="s">
        <v>2361</v>
      </c>
      <c r="J398" s="519">
        <v>46135</v>
      </c>
      <c r="U398" s="519">
        <v>46174</v>
      </c>
    </row>
    <row r="399" spans="1:21">
      <c r="A399" t="s">
        <v>953</v>
      </c>
      <c r="B399" t="s">
        <v>3369</v>
      </c>
      <c r="C399" t="s">
        <v>953</v>
      </c>
      <c r="D399">
        <v>20411167</v>
      </c>
      <c r="E399" t="s">
        <v>2258</v>
      </c>
      <c r="F399" t="s">
        <v>581</v>
      </c>
      <c r="G399" t="s">
        <v>2290</v>
      </c>
      <c r="H399" t="s">
        <v>589</v>
      </c>
      <c r="J399" s="519">
        <v>46013</v>
      </c>
      <c r="R399" s="519">
        <v>46114</v>
      </c>
      <c r="U399" s="519">
        <v>46023</v>
      </c>
    </row>
    <row r="400" spans="1:21">
      <c r="A400" t="s">
        <v>953</v>
      </c>
      <c r="B400" t="s">
        <v>3370</v>
      </c>
      <c r="C400" t="s">
        <v>953</v>
      </c>
      <c r="D400">
        <v>20491295</v>
      </c>
      <c r="E400" t="s">
        <v>2258</v>
      </c>
      <c r="F400" t="s">
        <v>581</v>
      </c>
      <c r="G400" t="s">
        <v>2250</v>
      </c>
      <c r="H400" t="s">
        <v>2361</v>
      </c>
      <c r="J400" s="519">
        <v>46121</v>
      </c>
      <c r="R400" s="519">
        <v>46139</v>
      </c>
      <c r="U400" s="519">
        <v>46122</v>
      </c>
    </row>
    <row r="401" spans="1:21">
      <c r="A401" t="s">
        <v>953</v>
      </c>
      <c r="B401" t="s">
        <v>2362</v>
      </c>
      <c r="C401" t="s">
        <v>953</v>
      </c>
      <c r="D401">
        <v>20455472</v>
      </c>
      <c r="E401" t="s">
        <v>2258</v>
      </c>
      <c r="F401" t="s">
        <v>581</v>
      </c>
      <c r="G401" t="s">
        <v>2246</v>
      </c>
      <c r="H401" t="s">
        <v>587</v>
      </c>
      <c r="J401" s="519">
        <v>46076</v>
      </c>
      <c r="R401" s="519">
        <v>46114</v>
      </c>
      <c r="U401" s="519">
        <v>46153</v>
      </c>
    </row>
    <row r="402" spans="1:21">
      <c r="A402" t="s">
        <v>953</v>
      </c>
      <c r="B402" t="s">
        <v>2363</v>
      </c>
      <c r="C402" t="s">
        <v>953</v>
      </c>
      <c r="D402">
        <v>20450235</v>
      </c>
      <c r="E402" t="s">
        <v>2258</v>
      </c>
      <c r="F402" t="s">
        <v>984</v>
      </c>
      <c r="G402" t="s">
        <v>2259</v>
      </c>
      <c r="H402" t="s">
        <v>587</v>
      </c>
      <c r="J402" s="519">
        <v>46070</v>
      </c>
      <c r="R402" s="519">
        <v>46114</v>
      </c>
      <c r="U402" s="519">
        <v>46070</v>
      </c>
    </row>
    <row r="403" spans="1:21">
      <c r="A403" t="s">
        <v>953</v>
      </c>
      <c r="B403" t="s">
        <v>2364</v>
      </c>
      <c r="C403" t="s">
        <v>953</v>
      </c>
      <c r="D403">
        <v>20448254</v>
      </c>
      <c r="E403" t="s">
        <v>2252</v>
      </c>
      <c r="F403" t="s">
        <v>984</v>
      </c>
      <c r="G403" t="s">
        <v>2250</v>
      </c>
      <c r="H403" t="s">
        <v>587</v>
      </c>
      <c r="J403" s="519">
        <v>46066</v>
      </c>
      <c r="K403" s="519">
        <v>46066</v>
      </c>
      <c r="R403" s="519">
        <v>46114</v>
      </c>
      <c r="U403" s="519">
        <v>46066</v>
      </c>
    </row>
    <row r="404" spans="1:21">
      <c r="A404" t="s">
        <v>953</v>
      </c>
      <c r="B404" t="s">
        <v>2365</v>
      </c>
      <c r="C404" t="s">
        <v>953</v>
      </c>
      <c r="D404">
        <v>20443572</v>
      </c>
      <c r="E404" t="s">
        <v>2258</v>
      </c>
      <c r="F404" t="s">
        <v>578</v>
      </c>
      <c r="G404" t="s">
        <v>1213</v>
      </c>
      <c r="H404" t="s">
        <v>591</v>
      </c>
      <c r="J404" s="519">
        <v>46062</v>
      </c>
      <c r="R404" s="519">
        <v>46114</v>
      </c>
      <c r="U404" s="519">
        <v>46275</v>
      </c>
    </row>
    <row r="405" spans="1:21">
      <c r="A405" t="s">
        <v>953</v>
      </c>
      <c r="B405" t="s">
        <v>2891</v>
      </c>
      <c r="C405" t="s">
        <v>953</v>
      </c>
      <c r="D405">
        <v>20468532</v>
      </c>
      <c r="E405" t="s">
        <v>2258</v>
      </c>
      <c r="F405" t="s">
        <v>984</v>
      </c>
      <c r="G405" t="s">
        <v>2246</v>
      </c>
      <c r="H405" t="s">
        <v>587</v>
      </c>
      <c r="J405" s="519">
        <v>46092</v>
      </c>
      <c r="R405" s="519">
        <v>46114</v>
      </c>
      <c r="U405" s="519">
        <v>46115</v>
      </c>
    </row>
    <row r="406" spans="1:21">
      <c r="A406" t="s">
        <v>953</v>
      </c>
      <c r="B406" t="s">
        <v>2366</v>
      </c>
      <c r="C406" t="s">
        <v>953</v>
      </c>
      <c r="D406">
        <v>20449493</v>
      </c>
      <c r="E406" t="s">
        <v>2258</v>
      </c>
      <c r="F406" t="s">
        <v>581</v>
      </c>
      <c r="G406" t="s">
        <v>1213</v>
      </c>
      <c r="H406" t="s">
        <v>587</v>
      </c>
      <c r="J406" s="519">
        <v>46068</v>
      </c>
      <c r="R406" s="519">
        <v>46114</v>
      </c>
      <c r="U406" s="519">
        <v>46111</v>
      </c>
    </row>
    <row r="407" spans="1:21">
      <c r="A407" t="s">
        <v>953</v>
      </c>
      <c r="B407" t="s">
        <v>6979</v>
      </c>
      <c r="C407" t="s">
        <v>953</v>
      </c>
      <c r="D407">
        <v>20510476</v>
      </c>
      <c r="E407" t="s">
        <v>2245</v>
      </c>
      <c r="F407" t="s">
        <v>984</v>
      </c>
      <c r="G407" t="s">
        <v>2246</v>
      </c>
      <c r="H407" t="s">
        <v>592</v>
      </c>
      <c r="J407" s="519">
        <v>46138</v>
      </c>
      <c r="U407" s="519">
        <v>46138</v>
      </c>
    </row>
    <row r="408" spans="1:21">
      <c r="A408" t="s">
        <v>953</v>
      </c>
      <c r="B408" t="s">
        <v>6980</v>
      </c>
      <c r="C408" t="s">
        <v>953</v>
      </c>
      <c r="D408">
        <v>20504888</v>
      </c>
      <c r="E408" t="s">
        <v>2245</v>
      </c>
      <c r="F408" t="s">
        <v>581</v>
      </c>
      <c r="G408" t="s">
        <v>2259</v>
      </c>
      <c r="H408" t="s">
        <v>592</v>
      </c>
      <c r="J408" s="519">
        <v>46133</v>
      </c>
      <c r="U408" s="519">
        <v>46162</v>
      </c>
    </row>
    <row r="409" spans="1:21">
      <c r="A409" t="s">
        <v>953</v>
      </c>
      <c r="B409" t="s">
        <v>2367</v>
      </c>
      <c r="C409" t="s">
        <v>953</v>
      </c>
      <c r="D409">
        <v>20454998</v>
      </c>
      <c r="E409" t="s">
        <v>2258</v>
      </c>
      <c r="F409" t="s">
        <v>581</v>
      </c>
      <c r="G409" t="s">
        <v>2290</v>
      </c>
      <c r="H409" t="s">
        <v>587</v>
      </c>
      <c r="J409" s="519">
        <v>46074</v>
      </c>
      <c r="R409" s="519">
        <v>46139</v>
      </c>
      <c r="U409" s="519">
        <v>46235</v>
      </c>
    </row>
    <row r="410" spans="1:21">
      <c r="A410" t="s">
        <v>953</v>
      </c>
      <c r="B410" t="s">
        <v>2102</v>
      </c>
      <c r="C410" t="s">
        <v>953</v>
      </c>
      <c r="D410">
        <v>20496388</v>
      </c>
      <c r="E410" t="s">
        <v>1100</v>
      </c>
      <c r="F410" t="s">
        <v>3440</v>
      </c>
      <c r="G410" t="s">
        <v>2250</v>
      </c>
      <c r="H410" t="s">
        <v>587</v>
      </c>
      <c r="I410" t="s">
        <v>891</v>
      </c>
      <c r="J410" s="519">
        <v>46127</v>
      </c>
      <c r="K410" s="519">
        <v>46127</v>
      </c>
      <c r="U410" s="519">
        <v>46127</v>
      </c>
    </row>
    <row r="411" spans="1:21">
      <c r="A411" t="s">
        <v>953</v>
      </c>
      <c r="B411" t="s">
        <v>2102</v>
      </c>
      <c r="C411" t="s">
        <v>953</v>
      </c>
      <c r="D411">
        <v>20496369</v>
      </c>
      <c r="E411" t="s">
        <v>1110</v>
      </c>
      <c r="F411" t="s">
        <v>3440</v>
      </c>
      <c r="G411" t="s">
        <v>2248</v>
      </c>
      <c r="H411" t="s">
        <v>588</v>
      </c>
      <c r="I411" t="s">
        <v>891</v>
      </c>
      <c r="J411" s="519">
        <v>46127</v>
      </c>
      <c r="K411" s="519">
        <v>46127</v>
      </c>
      <c r="L411" s="519">
        <v>46127</v>
      </c>
      <c r="U411" s="519">
        <v>46142</v>
      </c>
    </row>
    <row r="412" spans="1:21">
      <c r="A412" t="s">
        <v>953</v>
      </c>
      <c r="B412" t="s">
        <v>2892</v>
      </c>
      <c r="C412" t="s">
        <v>953</v>
      </c>
      <c r="D412">
        <v>20478553</v>
      </c>
      <c r="E412" t="s">
        <v>2252</v>
      </c>
      <c r="F412" t="s">
        <v>582</v>
      </c>
      <c r="G412" t="s">
        <v>2250</v>
      </c>
      <c r="H412" t="s">
        <v>589</v>
      </c>
      <c r="J412" s="519">
        <v>46104</v>
      </c>
      <c r="K412" s="519">
        <v>46104</v>
      </c>
      <c r="R412" s="519">
        <v>46114</v>
      </c>
      <c r="U412" s="519">
        <v>46113</v>
      </c>
    </row>
    <row r="413" spans="1:21">
      <c r="A413" t="s">
        <v>953</v>
      </c>
      <c r="B413" t="s">
        <v>1135</v>
      </c>
      <c r="C413" t="s">
        <v>953</v>
      </c>
      <c r="D413">
        <v>20461789</v>
      </c>
      <c r="E413" t="s">
        <v>2252</v>
      </c>
      <c r="F413" t="s">
        <v>579</v>
      </c>
      <c r="G413" t="s">
        <v>2250</v>
      </c>
      <c r="H413" t="s">
        <v>589</v>
      </c>
      <c r="J413" s="519">
        <v>46084</v>
      </c>
      <c r="K413" s="519">
        <v>46084</v>
      </c>
      <c r="R413" s="519">
        <v>46114</v>
      </c>
      <c r="U413" s="519">
        <v>46113</v>
      </c>
    </row>
    <row r="414" spans="1:21">
      <c r="A414" t="s">
        <v>953</v>
      </c>
      <c r="B414" t="s">
        <v>1135</v>
      </c>
      <c r="C414" t="s">
        <v>953</v>
      </c>
      <c r="D414">
        <v>20504218</v>
      </c>
      <c r="E414" t="s">
        <v>2252</v>
      </c>
      <c r="F414" t="s">
        <v>581</v>
      </c>
      <c r="G414" t="s">
        <v>2250</v>
      </c>
      <c r="H414" t="s">
        <v>589</v>
      </c>
      <c r="I414" t="s">
        <v>1134</v>
      </c>
      <c r="J414" s="519">
        <v>46132</v>
      </c>
      <c r="K414" s="519">
        <v>46132</v>
      </c>
      <c r="R414" s="519">
        <v>46134</v>
      </c>
      <c r="U414" s="519">
        <v>46132</v>
      </c>
    </row>
    <row r="415" spans="1:21">
      <c r="A415" t="s">
        <v>953</v>
      </c>
      <c r="B415" t="s">
        <v>1135</v>
      </c>
      <c r="C415" t="s">
        <v>953</v>
      </c>
      <c r="D415">
        <v>20459589</v>
      </c>
      <c r="E415" t="s">
        <v>2324</v>
      </c>
      <c r="F415" t="s">
        <v>578</v>
      </c>
      <c r="G415" t="s">
        <v>2248</v>
      </c>
      <c r="H415" t="s">
        <v>589</v>
      </c>
      <c r="I415" t="s">
        <v>1134</v>
      </c>
      <c r="J415" s="519">
        <v>46081</v>
      </c>
      <c r="K415" s="519">
        <v>46085</v>
      </c>
      <c r="L415" s="519">
        <v>46097</v>
      </c>
      <c r="M415" s="519">
        <v>46113</v>
      </c>
      <c r="N415" s="519">
        <v>46113</v>
      </c>
      <c r="O415" s="519">
        <v>46113</v>
      </c>
      <c r="P415" s="519">
        <v>46113</v>
      </c>
      <c r="Q415" s="519">
        <v>46113</v>
      </c>
      <c r="U415" s="519">
        <v>46113</v>
      </c>
    </row>
    <row r="416" spans="1:21">
      <c r="A416" t="s">
        <v>953</v>
      </c>
      <c r="B416" t="s">
        <v>6981</v>
      </c>
      <c r="C416" t="s">
        <v>953</v>
      </c>
      <c r="D416">
        <v>20461164</v>
      </c>
      <c r="E416" t="s">
        <v>2252</v>
      </c>
      <c r="F416" t="s">
        <v>579</v>
      </c>
      <c r="G416" t="s">
        <v>2248</v>
      </c>
      <c r="H416" t="s">
        <v>589</v>
      </c>
      <c r="J416" s="519">
        <v>46084</v>
      </c>
      <c r="K416" s="519">
        <v>46085</v>
      </c>
      <c r="R416" s="519">
        <v>46116</v>
      </c>
      <c r="U416" s="519">
        <v>46119</v>
      </c>
    </row>
    <row r="417" spans="1:21">
      <c r="A417" t="s">
        <v>953</v>
      </c>
      <c r="B417" t="s">
        <v>6982</v>
      </c>
      <c r="C417" t="s">
        <v>953</v>
      </c>
      <c r="D417">
        <v>20506295</v>
      </c>
      <c r="E417" t="s">
        <v>1110</v>
      </c>
      <c r="F417" t="s">
        <v>1001</v>
      </c>
      <c r="G417" t="s">
        <v>2259</v>
      </c>
      <c r="H417" t="s">
        <v>3138</v>
      </c>
      <c r="I417" t="s">
        <v>2463</v>
      </c>
      <c r="J417" s="519">
        <v>46134</v>
      </c>
      <c r="K417" s="519">
        <v>46136</v>
      </c>
      <c r="L417" s="519">
        <v>46136</v>
      </c>
      <c r="U417" s="519">
        <v>46150</v>
      </c>
    </row>
    <row r="418" spans="1:21">
      <c r="A418" t="s">
        <v>953</v>
      </c>
      <c r="B418" t="s">
        <v>6983</v>
      </c>
      <c r="C418" t="s">
        <v>953</v>
      </c>
      <c r="D418">
        <v>20498994</v>
      </c>
      <c r="E418" t="s">
        <v>2252</v>
      </c>
      <c r="F418" t="s">
        <v>984</v>
      </c>
      <c r="G418" t="s">
        <v>2250</v>
      </c>
      <c r="H418" t="s">
        <v>587</v>
      </c>
      <c r="I418" t="s">
        <v>2935</v>
      </c>
      <c r="J418" s="519">
        <v>46129</v>
      </c>
      <c r="K418" s="519">
        <v>46129</v>
      </c>
      <c r="L418" s="519">
        <v>46129</v>
      </c>
      <c r="R418" s="519">
        <v>46133</v>
      </c>
      <c r="U418" s="519">
        <v>46137</v>
      </c>
    </row>
    <row r="419" spans="1:21">
      <c r="A419" t="s">
        <v>953</v>
      </c>
      <c r="B419" t="s">
        <v>2894</v>
      </c>
      <c r="C419" t="s">
        <v>953</v>
      </c>
      <c r="D419">
        <v>20465434</v>
      </c>
      <c r="E419" t="s">
        <v>2258</v>
      </c>
      <c r="F419" t="s">
        <v>984</v>
      </c>
      <c r="G419" t="s">
        <v>2259</v>
      </c>
      <c r="H419" t="s">
        <v>587</v>
      </c>
      <c r="J419" s="519">
        <v>46090</v>
      </c>
      <c r="R419" s="519">
        <v>46114</v>
      </c>
      <c r="U419" s="519">
        <v>46090</v>
      </c>
    </row>
    <row r="420" spans="1:21">
      <c r="A420" t="s">
        <v>953</v>
      </c>
      <c r="B420" t="s">
        <v>6984</v>
      </c>
      <c r="C420" t="s">
        <v>953</v>
      </c>
      <c r="D420">
        <v>20512184</v>
      </c>
      <c r="E420" t="s">
        <v>2245</v>
      </c>
      <c r="F420" t="s">
        <v>984</v>
      </c>
      <c r="G420" t="s">
        <v>2259</v>
      </c>
      <c r="H420" t="s">
        <v>2388</v>
      </c>
      <c r="J420" s="519">
        <v>46140</v>
      </c>
      <c r="U420" s="519">
        <v>46140</v>
      </c>
    </row>
    <row r="421" spans="1:21">
      <c r="A421" t="s">
        <v>953</v>
      </c>
      <c r="B421" t="s">
        <v>6985</v>
      </c>
      <c r="C421" t="s">
        <v>953</v>
      </c>
      <c r="D421">
        <v>20504465</v>
      </c>
      <c r="E421" t="s">
        <v>2245</v>
      </c>
      <c r="F421" t="s">
        <v>984</v>
      </c>
      <c r="G421" t="s">
        <v>2250</v>
      </c>
      <c r="H421" t="s">
        <v>2361</v>
      </c>
      <c r="J421" s="519">
        <v>46133</v>
      </c>
      <c r="U421" s="519">
        <v>46167</v>
      </c>
    </row>
    <row r="422" spans="1:21">
      <c r="A422" t="s">
        <v>953</v>
      </c>
      <c r="B422" t="s">
        <v>3371</v>
      </c>
      <c r="C422" t="s">
        <v>953</v>
      </c>
      <c r="D422">
        <v>20417571</v>
      </c>
      <c r="E422" t="s">
        <v>2258</v>
      </c>
      <c r="F422" t="s">
        <v>581</v>
      </c>
      <c r="G422" t="s">
        <v>2246</v>
      </c>
      <c r="H422" t="s">
        <v>591</v>
      </c>
      <c r="J422" s="519">
        <v>46025</v>
      </c>
      <c r="R422" s="519">
        <v>46114</v>
      </c>
      <c r="U422" s="519">
        <v>46025</v>
      </c>
    </row>
    <row r="423" spans="1:21">
      <c r="A423" t="s">
        <v>953</v>
      </c>
      <c r="B423" t="s">
        <v>2895</v>
      </c>
      <c r="C423" t="s">
        <v>953</v>
      </c>
      <c r="D423">
        <v>20478670</v>
      </c>
      <c r="E423" t="s">
        <v>2258</v>
      </c>
      <c r="F423" t="s">
        <v>581</v>
      </c>
      <c r="G423" t="s">
        <v>2250</v>
      </c>
      <c r="H423" t="s">
        <v>592</v>
      </c>
      <c r="J423" s="519">
        <v>46104</v>
      </c>
      <c r="R423" s="519">
        <v>46114</v>
      </c>
      <c r="U423" s="519">
        <v>46142</v>
      </c>
    </row>
    <row r="424" spans="1:21">
      <c r="A424" t="s">
        <v>953</v>
      </c>
      <c r="B424" t="s">
        <v>2370</v>
      </c>
      <c r="C424" t="s">
        <v>953</v>
      </c>
      <c r="D424">
        <v>20448146</v>
      </c>
      <c r="E424" t="s">
        <v>2258</v>
      </c>
      <c r="F424" t="s">
        <v>984</v>
      </c>
      <c r="G424" t="s">
        <v>1213</v>
      </c>
      <c r="H424" t="s">
        <v>587</v>
      </c>
      <c r="J424" s="519">
        <v>46065</v>
      </c>
      <c r="R424" s="519">
        <v>46114</v>
      </c>
      <c r="U424" s="519">
        <v>46095</v>
      </c>
    </row>
    <row r="425" spans="1:21">
      <c r="A425" t="s">
        <v>953</v>
      </c>
      <c r="B425" t="s">
        <v>3372</v>
      </c>
      <c r="C425" t="s">
        <v>953</v>
      </c>
      <c r="D425">
        <v>20423391</v>
      </c>
      <c r="E425" t="s">
        <v>2258</v>
      </c>
      <c r="F425" t="s">
        <v>577</v>
      </c>
      <c r="G425" t="s">
        <v>2248</v>
      </c>
      <c r="H425" t="s">
        <v>589</v>
      </c>
      <c r="J425" s="519">
        <v>46034</v>
      </c>
      <c r="R425" s="519">
        <v>46114</v>
      </c>
      <c r="U425" s="519">
        <v>46034</v>
      </c>
    </row>
    <row r="426" spans="1:21">
      <c r="A426" t="s">
        <v>953</v>
      </c>
      <c r="B426" t="s">
        <v>2897</v>
      </c>
      <c r="C426" t="s">
        <v>953</v>
      </c>
      <c r="D426">
        <v>20483421</v>
      </c>
      <c r="E426" t="s">
        <v>2258</v>
      </c>
      <c r="F426" t="s">
        <v>581</v>
      </c>
      <c r="G426" t="s">
        <v>2250</v>
      </c>
      <c r="H426" t="s">
        <v>592</v>
      </c>
      <c r="J426" s="519">
        <v>46111</v>
      </c>
      <c r="R426" s="519">
        <v>46139</v>
      </c>
      <c r="U426" s="519">
        <v>46127</v>
      </c>
    </row>
    <row r="427" spans="1:21">
      <c r="A427" t="s">
        <v>953</v>
      </c>
      <c r="B427" t="s">
        <v>3373</v>
      </c>
      <c r="C427" t="s">
        <v>953</v>
      </c>
      <c r="D427">
        <v>20485043</v>
      </c>
      <c r="E427" t="s">
        <v>2258</v>
      </c>
      <c r="F427" t="s">
        <v>581</v>
      </c>
      <c r="G427" t="s">
        <v>2248</v>
      </c>
      <c r="H427" t="s">
        <v>592</v>
      </c>
      <c r="I427" t="s">
        <v>2783</v>
      </c>
      <c r="J427" s="519">
        <v>46113</v>
      </c>
      <c r="R427" s="519">
        <v>46114</v>
      </c>
      <c r="U427" s="519">
        <v>46129</v>
      </c>
    </row>
    <row r="428" spans="1:21">
      <c r="A428" t="s">
        <v>953</v>
      </c>
      <c r="B428" t="s">
        <v>6986</v>
      </c>
      <c r="C428" t="s">
        <v>953</v>
      </c>
      <c r="D428">
        <v>20500909</v>
      </c>
      <c r="E428" t="s">
        <v>2245</v>
      </c>
      <c r="F428" t="s">
        <v>984</v>
      </c>
      <c r="G428" t="s">
        <v>2250</v>
      </c>
      <c r="H428" t="s">
        <v>2361</v>
      </c>
      <c r="J428" s="519">
        <v>46130</v>
      </c>
      <c r="U428" s="519">
        <v>46134</v>
      </c>
    </row>
    <row r="429" spans="1:21">
      <c r="A429" t="s">
        <v>953</v>
      </c>
      <c r="B429" t="s">
        <v>3374</v>
      </c>
      <c r="C429" t="s">
        <v>953</v>
      </c>
      <c r="D429">
        <v>20417949</v>
      </c>
      <c r="E429" t="s">
        <v>2258</v>
      </c>
      <c r="F429" t="s">
        <v>579</v>
      </c>
      <c r="G429" t="s">
        <v>2248</v>
      </c>
      <c r="H429" t="s">
        <v>591</v>
      </c>
      <c r="J429" s="519">
        <v>46026</v>
      </c>
      <c r="R429" s="519">
        <v>46114</v>
      </c>
      <c r="U429" s="519">
        <v>46026</v>
      </c>
    </row>
    <row r="430" spans="1:21">
      <c r="A430" t="s">
        <v>953</v>
      </c>
      <c r="B430" t="s">
        <v>3375</v>
      </c>
      <c r="C430" t="s">
        <v>953</v>
      </c>
      <c r="D430">
        <v>20484951</v>
      </c>
      <c r="E430" t="s">
        <v>2258</v>
      </c>
      <c r="F430" t="s">
        <v>581</v>
      </c>
      <c r="G430" t="s">
        <v>1213</v>
      </c>
      <c r="H430" t="s">
        <v>591</v>
      </c>
      <c r="J430" s="519">
        <v>46113</v>
      </c>
      <c r="R430" s="519">
        <v>46139</v>
      </c>
      <c r="U430" s="519">
        <v>46143</v>
      </c>
    </row>
    <row r="431" spans="1:21">
      <c r="A431" t="s">
        <v>953</v>
      </c>
      <c r="B431" t="s">
        <v>3376</v>
      </c>
      <c r="C431" t="s">
        <v>953</v>
      </c>
      <c r="D431">
        <v>20491901</v>
      </c>
      <c r="E431" t="s">
        <v>2258</v>
      </c>
      <c r="F431" t="s">
        <v>984</v>
      </c>
      <c r="G431" t="s">
        <v>2246</v>
      </c>
      <c r="H431" t="s">
        <v>588</v>
      </c>
      <c r="J431" s="519">
        <v>46122</v>
      </c>
      <c r="R431" s="519">
        <v>46139</v>
      </c>
      <c r="U431" s="519">
        <v>46122</v>
      </c>
    </row>
    <row r="432" spans="1:21">
      <c r="A432" t="s">
        <v>953</v>
      </c>
      <c r="B432" t="s">
        <v>2372</v>
      </c>
      <c r="C432" t="s">
        <v>953</v>
      </c>
      <c r="D432">
        <v>20457690</v>
      </c>
      <c r="E432" t="s">
        <v>2252</v>
      </c>
      <c r="F432" t="s">
        <v>1001</v>
      </c>
      <c r="G432" t="s">
        <v>2250</v>
      </c>
      <c r="H432" t="s">
        <v>587</v>
      </c>
      <c r="I432" t="s">
        <v>1010</v>
      </c>
      <c r="J432" s="519">
        <v>46078</v>
      </c>
      <c r="K432" s="519">
        <v>46078</v>
      </c>
      <c r="R432" s="519">
        <v>46114</v>
      </c>
      <c r="U432" s="519">
        <v>46101</v>
      </c>
    </row>
    <row r="433" spans="1:21">
      <c r="A433" t="s">
        <v>953</v>
      </c>
      <c r="B433" t="s">
        <v>2374</v>
      </c>
      <c r="C433" t="s">
        <v>953</v>
      </c>
      <c r="D433">
        <v>20455817</v>
      </c>
      <c r="E433" t="s">
        <v>2258</v>
      </c>
      <c r="F433" t="s">
        <v>984</v>
      </c>
      <c r="G433" t="s">
        <v>2246</v>
      </c>
      <c r="H433" t="s">
        <v>587</v>
      </c>
      <c r="J433" s="519">
        <v>46076</v>
      </c>
      <c r="R433" s="519">
        <v>46114</v>
      </c>
      <c r="U433" s="519">
        <v>46082</v>
      </c>
    </row>
    <row r="434" spans="1:21">
      <c r="A434" t="s">
        <v>953</v>
      </c>
      <c r="B434" t="s">
        <v>6987</v>
      </c>
      <c r="C434" t="s">
        <v>953</v>
      </c>
      <c r="D434">
        <v>20499014</v>
      </c>
      <c r="E434" t="s">
        <v>2258</v>
      </c>
      <c r="F434" t="s">
        <v>579</v>
      </c>
      <c r="G434" t="s">
        <v>2248</v>
      </c>
      <c r="H434" t="s">
        <v>589</v>
      </c>
      <c r="I434" t="s">
        <v>5890</v>
      </c>
      <c r="J434" s="519">
        <v>46129</v>
      </c>
      <c r="R434" s="519">
        <v>46139</v>
      </c>
      <c r="U434" s="519">
        <v>46129</v>
      </c>
    </row>
    <row r="435" spans="1:21">
      <c r="A435" t="s">
        <v>953</v>
      </c>
      <c r="B435" t="s">
        <v>3377</v>
      </c>
      <c r="C435" t="s">
        <v>953</v>
      </c>
      <c r="D435">
        <v>20487945</v>
      </c>
      <c r="E435" t="s">
        <v>2258</v>
      </c>
      <c r="F435" t="s">
        <v>581</v>
      </c>
      <c r="G435" t="s">
        <v>2248</v>
      </c>
      <c r="H435" t="s">
        <v>588</v>
      </c>
      <c r="I435" t="s">
        <v>1156</v>
      </c>
      <c r="J435" s="519">
        <v>46118</v>
      </c>
      <c r="R435" s="519">
        <v>46139</v>
      </c>
      <c r="U435" s="519">
        <v>46118</v>
      </c>
    </row>
    <row r="436" spans="1:21">
      <c r="A436" t="s">
        <v>953</v>
      </c>
      <c r="B436" t="s">
        <v>2899</v>
      </c>
      <c r="C436" t="s">
        <v>953</v>
      </c>
      <c r="D436">
        <v>20475525</v>
      </c>
      <c r="E436" t="s">
        <v>2258</v>
      </c>
      <c r="F436" t="s">
        <v>984</v>
      </c>
      <c r="G436" t="s">
        <v>2248</v>
      </c>
      <c r="H436" t="s">
        <v>587</v>
      </c>
      <c r="J436" s="519">
        <v>46099</v>
      </c>
      <c r="R436" s="519">
        <v>46114</v>
      </c>
      <c r="U436" s="519">
        <v>46179</v>
      </c>
    </row>
    <row r="437" spans="1:21">
      <c r="A437" t="s">
        <v>953</v>
      </c>
      <c r="B437" t="s">
        <v>3378</v>
      </c>
      <c r="C437" t="s">
        <v>953</v>
      </c>
      <c r="D437">
        <v>20434117</v>
      </c>
      <c r="E437" t="s">
        <v>2258</v>
      </c>
      <c r="F437" t="s">
        <v>984</v>
      </c>
      <c r="G437" t="s">
        <v>2246</v>
      </c>
      <c r="H437" t="s">
        <v>593</v>
      </c>
      <c r="J437" s="519">
        <v>46046</v>
      </c>
      <c r="R437" s="519">
        <v>46114</v>
      </c>
      <c r="U437" s="519">
        <v>46059</v>
      </c>
    </row>
    <row r="438" spans="1:21">
      <c r="A438" t="s">
        <v>953</v>
      </c>
      <c r="B438" t="s">
        <v>6988</v>
      </c>
      <c r="C438" t="s">
        <v>953</v>
      </c>
      <c r="D438">
        <v>20511362</v>
      </c>
      <c r="E438" t="s">
        <v>2245</v>
      </c>
      <c r="F438" t="s">
        <v>984</v>
      </c>
      <c r="G438" t="s">
        <v>2259</v>
      </c>
      <c r="H438" t="s">
        <v>2388</v>
      </c>
      <c r="J438" s="519">
        <v>46139</v>
      </c>
      <c r="U438" s="519">
        <v>46150</v>
      </c>
    </row>
    <row r="439" spans="1:21">
      <c r="A439" t="s">
        <v>953</v>
      </c>
      <c r="B439" t="s">
        <v>6988</v>
      </c>
      <c r="C439" t="s">
        <v>953</v>
      </c>
      <c r="D439">
        <v>20511750</v>
      </c>
      <c r="E439" t="s">
        <v>2245</v>
      </c>
      <c r="F439" t="s">
        <v>984</v>
      </c>
      <c r="G439" t="s">
        <v>2250</v>
      </c>
      <c r="H439" t="s">
        <v>592</v>
      </c>
      <c r="J439" s="519">
        <v>46140</v>
      </c>
      <c r="U439" s="519">
        <v>46150</v>
      </c>
    </row>
    <row r="440" spans="1:21">
      <c r="A440" t="s">
        <v>953</v>
      </c>
      <c r="B440" t="s">
        <v>6989</v>
      </c>
      <c r="C440" t="s">
        <v>953</v>
      </c>
      <c r="D440">
        <v>20506348</v>
      </c>
      <c r="E440" t="s">
        <v>2245</v>
      </c>
      <c r="F440" t="s">
        <v>581</v>
      </c>
      <c r="G440" t="s">
        <v>2259</v>
      </c>
      <c r="H440" t="s">
        <v>593</v>
      </c>
      <c r="J440" s="519">
        <v>46134</v>
      </c>
      <c r="U440" s="519">
        <v>46134</v>
      </c>
    </row>
    <row r="441" spans="1:21">
      <c r="A441" t="s">
        <v>953</v>
      </c>
      <c r="B441" t="s">
        <v>2900</v>
      </c>
      <c r="C441" t="s">
        <v>953</v>
      </c>
      <c r="D441">
        <v>20471340</v>
      </c>
      <c r="E441" t="s">
        <v>2258</v>
      </c>
      <c r="F441" t="s">
        <v>984</v>
      </c>
      <c r="G441" t="s">
        <v>2250</v>
      </c>
      <c r="H441" t="s">
        <v>592</v>
      </c>
      <c r="J441" s="519">
        <v>46095</v>
      </c>
      <c r="R441" s="519">
        <v>46114</v>
      </c>
      <c r="U441" s="519">
        <v>46096</v>
      </c>
    </row>
    <row r="442" spans="1:21">
      <c r="A442" t="s">
        <v>953</v>
      </c>
      <c r="B442" t="s">
        <v>2376</v>
      </c>
      <c r="C442" t="s">
        <v>953</v>
      </c>
      <c r="D442">
        <v>20446215</v>
      </c>
      <c r="E442" t="s">
        <v>2258</v>
      </c>
      <c r="F442" t="s">
        <v>581</v>
      </c>
      <c r="G442" t="s">
        <v>2259</v>
      </c>
      <c r="H442" t="s">
        <v>1144</v>
      </c>
      <c r="J442" s="519">
        <v>46064</v>
      </c>
      <c r="R442" s="519">
        <v>46115</v>
      </c>
      <c r="U442" s="519">
        <v>46064</v>
      </c>
    </row>
    <row r="443" spans="1:21">
      <c r="A443" t="s">
        <v>953</v>
      </c>
      <c r="B443" t="s">
        <v>2901</v>
      </c>
      <c r="C443" t="s">
        <v>953</v>
      </c>
      <c r="D443">
        <v>20480768</v>
      </c>
      <c r="E443" t="s">
        <v>2258</v>
      </c>
      <c r="F443" t="s">
        <v>984</v>
      </c>
      <c r="G443" t="s">
        <v>2248</v>
      </c>
      <c r="H443" t="s">
        <v>2412</v>
      </c>
      <c r="J443" s="519">
        <v>46107</v>
      </c>
      <c r="R443" s="519">
        <v>46115</v>
      </c>
      <c r="U443" s="519">
        <v>46107</v>
      </c>
    </row>
    <row r="444" spans="1:21">
      <c r="A444" t="s">
        <v>953</v>
      </c>
      <c r="B444" t="s">
        <v>2901</v>
      </c>
      <c r="C444" t="s">
        <v>953</v>
      </c>
      <c r="D444">
        <v>20481245</v>
      </c>
      <c r="E444" t="s">
        <v>2252</v>
      </c>
      <c r="F444" t="s">
        <v>1115</v>
      </c>
      <c r="G444" t="s">
        <v>2250</v>
      </c>
      <c r="H444" t="s">
        <v>2453</v>
      </c>
      <c r="J444" s="519">
        <v>46108</v>
      </c>
      <c r="K444" s="519">
        <v>46108</v>
      </c>
      <c r="R444" s="519">
        <v>46115</v>
      </c>
      <c r="U444" s="519">
        <v>46109</v>
      </c>
    </row>
    <row r="445" spans="1:21">
      <c r="A445" t="s">
        <v>953</v>
      </c>
      <c r="B445" t="s">
        <v>2377</v>
      </c>
      <c r="C445" t="s">
        <v>953</v>
      </c>
      <c r="D445">
        <v>20457133</v>
      </c>
      <c r="E445" t="s">
        <v>2258</v>
      </c>
      <c r="F445" t="s">
        <v>984</v>
      </c>
      <c r="G445" t="s">
        <v>2246</v>
      </c>
      <c r="H445" t="s">
        <v>587</v>
      </c>
      <c r="J445" s="519">
        <v>46078</v>
      </c>
      <c r="R445" s="519">
        <v>46114</v>
      </c>
      <c r="U445" s="519">
        <v>46082</v>
      </c>
    </row>
    <row r="446" spans="1:21">
      <c r="A446" t="s">
        <v>953</v>
      </c>
      <c r="B446" t="s">
        <v>3379</v>
      </c>
      <c r="C446" t="s">
        <v>953</v>
      </c>
      <c r="D446">
        <v>20489885</v>
      </c>
      <c r="E446" t="s">
        <v>2252</v>
      </c>
      <c r="F446" t="s">
        <v>582</v>
      </c>
      <c r="G446" t="s">
        <v>2250</v>
      </c>
      <c r="H446" t="s">
        <v>1144</v>
      </c>
      <c r="I446" t="s">
        <v>2487</v>
      </c>
      <c r="J446" s="519">
        <v>46120</v>
      </c>
      <c r="K446" s="519">
        <v>46120</v>
      </c>
      <c r="L446" s="519">
        <v>46120</v>
      </c>
      <c r="R446" s="519">
        <v>46126</v>
      </c>
      <c r="U446" s="519">
        <v>46136</v>
      </c>
    </row>
    <row r="447" spans="1:21">
      <c r="A447" t="s">
        <v>953</v>
      </c>
      <c r="B447" t="s">
        <v>3379</v>
      </c>
      <c r="C447" t="s">
        <v>953</v>
      </c>
      <c r="D447">
        <v>20488268</v>
      </c>
      <c r="E447" t="s">
        <v>2258</v>
      </c>
      <c r="F447" t="s">
        <v>582</v>
      </c>
      <c r="G447" t="s">
        <v>2290</v>
      </c>
      <c r="H447" t="s">
        <v>587</v>
      </c>
      <c r="I447" t="s">
        <v>1156</v>
      </c>
      <c r="J447" s="519">
        <v>46118</v>
      </c>
      <c r="K447" s="519">
        <v>46120</v>
      </c>
      <c r="R447" s="519">
        <v>46139</v>
      </c>
      <c r="U447" s="519">
        <v>46136</v>
      </c>
    </row>
    <row r="448" spans="1:21">
      <c r="A448" t="s">
        <v>953</v>
      </c>
      <c r="B448" t="s">
        <v>3380</v>
      </c>
      <c r="C448" t="s">
        <v>953</v>
      </c>
      <c r="D448">
        <v>20431789</v>
      </c>
      <c r="E448" t="s">
        <v>2258</v>
      </c>
      <c r="F448" t="s">
        <v>2256</v>
      </c>
      <c r="G448" t="s">
        <v>2248</v>
      </c>
      <c r="H448" t="s">
        <v>592</v>
      </c>
      <c r="J448" s="519">
        <v>46043</v>
      </c>
      <c r="R448" s="519">
        <v>46114</v>
      </c>
      <c r="U448" s="519">
        <v>46043</v>
      </c>
    </row>
    <row r="449" spans="1:21">
      <c r="A449" t="s">
        <v>953</v>
      </c>
      <c r="B449" t="s">
        <v>3381</v>
      </c>
      <c r="C449" t="s">
        <v>953</v>
      </c>
      <c r="D449">
        <v>20487984</v>
      </c>
      <c r="E449" t="s">
        <v>2258</v>
      </c>
      <c r="F449" t="s">
        <v>984</v>
      </c>
      <c r="G449" t="s">
        <v>2246</v>
      </c>
      <c r="H449" t="s">
        <v>587</v>
      </c>
      <c r="J449" s="519">
        <v>46118</v>
      </c>
      <c r="R449" s="519">
        <v>46139</v>
      </c>
      <c r="U449" s="519">
        <v>46118</v>
      </c>
    </row>
    <row r="450" spans="1:21">
      <c r="A450" t="s">
        <v>953</v>
      </c>
      <c r="B450" t="s">
        <v>3382</v>
      </c>
      <c r="C450" t="s">
        <v>953</v>
      </c>
      <c r="D450">
        <v>20488779</v>
      </c>
      <c r="E450" t="s">
        <v>2258</v>
      </c>
      <c r="F450" t="s">
        <v>581</v>
      </c>
      <c r="G450" t="s">
        <v>2250</v>
      </c>
      <c r="H450" t="s">
        <v>592</v>
      </c>
      <c r="J450" s="519">
        <v>46118</v>
      </c>
      <c r="R450" s="519">
        <v>46139</v>
      </c>
      <c r="U450" s="519">
        <v>46143</v>
      </c>
    </row>
    <row r="451" spans="1:21">
      <c r="A451" t="s">
        <v>953</v>
      </c>
      <c r="B451" t="s">
        <v>2378</v>
      </c>
      <c r="C451" t="s">
        <v>953</v>
      </c>
      <c r="D451">
        <v>20449106</v>
      </c>
      <c r="E451" t="s">
        <v>2258</v>
      </c>
      <c r="F451" t="s">
        <v>581</v>
      </c>
      <c r="G451" t="s">
        <v>2290</v>
      </c>
      <c r="H451" t="s">
        <v>587</v>
      </c>
      <c r="J451" s="519">
        <v>46067</v>
      </c>
      <c r="R451" s="519">
        <v>46114</v>
      </c>
      <c r="U451" s="519">
        <v>46081</v>
      </c>
    </row>
    <row r="452" spans="1:21">
      <c r="A452" t="s">
        <v>953</v>
      </c>
      <c r="B452" t="s">
        <v>2379</v>
      </c>
      <c r="C452" t="s">
        <v>953</v>
      </c>
      <c r="D452">
        <v>20450141</v>
      </c>
      <c r="E452" t="s">
        <v>2258</v>
      </c>
      <c r="F452" t="s">
        <v>581</v>
      </c>
      <c r="G452" t="s">
        <v>2246</v>
      </c>
      <c r="H452" t="s">
        <v>587</v>
      </c>
      <c r="J452" s="519">
        <v>46069</v>
      </c>
      <c r="R452" s="519">
        <v>46114</v>
      </c>
      <c r="U452" s="519">
        <v>46087</v>
      </c>
    </row>
    <row r="453" spans="1:21">
      <c r="A453" t="s">
        <v>953</v>
      </c>
      <c r="B453" t="s">
        <v>3383</v>
      </c>
      <c r="C453" t="s">
        <v>953</v>
      </c>
      <c r="D453">
        <v>20410756</v>
      </c>
      <c r="E453" t="s">
        <v>2258</v>
      </c>
      <c r="F453" t="s">
        <v>581</v>
      </c>
      <c r="G453" t="s">
        <v>2246</v>
      </c>
      <c r="H453" t="s">
        <v>592</v>
      </c>
      <c r="J453" s="519">
        <v>46011</v>
      </c>
      <c r="R453" s="519">
        <v>46114</v>
      </c>
      <c r="U453" s="519">
        <v>46020</v>
      </c>
    </row>
    <row r="454" spans="1:21">
      <c r="A454" t="s">
        <v>953</v>
      </c>
      <c r="B454" t="s">
        <v>6990</v>
      </c>
      <c r="C454" t="s">
        <v>953</v>
      </c>
      <c r="D454">
        <v>20501905</v>
      </c>
      <c r="E454" t="s">
        <v>2245</v>
      </c>
      <c r="F454" t="s">
        <v>984</v>
      </c>
      <c r="G454" t="s">
        <v>2250</v>
      </c>
      <c r="H454" t="s">
        <v>592</v>
      </c>
      <c r="J454" s="519">
        <v>46131</v>
      </c>
      <c r="U454" s="519">
        <v>46157</v>
      </c>
    </row>
    <row r="455" spans="1:21">
      <c r="A455" t="s">
        <v>953</v>
      </c>
      <c r="B455" t="s">
        <v>1696</v>
      </c>
      <c r="C455" t="s">
        <v>953</v>
      </c>
      <c r="D455">
        <v>20448528</v>
      </c>
      <c r="E455" t="s">
        <v>2258</v>
      </c>
      <c r="F455" t="s">
        <v>984</v>
      </c>
      <c r="G455" t="s">
        <v>2246</v>
      </c>
      <c r="H455" t="s">
        <v>2361</v>
      </c>
      <c r="J455" s="519">
        <v>46066</v>
      </c>
      <c r="R455" s="519">
        <v>46114</v>
      </c>
      <c r="U455" s="519">
        <v>46066</v>
      </c>
    </row>
    <row r="456" spans="1:21">
      <c r="A456" t="s">
        <v>953</v>
      </c>
      <c r="B456" t="s">
        <v>3384</v>
      </c>
      <c r="C456" t="s">
        <v>953</v>
      </c>
      <c r="D456">
        <v>20488632</v>
      </c>
      <c r="E456" t="s">
        <v>2252</v>
      </c>
      <c r="F456" t="s">
        <v>583</v>
      </c>
      <c r="G456" t="s">
        <v>2250</v>
      </c>
      <c r="H456" t="s">
        <v>592</v>
      </c>
      <c r="I456" t="s">
        <v>986</v>
      </c>
      <c r="J456" s="519">
        <v>46118</v>
      </c>
      <c r="K456" s="519">
        <v>46118</v>
      </c>
      <c r="L456" s="519">
        <v>46118</v>
      </c>
      <c r="R456" s="519">
        <v>46135</v>
      </c>
      <c r="U456" s="519">
        <v>46136</v>
      </c>
    </row>
    <row r="457" spans="1:21">
      <c r="A457" t="s">
        <v>953</v>
      </c>
      <c r="B457" t="s">
        <v>2902</v>
      </c>
      <c r="C457" t="s">
        <v>953</v>
      </c>
      <c r="D457">
        <v>20480388</v>
      </c>
      <c r="E457" t="s">
        <v>2252</v>
      </c>
      <c r="F457" t="s">
        <v>583</v>
      </c>
      <c r="G457" t="s">
        <v>2250</v>
      </c>
      <c r="H457" t="s">
        <v>587</v>
      </c>
      <c r="I457" t="s">
        <v>867</v>
      </c>
      <c r="J457" s="519">
        <v>46106</v>
      </c>
      <c r="K457" s="519">
        <v>46106</v>
      </c>
      <c r="L457" s="519">
        <v>46106</v>
      </c>
      <c r="R457" s="519">
        <v>46114</v>
      </c>
      <c r="U457" s="519">
        <v>46113</v>
      </c>
    </row>
    <row r="458" spans="1:21">
      <c r="A458" t="s">
        <v>953</v>
      </c>
      <c r="B458" t="s">
        <v>2382</v>
      </c>
      <c r="C458" t="s">
        <v>953</v>
      </c>
      <c r="D458">
        <v>20456145</v>
      </c>
      <c r="E458" t="s">
        <v>2258</v>
      </c>
      <c r="F458" t="s">
        <v>984</v>
      </c>
      <c r="G458" t="s">
        <v>2246</v>
      </c>
      <c r="H458" t="s">
        <v>587</v>
      </c>
      <c r="J458" s="519">
        <v>46076</v>
      </c>
      <c r="R458" s="519">
        <v>46114</v>
      </c>
      <c r="U458" s="519">
        <v>46188</v>
      </c>
    </row>
    <row r="459" spans="1:21">
      <c r="A459" t="s">
        <v>953</v>
      </c>
      <c r="B459" t="s">
        <v>6991</v>
      </c>
      <c r="C459" t="s">
        <v>953</v>
      </c>
      <c r="D459">
        <v>20504151</v>
      </c>
      <c r="E459" t="s">
        <v>2245</v>
      </c>
      <c r="F459" t="s">
        <v>984</v>
      </c>
      <c r="G459" t="s">
        <v>2290</v>
      </c>
      <c r="H459" t="s">
        <v>587</v>
      </c>
      <c r="J459" s="519">
        <v>46132</v>
      </c>
      <c r="U459" s="519">
        <v>46132</v>
      </c>
    </row>
    <row r="460" spans="1:21">
      <c r="A460" t="s">
        <v>953</v>
      </c>
      <c r="B460" t="s">
        <v>3385</v>
      </c>
      <c r="C460" t="s">
        <v>953</v>
      </c>
      <c r="D460">
        <v>20426394</v>
      </c>
      <c r="E460" t="s">
        <v>2252</v>
      </c>
      <c r="F460" t="s">
        <v>1001</v>
      </c>
      <c r="G460" t="s">
        <v>2250</v>
      </c>
      <c r="H460" t="s">
        <v>592</v>
      </c>
      <c r="I460" t="s">
        <v>3046</v>
      </c>
      <c r="J460" s="519">
        <v>46037</v>
      </c>
      <c r="K460" s="519">
        <v>46037</v>
      </c>
      <c r="R460" s="519">
        <v>46114</v>
      </c>
      <c r="U460" s="519">
        <v>46053</v>
      </c>
    </row>
    <row r="461" spans="1:21">
      <c r="A461" t="s">
        <v>953</v>
      </c>
      <c r="B461" t="s">
        <v>6992</v>
      </c>
      <c r="C461" t="s">
        <v>953</v>
      </c>
      <c r="D461">
        <v>20500707</v>
      </c>
      <c r="E461" t="s">
        <v>2258</v>
      </c>
      <c r="F461" t="s">
        <v>984</v>
      </c>
      <c r="G461" t="s">
        <v>2246</v>
      </c>
      <c r="H461" t="s">
        <v>592</v>
      </c>
      <c r="J461" s="519">
        <v>46130</v>
      </c>
      <c r="R461" s="519">
        <v>46139</v>
      </c>
      <c r="U461" s="519">
        <v>46163</v>
      </c>
    </row>
    <row r="462" spans="1:21">
      <c r="A462" t="s">
        <v>953</v>
      </c>
      <c r="B462" t="s">
        <v>3386</v>
      </c>
      <c r="C462" t="s">
        <v>953</v>
      </c>
      <c r="D462">
        <v>20492944</v>
      </c>
      <c r="E462" t="s">
        <v>2258</v>
      </c>
      <c r="F462" t="s">
        <v>581</v>
      </c>
      <c r="G462" t="s">
        <v>2250</v>
      </c>
      <c r="H462" t="s">
        <v>592</v>
      </c>
      <c r="J462" s="519">
        <v>46124</v>
      </c>
      <c r="R462" s="519">
        <v>46139</v>
      </c>
      <c r="U462" s="519">
        <v>46127</v>
      </c>
    </row>
    <row r="463" spans="1:21">
      <c r="A463" t="s">
        <v>953</v>
      </c>
      <c r="B463" t="s">
        <v>2383</v>
      </c>
      <c r="C463" t="s">
        <v>953</v>
      </c>
      <c r="D463">
        <v>20443810</v>
      </c>
      <c r="E463" t="s">
        <v>2252</v>
      </c>
      <c r="F463" t="s">
        <v>579</v>
      </c>
      <c r="G463" t="s">
        <v>2248</v>
      </c>
      <c r="H463" t="s">
        <v>591</v>
      </c>
      <c r="J463" s="519">
        <v>46062</v>
      </c>
      <c r="K463" s="519">
        <v>46062</v>
      </c>
      <c r="R463" s="519">
        <v>46114</v>
      </c>
      <c r="U463" s="519">
        <v>46062</v>
      </c>
    </row>
    <row r="464" spans="1:21">
      <c r="A464" t="s">
        <v>953</v>
      </c>
      <c r="B464" t="s">
        <v>2384</v>
      </c>
      <c r="C464" t="s">
        <v>953</v>
      </c>
      <c r="D464">
        <v>20448931</v>
      </c>
      <c r="E464" t="s">
        <v>2252</v>
      </c>
      <c r="F464" t="s">
        <v>579</v>
      </c>
      <c r="G464" t="s">
        <v>2248</v>
      </c>
      <c r="H464" t="s">
        <v>589</v>
      </c>
      <c r="I464" t="s">
        <v>3387</v>
      </c>
      <c r="J464" s="519">
        <v>46067</v>
      </c>
      <c r="K464" s="519">
        <v>46076</v>
      </c>
      <c r="R464" s="519">
        <v>46114</v>
      </c>
      <c r="U464" s="519">
        <v>46102</v>
      </c>
    </row>
    <row r="465" spans="1:21">
      <c r="A465" t="s">
        <v>953</v>
      </c>
      <c r="B465" t="s">
        <v>6993</v>
      </c>
      <c r="C465" t="s">
        <v>953</v>
      </c>
      <c r="D465">
        <v>20509696</v>
      </c>
      <c r="E465" t="s">
        <v>2245</v>
      </c>
      <c r="F465" t="s">
        <v>984</v>
      </c>
      <c r="G465" t="s">
        <v>2250</v>
      </c>
      <c r="H465" t="s">
        <v>592</v>
      </c>
      <c r="J465" s="519">
        <v>46137</v>
      </c>
      <c r="U465" s="519">
        <v>46137</v>
      </c>
    </row>
    <row r="466" spans="1:21">
      <c r="A466" t="s">
        <v>953</v>
      </c>
      <c r="B466" t="s">
        <v>6994</v>
      </c>
      <c r="C466" t="s">
        <v>953</v>
      </c>
      <c r="D466">
        <v>20503653</v>
      </c>
      <c r="E466" t="s">
        <v>1100</v>
      </c>
      <c r="F466" t="s">
        <v>581</v>
      </c>
      <c r="G466" t="s">
        <v>2250</v>
      </c>
      <c r="H466" t="s">
        <v>587</v>
      </c>
      <c r="I466" t="s">
        <v>2272</v>
      </c>
      <c r="J466" s="519">
        <v>46132</v>
      </c>
      <c r="K466" s="519">
        <v>46132</v>
      </c>
      <c r="U466" s="519">
        <v>46136</v>
      </c>
    </row>
    <row r="467" spans="1:21">
      <c r="A467" t="s">
        <v>953</v>
      </c>
      <c r="B467" t="s">
        <v>6994</v>
      </c>
      <c r="C467" t="s">
        <v>953</v>
      </c>
      <c r="D467">
        <v>20502993</v>
      </c>
      <c r="E467" t="s">
        <v>1110</v>
      </c>
      <c r="F467" t="s">
        <v>577</v>
      </c>
      <c r="G467" t="s">
        <v>2248</v>
      </c>
      <c r="H467" t="s">
        <v>592</v>
      </c>
      <c r="I467" t="s">
        <v>2272</v>
      </c>
      <c r="J467" s="519">
        <v>46132</v>
      </c>
      <c r="K467" s="519">
        <v>46132</v>
      </c>
      <c r="L467" s="519">
        <v>46132</v>
      </c>
      <c r="U467" s="519">
        <v>46140</v>
      </c>
    </row>
    <row r="468" spans="1:21">
      <c r="A468" t="s">
        <v>953</v>
      </c>
      <c r="B468" t="s">
        <v>3388</v>
      </c>
      <c r="C468" t="s">
        <v>953</v>
      </c>
      <c r="D468">
        <v>20420668</v>
      </c>
      <c r="E468" t="s">
        <v>2252</v>
      </c>
      <c r="F468" t="s">
        <v>579</v>
      </c>
      <c r="G468" t="s">
        <v>2250</v>
      </c>
      <c r="H468" t="s">
        <v>587</v>
      </c>
      <c r="I468" t="s">
        <v>3081</v>
      </c>
      <c r="J468" s="519">
        <v>46030</v>
      </c>
      <c r="K468" s="519">
        <v>46030</v>
      </c>
      <c r="R468" s="519">
        <v>46114</v>
      </c>
      <c r="U468" s="519">
        <v>46030</v>
      </c>
    </row>
    <row r="469" spans="1:21">
      <c r="A469" t="s">
        <v>953</v>
      </c>
      <c r="B469" t="s">
        <v>2903</v>
      </c>
      <c r="C469" t="s">
        <v>953</v>
      </c>
      <c r="D469">
        <v>20472099</v>
      </c>
      <c r="E469" t="s">
        <v>2252</v>
      </c>
      <c r="F469" t="s">
        <v>1115</v>
      </c>
      <c r="G469" t="s">
        <v>2250</v>
      </c>
      <c r="H469" t="s">
        <v>587</v>
      </c>
      <c r="I469" t="s">
        <v>2550</v>
      </c>
      <c r="J469" s="519">
        <v>46096</v>
      </c>
      <c r="K469" s="519">
        <v>46096</v>
      </c>
      <c r="R469" s="519">
        <v>46115</v>
      </c>
      <c r="U469" s="519">
        <v>46098</v>
      </c>
    </row>
    <row r="470" spans="1:21">
      <c r="A470" t="s">
        <v>953</v>
      </c>
      <c r="B470" t="s">
        <v>3389</v>
      </c>
      <c r="C470" t="s">
        <v>953</v>
      </c>
      <c r="D470">
        <v>20490160</v>
      </c>
      <c r="E470" t="s">
        <v>1100</v>
      </c>
      <c r="F470" t="s">
        <v>581</v>
      </c>
      <c r="G470" t="s">
        <v>2250</v>
      </c>
      <c r="H470" t="s">
        <v>587</v>
      </c>
      <c r="I470" t="s">
        <v>1010</v>
      </c>
      <c r="J470" s="519">
        <v>46120</v>
      </c>
      <c r="K470" s="519">
        <v>46120</v>
      </c>
      <c r="U470" s="519">
        <v>46120</v>
      </c>
    </row>
    <row r="471" spans="1:21">
      <c r="A471" t="s">
        <v>953</v>
      </c>
      <c r="B471" t="s">
        <v>3390</v>
      </c>
      <c r="C471" t="s">
        <v>953</v>
      </c>
      <c r="D471">
        <v>20416653</v>
      </c>
      <c r="E471" t="s">
        <v>2258</v>
      </c>
      <c r="F471" t="s">
        <v>581</v>
      </c>
      <c r="G471" t="s">
        <v>2259</v>
      </c>
      <c r="H471" t="s">
        <v>593</v>
      </c>
      <c r="J471" s="519">
        <v>46024</v>
      </c>
      <c r="R471" s="519">
        <v>46114</v>
      </c>
      <c r="U471" s="519">
        <v>46024</v>
      </c>
    </row>
    <row r="472" spans="1:21">
      <c r="A472" t="s">
        <v>953</v>
      </c>
      <c r="B472" t="s">
        <v>6995</v>
      </c>
      <c r="C472" t="s">
        <v>953</v>
      </c>
      <c r="D472">
        <v>20507741</v>
      </c>
      <c r="E472" t="s">
        <v>1100</v>
      </c>
      <c r="F472" t="s">
        <v>578</v>
      </c>
      <c r="G472" t="s">
        <v>2250</v>
      </c>
      <c r="H472" t="s">
        <v>587</v>
      </c>
      <c r="I472" t="s">
        <v>874</v>
      </c>
      <c r="J472" s="519">
        <v>46135</v>
      </c>
      <c r="K472" s="519">
        <v>46135</v>
      </c>
      <c r="U472" s="519">
        <v>46135</v>
      </c>
    </row>
    <row r="473" spans="1:21">
      <c r="A473" t="s">
        <v>953</v>
      </c>
      <c r="B473" t="s">
        <v>3391</v>
      </c>
      <c r="C473" t="s">
        <v>953</v>
      </c>
      <c r="D473">
        <v>20493266</v>
      </c>
      <c r="E473" t="s">
        <v>2258</v>
      </c>
      <c r="F473" t="s">
        <v>582</v>
      </c>
      <c r="G473" t="s">
        <v>2248</v>
      </c>
      <c r="H473" t="s">
        <v>588</v>
      </c>
      <c r="I473" t="s">
        <v>1156</v>
      </c>
      <c r="J473" s="519">
        <v>46125</v>
      </c>
      <c r="R473" s="519">
        <v>46130</v>
      </c>
      <c r="U473" s="519">
        <v>46130</v>
      </c>
    </row>
    <row r="474" spans="1:21">
      <c r="A474" t="s">
        <v>953</v>
      </c>
      <c r="B474" t="s">
        <v>2904</v>
      </c>
      <c r="C474" t="s">
        <v>953</v>
      </c>
      <c r="D474">
        <v>20471482</v>
      </c>
      <c r="E474" t="s">
        <v>2258</v>
      </c>
      <c r="F474" t="s">
        <v>581</v>
      </c>
      <c r="G474" t="s">
        <v>2248</v>
      </c>
      <c r="H474" t="s">
        <v>590</v>
      </c>
      <c r="I474" t="s">
        <v>1134</v>
      </c>
      <c r="J474" s="519">
        <v>46095</v>
      </c>
      <c r="R474" s="519">
        <v>46114</v>
      </c>
      <c r="U474" s="519">
        <v>46167</v>
      </c>
    </row>
    <row r="475" spans="1:21">
      <c r="A475" t="s">
        <v>953</v>
      </c>
      <c r="B475" t="s">
        <v>3392</v>
      </c>
      <c r="C475" t="s">
        <v>953</v>
      </c>
      <c r="D475">
        <v>20490934</v>
      </c>
      <c r="E475" t="s">
        <v>2252</v>
      </c>
      <c r="F475" t="s">
        <v>583</v>
      </c>
      <c r="G475" t="s">
        <v>2250</v>
      </c>
      <c r="H475" t="s">
        <v>587</v>
      </c>
      <c r="I475" t="s">
        <v>867</v>
      </c>
      <c r="J475" s="519">
        <v>46121</v>
      </c>
      <c r="K475" s="519">
        <v>46121</v>
      </c>
      <c r="L475" s="519">
        <v>46121</v>
      </c>
      <c r="R475" s="519">
        <v>46126</v>
      </c>
      <c r="U475" s="519">
        <v>46143</v>
      </c>
    </row>
    <row r="476" spans="1:21">
      <c r="A476" t="s">
        <v>953</v>
      </c>
      <c r="B476" t="s">
        <v>6996</v>
      </c>
      <c r="C476" t="s">
        <v>953</v>
      </c>
      <c r="D476">
        <v>20502847</v>
      </c>
      <c r="E476" t="s">
        <v>2258</v>
      </c>
      <c r="F476" t="s">
        <v>581</v>
      </c>
      <c r="G476" t="s">
        <v>2246</v>
      </c>
      <c r="H476" t="s">
        <v>592</v>
      </c>
      <c r="J476" s="519">
        <v>46132</v>
      </c>
      <c r="R476" s="519">
        <v>46139</v>
      </c>
      <c r="U476" s="519">
        <v>46192</v>
      </c>
    </row>
    <row r="477" spans="1:21">
      <c r="A477" t="s">
        <v>953</v>
      </c>
      <c r="B477" t="s">
        <v>2386</v>
      </c>
      <c r="C477" t="s">
        <v>953</v>
      </c>
      <c r="D477">
        <v>20455547</v>
      </c>
      <c r="E477" t="s">
        <v>2258</v>
      </c>
      <c r="F477" t="s">
        <v>579</v>
      </c>
      <c r="G477" t="s">
        <v>2259</v>
      </c>
      <c r="H477" t="s">
        <v>2287</v>
      </c>
      <c r="J477" s="519">
        <v>46076</v>
      </c>
      <c r="R477" s="519">
        <v>46115</v>
      </c>
      <c r="U477" s="519">
        <v>46076</v>
      </c>
    </row>
    <row r="478" spans="1:21">
      <c r="A478" t="s">
        <v>953</v>
      </c>
      <c r="B478" t="s">
        <v>2387</v>
      </c>
      <c r="C478" t="s">
        <v>953</v>
      </c>
      <c r="D478">
        <v>20459330</v>
      </c>
      <c r="E478" t="s">
        <v>2258</v>
      </c>
      <c r="F478" t="s">
        <v>581</v>
      </c>
      <c r="G478" t="s">
        <v>2259</v>
      </c>
      <c r="H478" t="s">
        <v>2388</v>
      </c>
      <c r="J478" s="519">
        <v>46081</v>
      </c>
      <c r="R478" s="519">
        <v>46114</v>
      </c>
      <c r="U478" s="519">
        <v>46081</v>
      </c>
    </row>
    <row r="479" spans="1:21">
      <c r="A479" t="s">
        <v>953</v>
      </c>
      <c r="B479" t="s">
        <v>2905</v>
      </c>
      <c r="C479" t="s">
        <v>953</v>
      </c>
      <c r="D479">
        <v>20470659</v>
      </c>
      <c r="E479" t="s">
        <v>2258</v>
      </c>
      <c r="F479" t="s">
        <v>984</v>
      </c>
      <c r="G479" t="s">
        <v>2250</v>
      </c>
      <c r="H479" t="s">
        <v>592</v>
      </c>
      <c r="J479" s="519">
        <v>46094</v>
      </c>
      <c r="R479" s="519">
        <v>46114</v>
      </c>
      <c r="U479" s="519">
        <v>46156</v>
      </c>
    </row>
    <row r="480" spans="1:21">
      <c r="A480" t="s">
        <v>953</v>
      </c>
      <c r="B480" t="s">
        <v>6997</v>
      </c>
      <c r="C480" t="s">
        <v>953</v>
      </c>
      <c r="D480">
        <v>20499067</v>
      </c>
      <c r="E480" t="s">
        <v>2258</v>
      </c>
      <c r="F480" t="s">
        <v>984</v>
      </c>
      <c r="G480" t="s">
        <v>2259</v>
      </c>
      <c r="H480" t="s">
        <v>592</v>
      </c>
      <c r="J480" s="519">
        <v>46129</v>
      </c>
      <c r="R480" s="519">
        <v>46139</v>
      </c>
      <c r="U480" s="519">
        <v>46129</v>
      </c>
    </row>
    <row r="481" spans="1:21">
      <c r="A481" t="s">
        <v>953</v>
      </c>
      <c r="B481" t="s">
        <v>6998</v>
      </c>
      <c r="C481" t="s">
        <v>953</v>
      </c>
      <c r="D481">
        <v>20507865</v>
      </c>
      <c r="E481" t="s">
        <v>1104</v>
      </c>
      <c r="F481" t="s">
        <v>1001</v>
      </c>
      <c r="G481" t="s">
        <v>2259</v>
      </c>
      <c r="H481" t="s">
        <v>2453</v>
      </c>
      <c r="I481" t="s">
        <v>1020</v>
      </c>
      <c r="J481" s="519">
        <v>46135</v>
      </c>
      <c r="K481" s="519">
        <v>46135</v>
      </c>
      <c r="L481" s="519">
        <v>46135</v>
      </c>
      <c r="U481" s="519">
        <v>46135</v>
      </c>
    </row>
    <row r="482" spans="1:21">
      <c r="A482" t="s">
        <v>953</v>
      </c>
      <c r="B482" t="s">
        <v>3393</v>
      </c>
      <c r="C482" t="s">
        <v>953</v>
      </c>
      <c r="D482">
        <v>20490411</v>
      </c>
      <c r="E482" t="s">
        <v>1100</v>
      </c>
      <c r="F482" t="s">
        <v>581</v>
      </c>
      <c r="G482" t="s">
        <v>2250</v>
      </c>
      <c r="H482" t="s">
        <v>587</v>
      </c>
      <c r="J482" s="519">
        <v>46120</v>
      </c>
      <c r="K482" s="519">
        <v>46120</v>
      </c>
      <c r="U482" s="519">
        <v>46120</v>
      </c>
    </row>
    <row r="483" spans="1:21">
      <c r="A483" t="s">
        <v>953</v>
      </c>
      <c r="B483" t="s">
        <v>3393</v>
      </c>
      <c r="C483" t="s">
        <v>953</v>
      </c>
      <c r="D483">
        <v>20490391</v>
      </c>
      <c r="E483" t="s">
        <v>1100</v>
      </c>
      <c r="F483" t="s">
        <v>984</v>
      </c>
      <c r="G483" t="s">
        <v>2250</v>
      </c>
      <c r="H483" t="s">
        <v>587</v>
      </c>
      <c r="J483" s="519">
        <v>46120</v>
      </c>
      <c r="K483" s="519">
        <v>46120</v>
      </c>
      <c r="U483" s="519">
        <v>46120</v>
      </c>
    </row>
    <row r="484" spans="1:21">
      <c r="A484" t="s">
        <v>953</v>
      </c>
      <c r="B484" t="s">
        <v>3393</v>
      </c>
      <c r="C484" t="s">
        <v>953</v>
      </c>
      <c r="D484">
        <v>20488920</v>
      </c>
      <c r="E484" t="s">
        <v>2258</v>
      </c>
      <c r="F484" t="s">
        <v>984</v>
      </c>
      <c r="G484" t="s">
        <v>2259</v>
      </c>
      <c r="H484" t="s">
        <v>593</v>
      </c>
      <c r="J484" s="519">
        <v>46119</v>
      </c>
      <c r="R484" s="519">
        <v>46139</v>
      </c>
      <c r="U484" s="519">
        <v>46119</v>
      </c>
    </row>
    <row r="485" spans="1:21">
      <c r="A485" t="s">
        <v>953</v>
      </c>
      <c r="B485" t="s">
        <v>3394</v>
      </c>
      <c r="C485" t="s">
        <v>953</v>
      </c>
      <c r="D485">
        <v>20491327</v>
      </c>
      <c r="E485" t="s">
        <v>2252</v>
      </c>
      <c r="F485" t="s">
        <v>583</v>
      </c>
      <c r="G485" t="s">
        <v>2250</v>
      </c>
      <c r="H485" t="s">
        <v>587</v>
      </c>
      <c r="I485" t="s">
        <v>1171</v>
      </c>
      <c r="J485" s="519">
        <v>46121</v>
      </c>
      <c r="K485" s="519">
        <v>46121</v>
      </c>
      <c r="L485" s="519">
        <v>46122</v>
      </c>
      <c r="R485" s="519">
        <v>46126</v>
      </c>
      <c r="U485" s="519">
        <v>46143</v>
      </c>
    </row>
    <row r="486" spans="1:21">
      <c r="A486" t="s">
        <v>953</v>
      </c>
      <c r="B486" t="s">
        <v>3395</v>
      </c>
      <c r="C486" t="s">
        <v>953</v>
      </c>
      <c r="D486">
        <v>20416172</v>
      </c>
      <c r="E486" t="s">
        <v>2258</v>
      </c>
      <c r="F486" t="s">
        <v>581</v>
      </c>
      <c r="G486" t="s">
        <v>2259</v>
      </c>
      <c r="H486" t="s">
        <v>593</v>
      </c>
      <c r="J486" s="519">
        <v>46023</v>
      </c>
      <c r="R486" s="519">
        <v>46114</v>
      </c>
      <c r="U486" s="519">
        <v>46023</v>
      </c>
    </row>
    <row r="487" spans="1:21">
      <c r="A487" t="s">
        <v>953</v>
      </c>
      <c r="B487" t="s">
        <v>2906</v>
      </c>
      <c r="C487" t="s">
        <v>953</v>
      </c>
      <c r="D487">
        <v>20464819</v>
      </c>
      <c r="E487" t="s">
        <v>2252</v>
      </c>
      <c r="F487" t="s">
        <v>984</v>
      </c>
      <c r="G487" t="s">
        <v>2250</v>
      </c>
      <c r="H487" t="s">
        <v>587</v>
      </c>
      <c r="I487" t="s">
        <v>1037</v>
      </c>
      <c r="J487" s="519">
        <v>46089</v>
      </c>
      <c r="K487" s="519">
        <v>46089</v>
      </c>
      <c r="R487" s="519">
        <v>46114</v>
      </c>
      <c r="U487" s="519">
        <v>46090</v>
      </c>
    </row>
    <row r="488" spans="1:21">
      <c r="A488" t="s">
        <v>953</v>
      </c>
      <c r="B488" t="s">
        <v>3396</v>
      </c>
      <c r="C488" t="s">
        <v>953</v>
      </c>
      <c r="D488">
        <v>20493766</v>
      </c>
      <c r="E488" t="s">
        <v>2258</v>
      </c>
      <c r="F488" t="s">
        <v>581</v>
      </c>
      <c r="G488" t="s">
        <v>2250</v>
      </c>
      <c r="H488" t="s">
        <v>2361</v>
      </c>
      <c r="J488" s="519">
        <v>46125</v>
      </c>
      <c r="R488" s="519">
        <v>46139</v>
      </c>
      <c r="U488" s="519">
        <v>46142</v>
      </c>
    </row>
    <row r="489" spans="1:21">
      <c r="A489" t="s">
        <v>953</v>
      </c>
      <c r="B489" t="s">
        <v>3397</v>
      </c>
      <c r="C489" t="s">
        <v>953</v>
      </c>
      <c r="D489">
        <v>20487736</v>
      </c>
      <c r="E489" t="s">
        <v>1100</v>
      </c>
      <c r="F489" t="s">
        <v>579</v>
      </c>
      <c r="G489" t="s">
        <v>2250</v>
      </c>
      <c r="H489" t="s">
        <v>587</v>
      </c>
      <c r="J489" s="519">
        <v>46117</v>
      </c>
      <c r="K489" s="519">
        <v>46117</v>
      </c>
      <c r="U489" s="519">
        <v>46136</v>
      </c>
    </row>
    <row r="490" spans="1:21">
      <c r="A490" t="s">
        <v>953</v>
      </c>
      <c r="B490" t="s">
        <v>3397</v>
      </c>
      <c r="C490" t="s">
        <v>953</v>
      </c>
      <c r="D490">
        <v>20487311</v>
      </c>
      <c r="E490" t="s">
        <v>2252</v>
      </c>
      <c r="F490" t="s">
        <v>579</v>
      </c>
      <c r="G490" t="s">
        <v>2250</v>
      </c>
      <c r="H490" t="s">
        <v>592</v>
      </c>
      <c r="I490" t="s">
        <v>3330</v>
      </c>
      <c r="J490" s="519">
        <v>46116</v>
      </c>
      <c r="K490" s="519">
        <v>46117</v>
      </c>
      <c r="L490" s="519">
        <v>46119</v>
      </c>
      <c r="R490" s="519">
        <v>46126</v>
      </c>
      <c r="U490" s="519">
        <v>46149</v>
      </c>
    </row>
    <row r="491" spans="1:21">
      <c r="A491" t="s">
        <v>953</v>
      </c>
      <c r="B491" t="s">
        <v>2390</v>
      </c>
      <c r="C491" t="s">
        <v>953</v>
      </c>
      <c r="D491">
        <v>20455023</v>
      </c>
      <c r="E491" t="s">
        <v>2252</v>
      </c>
      <c r="F491" t="s">
        <v>577</v>
      </c>
      <c r="G491" t="s">
        <v>2248</v>
      </c>
      <c r="H491" t="s">
        <v>588</v>
      </c>
      <c r="I491" t="s">
        <v>881</v>
      </c>
      <c r="J491" s="519">
        <v>46074</v>
      </c>
      <c r="K491" s="519">
        <v>46078</v>
      </c>
      <c r="R491" s="519">
        <v>46114</v>
      </c>
      <c r="U491" s="519">
        <v>46108</v>
      </c>
    </row>
    <row r="492" spans="1:21">
      <c r="A492" t="s">
        <v>953</v>
      </c>
      <c r="B492" t="s">
        <v>3398</v>
      </c>
      <c r="C492" t="s">
        <v>953</v>
      </c>
      <c r="D492">
        <v>20431775</v>
      </c>
      <c r="E492" t="s">
        <v>2258</v>
      </c>
      <c r="F492" t="s">
        <v>577</v>
      </c>
      <c r="G492" t="s">
        <v>2248</v>
      </c>
      <c r="H492" t="s">
        <v>588</v>
      </c>
      <c r="I492" t="s">
        <v>3399</v>
      </c>
      <c r="J492" s="519">
        <v>46043</v>
      </c>
      <c r="R492" s="519">
        <v>46114</v>
      </c>
      <c r="U492" s="519">
        <v>46043</v>
      </c>
    </row>
    <row r="493" spans="1:21">
      <c r="A493" t="s">
        <v>953</v>
      </c>
      <c r="B493" t="s">
        <v>2391</v>
      </c>
      <c r="C493" t="s">
        <v>953</v>
      </c>
      <c r="D493">
        <v>20447916</v>
      </c>
      <c r="E493" t="s">
        <v>2258</v>
      </c>
      <c r="F493" t="s">
        <v>581</v>
      </c>
      <c r="G493" t="s">
        <v>2290</v>
      </c>
      <c r="H493" t="s">
        <v>587</v>
      </c>
      <c r="J493" s="519">
        <v>46065</v>
      </c>
      <c r="R493" s="519">
        <v>46114</v>
      </c>
      <c r="U493" s="519">
        <v>46066</v>
      </c>
    </row>
    <row r="494" spans="1:21">
      <c r="A494" t="s">
        <v>953</v>
      </c>
      <c r="B494" t="s">
        <v>2392</v>
      </c>
      <c r="C494" t="s">
        <v>953</v>
      </c>
      <c r="D494">
        <v>20440960</v>
      </c>
      <c r="E494" t="s">
        <v>2258</v>
      </c>
      <c r="F494" t="s">
        <v>579</v>
      </c>
      <c r="G494" t="s">
        <v>2248</v>
      </c>
      <c r="H494" t="s">
        <v>588</v>
      </c>
      <c r="J494" s="519">
        <v>46057</v>
      </c>
      <c r="R494" s="519">
        <v>46114</v>
      </c>
      <c r="U494" s="519">
        <v>46095</v>
      </c>
    </row>
    <row r="495" spans="1:21">
      <c r="A495" t="s">
        <v>953</v>
      </c>
      <c r="B495" t="s">
        <v>1103</v>
      </c>
      <c r="C495" t="s">
        <v>953</v>
      </c>
      <c r="D495">
        <v>20441173</v>
      </c>
      <c r="E495" t="s">
        <v>2252</v>
      </c>
      <c r="F495" t="s">
        <v>579</v>
      </c>
      <c r="G495" t="s">
        <v>2250</v>
      </c>
      <c r="H495" t="s">
        <v>588</v>
      </c>
      <c r="I495" t="s">
        <v>1102</v>
      </c>
      <c r="J495" s="519">
        <v>46057</v>
      </c>
      <c r="K495" s="519">
        <v>46057</v>
      </c>
      <c r="L495" s="519">
        <v>46058</v>
      </c>
      <c r="R495" s="519">
        <v>46114</v>
      </c>
      <c r="U495" s="519">
        <v>46088</v>
      </c>
    </row>
    <row r="496" spans="1:21">
      <c r="A496" t="s">
        <v>953</v>
      </c>
      <c r="B496" t="s">
        <v>6999</v>
      </c>
      <c r="C496" t="s">
        <v>953</v>
      </c>
      <c r="D496">
        <v>20511359</v>
      </c>
      <c r="E496" t="s">
        <v>2245</v>
      </c>
      <c r="F496" t="s">
        <v>984</v>
      </c>
      <c r="G496" t="s">
        <v>2246</v>
      </c>
      <c r="H496" t="s">
        <v>587</v>
      </c>
      <c r="J496" s="519">
        <v>46139</v>
      </c>
      <c r="U496" s="519">
        <v>46153</v>
      </c>
    </row>
    <row r="497" spans="1:21">
      <c r="A497" t="s">
        <v>953</v>
      </c>
      <c r="B497" t="s">
        <v>3400</v>
      </c>
      <c r="C497" t="s">
        <v>953</v>
      </c>
      <c r="D497">
        <v>20492690</v>
      </c>
      <c r="E497" t="s">
        <v>2258</v>
      </c>
      <c r="F497" t="s">
        <v>581</v>
      </c>
      <c r="G497" t="s">
        <v>2250</v>
      </c>
      <c r="H497" t="s">
        <v>2361</v>
      </c>
      <c r="J497" s="519">
        <v>46123</v>
      </c>
      <c r="R497" s="519">
        <v>46139</v>
      </c>
      <c r="U497" s="519">
        <v>46257</v>
      </c>
    </row>
    <row r="498" spans="1:21">
      <c r="A498" t="s">
        <v>953</v>
      </c>
      <c r="B498" t="s">
        <v>7000</v>
      </c>
      <c r="C498" t="s">
        <v>953</v>
      </c>
      <c r="D498">
        <v>20500376</v>
      </c>
      <c r="E498" t="s">
        <v>2258</v>
      </c>
      <c r="F498" t="s">
        <v>984</v>
      </c>
      <c r="G498" t="s">
        <v>2246</v>
      </c>
      <c r="H498" t="s">
        <v>592</v>
      </c>
      <c r="J498" s="519">
        <v>46129</v>
      </c>
      <c r="R498" s="519">
        <v>46139</v>
      </c>
      <c r="U498" s="519">
        <v>46174</v>
      </c>
    </row>
    <row r="499" spans="1:21">
      <c r="A499" t="s">
        <v>953</v>
      </c>
      <c r="B499" t="s">
        <v>3401</v>
      </c>
      <c r="C499" t="s">
        <v>953</v>
      </c>
      <c r="D499">
        <v>20419235</v>
      </c>
      <c r="E499" t="s">
        <v>2252</v>
      </c>
      <c r="F499" t="s">
        <v>578</v>
      </c>
      <c r="G499" t="s">
        <v>2250</v>
      </c>
      <c r="H499" t="s">
        <v>587</v>
      </c>
      <c r="J499" s="519">
        <v>46028</v>
      </c>
      <c r="K499" s="519">
        <v>46028</v>
      </c>
      <c r="R499" s="519">
        <v>46114</v>
      </c>
      <c r="U499" s="519">
        <v>46028</v>
      </c>
    </row>
    <row r="500" spans="1:21">
      <c r="A500" t="s">
        <v>953</v>
      </c>
      <c r="B500" t="s">
        <v>3402</v>
      </c>
      <c r="C500" t="s">
        <v>953</v>
      </c>
      <c r="D500">
        <v>20486420</v>
      </c>
      <c r="E500" t="s">
        <v>1100</v>
      </c>
      <c r="F500" t="s">
        <v>581</v>
      </c>
      <c r="G500" t="s">
        <v>2250</v>
      </c>
      <c r="H500" t="s">
        <v>587</v>
      </c>
      <c r="J500" s="519">
        <v>46115</v>
      </c>
      <c r="K500" s="519">
        <v>46115</v>
      </c>
      <c r="U500" s="519">
        <v>46115</v>
      </c>
    </row>
    <row r="501" spans="1:21">
      <c r="A501" t="s">
        <v>953</v>
      </c>
      <c r="B501" t="s">
        <v>2907</v>
      </c>
      <c r="C501" t="s">
        <v>953</v>
      </c>
      <c r="D501">
        <v>20461706</v>
      </c>
      <c r="E501" t="s">
        <v>2258</v>
      </c>
      <c r="F501" t="s">
        <v>984</v>
      </c>
      <c r="G501" t="s">
        <v>2246</v>
      </c>
      <c r="H501" t="s">
        <v>587</v>
      </c>
      <c r="J501" s="519">
        <v>46084</v>
      </c>
      <c r="R501" s="519">
        <v>46114</v>
      </c>
      <c r="U501" s="519">
        <v>46084</v>
      </c>
    </row>
    <row r="502" spans="1:21">
      <c r="A502" t="s">
        <v>953</v>
      </c>
      <c r="B502" t="s">
        <v>2393</v>
      </c>
      <c r="C502" t="s">
        <v>953</v>
      </c>
      <c r="D502">
        <v>20449295</v>
      </c>
      <c r="E502" t="s">
        <v>2258</v>
      </c>
      <c r="F502" t="s">
        <v>581</v>
      </c>
      <c r="G502" t="s">
        <v>1213</v>
      </c>
      <c r="H502" t="s">
        <v>587</v>
      </c>
      <c r="J502" s="519">
        <v>46068</v>
      </c>
      <c r="R502" s="519">
        <v>46114</v>
      </c>
      <c r="U502" s="519">
        <v>46127</v>
      </c>
    </row>
    <row r="503" spans="1:21">
      <c r="A503" t="s">
        <v>953</v>
      </c>
      <c r="B503" t="s">
        <v>3403</v>
      </c>
      <c r="C503" t="s">
        <v>953</v>
      </c>
      <c r="D503">
        <v>20414051</v>
      </c>
      <c r="E503" t="s">
        <v>2252</v>
      </c>
      <c r="F503" t="s">
        <v>581</v>
      </c>
      <c r="G503" t="s">
        <v>2250</v>
      </c>
      <c r="H503" t="s">
        <v>587</v>
      </c>
      <c r="J503" s="519">
        <v>46019</v>
      </c>
      <c r="K503" s="519">
        <v>46019</v>
      </c>
      <c r="R503" s="519">
        <v>46114</v>
      </c>
      <c r="U503" s="519">
        <v>46019</v>
      </c>
    </row>
    <row r="504" spans="1:21">
      <c r="A504" t="s">
        <v>953</v>
      </c>
      <c r="B504" t="s">
        <v>7001</v>
      </c>
      <c r="C504" t="s">
        <v>953</v>
      </c>
      <c r="D504">
        <v>20500910</v>
      </c>
      <c r="E504" t="s">
        <v>2258</v>
      </c>
      <c r="F504" t="s">
        <v>984</v>
      </c>
      <c r="G504" t="s">
        <v>2250</v>
      </c>
      <c r="H504" t="s">
        <v>2361</v>
      </c>
      <c r="J504" s="519">
        <v>46130</v>
      </c>
      <c r="R504" s="519">
        <v>46139</v>
      </c>
      <c r="U504" s="519">
        <v>46142</v>
      </c>
    </row>
    <row r="505" spans="1:21">
      <c r="A505" t="s">
        <v>953</v>
      </c>
      <c r="B505" t="s">
        <v>3404</v>
      </c>
      <c r="C505" t="s">
        <v>953</v>
      </c>
      <c r="D505">
        <v>20472880</v>
      </c>
      <c r="E505" t="s">
        <v>2252</v>
      </c>
      <c r="F505" t="s">
        <v>984</v>
      </c>
      <c r="G505" t="s">
        <v>2250</v>
      </c>
      <c r="H505" t="s">
        <v>587</v>
      </c>
      <c r="I505" t="s">
        <v>1156</v>
      </c>
      <c r="J505" s="519">
        <v>46097</v>
      </c>
      <c r="K505" s="519">
        <v>46097</v>
      </c>
      <c r="R505" s="519">
        <v>46116</v>
      </c>
      <c r="U505" s="519">
        <v>46102</v>
      </c>
    </row>
    <row r="506" spans="1:21">
      <c r="A506" t="s">
        <v>953</v>
      </c>
      <c r="B506" t="s">
        <v>3405</v>
      </c>
      <c r="C506" t="s">
        <v>953</v>
      </c>
      <c r="D506">
        <v>20415822</v>
      </c>
      <c r="E506" t="s">
        <v>2258</v>
      </c>
      <c r="F506" t="s">
        <v>984</v>
      </c>
      <c r="G506" t="s">
        <v>2246</v>
      </c>
      <c r="H506" t="s">
        <v>587</v>
      </c>
      <c r="J506" s="519">
        <v>46022</v>
      </c>
      <c r="R506" s="519">
        <v>46114</v>
      </c>
      <c r="U506" s="519">
        <v>46022</v>
      </c>
    </row>
    <row r="507" spans="1:21">
      <c r="A507" t="s">
        <v>953</v>
      </c>
      <c r="B507" t="s">
        <v>2909</v>
      </c>
      <c r="C507" t="s">
        <v>953</v>
      </c>
      <c r="D507">
        <v>20472619</v>
      </c>
      <c r="E507" t="s">
        <v>2258</v>
      </c>
      <c r="F507" t="s">
        <v>984</v>
      </c>
      <c r="G507" t="s">
        <v>2248</v>
      </c>
      <c r="H507" t="s">
        <v>592</v>
      </c>
      <c r="I507" t="s">
        <v>2861</v>
      </c>
      <c r="J507" s="519">
        <v>46097</v>
      </c>
      <c r="R507" s="519">
        <v>46114</v>
      </c>
      <c r="U507" s="519">
        <v>46097</v>
      </c>
    </row>
    <row r="508" spans="1:21">
      <c r="A508" t="s">
        <v>953</v>
      </c>
      <c r="B508" t="s">
        <v>2910</v>
      </c>
      <c r="C508" t="s">
        <v>953</v>
      </c>
      <c r="D508">
        <v>20466094</v>
      </c>
      <c r="E508" t="s">
        <v>2258</v>
      </c>
      <c r="F508" t="s">
        <v>984</v>
      </c>
      <c r="G508" t="s">
        <v>2259</v>
      </c>
      <c r="H508" t="s">
        <v>592</v>
      </c>
      <c r="J508" s="519">
        <v>46091</v>
      </c>
      <c r="R508" s="519">
        <v>46114</v>
      </c>
      <c r="U508" s="519">
        <v>46091</v>
      </c>
    </row>
    <row r="509" spans="1:21">
      <c r="A509" t="s">
        <v>953</v>
      </c>
      <c r="B509" t="s">
        <v>2911</v>
      </c>
      <c r="C509" t="s">
        <v>953</v>
      </c>
      <c r="D509">
        <v>20482359</v>
      </c>
      <c r="E509" t="s">
        <v>2252</v>
      </c>
      <c r="F509" t="s">
        <v>1115</v>
      </c>
      <c r="G509" t="s">
        <v>2250</v>
      </c>
      <c r="H509" t="s">
        <v>587</v>
      </c>
      <c r="I509" t="s">
        <v>2912</v>
      </c>
      <c r="J509" s="519">
        <v>46109</v>
      </c>
      <c r="K509" s="519">
        <v>46109</v>
      </c>
      <c r="R509" s="519">
        <v>46114</v>
      </c>
      <c r="U509" s="519">
        <v>46109</v>
      </c>
    </row>
    <row r="510" spans="1:21">
      <c r="A510" t="s">
        <v>953</v>
      </c>
      <c r="B510" t="s">
        <v>7002</v>
      </c>
      <c r="C510" t="s">
        <v>953</v>
      </c>
      <c r="D510">
        <v>20509418</v>
      </c>
      <c r="E510" t="s">
        <v>2252</v>
      </c>
      <c r="F510" t="s">
        <v>1115</v>
      </c>
      <c r="G510" t="s">
        <v>2250</v>
      </c>
      <c r="H510" t="s">
        <v>587</v>
      </c>
      <c r="I510" t="s">
        <v>1120</v>
      </c>
      <c r="J510" s="519">
        <v>46136</v>
      </c>
      <c r="K510" s="519">
        <v>46136</v>
      </c>
      <c r="R510" s="519">
        <v>46137</v>
      </c>
      <c r="U510" s="519">
        <v>46136</v>
      </c>
    </row>
    <row r="511" spans="1:21">
      <c r="A511" t="s">
        <v>953</v>
      </c>
      <c r="B511" t="s">
        <v>2913</v>
      </c>
      <c r="C511" t="s">
        <v>953</v>
      </c>
      <c r="D511">
        <v>20481537</v>
      </c>
      <c r="E511" t="s">
        <v>2258</v>
      </c>
      <c r="F511" t="s">
        <v>984</v>
      </c>
      <c r="G511" t="s">
        <v>2246</v>
      </c>
      <c r="H511" t="s">
        <v>592</v>
      </c>
      <c r="J511" s="519">
        <v>46108</v>
      </c>
      <c r="R511" s="519">
        <v>46116</v>
      </c>
      <c r="U511" s="519">
        <v>46335</v>
      </c>
    </row>
    <row r="512" spans="1:21">
      <c r="A512" t="s">
        <v>953</v>
      </c>
      <c r="B512" t="s">
        <v>3406</v>
      </c>
      <c r="C512" t="s">
        <v>953</v>
      </c>
      <c r="D512">
        <v>20485593</v>
      </c>
      <c r="E512" t="s">
        <v>1100</v>
      </c>
      <c r="F512" t="s">
        <v>984</v>
      </c>
      <c r="G512" t="s">
        <v>2250</v>
      </c>
      <c r="H512" t="s">
        <v>587</v>
      </c>
      <c r="I512" t="s">
        <v>2575</v>
      </c>
      <c r="J512" s="519">
        <v>46114</v>
      </c>
      <c r="K512" s="519">
        <v>46114</v>
      </c>
      <c r="U512" s="519">
        <v>46114</v>
      </c>
    </row>
    <row r="513" spans="1:21">
      <c r="A513" t="s">
        <v>953</v>
      </c>
      <c r="B513" t="s">
        <v>2914</v>
      </c>
      <c r="C513" t="s">
        <v>953</v>
      </c>
      <c r="D513">
        <v>20481751</v>
      </c>
      <c r="E513" t="s">
        <v>2252</v>
      </c>
      <c r="F513" t="s">
        <v>583</v>
      </c>
      <c r="G513" t="s">
        <v>2250</v>
      </c>
      <c r="H513" t="s">
        <v>591</v>
      </c>
      <c r="I513" t="s">
        <v>1010</v>
      </c>
      <c r="J513" s="519">
        <v>46108</v>
      </c>
      <c r="K513" s="519">
        <v>46108</v>
      </c>
      <c r="L513" s="519">
        <v>46108</v>
      </c>
      <c r="R513" s="519">
        <v>46113</v>
      </c>
      <c r="U513" s="519">
        <v>46136</v>
      </c>
    </row>
    <row r="514" spans="1:21">
      <c r="A514" t="s">
        <v>953</v>
      </c>
      <c r="B514" t="s">
        <v>1168</v>
      </c>
      <c r="C514" t="s">
        <v>953</v>
      </c>
      <c r="D514">
        <v>20476635</v>
      </c>
      <c r="E514" t="s">
        <v>2258</v>
      </c>
      <c r="F514" t="s">
        <v>984</v>
      </c>
      <c r="G514" t="s">
        <v>2250</v>
      </c>
      <c r="H514" t="s">
        <v>592</v>
      </c>
      <c r="J514" s="519">
        <v>46101</v>
      </c>
      <c r="R514" s="519">
        <v>46114</v>
      </c>
      <c r="U514" s="519">
        <v>46102</v>
      </c>
    </row>
    <row r="515" spans="1:21">
      <c r="A515" t="s">
        <v>953</v>
      </c>
      <c r="B515" t="s">
        <v>3407</v>
      </c>
      <c r="C515" t="s">
        <v>953</v>
      </c>
      <c r="D515">
        <v>20436230</v>
      </c>
      <c r="E515" t="s">
        <v>2258</v>
      </c>
      <c r="F515" t="s">
        <v>581</v>
      </c>
      <c r="G515" t="s">
        <v>2259</v>
      </c>
      <c r="H515" t="s">
        <v>2388</v>
      </c>
      <c r="J515" s="519">
        <v>46050</v>
      </c>
      <c r="R515" s="519">
        <v>46114</v>
      </c>
      <c r="U515" s="519">
        <v>46050</v>
      </c>
    </row>
    <row r="516" spans="1:21">
      <c r="A516" t="s">
        <v>953</v>
      </c>
      <c r="B516" t="s">
        <v>2396</v>
      </c>
      <c r="C516" t="s">
        <v>953</v>
      </c>
      <c r="D516">
        <v>20453239</v>
      </c>
      <c r="E516" t="s">
        <v>2258</v>
      </c>
      <c r="F516" t="s">
        <v>581</v>
      </c>
      <c r="G516" t="s">
        <v>2259</v>
      </c>
      <c r="H516" t="s">
        <v>593</v>
      </c>
      <c r="J516" s="519">
        <v>46072</v>
      </c>
      <c r="R516" s="519">
        <v>46114</v>
      </c>
      <c r="U516" s="519">
        <v>46072</v>
      </c>
    </row>
    <row r="517" spans="1:21">
      <c r="A517" t="s">
        <v>953</v>
      </c>
      <c r="B517" t="s">
        <v>7003</v>
      </c>
      <c r="C517" t="s">
        <v>953</v>
      </c>
      <c r="D517">
        <v>20500132</v>
      </c>
      <c r="E517" t="s">
        <v>2258</v>
      </c>
      <c r="F517" t="s">
        <v>984</v>
      </c>
      <c r="G517" t="s">
        <v>2259</v>
      </c>
      <c r="H517" t="s">
        <v>3138</v>
      </c>
      <c r="J517" s="519">
        <v>46129</v>
      </c>
      <c r="R517" s="519">
        <v>46139</v>
      </c>
      <c r="U517" s="519">
        <v>46129</v>
      </c>
    </row>
    <row r="518" spans="1:21">
      <c r="A518" t="s">
        <v>953</v>
      </c>
      <c r="B518" t="s">
        <v>2915</v>
      </c>
      <c r="C518" t="s">
        <v>953</v>
      </c>
      <c r="D518">
        <v>20511966</v>
      </c>
      <c r="E518" t="s">
        <v>2245</v>
      </c>
      <c r="F518" t="s">
        <v>984</v>
      </c>
      <c r="G518" t="s">
        <v>2259</v>
      </c>
      <c r="H518" t="s">
        <v>2388</v>
      </c>
      <c r="J518" s="519">
        <v>46140</v>
      </c>
      <c r="U518" s="519">
        <v>46140</v>
      </c>
    </row>
    <row r="519" spans="1:21">
      <c r="A519" t="s">
        <v>953</v>
      </c>
      <c r="B519" t="s">
        <v>7004</v>
      </c>
      <c r="C519" t="s">
        <v>953</v>
      </c>
      <c r="D519">
        <v>20495142</v>
      </c>
      <c r="E519" t="s">
        <v>2258</v>
      </c>
      <c r="F519" t="s">
        <v>581</v>
      </c>
      <c r="G519" t="s">
        <v>2250</v>
      </c>
      <c r="H519" t="s">
        <v>2361</v>
      </c>
      <c r="J519" s="519">
        <v>46126</v>
      </c>
      <c r="R519" s="519">
        <v>46139</v>
      </c>
      <c r="U519" s="519">
        <v>46172</v>
      </c>
    </row>
    <row r="520" spans="1:21">
      <c r="A520" t="s">
        <v>953</v>
      </c>
      <c r="B520" t="s">
        <v>2916</v>
      </c>
      <c r="C520" t="s">
        <v>953</v>
      </c>
      <c r="D520">
        <v>20489811</v>
      </c>
      <c r="E520" t="s">
        <v>2258</v>
      </c>
      <c r="F520" t="s">
        <v>581</v>
      </c>
      <c r="G520" t="s">
        <v>1213</v>
      </c>
      <c r="H520" t="s">
        <v>589</v>
      </c>
      <c r="J520" s="519">
        <v>46120</v>
      </c>
      <c r="R520" s="519">
        <v>46139</v>
      </c>
      <c r="U520" s="519">
        <v>46107</v>
      </c>
    </row>
    <row r="521" spans="1:21">
      <c r="A521" t="s">
        <v>953</v>
      </c>
      <c r="B521" t="s">
        <v>2917</v>
      </c>
      <c r="C521" t="s">
        <v>953</v>
      </c>
      <c r="D521">
        <v>20482211</v>
      </c>
      <c r="E521" t="s">
        <v>2258</v>
      </c>
      <c r="F521" t="s">
        <v>984</v>
      </c>
      <c r="G521" t="s">
        <v>2246</v>
      </c>
      <c r="H521" t="s">
        <v>588</v>
      </c>
      <c r="J521" s="519">
        <v>46109</v>
      </c>
      <c r="R521" s="519">
        <v>46139</v>
      </c>
      <c r="U521" s="519">
        <v>46241</v>
      </c>
    </row>
    <row r="522" spans="1:21">
      <c r="A522" t="s">
        <v>953</v>
      </c>
      <c r="B522" t="s">
        <v>2397</v>
      </c>
      <c r="C522" t="s">
        <v>953</v>
      </c>
      <c r="D522">
        <v>20442867</v>
      </c>
      <c r="E522" t="s">
        <v>2252</v>
      </c>
      <c r="F522" t="s">
        <v>581</v>
      </c>
      <c r="G522" t="s">
        <v>2248</v>
      </c>
      <c r="H522" t="s">
        <v>588</v>
      </c>
      <c r="I522" t="s">
        <v>2285</v>
      </c>
      <c r="J522" s="519">
        <v>46060</v>
      </c>
      <c r="K522" s="519">
        <v>46062</v>
      </c>
      <c r="R522" s="519">
        <v>46114</v>
      </c>
      <c r="U522" s="519">
        <v>46067</v>
      </c>
    </row>
    <row r="523" spans="1:21">
      <c r="A523" t="s">
        <v>953</v>
      </c>
      <c r="B523" t="s">
        <v>3408</v>
      </c>
      <c r="C523" t="s">
        <v>953</v>
      </c>
      <c r="D523">
        <v>20419100</v>
      </c>
      <c r="E523" t="s">
        <v>2252</v>
      </c>
      <c r="F523" t="s">
        <v>578</v>
      </c>
      <c r="G523" t="s">
        <v>2250</v>
      </c>
      <c r="H523" t="s">
        <v>587</v>
      </c>
      <c r="I523" t="s">
        <v>3409</v>
      </c>
      <c r="J523" s="519">
        <v>46028</v>
      </c>
      <c r="K523" s="519">
        <v>46028</v>
      </c>
      <c r="R523" s="519">
        <v>46114</v>
      </c>
      <c r="U523" s="519">
        <v>46038</v>
      </c>
    </row>
    <row r="524" spans="1:21">
      <c r="A524" t="s">
        <v>953</v>
      </c>
      <c r="B524" t="s">
        <v>2918</v>
      </c>
      <c r="C524" t="s">
        <v>953</v>
      </c>
      <c r="D524">
        <v>20468652</v>
      </c>
      <c r="E524" t="s">
        <v>2258</v>
      </c>
      <c r="F524" t="s">
        <v>984</v>
      </c>
      <c r="G524" t="s">
        <v>2290</v>
      </c>
      <c r="H524" t="s">
        <v>587</v>
      </c>
      <c r="J524" s="519">
        <v>46092</v>
      </c>
      <c r="R524" s="519">
        <v>46114</v>
      </c>
      <c r="U524" s="519">
        <v>46092</v>
      </c>
    </row>
    <row r="525" spans="1:21">
      <c r="A525" t="s">
        <v>953</v>
      </c>
      <c r="B525" t="s">
        <v>3410</v>
      </c>
      <c r="C525" t="s">
        <v>953</v>
      </c>
      <c r="D525">
        <v>20424491</v>
      </c>
      <c r="E525" t="s">
        <v>2258</v>
      </c>
      <c r="F525" t="s">
        <v>579</v>
      </c>
      <c r="G525" t="s">
        <v>2248</v>
      </c>
      <c r="H525" t="s">
        <v>592</v>
      </c>
      <c r="J525" s="519">
        <v>46035</v>
      </c>
      <c r="R525" s="519">
        <v>46114</v>
      </c>
      <c r="U525" s="519">
        <v>46035</v>
      </c>
    </row>
    <row r="526" spans="1:21">
      <c r="A526" t="s">
        <v>953</v>
      </c>
      <c r="B526" t="s">
        <v>3411</v>
      </c>
      <c r="C526" t="s">
        <v>953</v>
      </c>
      <c r="D526">
        <v>20430208</v>
      </c>
      <c r="E526" t="s">
        <v>2258</v>
      </c>
      <c r="F526" t="s">
        <v>984</v>
      </c>
      <c r="G526" t="s">
        <v>2246</v>
      </c>
      <c r="H526" t="s">
        <v>593</v>
      </c>
      <c r="J526" s="519">
        <v>46041</v>
      </c>
      <c r="R526" s="519">
        <v>46114</v>
      </c>
      <c r="U526" s="519">
        <v>46113</v>
      </c>
    </row>
    <row r="527" spans="1:21">
      <c r="A527" t="s">
        <v>953</v>
      </c>
      <c r="B527" t="s">
        <v>3412</v>
      </c>
      <c r="C527" t="s">
        <v>953</v>
      </c>
      <c r="D527">
        <v>20428878</v>
      </c>
      <c r="E527" t="s">
        <v>2258</v>
      </c>
      <c r="F527" t="s">
        <v>577</v>
      </c>
      <c r="G527" t="s">
        <v>2248</v>
      </c>
      <c r="H527" t="s">
        <v>588</v>
      </c>
      <c r="I527" t="s">
        <v>567</v>
      </c>
      <c r="J527" s="519">
        <v>46038</v>
      </c>
      <c r="R527" s="519">
        <v>46114</v>
      </c>
      <c r="U527" s="519">
        <v>46038</v>
      </c>
    </row>
    <row r="528" spans="1:21">
      <c r="A528" t="s">
        <v>953</v>
      </c>
      <c r="B528" t="s">
        <v>3413</v>
      </c>
      <c r="C528" t="s">
        <v>953</v>
      </c>
      <c r="D528">
        <v>20429172</v>
      </c>
      <c r="E528" t="s">
        <v>2258</v>
      </c>
      <c r="F528" t="s">
        <v>2256</v>
      </c>
      <c r="G528" t="s">
        <v>2248</v>
      </c>
      <c r="H528" t="s">
        <v>592</v>
      </c>
      <c r="J528" s="519">
        <v>46038</v>
      </c>
      <c r="R528" s="519">
        <v>46114</v>
      </c>
      <c r="U528" s="519">
        <v>46038</v>
      </c>
    </row>
    <row r="529" spans="1:21">
      <c r="A529" t="s">
        <v>953</v>
      </c>
      <c r="B529" t="s">
        <v>3414</v>
      </c>
      <c r="C529" t="s">
        <v>953</v>
      </c>
      <c r="D529">
        <v>20490482</v>
      </c>
      <c r="E529" t="s">
        <v>2258</v>
      </c>
      <c r="F529" t="s">
        <v>581</v>
      </c>
      <c r="G529" t="s">
        <v>2250</v>
      </c>
      <c r="H529" t="s">
        <v>592</v>
      </c>
      <c r="J529" s="519">
        <v>46120</v>
      </c>
      <c r="R529" s="519">
        <v>46139</v>
      </c>
      <c r="U529" s="519">
        <v>46188</v>
      </c>
    </row>
    <row r="530" spans="1:21">
      <c r="A530" t="s">
        <v>953</v>
      </c>
      <c r="B530" t="s">
        <v>2399</v>
      </c>
      <c r="C530" t="s">
        <v>953</v>
      </c>
      <c r="D530">
        <v>20441362</v>
      </c>
      <c r="E530" t="s">
        <v>2258</v>
      </c>
      <c r="F530" t="s">
        <v>581</v>
      </c>
      <c r="G530" t="s">
        <v>2290</v>
      </c>
      <c r="H530" t="s">
        <v>587</v>
      </c>
      <c r="J530" s="519">
        <v>46058</v>
      </c>
      <c r="R530" s="519">
        <v>46114</v>
      </c>
      <c r="U530" s="519">
        <v>46204</v>
      </c>
    </row>
    <row r="531" spans="1:21">
      <c r="A531" t="s">
        <v>953</v>
      </c>
      <c r="B531" t="s">
        <v>3415</v>
      </c>
      <c r="C531" t="s">
        <v>953</v>
      </c>
      <c r="D531">
        <v>20423825</v>
      </c>
      <c r="E531" t="s">
        <v>2258</v>
      </c>
      <c r="F531" t="s">
        <v>579</v>
      </c>
      <c r="G531" t="s">
        <v>2259</v>
      </c>
      <c r="H531" t="s">
        <v>592</v>
      </c>
      <c r="J531" s="519">
        <v>46035</v>
      </c>
      <c r="R531" s="519">
        <v>46114</v>
      </c>
      <c r="U531" s="519">
        <v>46035</v>
      </c>
    </row>
    <row r="532" spans="1:21">
      <c r="A532" t="s">
        <v>953</v>
      </c>
      <c r="B532" t="s">
        <v>7005</v>
      </c>
      <c r="C532" t="s">
        <v>953</v>
      </c>
      <c r="D532">
        <v>20511883</v>
      </c>
      <c r="E532" t="s">
        <v>2245</v>
      </c>
      <c r="F532" t="s">
        <v>582</v>
      </c>
      <c r="G532" t="s">
        <v>2290</v>
      </c>
      <c r="H532" t="s">
        <v>2361</v>
      </c>
      <c r="J532" s="519">
        <v>46140</v>
      </c>
      <c r="U532" s="519">
        <v>46174</v>
      </c>
    </row>
    <row r="533" spans="1:21">
      <c r="A533" t="s">
        <v>953</v>
      </c>
      <c r="B533" t="s">
        <v>3416</v>
      </c>
      <c r="C533" t="s">
        <v>953</v>
      </c>
      <c r="D533">
        <v>20422362</v>
      </c>
      <c r="E533" t="s">
        <v>2258</v>
      </c>
      <c r="F533" t="s">
        <v>579</v>
      </c>
      <c r="G533" t="s">
        <v>2248</v>
      </c>
      <c r="H533" t="s">
        <v>591</v>
      </c>
      <c r="J533" s="519">
        <v>46032</v>
      </c>
      <c r="R533" s="519">
        <v>46114</v>
      </c>
      <c r="U533" s="519">
        <v>46032</v>
      </c>
    </row>
    <row r="534" spans="1:21">
      <c r="A534" t="s">
        <v>953</v>
      </c>
      <c r="B534" t="s">
        <v>2919</v>
      </c>
      <c r="C534" t="s">
        <v>953</v>
      </c>
      <c r="D534">
        <v>20480280</v>
      </c>
      <c r="E534" t="s">
        <v>2252</v>
      </c>
      <c r="F534" t="s">
        <v>1115</v>
      </c>
      <c r="G534" t="s">
        <v>2250</v>
      </c>
      <c r="H534" t="s">
        <v>589</v>
      </c>
      <c r="J534" s="519">
        <v>46106</v>
      </c>
      <c r="K534" s="519">
        <v>46106</v>
      </c>
      <c r="R534" s="519">
        <v>46115</v>
      </c>
      <c r="U534" s="519">
        <v>46106</v>
      </c>
    </row>
    <row r="535" spans="1:21">
      <c r="A535" t="s">
        <v>953</v>
      </c>
      <c r="B535" t="s">
        <v>1170</v>
      </c>
      <c r="C535" t="s">
        <v>953</v>
      </c>
      <c r="D535">
        <v>20476730</v>
      </c>
      <c r="E535" t="s">
        <v>2252</v>
      </c>
      <c r="F535" t="s">
        <v>577</v>
      </c>
      <c r="G535" t="s">
        <v>2250</v>
      </c>
      <c r="H535" t="s">
        <v>587</v>
      </c>
      <c r="I535" t="s">
        <v>1336</v>
      </c>
      <c r="J535" s="519">
        <v>46101</v>
      </c>
      <c r="K535" s="519">
        <v>46101</v>
      </c>
      <c r="L535" s="519">
        <v>46111</v>
      </c>
      <c r="R535" s="519">
        <v>46114</v>
      </c>
      <c r="U535" s="519">
        <v>46111</v>
      </c>
    </row>
    <row r="536" spans="1:21">
      <c r="A536" t="s">
        <v>953</v>
      </c>
      <c r="B536" t="s">
        <v>7006</v>
      </c>
      <c r="C536" t="s">
        <v>953</v>
      </c>
      <c r="D536">
        <v>20479122</v>
      </c>
      <c r="E536" t="s">
        <v>2258</v>
      </c>
      <c r="F536" t="s">
        <v>984</v>
      </c>
      <c r="G536" t="s">
        <v>2259</v>
      </c>
      <c r="H536" t="s">
        <v>592</v>
      </c>
      <c r="J536" s="519">
        <v>46105</v>
      </c>
      <c r="R536" s="519">
        <v>46114</v>
      </c>
      <c r="U536" s="519">
        <v>46105</v>
      </c>
    </row>
    <row r="537" spans="1:21">
      <c r="A537" t="s">
        <v>953</v>
      </c>
      <c r="B537" t="s">
        <v>3417</v>
      </c>
      <c r="C537" t="s">
        <v>953</v>
      </c>
      <c r="D537">
        <v>20412654</v>
      </c>
      <c r="E537" t="s">
        <v>2258</v>
      </c>
      <c r="F537" t="s">
        <v>984</v>
      </c>
      <c r="G537" t="s">
        <v>2246</v>
      </c>
      <c r="H537" t="s">
        <v>593</v>
      </c>
      <c r="J537" s="519">
        <v>46017</v>
      </c>
      <c r="R537" s="519">
        <v>46114</v>
      </c>
      <c r="U537" s="519">
        <v>46054</v>
      </c>
    </row>
    <row r="538" spans="1:21">
      <c r="A538" t="s">
        <v>953</v>
      </c>
      <c r="B538" t="s">
        <v>2400</v>
      </c>
      <c r="C538" t="s">
        <v>953</v>
      </c>
      <c r="D538">
        <v>20442335</v>
      </c>
      <c r="E538" t="s">
        <v>2258</v>
      </c>
      <c r="F538" t="s">
        <v>581</v>
      </c>
      <c r="G538" t="s">
        <v>2246</v>
      </c>
      <c r="H538" t="s">
        <v>587</v>
      </c>
      <c r="J538" s="519">
        <v>46059</v>
      </c>
      <c r="R538" s="519">
        <v>46114</v>
      </c>
      <c r="U538" s="519">
        <v>46082</v>
      </c>
    </row>
    <row r="539" spans="1:21">
      <c r="A539" t="s">
        <v>953</v>
      </c>
      <c r="B539" t="s">
        <v>7007</v>
      </c>
      <c r="C539" t="s">
        <v>953</v>
      </c>
      <c r="D539">
        <v>20504316</v>
      </c>
      <c r="E539" t="s">
        <v>2245</v>
      </c>
      <c r="F539" t="s">
        <v>581</v>
      </c>
      <c r="G539" t="s">
        <v>2246</v>
      </c>
      <c r="H539" t="s">
        <v>592</v>
      </c>
      <c r="J539" s="519">
        <v>46132</v>
      </c>
      <c r="U539" s="519">
        <v>46134</v>
      </c>
    </row>
    <row r="540" spans="1:21">
      <c r="A540" t="s">
        <v>953</v>
      </c>
      <c r="B540" t="s">
        <v>2401</v>
      </c>
      <c r="C540" t="s">
        <v>953</v>
      </c>
      <c r="D540">
        <v>20456528</v>
      </c>
      <c r="E540" t="s">
        <v>2258</v>
      </c>
      <c r="F540" t="s">
        <v>581</v>
      </c>
      <c r="G540" t="s">
        <v>2290</v>
      </c>
      <c r="H540" t="s">
        <v>587</v>
      </c>
      <c r="J540" s="519">
        <v>46077</v>
      </c>
      <c r="R540" s="519">
        <v>46114</v>
      </c>
      <c r="U540" s="519">
        <v>46133</v>
      </c>
    </row>
    <row r="541" spans="1:21">
      <c r="A541" t="s">
        <v>953</v>
      </c>
      <c r="B541" t="s">
        <v>1125</v>
      </c>
      <c r="C541" t="s">
        <v>953</v>
      </c>
      <c r="D541">
        <v>20456879</v>
      </c>
      <c r="E541" t="s">
        <v>2252</v>
      </c>
      <c r="F541" t="s">
        <v>577</v>
      </c>
      <c r="G541" t="s">
        <v>2248</v>
      </c>
      <c r="H541" t="s">
        <v>589</v>
      </c>
      <c r="I541" t="s">
        <v>1124</v>
      </c>
      <c r="J541" s="519">
        <v>46077</v>
      </c>
      <c r="K541" s="519">
        <v>46077</v>
      </c>
      <c r="R541" s="519">
        <v>46114</v>
      </c>
      <c r="U541" s="519">
        <v>46109</v>
      </c>
    </row>
    <row r="542" spans="1:21">
      <c r="A542" t="s">
        <v>953</v>
      </c>
      <c r="B542" t="s">
        <v>3418</v>
      </c>
      <c r="C542" t="s">
        <v>953</v>
      </c>
      <c r="D542">
        <v>20488685</v>
      </c>
      <c r="E542" t="s">
        <v>2258</v>
      </c>
      <c r="F542" t="s">
        <v>984</v>
      </c>
      <c r="G542" t="s">
        <v>2250</v>
      </c>
      <c r="H542" t="s">
        <v>592</v>
      </c>
      <c r="J542" s="519">
        <v>46118</v>
      </c>
      <c r="R542" s="519">
        <v>46139</v>
      </c>
      <c r="U542" s="519">
        <v>46143</v>
      </c>
    </row>
    <row r="543" spans="1:21">
      <c r="A543" t="s">
        <v>953</v>
      </c>
      <c r="B543" t="s">
        <v>2403</v>
      </c>
      <c r="C543" t="s">
        <v>953</v>
      </c>
      <c r="D543">
        <v>20454108</v>
      </c>
      <c r="E543" t="s">
        <v>2258</v>
      </c>
      <c r="F543" t="s">
        <v>984</v>
      </c>
      <c r="G543" t="s">
        <v>2259</v>
      </c>
      <c r="H543" t="s">
        <v>593</v>
      </c>
      <c r="J543" s="519">
        <v>46073</v>
      </c>
      <c r="R543" s="519">
        <v>46114</v>
      </c>
      <c r="U543" s="519">
        <v>46073</v>
      </c>
    </row>
    <row r="544" spans="1:21">
      <c r="A544" t="s">
        <v>953</v>
      </c>
      <c r="B544" t="s">
        <v>3419</v>
      </c>
      <c r="C544" t="s">
        <v>953</v>
      </c>
      <c r="D544">
        <v>20428780</v>
      </c>
      <c r="E544" t="s">
        <v>2252</v>
      </c>
      <c r="F544" t="s">
        <v>577</v>
      </c>
      <c r="G544" t="s">
        <v>2250</v>
      </c>
      <c r="H544" t="s">
        <v>587</v>
      </c>
      <c r="I544" t="s">
        <v>2273</v>
      </c>
      <c r="J544" s="519">
        <v>46038</v>
      </c>
      <c r="K544" s="519">
        <v>46038</v>
      </c>
      <c r="R544" s="519">
        <v>46114</v>
      </c>
      <c r="U544" s="519">
        <v>46038</v>
      </c>
    </row>
    <row r="545" spans="1:21">
      <c r="A545" t="s">
        <v>953</v>
      </c>
      <c r="B545" t="s">
        <v>2920</v>
      </c>
      <c r="C545" t="s">
        <v>953</v>
      </c>
      <c r="D545">
        <v>20471667</v>
      </c>
      <c r="E545" t="s">
        <v>2258</v>
      </c>
      <c r="F545" t="s">
        <v>984</v>
      </c>
      <c r="G545" t="s">
        <v>2250</v>
      </c>
      <c r="H545" t="s">
        <v>592</v>
      </c>
      <c r="J545" s="519">
        <v>46095</v>
      </c>
      <c r="R545" s="519">
        <v>46114</v>
      </c>
      <c r="U545" s="519">
        <v>46155</v>
      </c>
    </row>
    <row r="546" spans="1:21">
      <c r="A546" t="s">
        <v>953</v>
      </c>
      <c r="B546" t="s">
        <v>7008</v>
      </c>
      <c r="C546" t="s">
        <v>953</v>
      </c>
      <c r="D546">
        <v>20506911</v>
      </c>
      <c r="E546" t="s">
        <v>2245</v>
      </c>
      <c r="F546" t="s">
        <v>984</v>
      </c>
      <c r="G546" t="s">
        <v>2259</v>
      </c>
      <c r="H546" t="s">
        <v>3138</v>
      </c>
      <c r="J546" s="519">
        <v>46134</v>
      </c>
      <c r="U546" s="519">
        <v>46134</v>
      </c>
    </row>
    <row r="547" spans="1:21">
      <c r="A547" t="s">
        <v>953</v>
      </c>
      <c r="B547" t="s">
        <v>3420</v>
      </c>
      <c r="C547" t="s">
        <v>953</v>
      </c>
      <c r="D547">
        <v>20487907</v>
      </c>
      <c r="E547" t="s">
        <v>2258</v>
      </c>
      <c r="F547" t="s">
        <v>577</v>
      </c>
      <c r="G547" t="s">
        <v>2248</v>
      </c>
      <c r="H547" t="s">
        <v>592</v>
      </c>
      <c r="J547" s="519">
        <v>46118</v>
      </c>
      <c r="R547" s="519">
        <v>46139</v>
      </c>
      <c r="U547" s="519">
        <v>46134</v>
      </c>
    </row>
    <row r="548" spans="1:21">
      <c r="A548" t="s">
        <v>953</v>
      </c>
      <c r="B548" t="s">
        <v>7009</v>
      </c>
      <c r="C548" t="s">
        <v>953</v>
      </c>
      <c r="D548">
        <v>20509569</v>
      </c>
      <c r="E548" t="s">
        <v>2245</v>
      </c>
      <c r="F548" t="s">
        <v>984</v>
      </c>
      <c r="G548" t="s">
        <v>2246</v>
      </c>
      <c r="H548" t="s">
        <v>587</v>
      </c>
      <c r="J548" s="519">
        <v>46137</v>
      </c>
      <c r="U548" s="519">
        <v>46137</v>
      </c>
    </row>
    <row r="549" spans="1:21">
      <c r="A549" t="s">
        <v>953</v>
      </c>
      <c r="B549" t="s">
        <v>3421</v>
      </c>
      <c r="C549" t="s">
        <v>953</v>
      </c>
      <c r="D549">
        <v>20487245</v>
      </c>
      <c r="E549" t="s">
        <v>2258</v>
      </c>
      <c r="F549" t="s">
        <v>581</v>
      </c>
      <c r="G549" t="s">
        <v>1213</v>
      </c>
      <c r="H549" t="s">
        <v>587</v>
      </c>
      <c r="J549" s="519">
        <v>46116</v>
      </c>
      <c r="R549" s="519">
        <v>46139</v>
      </c>
      <c r="U549" s="519">
        <v>46116</v>
      </c>
    </row>
    <row r="550" spans="1:21">
      <c r="A550" t="s">
        <v>953</v>
      </c>
      <c r="B550" t="s">
        <v>2404</v>
      </c>
      <c r="C550" t="s">
        <v>953</v>
      </c>
      <c r="D550">
        <v>20457573</v>
      </c>
      <c r="E550" t="s">
        <v>2258</v>
      </c>
      <c r="F550" t="s">
        <v>581</v>
      </c>
      <c r="G550" t="s">
        <v>2290</v>
      </c>
      <c r="H550" t="s">
        <v>587</v>
      </c>
      <c r="J550" s="519">
        <v>46078</v>
      </c>
      <c r="R550" s="519">
        <v>46114</v>
      </c>
      <c r="U550" s="519">
        <v>46284</v>
      </c>
    </row>
    <row r="551" spans="1:21">
      <c r="A551" t="s">
        <v>953</v>
      </c>
      <c r="B551" t="s">
        <v>7010</v>
      </c>
      <c r="C551" t="s">
        <v>953</v>
      </c>
      <c r="D551">
        <v>20505066</v>
      </c>
      <c r="E551" t="s">
        <v>2245</v>
      </c>
      <c r="F551" t="s">
        <v>984</v>
      </c>
      <c r="G551" t="s">
        <v>2290</v>
      </c>
      <c r="H551" t="s">
        <v>587</v>
      </c>
      <c r="J551" s="519">
        <v>46133</v>
      </c>
      <c r="U551" s="519">
        <v>46204</v>
      </c>
    </row>
    <row r="552" spans="1:21">
      <c r="A552" t="s">
        <v>953</v>
      </c>
      <c r="B552" t="s">
        <v>2921</v>
      </c>
      <c r="C552" t="s">
        <v>953</v>
      </c>
      <c r="D552">
        <v>20475768</v>
      </c>
      <c r="E552" t="s">
        <v>2258</v>
      </c>
      <c r="F552" t="s">
        <v>578</v>
      </c>
      <c r="G552" t="s">
        <v>2259</v>
      </c>
      <c r="H552" t="s">
        <v>2388</v>
      </c>
      <c r="I552" t="s">
        <v>1334</v>
      </c>
      <c r="J552" s="519">
        <v>46100</v>
      </c>
      <c r="R552" s="519">
        <v>46114</v>
      </c>
      <c r="U552" s="519">
        <v>46143</v>
      </c>
    </row>
    <row r="553" spans="1:21">
      <c r="A553" t="s">
        <v>953</v>
      </c>
      <c r="B553" t="s">
        <v>2405</v>
      </c>
      <c r="C553" t="s">
        <v>953</v>
      </c>
      <c r="D553">
        <v>20444274</v>
      </c>
      <c r="E553" t="s">
        <v>2258</v>
      </c>
      <c r="F553" t="s">
        <v>581</v>
      </c>
      <c r="G553" t="s">
        <v>1213</v>
      </c>
      <c r="H553" t="s">
        <v>587</v>
      </c>
      <c r="J553" s="519">
        <v>46063</v>
      </c>
      <c r="R553" s="519">
        <v>46114</v>
      </c>
      <c r="U553" s="519">
        <v>46082</v>
      </c>
    </row>
    <row r="554" spans="1:21">
      <c r="A554" t="s">
        <v>953</v>
      </c>
      <c r="B554" t="s">
        <v>7011</v>
      </c>
      <c r="C554" t="s">
        <v>953</v>
      </c>
      <c r="D554">
        <v>20510770</v>
      </c>
      <c r="E554" t="s">
        <v>2245</v>
      </c>
      <c r="F554" t="s">
        <v>577</v>
      </c>
      <c r="G554" t="s">
        <v>2248</v>
      </c>
      <c r="H554" t="s">
        <v>592</v>
      </c>
      <c r="J554" s="519">
        <v>46139</v>
      </c>
      <c r="U554" s="519">
        <v>46150</v>
      </c>
    </row>
    <row r="555" spans="1:21">
      <c r="A555" t="s">
        <v>953</v>
      </c>
      <c r="B555" t="s">
        <v>2922</v>
      </c>
      <c r="C555" t="s">
        <v>953</v>
      </c>
      <c r="D555">
        <v>20475261</v>
      </c>
      <c r="E555" t="s">
        <v>2258</v>
      </c>
      <c r="F555" t="s">
        <v>581</v>
      </c>
      <c r="G555" t="s">
        <v>2250</v>
      </c>
      <c r="H555" t="s">
        <v>592</v>
      </c>
      <c r="J555" s="519">
        <v>46099</v>
      </c>
      <c r="R555" s="519">
        <v>46114</v>
      </c>
      <c r="U555" s="519">
        <v>46158</v>
      </c>
    </row>
    <row r="556" spans="1:21">
      <c r="A556" t="s">
        <v>953</v>
      </c>
      <c r="B556" t="s">
        <v>3422</v>
      </c>
      <c r="C556" t="s">
        <v>953</v>
      </c>
      <c r="D556">
        <v>20484776</v>
      </c>
      <c r="E556" t="s">
        <v>1100</v>
      </c>
      <c r="F556" t="s">
        <v>984</v>
      </c>
      <c r="G556" t="s">
        <v>2250</v>
      </c>
      <c r="H556" t="s">
        <v>587</v>
      </c>
      <c r="I556" t="s">
        <v>986</v>
      </c>
      <c r="J556" s="519">
        <v>46113</v>
      </c>
      <c r="K556" s="519">
        <v>46113</v>
      </c>
      <c r="U556" s="519">
        <v>46115</v>
      </c>
    </row>
    <row r="557" spans="1:21">
      <c r="A557" t="s">
        <v>953</v>
      </c>
      <c r="B557" t="s">
        <v>3423</v>
      </c>
      <c r="C557" t="s">
        <v>953</v>
      </c>
      <c r="D557">
        <v>20438343</v>
      </c>
      <c r="E557" t="s">
        <v>2258</v>
      </c>
      <c r="F557" t="s">
        <v>984</v>
      </c>
      <c r="G557" t="s">
        <v>2290</v>
      </c>
      <c r="H557" t="s">
        <v>591</v>
      </c>
      <c r="J557" s="519">
        <v>46053</v>
      </c>
      <c r="R557" s="519">
        <v>46114</v>
      </c>
      <c r="U557" s="519">
        <v>46092</v>
      </c>
    </row>
    <row r="558" spans="1:21">
      <c r="A558" t="s">
        <v>953</v>
      </c>
      <c r="B558" t="s">
        <v>3424</v>
      </c>
      <c r="C558" t="s">
        <v>953</v>
      </c>
      <c r="D558">
        <v>20491849</v>
      </c>
      <c r="E558" t="s">
        <v>2258</v>
      </c>
      <c r="F558" t="s">
        <v>984</v>
      </c>
      <c r="G558" t="s">
        <v>2250</v>
      </c>
      <c r="H558" t="s">
        <v>592</v>
      </c>
      <c r="J558" s="519">
        <v>46122</v>
      </c>
      <c r="R558" s="519">
        <v>46139</v>
      </c>
      <c r="U558" s="519">
        <v>46122</v>
      </c>
    </row>
    <row r="559" spans="1:21">
      <c r="A559" t="s">
        <v>953</v>
      </c>
      <c r="B559" t="s">
        <v>3425</v>
      </c>
      <c r="C559" t="s">
        <v>953</v>
      </c>
      <c r="D559">
        <v>20418558</v>
      </c>
      <c r="E559" t="s">
        <v>2258</v>
      </c>
      <c r="F559" t="s">
        <v>984</v>
      </c>
      <c r="G559" t="s">
        <v>2290</v>
      </c>
      <c r="H559" t="s">
        <v>592</v>
      </c>
      <c r="J559" s="519">
        <v>46027</v>
      </c>
      <c r="R559" s="519">
        <v>46114</v>
      </c>
      <c r="U559" s="519">
        <v>46027</v>
      </c>
    </row>
    <row r="560" spans="1:21">
      <c r="A560" t="s">
        <v>953</v>
      </c>
      <c r="B560" t="s">
        <v>3426</v>
      </c>
      <c r="C560" t="s">
        <v>953</v>
      </c>
      <c r="D560">
        <v>20422297</v>
      </c>
      <c r="E560" t="s">
        <v>2258</v>
      </c>
      <c r="F560" t="s">
        <v>578</v>
      </c>
      <c r="G560" t="s">
        <v>2248</v>
      </c>
      <c r="H560" t="s">
        <v>592</v>
      </c>
      <c r="J560" s="519">
        <v>46032</v>
      </c>
      <c r="R560" s="519">
        <v>46114</v>
      </c>
      <c r="U560" s="519">
        <v>46032</v>
      </c>
    </row>
    <row r="561" spans="1:21">
      <c r="A561" t="s">
        <v>953</v>
      </c>
      <c r="B561" t="s">
        <v>2406</v>
      </c>
      <c r="C561" t="s">
        <v>953</v>
      </c>
      <c r="D561">
        <v>20441167</v>
      </c>
      <c r="E561" t="s">
        <v>2258</v>
      </c>
      <c r="F561" t="s">
        <v>984</v>
      </c>
      <c r="G561" t="s">
        <v>2246</v>
      </c>
      <c r="H561" t="s">
        <v>587</v>
      </c>
      <c r="J561" s="519">
        <v>46057</v>
      </c>
      <c r="R561" s="519">
        <v>46114</v>
      </c>
      <c r="U561" s="519">
        <v>46143</v>
      </c>
    </row>
    <row r="562" spans="1:21">
      <c r="A562" t="s">
        <v>953</v>
      </c>
      <c r="B562" t="s">
        <v>3427</v>
      </c>
      <c r="C562" t="s">
        <v>953</v>
      </c>
      <c r="D562">
        <v>20490785</v>
      </c>
      <c r="E562" t="s">
        <v>2258</v>
      </c>
      <c r="F562" t="s">
        <v>984</v>
      </c>
      <c r="G562" t="s">
        <v>2250</v>
      </c>
      <c r="H562" t="s">
        <v>2361</v>
      </c>
      <c r="J562" s="519">
        <v>46121</v>
      </c>
      <c r="R562" s="519">
        <v>46139</v>
      </c>
      <c r="U562" s="519">
        <v>46122</v>
      </c>
    </row>
    <row r="563" spans="1:21">
      <c r="A563" t="s">
        <v>953</v>
      </c>
      <c r="B563" t="s">
        <v>7012</v>
      </c>
      <c r="C563" t="s">
        <v>953</v>
      </c>
      <c r="D563">
        <v>20508989</v>
      </c>
      <c r="E563" t="s">
        <v>2245</v>
      </c>
      <c r="F563" t="s">
        <v>984</v>
      </c>
      <c r="G563" t="s">
        <v>2250</v>
      </c>
      <c r="H563" t="s">
        <v>2361</v>
      </c>
      <c r="J563" s="519">
        <v>46136</v>
      </c>
      <c r="U563" s="519">
        <v>46137</v>
      </c>
    </row>
    <row r="564" spans="1:21">
      <c r="A564" t="s">
        <v>953</v>
      </c>
      <c r="B564" t="s">
        <v>2407</v>
      </c>
      <c r="C564" t="s">
        <v>953</v>
      </c>
      <c r="D564">
        <v>20447913</v>
      </c>
      <c r="E564" t="s">
        <v>2258</v>
      </c>
      <c r="F564" t="s">
        <v>579</v>
      </c>
      <c r="G564" t="s">
        <v>2248</v>
      </c>
      <c r="H564" t="s">
        <v>591</v>
      </c>
      <c r="J564" s="519">
        <v>46065</v>
      </c>
      <c r="R564" s="519">
        <v>46115</v>
      </c>
      <c r="U564" s="519">
        <v>46065</v>
      </c>
    </row>
    <row r="565" spans="1:21">
      <c r="A565" t="s">
        <v>953</v>
      </c>
      <c r="B565" t="s">
        <v>2923</v>
      </c>
      <c r="C565" t="s">
        <v>953</v>
      </c>
      <c r="D565">
        <v>20479649</v>
      </c>
      <c r="E565" t="s">
        <v>2258</v>
      </c>
      <c r="F565" t="s">
        <v>984</v>
      </c>
      <c r="G565" t="s">
        <v>2250</v>
      </c>
      <c r="H565" t="s">
        <v>592</v>
      </c>
      <c r="J565" s="519">
        <v>46106</v>
      </c>
      <c r="R565" s="519">
        <v>46114</v>
      </c>
      <c r="U565" s="519">
        <v>46108</v>
      </c>
    </row>
    <row r="566" spans="1:21">
      <c r="A566" t="s">
        <v>953</v>
      </c>
      <c r="B566" t="s">
        <v>2410</v>
      </c>
      <c r="C566" t="s">
        <v>953</v>
      </c>
      <c r="D566">
        <v>20449099</v>
      </c>
      <c r="E566" t="s">
        <v>2258</v>
      </c>
      <c r="F566" t="s">
        <v>581</v>
      </c>
      <c r="G566" t="s">
        <v>2259</v>
      </c>
      <c r="H566" t="s">
        <v>593</v>
      </c>
      <c r="J566" s="519">
        <v>46067</v>
      </c>
      <c r="R566" s="519">
        <v>46114</v>
      </c>
      <c r="U566" s="519">
        <v>46067</v>
      </c>
    </row>
    <row r="567" spans="1:21">
      <c r="A567" t="s">
        <v>953</v>
      </c>
      <c r="B567" t="s">
        <v>2924</v>
      </c>
      <c r="C567" t="s">
        <v>953</v>
      </c>
      <c r="D567">
        <v>20478665</v>
      </c>
      <c r="E567" t="s">
        <v>2258</v>
      </c>
      <c r="F567" t="s">
        <v>581</v>
      </c>
      <c r="G567" t="s">
        <v>2250</v>
      </c>
      <c r="H567" t="s">
        <v>592</v>
      </c>
      <c r="J567" s="519">
        <v>46104</v>
      </c>
      <c r="R567" s="519">
        <v>46114</v>
      </c>
      <c r="U567" s="519">
        <v>46113</v>
      </c>
    </row>
    <row r="568" spans="1:21">
      <c r="A568" t="s">
        <v>953</v>
      </c>
      <c r="B568" t="s">
        <v>3428</v>
      </c>
      <c r="C568" t="s">
        <v>953</v>
      </c>
      <c r="D568">
        <v>20492829</v>
      </c>
      <c r="E568" t="s">
        <v>2258</v>
      </c>
      <c r="F568" t="s">
        <v>581</v>
      </c>
      <c r="G568" t="s">
        <v>2250</v>
      </c>
      <c r="H568" t="s">
        <v>592</v>
      </c>
      <c r="J568" s="519">
        <v>46124</v>
      </c>
      <c r="R568" s="519">
        <v>46139</v>
      </c>
      <c r="U568" s="519">
        <v>46143</v>
      </c>
    </row>
    <row r="569" spans="1:21">
      <c r="A569" t="s">
        <v>953</v>
      </c>
      <c r="B569" t="s">
        <v>1159</v>
      </c>
      <c r="C569" t="s">
        <v>953</v>
      </c>
      <c r="D569">
        <v>20473012</v>
      </c>
      <c r="E569" t="s">
        <v>2252</v>
      </c>
      <c r="F569" t="s">
        <v>581</v>
      </c>
      <c r="G569" t="s">
        <v>2250</v>
      </c>
      <c r="H569" t="s">
        <v>592</v>
      </c>
      <c r="I569" t="s">
        <v>1158</v>
      </c>
      <c r="J569" s="519">
        <v>46098</v>
      </c>
      <c r="K569" s="519">
        <v>46098</v>
      </c>
      <c r="R569" s="519">
        <v>46114</v>
      </c>
      <c r="U569" s="519">
        <v>46107</v>
      </c>
    </row>
    <row r="570" spans="1:21">
      <c r="A570" t="s">
        <v>953</v>
      </c>
      <c r="B570" t="s">
        <v>2927</v>
      </c>
      <c r="C570" t="s">
        <v>953</v>
      </c>
      <c r="D570">
        <v>20472652</v>
      </c>
      <c r="E570" t="s">
        <v>2258</v>
      </c>
      <c r="F570" t="s">
        <v>984</v>
      </c>
      <c r="G570" t="s">
        <v>2250</v>
      </c>
      <c r="H570" t="s">
        <v>592</v>
      </c>
      <c r="J570" s="519">
        <v>46097</v>
      </c>
      <c r="R570" s="519">
        <v>46114</v>
      </c>
      <c r="U570" s="519">
        <v>46100</v>
      </c>
    </row>
    <row r="571" spans="1:21">
      <c r="A571" t="s">
        <v>953</v>
      </c>
      <c r="B571" t="s">
        <v>2411</v>
      </c>
      <c r="C571" t="s">
        <v>953</v>
      </c>
      <c r="D571">
        <v>20444743</v>
      </c>
      <c r="E571" t="s">
        <v>2258</v>
      </c>
      <c r="F571" t="s">
        <v>581</v>
      </c>
      <c r="G571" t="s">
        <v>1213</v>
      </c>
      <c r="H571" t="s">
        <v>2412</v>
      </c>
      <c r="J571" s="519">
        <v>46063</v>
      </c>
      <c r="R571" s="519">
        <v>46114</v>
      </c>
      <c r="U571" s="519">
        <v>46129</v>
      </c>
    </row>
    <row r="572" spans="1:21">
      <c r="A572" t="s">
        <v>953</v>
      </c>
      <c r="B572" t="s">
        <v>2413</v>
      </c>
      <c r="C572" t="s">
        <v>953</v>
      </c>
      <c r="D572">
        <v>20459496</v>
      </c>
      <c r="E572" t="s">
        <v>2258</v>
      </c>
      <c r="F572" t="s">
        <v>581</v>
      </c>
      <c r="G572" t="s">
        <v>2246</v>
      </c>
      <c r="H572" t="s">
        <v>587</v>
      </c>
      <c r="J572" s="519">
        <v>46081</v>
      </c>
      <c r="R572" s="519">
        <v>46114</v>
      </c>
      <c r="U572" s="519">
        <v>46098</v>
      </c>
    </row>
    <row r="573" spans="1:21">
      <c r="A573" t="s">
        <v>953</v>
      </c>
      <c r="B573" t="s">
        <v>2928</v>
      </c>
      <c r="C573" t="s">
        <v>953</v>
      </c>
      <c r="D573">
        <v>20476034</v>
      </c>
      <c r="E573" t="s">
        <v>2258</v>
      </c>
      <c r="F573" t="s">
        <v>984</v>
      </c>
      <c r="G573" t="s">
        <v>2250</v>
      </c>
      <c r="H573" t="s">
        <v>592</v>
      </c>
      <c r="J573" s="519">
        <v>46100</v>
      </c>
      <c r="R573" s="519">
        <v>46114</v>
      </c>
      <c r="U573" s="519">
        <v>46174</v>
      </c>
    </row>
    <row r="574" spans="1:21">
      <c r="A574" t="s">
        <v>953</v>
      </c>
      <c r="B574" t="s">
        <v>2415</v>
      </c>
      <c r="C574" t="s">
        <v>953</v>
      </c>
      <c r="D574">
        <v>20457891</v>
      </c>
      <c r="E574" t="s">
        <v>2258</v>
      </c>
      <c r="F574" t="s">
        <v>984</v>
      </c>
      <c r="G574" t="s">
        <v>2246</v>
      </c>
      <c r="H574" t="s">
        <v>591</v>
      </c>
      <c r="J574" s="519">
        <v>46079</v>
      </c>
      <c r="R574" s="519">
        <v>46114</v>
      </c>
      <c r="U574" s="519">
        <v>46079</v>
      </c>
    </row>
    <row r="575" spans="1:21">
      <c r="A575" t="s">
        <v>953</v>
      </c>
      <c r="B575" t="s">
        <v>3429</v>
      </c>
      <c r="C575" t="s">
        <v>953</v>
      </c>
      <c r="D575">
        <v>20492800</v>
      </c>
      <c r="E575" t="s">
        <v>1100</v>
      </c>
      <c r="F575" t="s">
        <v>1115</v>
      </c>
      <c r="G575" t="s">
        <v>2250</v>
      </c>
      <c r="H575" t="s">
        <v>587</v>
      </c>
      <c r="I575" t="s">
        <v>1332</v>
      </c>
      <c r="J575" s="519">
        <v>46124</v>
      </c>
      <c r="K575" s="519">
        <v>46124</v>
      </c>
      <c r="U575" s="519">
        <v>46136</v>
      </c>
    </row>
    <row r="576" spans="1:21">
      <c r="A576" t="s">
        <v>953</v>
      </c>
      <c r="B576" t="s">
        <v>2416</v>
      </c>
      <c r="C576" t="s">
        <v>953</v>
      </c>
      <c r="D576">
        <v>20459732</v>
      </c>
      <c r="E576" t="s">
        <v>2258</v>
      </c>
      <c r="F576" t="s">
        <v>578</v>
      </c>
      <c r="G576" t="s">
        <v>2248</v>
      </c>
      <c r="H576" t="s">
        <v>589</v>
      </c>
      <c r="J576" s="519">
        <v>46081</v>
      </c>
      <c r="R576" s="519">
        <v>46114</v>
      </c>
      <c r="U576" s="519">
        <v>46081</v>
      </c>
    </row>
    <row r="577" spans="1:21">
      <c r="A577" t="s">
        <v>953</v>
      </c>
      <c r="B577" t="s">
        <v>3430</v>
      </c>
      <c r="C577" t="s">
        <v>953</v>
      </c>
      <c r="D577">
        <v>20429647</v>
      </c>
      <c r="E577" t="s">
        <v>2258</v>
      </c>
      <c r="F577" t="s">
        <v>578</v>
      </c>
      <c r="G577" t="s">
        <v>2248</v>
      </c>
      <c r="H577" t="s">
        <v>592</v>
      </c>
      <c r="J577" s="519">
        <v>46039</v>
      </c>
      <c r="R577" s="519">
        <v>46114</v>
      </c>
      <c r="U577" s="519">
        <v>46039</v>
      </c>
    </row>
    <row r="578" spans="1:21">
      <c r="A578" t="s">
        <v>953</v>
      </c>
      <c r="B578" t="s">
        <v>7013</v>
      </c>
      <c r="C578" t="s">
        <v>953</v>
      </c>
      <c r="D578">
        <v>20510187</v>
      </c>
      <c r="E578" t="s">
        <v>2245</v>
      </c>
      <c r="F578" t="s">
        <v>984</v>
      </c>
      <c r="G578" t="s">
        <v>2259</v>
      </c>
      <c r="H578" t="s">
        <v>592</v>
      </c>
      <c r="J578" s="519">
        <v>46138</v>
      </c>
      <c r="U578" s="519">
        <v>46138</v>
      </c>
    </row>
    <row r="579" spans="1:21">
      <c r="A579" t="s">
        <v>953</v>
      </c>
      <c r="B579" t="s">
        <v>7014</v>
      </c>
      <c r="C579" t="s">
        <v>953</v>
      </c>
      <c r="D579">
        <v>20497547</v>
      </c>
      <c r="E579" t="s">
        <v>2258</v>
      </c>
      <c r="F579" t="s">
        <v>581</v>
      </c>
      <c r="G579" t="s">
        <v>1213</v>
      </c>
      <c r="H579" t="s">
        <v>588</v>
      </c>
      <c r="J579" s="519">
        <v>46128</v>
      </c>
      <c r="R579" s="519">
        <v>46139</v>
      </c>
      <c r="U579" s="519">
        <v>46174</v>
      </c>
    </row>
    <row r="580" spans="1:21">
      <c r="A580" t="s">
        <v>953</v>
      </c>
      <c r="B580" t="s">
        <v>3431</v>
      </c>
      <c r="C580" t="s">
        <v>953</v>
      </c>
      <c r="D580">
        <v>20492181</v>
      </c>
      <c r="E580" t="s">
        <v>2258</v>
      </c>
      <c r="F580" t="s">
        <v>581</v>
      </c>
      <c r="G580" t="s">
        <v>2250</v>
      </c>
      <c r="H580" t="s">
        <v>592</v>
      </c>
      <c r="J580" s="519">
        <v>46123</v>
      </c>
      <c r="R580" s="519">
        <v>46139</v>
      </c>
      <c r="U580" s="519">
        <v>46123</v>
      </c>
    </row>
    <row r="581" spans="1:21">
      <c r="A581" t="s">
        <v>953</v>
      </c>
      <c r="B581" t="s">
        <v>2929</v>
      </c>
      <c r="C581" t="s">
        <v>953</v>
      </c>
      <c r="D581">
        <v>20478845</v>
      </c>
      <c r="E581" t="s">
        <v>2258</v>
      </c>
      <c r="F581" t="s">
        <v>984</v>
      </c>
      <c r="G581" t="s">
        <v>2250</v>
      </c>
      <c r="H581" t="s">
        <v>592</v>
      </c>
      <c r="J581" s="519">
        <v>46105</v>
      </c>
      <c r="R581" s="519">
        <v>46114</v>
      </c>
      <c r="U581" s="519">
        <v>46174</v>
      </c>
    </row>
    <row r="582" spans="1:21">
      <c r="A582" t="s">
        <v>953</v>
      </c>
      <c r="B582" t="s">
        <v>3432</v>
      </c>
      <c r="C582" t="s">
        <v>953</v>
      </c>
      <c r="D582">
        <v>20420775</v>
      </c>
      <c r="E582" t="s">
        <v>2258</v>
      </c>
      <c r="F582" t="s">
        <v>984</v>
      </c>
      <c r="G582" t="s">
        <v>2259</v>
      </c>
      <c r="H582" t="s">
        <v>593</v>
      </c>
      <c r="J582" s="519">
        <v>46030</v>
      </c>
      <c r="R582" s="519">
        <v>46114</v>
      </c>
      <c r="U582" s="519">
        <v>46030</v>
      </c>
    </row>
    <row r="583" spans="1:21">
      <c r="A583" t="s">
        <v>953</v>
      </c>
      <c r="B583" t="s">
        <v>3433</v>
      </c>
      <c r="C583" t="s">
        <v>953</v>
      </c>
      <c r="D583">
        <v>20412707</v>
      </c>
      <c r="E583" t="s">
        <v>2258</v>
      </c>
      <c r="F583" t="s">
        <v>581</v>
      </c>
      <c r="G583" t="s">
        <v>2259</v>
      </c>
      <c r="H583" t="s">
        <v>593</v>
      </c>
      <c r="J583" s="519">
        <v>46017</v>
      </c>
      <c r="R583" s="519">
        <v>46114</v>
      </c>
      <c r="U583" s="519">
        <v>46024</v>
      </c>
    </row>
    <row r="584" spans="1:21">
      <c r="A584" t="s">
        <v>953</v>
      </c>
      <c r="B584" t="s">
        <v>2930</v>
      </c>
      <c r="C584" t="s">
        <v>953</v>
      </c>
      <c r="D584">
        <v>20472080</v>
      </c>
      <c r="E584" t="s">
        <v>2252</v>
      </c>
      <c r="F584" t="s">
        <v>1115</v>
      </c>
      <c r="G584" t="s">
        <v>2250</v>
      </c>
      <c r="H584" t="s">
        <v>587</v>
      </c>
      <c r="J584" s="519">
        <v>46096</v>
      </c>
      <c r="K584" s="519">
        <v>46096</v>
      </c>
      <c r="R584" s="519">
        <v>46114</v>
      </c>
      <c r="U584" s="519">
        <v>46096</v>
      </c>
    </row>
    <row r="585" spans="1:21">
      <c r="A585" t="s">
        <v>953</v>
      </c>
      <c r="B585" t="s">
        <v>3434</v>
      </c>
      <c r="C585" t="s">
        <v>953</v>
      </c>
      <c r="D585">
        <v>20414884</v>
      </c>
      <c r="E585" t="s">
        <v>2258</v>
      </c>
      <c r="F585" t="s">
        <v>581</v>
      </c>
      <c r="G585" t="s">
        <v>2259</v>
      </c>
      <c r="H585" t="s">
        <v>592</v>
      </c>
      <c r="J585" s="519">
        <v>46020</v>
      </c>
      <c r="R585" s="519">
        <v>46114</v>
      </c>
      <c r="U585" s="519">
        <v>46031</v>
      </c>
    </row>
    <row r="586" spans="1:21">
      <c r="A586" t="s">
        <v>953</v>
      </c>
      <c r="B586" t="s">
        <v>3435</v>
      </c>
      <c r="C586" t="s">
        <v>953</v>
      </c>
      <c r="D586">
        <v>20493370</v>
      </c>
      <c r="E586" t="s">
        <v>2258</v>
      </c>
      <c r="F586" t="s">
        <v>581</v>
      </c>
      <c r="G586" t="s">
        <v>2250</v>
      </c>
      <c r="H586" t="s">
        <v>2361</v>
      </c>
      <c r="J586" s="519">
        <v>46125</v>
      </c>
      <c r="R586" s="519">
        <v>46139</v>
      </c>
      <c r="U586" s="519">
        <v>46126</v>
      </c>
    </row>
    <row r="587" spans="1:21">
      <c r="A587" t="s">
        <v>953</v>
      </c>
      <c r="B587" t="s">
        <v>3436</v>
      </c>
      <c r="C587" t="s">
        <v>953</v>
      </c>
      <c r="D587">
        <v>20493150</v>
      </c>
      <c r="E587" t="s">
        <v>2258</v>
      </c>
      <c r="F587" t="s">
        <v>581</v>
      </c>
      <c r="G587" t="s">
        <v>2290</v>
      </c>
      <c r="H587" t="s">
        <v>592</v>
      </c>
      <c r="I587" t="s">
        <v>886</v>
      </c>
      <c r="J587" s="519">
        <v>46125</v>
      </c>
      <c r="R587" s="519">
        <v>46139</v>
      </c>
      <c r="U587" s="519">
        <v>46143</v>
      </c>
    </row>
    <row r="588" spans="1:21">
      <c r="A588" t="s">
        <v>953</v>
      </c>
      <c r="B588" t="s">
        <v>3437</v>
      </c>
      <c r="C588" t="s">
        <v>953</v>
      </c>
      <c r="D588">
        <v>20488022</v>
      </c>
      <c r="E588" t="s">
        <v>2258</v>
      </c>
      <c r="F588" t="s">
        <v>984</v>
      </c>
      <c r="G588" t="s">
        <v>2259</v>
      </c>
      <c r="H588" t="s">
        <v>2388</v>
      </c>
      <c r="J588" s="519">
        <v>46118</v>
      </c>
      <c r="R588" s="519">
        <v>46139</v>
      </c>
      <c r="U588" s="519">
        <v>46118</v>
      </c>
    </row>
    <row r="589" spans="1:21">
      <c r="A589" t="s">
        <v>953</v>
      </c>
      <c r="B589" t="s">
        <v>2417</v>
      </c>
      <c r="C589" t="s">
        <v>953</v>
      </c>
      <c r="D589">
        <v>20455080</v>
      </c>
      <c r="E589" t="s">
        <v>2258</v>
      </c>
      <c r="F589" t="s">
        <v>984</v>
      </c>
      <c r="G589" t="s">
        <v>2246</v>
      </c>
      <c r="H589" t="s">
        <v>587</v>
      </c>
      <c r="J589" s="519">
        <v>46074</v>
      </c>
      <c r="R589" s="519">
        <v>46114</v>
      </c>
      <c r="U589" s="519">
        <v>46099</v>
      </c>
    </row>
    <row r="590" spans="1:21">
      <c r="A590" t="s">
        <v>953</v>
      </c>
      <c r="B590" t="s">
        <v>7015</v>
      </c>
      <c r="C590" t="s">
        <v>953</v>
      </c>
      <c r="D590">
        <v>20510511</v>
      </c>
      <c r="E590" t="s">
        <v>2245</v>
      </c>
      <c r="F590" t="s">
        <v>581</v>
      </c>
      <c r="G590" t="s">
        <v>2290</v>
      </c>
      <c r="H590" t="s">
        <v>592</v>
      </c>
      <c r="J590" s="519">
        <v>46138</v>
      </c>
      <c r="U590" s="519">
        <v>46204</v>
      </c>
    </row>
    <row r="591" spans="1:21">
      <c r="A591" t="s">
        <v>953</v>
      </c>
      <c r="B591" t="s">
        <v>7016</v>
      </c>
      <c r="C591" t="s">
        <v>953</v>
      </c>
      <c r="D591">
        <v>20500285</v>
      </c>
      <c r="E591" t="s">
        <v>2258</v>
      </c>
      <c r="F591" t="s">
        <v>984</v>
      </c>
      <c r="G591" t="s">
        <v>2250</v>
      </c>
      <c r="H591" t="s">
        <v>2361</v>
      </c>
      <c r="J591" s="519">
        <v>46129</v>
      </c>
      <c r="R591" s="519">
        <v>46139</v>
      </c>
      <c r="U591" s="519">
        <v>46131</v>
      </c>
    </row>
    <row r="592" spans="1:21">
      <c r="A592" t="s">
        <v>953</v>
      </c>
      <c r="B592" t="s">
        <v>7017</v>
      </c>
      <c r="C592" t="s">
        <v>953</v>
      </c>
      <c r="D592">
        <v>20501465</v>
      </c>
      <c r="E592" t="s">
        <v>1100</v>
      </c>
      <c r="F592" t="s">
        <v>581</v>
      </c>
      <c r="G592" t="s">
        <v>2250</v>
      </c>
      <c r="H592" t="s">
        <v>587</v>
      </c>
      <c r="J592" s="519">
        <v>46131</v>
      </c>
      <c r="K592" s="519">
        <v>46131</v>
      </c>
      <c r="U592" s="519">
        <v>46131</v>
      </c>
    </row>
    <row r="593" spans="1:21">
      <c r="A593" t="s">
        <v>953</v>
      </c>
      <c r="B593" t="s">
        <v>3438</v>
      </c>
      <c r="C593" t="s">
        <v>953</v>
      </c>
      <c r="D593">
        <v>20484880</v>
      </c>
      <c r="E593" t="s">
        <v>2258</v>
      </c>
      <c r="F593" t="s">
        <v>581</v>
      </c>
      <c r="G593" t="s">
        <v>2250</v>
      </c>
      <c r="H593" t="s">
        <v>592</v>
      </c>
      <c r="J593" s="519">
        <v>46113</v>
      </c>
      <c r="R593" s="519">
        <v>46139</v>
      </c>
      <c r="U593" s="519">
        <v>46137</v>
      </c>
    </row>
    <row r="594" spans="1:21">
      <c r="A594" t="s">
        <v>953</v>
      </c>
      <c r="B594" t="s">
        <v>1150</v>
      </c>
      <c r="C594" t="s">
        <v>953</v>
      </c>
      <c r="D594">
        <v>20470630</v>
      </c>
      <c r="E594" t="s">
        <v>2252</v>
      </c>
      <c r="F594" t="s">
        <v>581</v>
      </c>
      <c r="G594" t="s">
        <v>2250</v>
      </c>
      <c r="H594" t="s">
        <v>590</v>
      </c>
      <c r="I594" t="s">
        <v>1149</v>
      </c>
      <c r="J594" s="519">
        <v>46094</v>
      </c>
      <c r="K594" s="519">
        <v>46094</v>
      </c>
      <c r="R594" s="519">
        <v>46114</v>
      </c>
      <c r="U594" s="519">
        <v>46112</v>
      </c>
    </row>
    <row r="595" spans="1:21">
      <c r="A595" t="s">
        <v>953</v>
      </c>
      <c r="B595" t="s">
        <v>3439</v>
      </c>
      <c r="C595" t="s">
        <v>953</v>
      </c>
      <c r="D595">
        <v>20493086</v>
      </c>
      <c r="E595" t="s">
        <v>1100</v>
      </c>
      <c r="F595" t="s">
        <v>582</v>
      </c>
      <c r="G595" t="s">
        <v>2250</v>
      </c>
      <c r="H595" t="s">
        <v>587</v>
      </c>
      <c r="I595" t="s">
        <v>886</v>
      </c>
      <c r="J595" s="519">
        <v>46124</v>
      </c>
      <c r="K595" s="519">
        <v>46124</v>
      </c>
      <c r="U595" s="519">
        <v>46142</v>
      </c>
    </row>
    <row r="596" spans="1:21">
      <c r="A596" t="s">
        <v>953</v>
      </c>
      <c r="B596" t="s">
        <v>7018</v>
      </c>
      <c r="C596" t="s">
        <v>953</v>
      </c>
      <c r="D596">
        <v>20495619</v>
      </c>
      <c r="E596" t="s">
        <v>2252</v>
      </c>
      <c r="F596" t="s">
        <v>1115</v>
      </c>
      <c r="G596" t="s">
        <v>2250</v>
      </c>
      <c r="H596" t="s">
        <v>587</v>
      </c>
      <c r="I596" t="s">
        <v>2578</v>
      </c>
      <c r="J596" s="519">
        <v>46127</v>
      </c>
      <c r="K596" s="519">
        <v>46127</v>
      </c>
      <c r="R596" s="519">
        <v>46127</v>
      </c>
      <c r="U596" s="519">
        <v>46127</v>
      </c>
    </row>
    <row r="597" spans="1:21">
      <c r="A597" t="s">
        <v>953</v>
      </c>
      <c r="B597" t="s">
        <v>7018</v>
      </c>
      <c r="C597" t="s">
        <v>953</v>
      </c>
      <c r="D597">
        <v>20490755</v>
      </c>
      <c r="E597" t="s">
        <v>2245</v>
      </c>
      <c r="F597" t="s">
        <v>581</v>
      </c>
      <c r="G597" t="s">
        <v>2250</v>
      </c>
      <c r="H597" t="s">
        <v>592</v>
      </c>
      <c r="J597" s="519">
        <v>46121</v>
      </c>
      <c r="U597" s="519">
        <v>46128</v>
      </c>
    </row>
    <row r="598" spans="1:21">
      <c r="A598" t="s">
        <v>953</v>
      </c>
      <c r="B598" t="s">
        <v>7018</v>
      </c>
      <c r="C598" t="s">
        <v>953</v>
      </c>
      <c r="D598">
        <v>20498132</v>
      </c>
      <c r="E598" t="s">
        <v>2258</v>
      </c>
      <c r="F598" t="s">
        <v>984</v>
      </c>
      <c r="G598" t="s">
        <v>2259</v>
      </c>
      <c r="H598" t="s">
        <v>2388</v>
      </c>
      <c r="J598" s="519">
        <v>46128</v>
      </c>
      <c r="R598" s="519">
        <v>46139</v>
      </c>
      <c r="U598" s="519">
        <v>46128</v>
      </c>
    </row>
    <row r="599" spans="1:21">
      <c r="A599" t="s">
        <v>953</v>
      </c>
      <c r="B599" t="s">
        <v>7018</v>
      </c>
      <c r="C599" t="s">
        <v>953</v>
      </c>
      <c r="D599">
        <v>20495712</v>
      </c>
      <c r="E599" t="s">
        <v>2258</v>
      </c>
      <c r="F599" t="s">
        <v>984</v>
      </c>
      <c r="G599" t="s">
        <v>2250</v>
      </c>
      <c r="H599" t="s">
        <v>6960</v>
      </c>
      <c r="J599" s="519">
        <v>46127</v>
      </c>
      <c r="R599" s="519">
        <v>46139</v>
      </c>
      <c r="U599" s="519">
        <v>46129</v>
      </c>
    </row>
    <row r="600" spans="1:21">
      <c r="A600" t="s">
        <v>953</v>
      </c>
      <c r="B600" t="s">
        <v>7019</v>
      </c>
      <c r="C600" t="s">
        <v>953</v>
      </c>
      <c r="D600">
        <v>20511652</v>
      </c>
      <c r="E600" t="s">
        <v>2245</v>
      </c>
      <c r="F600" t="s">
        <v>984</v>
      </c>
      <c r="G600" t="s">
        <v>2290</v>
      </c>
      <c r="H600" t="s">
        <v>592</v>
      </c>
      <c r="J600" s="519">
        <v>46140</v>
      </c>
      <c r="U600" s="519">
        <v>46204</v>
      </c>
    </row>
    <row r="601" spans="1:21">
      <c r="A601" t="s">
        <v>953</v>
      </c>
      <c r="B601" t="s">
        <v>2422</v>
      </c>
      <c r="C601" t="s">
        <v>953</v>
      </c>
      <c r="D601">
        <v>20450095</v>
      </c>
      <c r="E601" t="s">
        <v>2258</v>
      </c>
      <c r="F601" t="s">
        <v>984</v>
      </c>
      <c r="G601" t="s">
        <v>2246</v>
      </c>
      <c r="H601" t="s">
        <v>587</v>
      </c>
      <c r="J601" s="519">
        <v>46069</v>
      </c>
      <c r="R601" s="519">
        <v>46114</v>
      </c>
      <c r="U601" s="519">
        <v>46120</v>
      </c>
    </row>
    <row r="602" spans="1:21">
      <c r="A602" t="s">
        <v>953</v>
      </c>
      <c r="B602" t="s">
        <v>7020</v>
      </c>
      <c r="C602" t="s">
        <v>953</v>
      </c>
      <c r="D602">
        <v>20498686</v>
      </c>
      <c r="E602" t="s">
        <v>2258</v>
      </c>
      <c r="F602" t="s">
        <v>581</v>
      </c>
      <c r="G602" t="s">
        <v>2250</v>
      </c>
      <c r="H602" t="s">
        <v>592</v>
      </c>
      <c r="J602" s="519">
        <v>46128</v>
      </c>
      <c r="R602" s="519">
        <v>46139</v>
      </c>
      <c r="U602" s="519">
        <v>46135</v>
      </c>
    </row>
    <row r="603" spans="1:21">
      <c r="A603" t="s">
        <v>953</v>
      </c>
      <c r="B603" t="s">
        <v>2936</v>
      </c>
      <c r="C603" t="s">
        <v>953</v>
      </c>
      <c r="D603">
        <v>20484035</v>
      </c>
      <c r="E603" t="s">
        <v>2258</v>
      </c>
      <c r="F603" t="s">
        <v>984</v>
      </c>
      <c r="G603" t="s">
        <v>2290</v>
      </c>
      <c r="H603" t="s">
        <v>1144</v>
      </c>
      <c r="I603" t="s">
        <v>2272</v>
      </c>
      <c r="J603" s="519">
        <v>46112</v>
      </c>
      <c r="R603" s="519">
        <v>46120</v>
      </c>
      <c r="U603" s="519">
        <v>46112</v>
      </c>
    </row>
    <row r="604" spans="1:21">
      <c r="A604" t="s">
        <v>953</v>
      </c>
      <c r="B604" t="s">
        <v>2937</v>
      </c>
      <c r="C604" t="s">
        <v>953</v>
      </c>
      <c r="D604">
        <v>20481392</v>
      </c>
      <c r="E604" t="s">
        <v>2258</v>
      </c>
      <c r="F604" t="s">
        <v>984</v>
      </c>
      <c r="G604" t="s">
        <v>2250</v>
      </c>
      <c r="H604" t="s">
        <v>592</v>
      </c>
      <c r="J604" s="519">
        <v>46108</v>
      </c>
      <c r="R604" s="519">
        <v>46139</v>
      </c>
      <c r="U604" s="519">
        <v>46113</v>
      </c>
    </row>
    <row r="605" spans="1:21">
      <c r="A605" t="s">
        <v>953</v>
      </c>
      <c r="B605" t="s">
        <v>7021</v>
      </c>
      <c r="C605" t="s">
        <v>953</v>
      </c>
      <c r="D605">
        <v>20508429</v>
      </c>
      <c r="E605" t="s">
        <v>2245</v>
      </c>
      <c r="F605" t="s">
        <v>984</v>
      </c>
      <c r="G605" t="s">
        <v>2250</v>
      </c>
      <c r="H605" t="s">
        <v>2361</v>
      </c>
      <c r="J605" s="519">
        <v>46135</v>
      </c>
      <c r="U605" s="519">
        <v>46168</v>
      </c>
    </row>
    <row r="606" spans="1:21">
      <c r="A606" t="s">
        <v>953</v>
      </c>
      <c r="B606" t="s">
        <v>2938</v>
      </c>
      <c r="C606" t="s">
        <v>953</v>
      </c>
      <c r="D606">
        <v>20472400</v>
      </c>
      <c r="E606" t="s">
        <v>2258</v>
      </c>
      <c r="F606" t="s">
        <v>581</v>
      </c>
      <c r="G606" t="s">
        <v>2248</v>
      </c>
      <c r="H606" t="s">
        <v>588</v>
      </c>
      <c r="I606" t="s">
        <v>1156</v>
      </c>
      <c r="J606" s="519">
        <v>46097</v>
      </c>
      <c r="R606" s="519">
        <v>46114</v>
      </c>
      <c r="U606" s="519">
        <v>46203</v>
      </c>
    </row>
    <row r="607" spans="1:21">
      <c r="A607" t="s">
        <v>953</v>
      </c>
      <c r="B607" t="s">
        <v>3441</v>
      </c>
      <c r="C607" t="s">
        <v>953</v>
      </c>
      <c r="D607">
        <v>20417954</v>
      </c>
      <c r="E607" t="s">
        <v>2258</v>
      </c>
      <c r="F607" t="s">
        <v>577</v>
      </c>
      <c r="G607" t="s">
        <v>2259</v>
      </c>
      <c r="H607" t="s">
        <v>593</v>
      </c>
      <c r="J607" s="519">
        <v>46026</v>
      </c>
      <c r="R607" s="519">
        <v>46114</v>
      </c>
      <c r="U607" s="519">
        <v>46026</v>
      </c>
    </row>
    <row r="608" spans="1:21">
      <c r="A608" t="s">
        <v>953</v>
      </c>
      <c r="B608" t="s">
        <v>2939</v>
      </c>
      <c r="C608" t="s">
        <v>953</v>
      </c>
      <c r="D608">
        <v>20481785</v>
      </c>
      <c r="E608" t="s">
        <v>2258</v>
      </c>
      <c r="F608" t="s">
        <v>984</v>
      </c>
      <c r="G608" t="s">
        <v>2250</v>
      </c>
      <c r="H608" t="s">
        <v>592</v>
      </c>
      <c r="J608" s="519">
        <v>46108</v>
      </c>
      <c r="R608" s="519">
        <v>46139</v>
      </c>
      <c r="U608" s="519">
        <v>46169</v>
      </c>
    </row>
    <row r="609" spans="1:21">
      <c r="A609" t="s">
        <v>953</v>
      </c>
      <c r="B609" t="s">
        <v>2940</v>
      </c>
      <c r="C609" t="s">
        <v>953</v>
      </c>
      <c r="D609">
        <v>20478291</v>
      </c>
      <c r="E609" t="s">
        <v>2258</v>
      </c>
      <c r="F609" t="s">
        <v>984</v>
      </c>
      <c r="G609" t="s">
        <v>2259</v>
      </c>
      <c r="H609" t="s">
        <v>2388</v>
      </c>
      <c r="I609" t="s">
        <v>1156</v>
      </c>
      <c r="J609" s="519">
        <v>46104</v>
      </c>
      <c r="R609" s="519">
        <v>46139</v>
      </c>
      <c r="U609" s="519">
        <v>46204</v>
      </c>
    </row>
    <row r="610" spans="1:21">
      <c r="A610" t="s">
        <v>953</v>
      </c>
      <c r="B610" t="s">
        <v>7022</v>
      </c>
      <c r="C610" t="s">
        <v>953</v>
      </c>
      <c r="D610">
        <v>20505785</v>
      </c>
      <c r="E610" t="s">
        <v>2245</v>
      </c>
      <c r="F610" t="s">
        <v>582</v>
      </c>
      <c r="G610" t="s">
        <v>2248</v>
      </c>
      <c r="H610" t="s">
        <v>587</v>
      </c>
      <c r="I610" t="s">
        <v>1156</v>
      </c>
      <c r="J610" s="519">
        <v>46134</v>
      </c>
      <c r="U610" s="519">
        <v>46134</v>
      </c>
    </row>
    <row r="611" spans="1:21">
      <c r="A611" t="s">
        <v>953</v>
      </c>
      <c r="B611" t="s">
        <v>3442</v>
      </c>
      <c r="C611" t="s">
        <v>953</v>
      </c>
      <c r="D611">
        <v>20422999</v>
      </c>
      <c r="E611" t="s">
        <v>2252</v>
      </c>
      <c r="F611" t="s">
        <v>577</v>
      </c>
      <c r="G611" t="s">
        <v>2250</v>
      </c>
      <c r="H611" t="s">
        <v>587</v>
      </c>
      <c r="I611" t="s">
        <v>3351</v>
      </c>
      <c r="J611" s="519">
        <v>46034</v>
      </c>
      <c r="K611" s="519">
        <v>46034</v>
      </c>
      <c r="R611" s="519">
        <v>46114</v>
      </c>
      <c r="U611" s="519">
        <v>46055</v>
      </c>
    </row>
    <row r="612" spans="1:21">
      <c r="A612" t="s">
        <v>953</v>
      </c>
      <c r="B612" t="s">
        <v>1174</v>
      </c>
      <c r="C612" t="s">
        <v>953</v>
      </c>
      <c r="D612">
        <v>20478380</v>
      </c>
      <c r="E612" t="s">
        <v>2252</v>
      </c>
      <c r="F612" t="s">
        <v>581</v>
      </c>
      <c r="G612" t="s">
        <v>2248</v>
      </c>
      <c r="H612" t="s">
        <v>592</v>
      </c>
      <c r="I612" t="s">
        <v>1173</v>
      </c>
      <c r="J612" s="519">
        <v>46104</v>
      </c>
      <c r="K612" s="519">
        <v>46104</v>
      </c>
      <c r="R612" s="519">
        <v>46114</v>
      </c>
      <c r="U612" s="519">
        <v>46164</v>
      </c>
    </row>
    <row r="613" spans="1:21">
      <c r="A613" t="s">
        <v>953</v>
      </c>
      <c r="B613" t="s">
        <v>7023</v>
      </c>
      <c r="C613" t="s">
        <v>953</v>
      </c>
      <c r="D613">
        <v>20509116</v>
      </c>
      <c r="E613" t="s">
        <v>2245</v>
      </c>
      <c r="F613" t="s">
        <v>984</v>
      </c>
      <c r="G613" t="s">
        <v>2250</v>
      </c>
      <c r="H613" t="s">
        <v>2361</v>
      </c>
      <c r="J613" s="519">
        <v>46136</v>
      </c>
      <c r="U613" s="519">
        <v>46137</v>
      </c>
    </row>
    <row r="614" spans="1:21">
      <c r="A614" t="s">
        <v>953</v>
      </c>
      <c r="B614" t="s">
        <v>1157</v>
      </c>
      <c r="C614" t="s">
        <v>953</v>
      </c>
      <c r="D614">
        <v>20472349</v>
      </c>
      <c r="E614" t="s">
        <v>2324</v>
      </c>
      <c r="F614" t="s">
        <v>1001</v>
      </c>
      <c r="G614" t="s">
        <v>2248</v>
      </c>
      <c r="H614" t="s">
        <v>592</v>
      </c>
      <c r="I614" t="s">
        <v>1169</v>
      </c>
      <c r="J614" s="519">
        <v>46097</v>
      </c>
      <c r="K614" s="519">
        <v>46104</v>
      </c>
      <c r="L614" s="519">
        <v>46110</v>
      </c>
      <c r="M614" s="519">
        <v>46127</v>
      </c>
      <c r="N614" s="519">
        <v>46129</v>
      </c>
      <c r="P614" s="519">
        <v>46129</v>
      </c>
      <c r="Q614" s="519">
        <v>46129</v>
      </c>
      <c r="U614" s="519">
        <v>46129</v>
      </c>
    </row>
    <row r="615" spans="1:21">
      <c r="A615" t="s">
        <v>953</v>
      </c>
      <c r="B615" t="s">
        <v>7024</v>
      </c>
      <c r="C615" t="s">
        <v>953</v>
      </c>
      <c r="D615">
        <v>20509472</v>
      </c>
      <c r="E615" t="s">
        <v>2245</v>
      </c>
      <c r="F615" t="s">
        <v>984</v>
      </c>
      <c r="G615" t="s">
        <v>2246</v>
      </c>
      <c r="H615" t="s">
        <v>592</v>
      </c>
      <c r="J615" s="519">
        <v>46137</v>
      </c>
      <c r="U615" s="519">
        <v>46203</v>
      </c>
    </row>
    <row r="616" spans="1:21">
      <c r="A616" t="s">
        <v>953</v>
      </c>
      <c r="B616" t="s">
        <v>7025</v>
      </c>
      <c r="C616" t="s">
        <v>953</v>
      </c>
      <c r="D616">
        <v>20495340</v>
      </c>
      <c r="E616" t="s">
        <v>2245</v>
      </c>
      <c r="F616" t="s">
        <v>581</v>
      </c>
      <c r="G616" t="s">
        <v>2250</v>
      </c>
      <c r="H616" t="s">
        <v>592</v>
      </c>
      <c r="J616" s="519">
        <v>46126</v>
      </c>
      <c r="U616" s="519">
        <v>46143</v>
      </c>
    </row>
    <row r="617" spans="1:21">
      <c r="A617" t="s">
        <v>953</v>
      </c>
      <c r="B617" t="s">
        <v>3443</v>
      </c>
      <c r="C617" t="s">
        <v>953</v>
      </c>
      <c r="D617">
        <v>20417342</v>
      </c>
      <c r="E617" t="s">
        <v>2252</v>
      </c>
      <c r="F617" t="s">
        <v>578</v>
      </c>
      <c r="G617" t="s">
        <v>2250</v>
      </c>
      <c r="H617" t="s">
        <v>587</v>
      </c>
      <c r="I617" t="s">
        <v>1132</v>
      </c>
      <c r="J617" s="519">
        <v>46025</v>
      </c>
      <c r="K617" s="519">
        <v>46025</v>
      </c>
      <c r="R617" s="519">
        <v>46114</v>
      </c>
      <c r="U617" s="519">
        <v>46025</v>
      </c>
    </row>
    <row r="618" spans="1:21">
      <c r="A618" t="s">
        <v>953</v>
      </c>
      <c r="B618" t="s">
        <v>7026</v>
      </c>
      <c r="C618" t="s">
        <v>953</v>
      </c>
      <c r="D618">
        <v>20510632</v>
      </c>
      <c r="E618" t="s">
        <v>2245</v>
      </c>
      <c r="F618" t="s">
        <v>984</v>
      </c>
      <c r="G618" t="s">
        <v>2246</v>
      </c>
      <c r="H618" t="s">
        <v>592</v>
      </c>
      <c r="J618" s="519">
        <v>46139</v>
      </c>
      <c r="U618" s="519">
        <v>46140</v>
      </c>
    </row>
    <row r="619" spans="1:21">
      <c r="A619" t="s">
        <v>953</v>
      </c>
      <c r="B619" t="s">
        <v>7027</v>
      </c>
      <c r="C619" t="s">
        <v>953</v>
      </c>
      <c r="D619">
        <v>20500360</v>
      </c>
      <c r="E619" t="s">
        <v>2245</v>
      </c>
      <c r="F619" t="s">
        <v>984</v>
      </c>
      <c r="G619" t="s">
        <v>2290</v>
      </c>
      <c r="H619" t="s">
        <v>592</v>
      </c>
      <c r="J619" s="519">
        <v>46129</v>
      </c>
      <c r="U619" s="519">
        <v>46143</v>
      </c>
    </row>
    <row r="620" spans="1:21">
      <c r="A620" t="s">
        <v>953</v>
      </c>
      <c r="B620" t="s">
        <v>2942</v>
      </c>
      <c r="C620" t="s">
        <v>953</v>
      </c>
      <c r="D620">
        <v>20462211</v>
      </c>
      <c r="E620" t="s">
        <v>2258</v>
      </c>
      <c r="F620" t="s">
        <v>577</v>
      </c>
      <c r="G620" t="s">
        <v>1213</v>
      </c>
      <c r="H620" t="s">
        <v>591</v>
      </c>
      <c r="J620" s="519">
        <v>46085</v>
      </c>
      <c r="R620" s="519">
        <v>46114</v>
      </c>
      <c r="U620" s="519">
        <v>46085</v>
      </c>
    </row>
    <row r="621" spans="1:21">
      <c r="A621" t="s">
        <v>953</v>
      </c>
      <c r="B621" t="s">
        <v>3444</v>
      </c>
      <c r="C621" t="s">
        <v>953</v>
      </c>
      <c r="D621">
        <v>20437096</v>
      </c>
      <c r="E621" t="s">
        <v>2258</v>
      </c>
      <c r="F621" t="s">
        <v>581</v>
      </c>
      <c r="G621" t="s">
        <v>2259</v>
      </c>
      <c r="H621" t="s">
        <v>592</v>
      </c>
      <c r="J621" s="519">
        <v>46051</v>
      </c>
      <c r="R621" s="519">
        <v>46114</v>
      </c>
      <c r="U621" s="519">
        <v>46054</v>
      </c>
    </row>
    <row r="622" spans="1:21">
      <c r="A622" t="s">
        <v>953</v>
      </c>
      <c r="B622" t="s">
        <v>3445</v>
      </c>
      <c r="C622" t="s">
        <v>953</v>
      </c>
      <c r="D622">
        <v>20437847</v>
      </c>
      <c r="E622" t="s">
        <v>2258</v>
      </c>
      <c r="F622" t="s">
        <v>1001</v>
      </c>
      <c r="G622" t="s">
        <v>2248</v>
      </c>
      <c r="H622" t="s">
        <v>2361</v>
      </c>
      <c r="J622" s="519">
        <v>46052</v>
      </c>
      <c r="R622" s="519">
        <v>46114</v>
      </c>
      <c r="U622" s="519">
        <v>46052</v>
      </c>
    </row>
    <row r="623" spans="1:21">
      <c r="A623" t="s">
        <v>953</v>
      </c>
      <c r="B623" t="s">
        <v>2943</v>
      </c>
      <c r="C623" t="s">
        <v>953</v>
      </c>
      <c r="D623">
        <v>20460751</v>
      </c>
      <c r="E623" t="s">
        <v>2258</v>
      </c>
      <c r="F623" t="s">
        <v>581</v>
      </c>
      <c r="G623" t="s">
        <v>2259</v>
      </c>
      <c r="H623" t="s">
        <v>592</v>
      </c>
      <c r="J623" s="519">
        <v>46083</v>
      </c>
      <c r="R623" s="519">
        <v>46114</v>
      </c>
      <c r="U623" s="519">
        <v>46083</v>
      </c>
    </row>
    <row r="624" spans="1:21">
      <c r="A624" t="s">
        <v>953</v>
      </c>
      <c r="B624" t="s">
        <v>2426</v>
      </c>
      <c r="C624" t="s">
        <v>953</v>
      </c>
      <c r="D624">
        <v>20448431</v>
      </c>
      <c r="E624" t="s">
        <v>2252</v>
      </c>
      <c r="F624" t="s">
        <v>581</v>
      </c>
      <c r="G624" t="s">
        <v>2250</v>
      </c>
      <c r="H624" t="s">
        <v>592</v>
      </c>
      <c r="I624" t="s">
        <v>982</v>
      </c>
      <c r="J624" s="519">
        <v>46066</v>
      </c>
      <c r="K624" s="519">
        <v>46066</v>
      </c>
      <c r="R624" s="519">
        <v>46114</v>
      </c>
      <c r="U624" s="519">
        <v>46066</v>
      </c>
    </row>
    <row r="625" spans="1:21">
      <c r="A625" t="s">
        <v>953</v>
      </c>
      <c r="B625" t="s">
        <v>2427</v>
      </c>
      <c r="C625" t="s">
        <v>953</v>
      </c>
      <c r="D625">
        <v>20453300</v>
      </c>
      <c r="E625" t="s">
        <v>2258</v>
      </c>
      <c r="F625" t="s">
        <v>581</v>
      </c>
      <c r="G625" t="s">
        <v>2259</v>
      </c>
      <c r="H625" t="s">
        <v>2428</v>
      </c>
      <c r="J625" s="519">
        <v>46072</v>
      </c>
      <c r="R625" s="519">
        <v>46114</v>
      </c>
      <c r="U625" s="519">
        <v>46087</v>
      </c>
    </row>
    <row r="626" spans="1:21">
      <c r="A626" t="s">
        <v>953</v>
      </c>
      <c r="B626" t="s">
        <v>7028</v>
      </c>
      <c r="C626" t="s">
        <v>953</v>
      </c>
      <c r="D626">
        <v>20512173</v>
      </c>
      <c r="E626" t="s">
        <v>2245</v>
      </c>
      <c r="F626" t="s">
        <v>984</v>
      </c>
      <c r="G626" t="s">
        <v>2250</v>
      </c>
      <c r="H626" t="s">
        <v>2361</v>
      </c>
      <c r="J626" s="519">
        <v>46140</v>
      </c>
      <c r="U626" s="519">
        <v>46141</v>
      </c>
    </row>
    <row r="627" spans="1:21">
      <c r="A627" t="s">
        <v>953</v>
      </c>
      <c r="B627" t="s">
        <v>2944</v>
      </c>
      <c r="C627" t="s">
        <v>953</v>
      </c>
      <c r="D627">
        <v>20461090</v>
      </c>
      <c r="E627" t="s">
        <v>2252</v>
      </c>
      <c r="F627" t="s">
        <v>581</v>
      </c>
      <c r="G627" t="s">
        <v>2250</v>
      </c>
      <c r="H627" t="s">
        <v>587</v>
      </c>
      <c r="J627" s="519">
        <v>46084</v>
      </c>
      <c r="K627" s="519">
        <v>46084</v>
      </c>
      <c r="R627" s="519">
        <v>46114</v>
      </c>
      <c r="U627" s="519">
        <v>46084</v>
      </c>
    </row>
    <row r="628" spans="1:21">
      <c r="A628" t="s">
        <v>953</v>
      </c>
      <c r="B628" t="s">
        <v>2430</v>
      </c>
      <c r="C628" t="s">
        <v>953</v>
      </c>
      <c r="D628">
        <v>20453840</v>
      </c>
      <c r="E628" t="s">
        <v>2258</v>
      </c>
      <c r="F628" t="s">
        <v>984</v>
      </c>
      <c r="G628" t="s">
        <v>2290</v>
      </c>
      <c r="H628" t="s">
        <v>587</v>
      </c>
      <c r="J628" s="519">
        <v>46072</v>
      </c>
      <c r="R628" s="519">
        <v>46114</v>
      </c>
      <c r="U628" s="519">
        <v>46118</v>
      </c>
    </row>
    <row r="629" spans="1:21">
      <c r="A629" t="s">
        <v>953</v>
      </c>
      <c r="B629" t="s">
        <v>7029</v>
      </c>
      <c r="C629" t="s">
        <v>953</v>
      </c>
      <c r="D629">
        <v>20504922</v>
      </c>
      <c r="E629" t="s">
        <v>2245</v>
      </c>
      <c r="F629" t="s">
        <v>984</v>
      </c>
      <c r="G629" t="s">
        <v>2290</v>
      </c>
      <c r="H629" t="s">
        <v>592</v>
      </c>
      <c r="J629" s="519">
        <v>46133</v>
      </c>
      <c r="U629" s="519">
        <v>46174</v>
      </c>
    </row>
    <row r="630" spans="1:21">
      <c r="A630" t="s">
        <v>953</v>
      </c>
      <c r="B630" t="s">
        <v>7030</v>
      </c>
      <c r="C630" t="s">
        <v>953</v>
      </c>
      <c r="D630">
        <v>20510113</v>
      </c>
      <c r="E630" t="s">
        <v>2245</v>
      </c>
      <c r="F630" t="s">
        <v>984</v>
      </c>
      <c r="G630" t="s">
        <v>2250</v>
      </c>
      <c r="H630" t="s">
        <v>592</v>
      </c>
      <c r="J630" s="519">
        <v>46138</v>
      </c>
      <c r="U630" s="519">
        <v>46152</v>
      </c>
    </row>
    <row r="631" spans="1:21">
      <c r="A631" t="s">
        <v>953</v>
      </c>
      <c r="B631" t="s">
        <v>2433</v>
      </c>
      <c r="C631" t="s">
        <v>953</v>
      </c>
      <c r="D631">
        <v>20440444</v>
      </c>
      <c r="E631" t="s">
        <v>2258</v>
      </c>
      <c r="F631" t="s">
        <v>579</v>
      </c>
      <c r="G631" t="s">
        <v>2248</v>
      </c>
      <c r="H631" t="s">
        <v>591</v>
      </c>
      <c r="J631" s="519">
        <v>46056</v>
      </c>
      <c r="R631" s="519">
        <v>46114</v>
      </c>
      <c r="U631" s="519">
        <v>46056</v>
      </c>
    </row>
    <row r="632" spans="1:21">
      <c r="A632" t="s">
        <v>953</v>
      </c>
      <c r="B632" t="s">
        <v>2434</v>
      </c>
      <c r="C632" t="s">
        <v>953</v>
      </c>
      <c r="D632">
        <v>20453286</v>
      </c>
      <c r="E632" t="s">
        <v>2258</v>
      </c>
      <c r="F632" t="s">
        <v>579</v>
      </c>
      <c r="G632" t="s">
        <v>2259</v>
      </c>
      <c r="H632" t="s">
        <v>588</v>
      </c>
      <c r="J632" s="519">
        <v>46072</v>
      </c>
      <c r="R632" s="519">
        <v>46115</v>
      </c>
      <c r="U632" s="519">
        <v>46101</v>
      </c>
    </row>
    <row r="633" spans="1:21">
      <c r="A633" t="s">
        <v>953</v>
      </c>
      <c r="B633" t="s">
        <v>3446</v>
      </c>
      <c r="C633" t="s">
        <v>953</v>
      </c>
      <c r="D633">
        <v>20487462</v>
      </c>
      <c r="E633" t="s">
        <v>2245</v>
      </c>
      <c r="F633" t="s">
        <v>581</v>
      </c>
      <c r="G633" t="s">
        <v>2250</v>
      </c>
      <c r="H633" t="s">
        <v>592</v>
      </c>
      <c r="J633" s="519">
        <v>46117</v>
      </c>
      <c r="U633" s="519">
        <v>46137</v>
      </c>
    </row>
    <row r="634" spans="1:21">
      <c r="A634" t="s">
        <v>953</v>
      </c>
      <c r="B634" t="s">
        <v>2946</v>
      </c>
      <c r="C634" t="s">
        <v>953</v>
      </c>
      <c r="D634">
        <v>20460526</v>
      </c>
      <c r="E634" t="s">
        <v>2258</v>
      </c>
      <c r="F634" t="s">
        <v>984</v>
      </c>
      <c r="G634" t="s">
        <v>2246</v>
      </c>
      <c r="H634" t="s">
        <v>587</v>
      </c>
      <c r="J634" s="519">
        <v>46083</v>
      </c>
      <c r="R634" s="519">
        <v>46114</v>
      </c>
      <c r="U634" s="519">
        <v>46116</v>
      </c>
    </row>
    <row r="635" spans="1:21">
      <c r="A635" t="s">
        <v>953</v>
      </c>
      <c r="B635" t="s">
        <v>2435</v>
      </c>
      <c r="C635" t="s">
        <v>953</v>
      </c>
      <c r="D635">
        <v>20449432</v>
      </c>
      <c r="E635" t="s">
        <v>2258</v>
      </c>
      <c r="F635" t="s">
        <v>984</v>
      </c>
      <c r="G635" t="s">
        <v>1213</v>
      </c>
      <c r="H635" t="s">
        <v>587</v>
      </c>
      <c r="J635" s="519">
        <v>46068</v>
      </c>
      <c r="R635" s="519">
        <v>46114</v>
      </c>
      <c r="U635" s="519">
        <v>46237</v>
      </c>
    </row>
    <row r="636" spans="1:21">
      <c r="A636" t="s">
        <v>953</v>
      </c>
      <c r="B636" t="s">
        <v>2436</v>
      </c>
      <c r="C636" t="s">
        <v>953</v>
      </c>
      <c r="D636">
        <v>20443361</v>
      </c>
      <c r="E636" t="s">
        <v>2258</v>
      </c>
      <c r="F636" t="s">
        <v>581</v>
      </c>
      <c r="G636" t="s">
        <v>2246</v>
      </c>
      <c r="H636" t="s">
        <v>587</v>
      </c>
      <c r="J636" s="519">
        <v>46061</v>
      </c>
      <c r="R636" s="519">
        <v>46114</v>
      </c>
      <c r="U636" s="519">
        <v>46157</v>
      </c>
    </row>
    <row r="637" spans="1:21">
      <c r="A637" t="s">
        <v>953</v>
      </c>
      <c r="B637" t="s">
        <v>3447</v>
      </c>
      <c r="C637" t="s">
        <v>953</v>
      </c>
      <c r="D637">
        <v>20412297</v>
      </c>
      <c r="E637" t="s">
        <v>2258</v>
      </c>
      <c r="F637" t="s">
        <v>581</v>
      </c>
      <c r="G637" t="s">
        <v>2259</v>
      </c>
      <c r="H637" t="s">
        <v>592</v>
      </c>
      <c r="J637" s="519">
        <v>46015</v>
      </c>
      <c r="R637" s="519">
        <v>46114</v>
      </c>
      <c r="U637" s="519">
        <v>46022</v>
      </c>
    </row>
    <row r="638" spans="1:21">
      <c r="A638" t="s">
        <v>953</v>
      </c>
      <c r="B638" t="s">
        <v>7031</v>
      </c>
      <c r="C638" t="s">
        <v>953</v>
      </c>
      <c r="D638">
        <v>20508372</v>
      </c>
      <c r="E638" t="s">
        <v>2245</v>
      </c>
      <c r="F638" t="s">
        <v>1001</v>
      </c>
      <c r="G638" t="s">
        <v>2248</v>
      </c>
      <c r="H638" t="s">
        <v>588</v>
      </c>
      <c r="J638" s="519">
        <v>46135</v>
      </c>
      <c r="U638" s="519">
        <v>46174</v>
      </c>
    </row>
    <row r="639" spans="1:21">
      <c r="A639" t="s">
        <v>953</v>
      </c>
      <c r="B639" t="s">
        <v>2947</v>
      </c>
      <c r="C639" t="s">
        <v>953</v>
      </c>
      <c r="D639">
        <v>20479316</v>
      </c>
      <c r="E639" t="s">
        <v>2258</v>
      </c>
      <c r="F639" t="s">
        <v>984</v>
      </c>
      <c r="G639" t="s">
        <v>2250</v>
      </c>
      <c r="H639" t="s">
        <v>592</v>
      </c>
      <c r="J639" s="519">
        <v>46105</v>
      </c>
      <c r="R639" s="519">
        <v>46114</v>
      </c>
      <c r="U639" s="519">
        <v>46113</v>
      </c>
    </row>
    <row r="640" spans="1:21">
      <c r="A640" t="s">
        <v>953</v>
      </c>
      <c r="B640" t="s">
        <v>2437</v>
      </c>
      <c r="C640" t="s">
        <v>953</v>
      </c>
      <c r="D640">
        <v>20458166</v>
      </c>
      <c r="E640" t="s">
        <v>2252</v>
      </c>
      <c r="F640" t="s">
        <v>582</v>
      </c>
      <c r="G640" t="s">
        <v>2250</v>
      </c>
      <c r="H640" t="s">
        <v>587</v>
      </c>
      <c r="J640" s="519">
        <v>46079</v>
      </c>
      <c r="K640" s="519">
        <v>46079</v>
      </c>
      <c r="R640" s="519">
        <v>46114</v>
      </c>
      <c r="U640" s="519">
        <v>46079</v>
      </c>
    </row>
    <row r="641" spans="1:21">
      <c r="A641" t="s">
        <v>953</v>
      </c>
      <c r="B641" t="s">
        <v>3448</v>
      </c>
      <c r="C641" t="s">
        <v>953</v>
      </c>
      <c r="D641">
        <v>20432661</v>
      </c>
      <c r="E641" t="s">
        <v>2258</v>
      </c>
      <c r="F641" t="s">
        <v>579</v>
      </c>
      <c r="G641" t="s">
        <v>2248</v>
      </c>
      <c r="H641" t="s">
        <v>588</v>
      </c>
      <c r="J641" s="519">
        <v>46044</v>
      </c>
      <c r="R641" s="519">
        <v>46114</v>
      </c>
      <c r="U641" s="519">
        <v>46044</v>
      </c>
    </row>
    <row r="642" spans="1:21">
      <c r="A642" t="s">
        <v>953</v>
      </c>
      <c r="B642" t="s">
        <v>7032</v>
      </c>
      <c r="C642" t="s">
        <v>953</v>
      </c>
      <c r="D642">
        <v>20506972</v>
      </c>
      <c r="E642" t="s">
        <v>2245</v>
      </c>
      <c r="F642" t="s">
        <v>984</v>
      </c>
      <c r="G642" t="s">
        <v>2250</v>
      </c>
      <c r="H642" t="s">
        <v>592</v>
      </c>
      <c r="J642" s="519">
        <v>46134</v>
      </c>
      <c r="U642" s="519">
        <v>46194</v>
      </c>
    </row>
    <row r="643" spans="1:21">
      <c r="A643" t="s">
        <v>953</v>
      </c>
      <c r="B643" t="s">
        <v>2438</v>
      </c>
      <c r="C643" t="s">
        <v>953</v>
      </c>
      <c r="D643">
        <v>20446907</v>
      </c>
      <c r="E643" t="s">
        <v>2258</v>
      </c>
      <c r="F643" t="s">
        <v>984</v>
      </c>
      <c r="G643" t="s">
        <v>1213</v>
      </c>
      <c r="H643" t="s">
        <v>587</v>
      </c>
      <c r="J643" s="519">
        <v>46064</v>
      </c>
      <c r="R643" s="519">
        <v>46114</v>
      </c>
      <c r="U643" s="519">
        <v>46083</v>
      </c>
    </row>
    <row r="644" spans="1:21">
      <c r="A644" t="s">
        <v>953</v>
      </c>
      <c r="B644" t="s">
        <v>3449</v>
      </c>
      <c r="C644" t="s">
        <v>953</v>
      </c>
      <c r="D644">
        <v>20490436</v>
      </c>
      <c r="E644" t="s">
        <v>2258</v>
      </c>
      <c r="F644" t="s">
        <v>581</v>
      </c>
      <c r="G644" t="s">
        <v>2250</v>
      </c>
      <c r="H644" t="s">
        <v>592</v>
      </c>
      <c r="J644" s="519">
        <v>46120</v>
      </c>
      <c r="R644" s="519">
        <v>46139</v>
      </c>
      <c r="U644" s="519">
        <v>46134</v>
      </c>
    </row>
    <row r="645" spans="1:21">
      <c r="A645" t="s">
        <v>953</v>
      </c>
      <c r="B645" t="s">
        <v>3450</v>
      </c>
      <c r="C645" t="s">
        <v>953</v>
      </c>
      <c r="D645">
        <v>20491138</v>
      </c>
      <c r="E645" t="s">
        <v>2258</v>
      </c>
      <c r="F645" t="s">
        <v>581</v>
      </c>
      <c r="G645" t="s">
        <v>2250</v>
      </c>
      <c r="H645" t="s">
        <v>592</v>
      </c>
      <c r="J645" s="519">
        <v>46121</v>
      </c>
      <c r="R645" s="519">
        <v>46139</v>
      </c>
      <c r="U645" s="519">
        <v>46167</v>
      </c>
    </row>
    <row r="646" spans="1:21">
      <c r="A646" t="s">
        <v>953</v>
      </c>
      <c r="B646" t="s">
        <v>2949</v>
      </c>
      <c r="C646" t="s">
        <v>953</v>
      </c>
      <c r="D646">
        <v>20480495</v>
      </c>
      <c r="E646" t="s">
        <v>2258</v>
      </c>
      <c r="F646" t="s">
        <v>577</v>
      </c>
      <c r="G646" t="s">
        <v>2250</v>
      </c>
      <c r="H646" t="s">
        <v>592</v>
      </c>
      <c r="I646" t="s">
        <v>1034</v>
      </c>
      <c r="J646" s="519">
        <v>46107</v>
      </c>
      <c r="R646" s="519">
        <v>46116</v>
      </c>
      <c r="U646" s="519">
        <v>46447</v>
      </c>
    </row>
    <row r="647" spans="1:21">
      <c r="A647" t="s">
        <v>953</v>
      </c>
      <c r="B647" t="s">
        <v>7033</v>
      </c>
      <c r="C647" t="s">
        <v>953</v>
      </c>
      <c r="D647">
        <v>20509120</v>
      </c>
      <c r="E647" t="s">
        <v>2245</v>
      </c>
      <c r="F647" t="s">
        <v>581</v>
      </c>
      <c r="G647" t="s">
        <v>1213</v>
      </c>
      <c r="H647" t="s">
        <v>589</v>
      </c>
      <c r="J647" s="519">
        <v>46136</v>
      </c>
      <c r="U647" s="519">
        <v>46266</v>
      </c>
    </row>
    <row r="648" spans="1:21">
      <c r="A648" t="s">
        <v>953</v>
      </c>
      <c r="B648" t="s">
        <v>3451</v>
      </c>
      <c r="C648" t="s">
        <v>953</v>
      </c>
      <c r="D648">
        <v>20490620</v>
      </c>
      <c r="E648" t="s">
        <v>1100</v>
      </c>
      <c r="F648" t="s">
        <v>984</v>
      </c>
      <c r="G648" t="s">
        <v>2250</v>
      </c>
      <c r="H648" t="s">
        <v>592</v>
      </c>
      <c r="J648" s="519">
        <v>46121</v>
      </c>
      <c r="K648" s="519">
        <v>46132</v>
      </c>
      <c r="U648" s="519">
        <v>46333</v>
      </c>
    </row>
    <row r="649" spans="1:21">
      <c r="A649" t="s">
        <v>953</v>
      </c>
      <c r="B649" t="s">
        <v>3451</v>
      </c>
      <c r="C649" t="s">
        <v>953</v>
      </c>
      <c r="D649">
        <v>20503002</v>
      </c>
      <c r="E649" t="s">
        <v>1100</v>
      </c>
      <c r="F649" t="s">
        <v>1001</v>
      </c>
      <c r="G649" t="s">
        <v>2250</v>
      </c>
      <c r="H649" t="s">
        <v>587</v>
      </c>
      <c r="J649" s="519">
        <v>46132</v>
      </c>
      <c r="K649" s="519">
        <v>46132</v>
      </c>
      <c r="U649" s="519">
        <v>46174</v>
      </c>
    </row>
    <row r="650" spans="1:21">
      <c r="A650" t="s">
        <v>953</v>
      </c>
      <c r="B650" t="s">
        <v>2950</v>
      </c>
      <c r="C650" t="s">
        <v>953</v>
      </c>
      <c r="D650">
        <v>20476234</v>
      </c>
      <c r="E650" t="s">
        <v>2258</v>
      </c>
      <c r="F650" t="s">
        <v>1001</v>
      </c>
      <c r="G650" t="s">
        <v>2259</v>
      </c>
      <c r="H650" t="s">
        <v>2388</v>
      </c>
      <c r="J650" s="519">
        <v>46100</v>
      </c>
      <c r="R650" s="519">
        <v>46114</v>
      </c>
      <c r="U650" s="519">
        <v>46116</v>
      </c>
    </row>
    <row r="651" spans="1:21">
      <c r="A651" t="s">
        <v>953</v>
      </c>
      <c r="B651" t="s">
        <v>7034</v>
      </c>
      <c r="C651" t="s">
        <v>953</v>
      </c>
      <c r="D651">
        <v>20507611</v>
      </c>
      <c r="E651" t="s">
        <v>2245</v>
      </c>
      <c r="F651" t="s">
        <v>984</v>
      </c>
      <c r="G651" t="s">
        <v>2250</v>
      </c>
      <c r="H651" t="s">
        <v>2361</v>
      </c>
      <c r="J651" s="519">
        <v>46135</v>
      </c>
      <c r="U651" s="519">
        <v>46136</v>
      </c>
    </row>
    <row r="652" spans="1:21">
      <c r="A652" t="s">
        <v>953</v>
      </c>
      <c r="B652" t="s">
        <v>2951</v>
      </c>
      <c r="C652" t="s">
        <v>953</v>
      </c>
      <c r="D652">
        <v>20480409</v>
      </c>
      <c r="E652" t="s">
        <v>2258</v>
      </c>
      <c r="F652" t="s">
        <v>581</v>
      </c>
      <c r="G652" t="s">
        <v>2250</v>
      </c>
      <c r="H652" t="s">
        <v>592</v>
      </c>
      <c r="J652" s="519">
        <v>46107</v>
      </c>
      <c r="R652" s="519">
        <v>46114</v>
      </c>
      <c r="U652" s="519">
        <v>46108</v>
      </c>
    </row>
    <row r="653" spans="1:21">
      <c r="A653" t="s">
        <v>953</v>
      </c>
      <c r="B653" t="s">
        <v>7035</v>
      </c>
      <c r="C653" t="s">
        <v>953</v>
      </c>
      <c r="D653">
        <v>20499182</v>
      </c>
      <c r="E653" t="s">
        <v>2245</v>
      </c>
      <c r="F653" t="s">
        <v>984</v>
      </c>
      <c r="G653" t="s">
        <v>2290</v>
      </c>
      <c r="H653" t="s">
        <v>592</v>
      </c>
      <c r="J653" s="519">
        <v>46129</v>
      </c>
      <c r="U653" s="519">
        <v>46179</v>
      </c>
    </row>
    <row r="654" spans="1:21">
      <c r="A654" t="s">
        <v>953</v>
      </c>
      <c r="B654" t="s">
        <v>2952</v>
      </c>
      <c r="C654" t="s">
        <v>953</v>
      </c>
      <c r="D654">
        <v>20478793</v>
      </c>
      <c r="E654" t="s">
        <v>2258</v>
      </c>
      <c r="F654" t="s">
        <v>984</v>
      </c>
      <c r="G654" t="s">
        <v>2250</v>
      </c>
      <c r="H654" t="s">
        <v>592</v>
      </c>
      <c r="J654" s="519">
        <v>46105</v>
      </c>
      <c r="R654" s="519">
        <v>46114</v>
      </c>
      <c r="U654" s="519">
        <v>46113</v>
      </c>
    </row>
    <row r="655" spans="1:21">
      <c r="A655" t="s">
        <v>953</v>
      </c>
      <c r="B655" t="s">
        <v>2953</v>
      </c>
      <c r="C655" t="s">
        <v>953</v>
      </c>
      <c r="D655">
        <v>20472068</v>
      </c>
      <c r="E655" t="s">
        <v>2258</v>
      </c>
      <c r="F655" t="s">
        <v>581</v>
      </c>
      <c r="G655" t="s">
        <v>2246</v>
      </c>
      <c r="H655" t="s">
        <v>587</v>
      </c>
      <c r="J655" s="519">
        <v>46096</v>
      </c>
      <c r="R655" s="519">
        <v>46114</v>
      </c>
      <c r="U655" s="519">
        <v>46113</v>
      </c>
    </row>
    <row r="656" spans="1:21">
      <c r="A656" t="s">
        <v>953</v>
      </c>
      <c r="B656" t="s">
        <v>2439</v>
      </c>
      <c r="C656" t="s">
        <v>953</v>
      </c>
      <c r="D656">
        <v>20448297</v>
      </c>
      <c r="E656" t="s">
        <v>2258</v>
      </c>
      <c r="F656" t="s">
        <v>581</v>
      </c>
      <c r="G656" t="s">
        <v>2259</v>
      </c>
      <c r="H656" t="s">
        <v>2388</v>
      </c>
      <c r="J656" s="519">
        <v>46066</v>
      </c>
      <c r="R656" s="519">
        <v>46114</v>
      </c>
      <c r="U656" s="519">
        <v>46066</v>
      </c>
    </row>
    <row r="657" spans="1:21">
      <c r="A657" t="s">
        <v>953</v>
      </c>
      <c r="B657" t="s">
        <v>2954</v>
      </c>
      <c r="C657" t="s">
        <v>953</v>
      </c>
      <c r="D657">
        <v>20479321</v>
      </c>
      <c r="E657" t="s">
        <v>2258</v>
      </c>
      <c r="F657" t="s">
        <v>581</v>
      </c>
      <c r="G657" t="s">
        <v>2246</v>
      </c>
      <c r="H657" t="s">
        <v>588</v>
      </c>
      <c r="J657" s="519">
        <v>46105</v>
      </c>
      <c r="R657" s="519">
        <v>46114</v>
      </c>
      <c r="U657" s="519">
        <v>46105</v>
      </c>
    </row>
    <row r="658" spans="1:21">
      <c r="A658" t="s">
        <v>953</v>
      </c>
      <c r="B658" t="s">
        <v>2955</v>
      </c>
      <c r="C658" t="s">
        <v>953</v>
      </c>
      <c r="D658">
        <v>20461497</v>
      </c>
      <c r="E658" t="s">
        <v>2258</v>
      </c>
      <c r="F658" t="s">
        <v>984</v>
      </c>
      <c r="G658" t="s">
        <v>2246</v>
      </c>
      <c r="H658" t="s">
        <v>588</v>
      </c>
      <c r="J658" s="519">
        <v>46084</v>
      </c>
      <c r="R658" s="519">
        <v>46114</v>
      </c>
      <c r="U658" s="519">
        <v>46115</v>
      </c>
    </row>
    <row r="659" spans="1:21">
      <c r="A659" t="s">
        <v>953</v>
      </c>
      <c r="B659" t="s">
        <v>3452</v>
      </c>
      <c r="C659" t="s">
        <v>953</v>
      </c>
      <c r="D659">
        <v>20418287</v>
      </c>
      <c r="E659" t="s">
        <v>2252</v>
      </c>
      <c r="F659" t="s">
        <v>1001</v>
      </c>
      <c r="G659" t="s">
        <v>2250</v>
      </c>
      <c r="H659" t="s">
        <v>587</v>
      </c>
      <c r="J659" s="519">
        <v>46027</v>
      </c>
      <c r="K659" s="519">
        <v>46027</v>
      </c>
      <c r="R659" s="519">
        <v>46114</v>
      </c>
      <c r="U659" s="519">
        <v>46027</v>
      </c>
    </row>
    <row r="660" spans="1:21">
      <c r="A660" t="s">
        <v>953</v>
      </c>
      <c r="B660" t="s">
        <v>3453</v>
      </c>
      <c r="C660" t="s">
        <v>953</v>
      </c>
      <c r="D660">
        <v>20409979</v>
      </c>
      <c r="E660" t="s">
        <v>2258</v>
      </c>
      <c r="F660" t="s">
        <v>578</v>
      </c>
      <c r="G660" t="s">
        <v>2248</v>
      </c>
      <c r="H660" t="s">
        <v>588</v>
      </c>
      <c r="J660" s="519">
        <v>46010</v>
      </c>
      <c r="R660" s="519">
        <v>46114</v>
      </c>
      <c r="U660" s="519">
        <v>46085</v>
      </c>
    </row>
    <row r="661" spans="1:21">
      <c r="A661" t="s">
        <v>953</v>
      </c>
      <c r="B661" t="s">
        <v>2440</v>
      </c>
      <c r="C661" t="s">
        <v>953</v>
      </c>
      <c r="D661">
        <v>20441592</v>
      </c>
      <c r="E661" t="s">
        <v>2258</v>
      </c>
      <c r="F661" t="s">
        <v>581</v>
      </c>
      <c r="G661" t="s">
        <v>2259</v>
      </c>
      <c r="H661" t="s">
        <v>593</v>
      </c>
      <c r="J661" s="519">
        <v>46058</v>
      </c>
      <c r="R661" s="519">
        <v>46114</v>
      </c>
      <c r="U661" s="519">
        <v>46112</v>
      </c>
    </row>
    <row r="662" spans="1:21">
      <c r="A662" t="s">
        <v>953</v>
      </c>
      <c r="B662" t="s">
        <v>7036</v>
      </c>
      <c r="C662" t="s">
        <v>953</v>
      </c>
      <c r="D662">
        <v>20498307</v>
      </c>
      <c r="E662" t="s">
        <v>2258</v>
      </c>
      <c r="F662" t="s">
        <v>3440</v>
      </c>
      <c r="G662" t="s">
        <v>2248</v>
      </c>
      <c r="H662" t="s">
        <v>588</v>
      </c>
      <c r="J662" s="519">
        <v>46128</v>
      </c>
      <c r="K662" s="519">
        <v>46128</v>
      </c>
      <c r="R662" s="519">
        <v>46130</v>
      </c>
      <c r="U662" s="519">
        <v>46158</v>
      </c>
    </row>
    <row r="663" spans="1:21">
      <c r="A663" t="s">
        <v>953</v>
      </c>
      <c r="B663" t="s">
        <v>7036</v>
      </c>
      <c r="C663" t="s">
        <v>953</v>
      </c>
      <c r="D663">
        <v>20498331</v>
      </c>
      <c r="E663" t="s">
        <v>2252</v>
      </c>
      <c r="F663" t="s">
        <v>3440</v>
      </c>
      <c r="G663" t="s">
        <v>2250</v>
      </c>
      <c r="H663" t="s">
        <v>587</v>
      </c>
      <c r="I663" t="s">
        <v>1037</v>
      </c>
      <c r="J663" s="519">
        <v>46128</v>
      </c>
      <c r="K663" s="519">
        <v>46128</v>
      </c>
      <c r="L663" s="519">
        <v>46128</v>
      </c>
      <c r="R663" s="519">
        <v>46135</v>
      </c>
      <c r="U663" s="519">
        <v>46158</v>
      </c>
    </row>
    <row r="664" spans="1:21">
      <c r="A664" t="s">
        <v>953</v>
      </c>
      <c r="B664" t="s">
        <v>7037</v>
      </c>
      <c r="C664" t="s">
        <v>953</v>
      </c>
      <c r="D664">
        <v>20493193</v>
      </c>
      <c r="E664" t="s">
        <v>2258</v>
      </c>
      <c r="F664" t="s">
        <v>581</v>
      </c>
      <c r="G664" t="s">
        <v>2248</v>
      </c>
      <c r="H664" t="s">
        <v>587</v>
      </c>
      <c r="I664" t="s">
        <v>2487</v>
      </c>
      <c r="J664" s="519">
        <v>46125</v>
      </c>
      <c r="R664" s="519">
        <v>46130</v>
      </c>
      <c r="U664" s="519">
        <v>46136</v>
      </c>
    </row>
    <row r="665" spans="1:21">
      <c r="A665" t="s">
        <v>953</v>
      </c>
      <c r="B665" t="s">
        <v>2441</v>
      </c>
      <c r="C665" t="s">
        <v>953</v>
      </c>
      <c r="D665">
        <v>20448539</v>
      </c>
      <c r="E665" t="s">
        <v>2258</v>
      </c>
      <c r="F665" t="s">
        <v>581</v>
      </c>
      <c r="G665" t="s">
        <v>2246</v>
      </c>
      <c r="H665" t="s">
        <v>591</v>
      </c>
      <c r="J665" s="519">
        <v>46066</v>
      </c>
      <c r="R665" s="519">
        <v>46114</v>
      </c>
      <c r="U665" s="519">
        <v>46113</v>
      </c>
    </row>
    <row r="666" spans="1:21">
      <c r="A666" t="s">
        <v>953</v>
      </c>
      <c r="B666" t="s">
        <v>2442</v>
      </c>
      <c r="C666" t="s">
        <v>953</v>
      </c>
      <c r="D666">
        <v>20443511</v>
      </c>
      <c r="E666" t="s">
        <v>2252</v>
      </c>
      <c r="F666" t="s">
        <v>1001</v>
      </c>
      <c r="G666" t="s">
        <v>2259</v>
      </c>
      <c r="H666" t="s">
        <v>592</v>
      </c>
      <c r="J666" s="519">
        <v>46062</v>
      </c>
      <c r="K666" s="519">
        <v>46062</v>
      </c>
      <c r="R666" s="519">
        <v>46114</v>
      </c>
      <c r="U666" s="519">
        <v>46062</v>
      </c>
    </row>
    <row r="667" spans="1:21">
      <c r="A667" t="s">
        <v>953</v>
      </c>
      <c r="B667" t="s">
        <v>2442</v>
      </c>
      <c r="C667" t="s">
        <v>953</v>
      </c>
      <c r="D667">
        <v>20443523</v>
      </c>
      <c r="E667" t="s">
        <v>2252</v>
      </c>
      <c r="F667" t="s">
        <v>579</v>
      </c>
      <c r="G667" t="s">
        <v>2250</v>
      </c>
      <c r="H667" t="s">
        <v>587</v>
      </c>
      <c r="J667" s="519">
        <v>46062</v>
      </c>
      <c r="K667" s="519">
        <v>46062</v>
      </c>
      <c r="R667" s="519">
        <v>46114</v>
      </c>
      <c r="U667" s="519">
        <v>46062</v>
      </c>
    </row>
    <row r="668" spans="1:21">
      <c r="A668" t="s">
        <v>953</v>
      </c>
      <c r="B668" t="s">
        <v>7038</v>
      </c>
      <c r="C668" t="s">
        <v>953</v>
      </c>
      <c r="D668">
        <v>20512356</v>
      </c>
      <c r="E668" t="s">
        <v>2245</v>
      </c>
      <c r="F668" t="s">
        <v>581</v>
      </c>
      <c r="G668" t="s">
        <v>1213</v>
      </c>
      <c r="H668" t="s">
        <v>587</v>
      </c>
      <c r="J668" s="519">
        <v>46140</v>
      </c>
      <c r="U668" s="519">
        <v>46140</v>
      </c>
    </row>
    <row r="669" spans="1:21">
      <c r="A669" t="s">
        <v>953</v>
      </c>
      <c r="B669" t="s">
        <v>2958</v>
      </c>
      <c r="C669" t="s">
        <v>953</v>
      </c>
      <c r="D669">
        <v>20480119</v>
      </c>
      <c r="E669" t="s">
        <v>2258</v>
      </c>
      <c r="F669" t="s">
        <v>984</v>
      </c>
      <c r="G669" t="s">
        <v>2250</v>
      </c>
      <c r="H669" t="s">
        <v>592</v>
      </c>
      <c r="J669" s="519">
        <v>46106</v>
      </c>
      <c r="R669" s="519">
        <v>46114</v>
      </c>
      <c r="U669" s="519">
        <v>46143</v>
      </c>
    </row>
    <row r="670" spans="1:21">
      <c r="A670" t="s">
        <v>953</v>
      </c>
      <c r="B670" t="s">
        <v>2443</v>
      </c>
      <c r="C670" t="s">
        <v>953</v>
      </c>
      <c r="D670">
        <v>20457540</v>
      </c>
      <c r="E670" t="s">
        <v>2258</v>
      </c>
      <c r="F670" t="s">
        <v>577</v>
      </c>
      <c r="G670" t="s">
        <v>2248</v>
      </c>
      <c r="H670" t="s">
        <v>588</v>
      </c>
      <c r="J670" s="519">
        <v>46078</v>
      </c>
      <c r="R670" s="519">
        <v>46114</v>
      </c>
      <c r="U670" s="519">
        <v>46078</v>
      </c>
    </row>
    <row r="671" spans="1:21">
      <c r="A671" t="s">
        <v>953</v>
      </c>
      <c r="B671" t="s">
        <v>3454</v>
      </c>
      <c r="C671" t="s">
        <v>953</v>
      </c>
      <c r="D671">
        <v>20493600</v>
      </c>
      <c r="E671" t="s">
        <v>2258</v>
      </c>
      <c r="F671" t="s">
        <v>581</v>
      </c>
      <c r="G671" t="s">
        <v>2250</v>
      </c>
      <c r="H671" t="s">
        <v>592</v>
      </c>
      <c r="J671" s="519">
        <v>46125</v>
      </c>
      <c r="R671" s="519">
        <v>46139</v>
      </c>
      <c r="U671" s="519">
        <v>46132</v>
      </c>
    </row>
    <row r="672" spans="1:21">
      <c r="A672" t="s">
        <v>953</v>
      </c>
      <c r="B672" t="s">
        <v>7039</v>
      </c>
      <c r="C672" t="s">
        <v>953</v>
      </c>
      <c r="D672">
        <v>20428399</v>
      </c>
      <c r="E672" t="s">
        <v>2258</v>
      </c>
      <c r="F672" t="s">
        <v>581</v>
      </c>
      <c r="G672" t="s">
        <v>2290</v>
      </c>
      <c r="H672" t="s">
        <v>587</v>
      </c>
      <c r="J672" s="519">
        <v>46037</v>
      </c>
      <c r="R672" s="519">
        <v>46139</v>
      </c>
      <c r="U672" s="519">
        <v>46037</v>
      </c>
    </row>
    <row r="673" spans="1:21">
      <c r="A673" t="s">
        <v>953</v>
      </c>
      <c r="B673" t="s">
        <v>7040</v>
      </c>
      <c r="C673" t="s">
        <v>953</v>
      </c>
      <c r="D673">
        <v>20497217</v>
      </c>
      <c r="E673" t="s">
        <v>1100</v>
      </c>
      <c r="F673" t="s">
        <v>582</v>
      </c>
      <c r="G673" t="s">
        <v>2250</v>
      </c>
      <c r="H673" t="s">
        <v>587</v>
      </c>
      <c r="I673" t="s">
        <v>1106</v>
      </c>
      <c r="J673" s="519">
        <v>46128</v>
      </c>
      <c r="K673" s="519">
        <v>46128</v>
      </c>
      <c r="U673" s="519">
        <v>46144</v>
      </c>
    </row>
    <row r="674" spans="1:21">
      <c r="A674" t="s">
        <v>953</v>
      </c>
      <c r="B674" t="s">
        <v>2959</v>
      </c>
      <c r="C674" t="s">
        <v>953</v>
      </c>
      <c r="D674">
        <v>20465460</v>
      </c>
      <c r="E674" t="s">
        <v>2258</v>
      </c>
      <c r="F674" t="s">
        <v>581</v>
      </c>
      <c r="G674" t="s">
        <v>2259</v>
      </c>
      <c r="H674" t="s">
        <v>592</v>
      </c>
      <c r="J674" s="519">
        <v>46090</v>
      </c>
      <c r="R674" s="519">
        <v>46114</v>
      </c>
      <c r="U674" s="519">
        <v>46090</v>
      </c>
    </row>
    <row r="675" spans="1:21">
      <c r="A675" t="s">
        <v>953</v>
      </c>
      <c r="B675" t="s">
        <v>7041</v>
      </c>
      <c r="C675" t="s">
        <v>953</v>
      </c>
      <c r="D675">
        <v>20507837</v>
      </c>
      <c r="E675" t="s">
        <v>2252</v>
      </c>
      <c r="F675" t="s">
        <v>578</v>
      </c>
      <c r="G675" t="s">
        <v>2250</v>
      </c>
      <c r="H675" t="s">
        <v>587</v>
      </c>
      <c r="I675" t="s">
        <v>1739</v>
      </c>
      <c r="J675" s="519">
        <v>46135</v>
      </c>
      <c r="K675" s="519">
        <v>46135</v>
      </c>
      <c r="R675" s="519">
        <v>46137</v>
      </c>
      <c r="U675" s="519">
        <v>46135</v>
      </c>
    </row>
    <row r="676" spans="1:21">
      <c r="A676" t="s">
        <v>953</v>
      </c>
      <c r="B676" t="s">
        <v>7041</v>
      </c>
      <c r="C676" t="s">
        <v>953</v>
      </c>
      <c r="D676">
        <v>20505687</v>
      </c>
      <c r="E676" t="s">
        <v>1100</v>
      </c>
      <c r="F676" t="s">
        <v>984</v>
      </c>
      <c r="G676" t="s">
        <v>2290</v>
      </c>
      <c r="H676" t="s">
        <v>592</v>
      </c>
      <c r="I676" t="s">
        <v>1020</v>
      </c>
      <c r="J676" s="519">
        <v>46134</v>
      </c>
      <c r="K676" s="519">
        <v>46135</v>
      </c>
      <c r="U676" s="519">
        <v>46146</v>
      </c>
    </row>
    <row r="677" spans="1:21">
      <c r="A677" t="s">
        <v>953</v>
      </c>
      <c r="B677" t="s">
        <v>7042</v>
      </c>
      <c r="C677" t="s">
        <v>953</v>
      </c>
      <c r="D677">
        <v>20510689</v>
      </c>
      <c r="E677" t="s">
        <v>1100</v>
      </c>
      <c r="F677" t="s">
        <v>1115</v>
      </c>
      <c r="G677" t="s">
        <v>2250</v>
      </c>
      <c r="H677" t="s">
        <v>587</v>
      </c>
      <c r="I677" t="s">
        <v>1154</v>
      </c>
      <c r="J677" s="519">
        <v>46139</v>
      </c>
      <c r="K677" s="519">
        <v>46139</v>
      </c>
      <c r="U677" s="519">
        <v>46139</v>
      </c>
    </row>
    <row r="678" spans="1:21">
      <c r="A678" t="s">
        <v>953</v>
      </c>
      <c r="B678" t="s">
        <v>3455</v>
      </c>
      <c r="C678" t="s">
        <v>953</v>
      </c>
      <c r="D678">
        <v>20410647</v>
      </c>
      <c r="E678" t="s">
        <v>2258</v>
      </c>
      <c r="F678" t="s">
        <v>984</v>
      </c>
      <c r="G678" t="s">
        <v>2259</v>
      </c>
      <c r="H678" t="s">
        <v>592</v>
      </c>
      <c r="J678" s="519">
        <v>46011</v>
      </c>
      <c r="R678" s="519">
        <v>46114</v>
      </c>
      <c r="U678" s="519">
        <v>46011</v>
      </c>
    </row>
    <row r="679" spans="1:21">
      <c r="A679" t="s">
        <v>953</v>
      </c>
      <c r="B679" t="s">
        <v>3456</v>
      </c>
      <c r="C679" t="s">
        <v>953</v>
      </c>
      <c r="D679">
        <v>20418683</v>
      </c>
      <c r="E679" t="s">
        <v>2258</v>
      </c>
      <c r="F679" t="s">
        <v>578</v>
      </c>
      <c r="G679" t="s">
        <v>2248</v>
      </c>
      <c r="H679" t="s">
        <v>592</v>
      </c>
      <c r="J679" s="519">
        <v>46027</v>
      </c>
      <c r="R679" s="519">
        <v>46114</v>
      </c>
      <c r="U679" s="519">
        <v>46027</v>
      </c>
    </row>
    <row r="680" spans="1:21">
      <c r="A680" t="s">
        <v>953</v>
      </c>
      <c r="B680" t="s">
        <v>3457</v>
      </c>
      <c r="C680" t="s">
        <v>953</v>
      </c>
      <c r="D680">
        <v>20492241</v>
      </c>
      <c r="E680" t="s">
        <v>2258</v>
      </c>
      <c r="F680" t="s">
        <v>581</v>
      </c>
      <c r="G680" t="s">
        <v>2250</v>
      </c>
      <c r="H680" t="s">
        <v>592</v>
      </c>
      <c r="J680" s="519">
        <v>46123</v>
      </c>
      <c r="R680" s="519">
        <v>46139</v>
      </c>
      <c r="U680" s="519">
        <v>46213</v>
      </c>
    </row>
    <row r="681" spans="1:21">
      <c r="A681" t="s">
        <v>953</v>
      </c>
      <c r="B681" t="s">
        <v>2446</v>
      </c>
      <c r="C681" t="s">
        <v>953</v>
      </c>
      <c r="D681">
        <v>20450048</v>
      </c>
      <c r="E681" t="s">
        <v>2258</v>
      </c>
      <c r="F681" t="s">
        <v>984</v>
      </c>
      <c r="G681" t="s">
        <v>2246</v>
      </c>
      <c r="H681" t="s">
        <v>587</v>
      </c>
      <c r="J681" s="519">
        <v>46069</v>
      </c>
      <c r="R681" s="519">
        <v>46114</v>
      </c>
      <c r="U681" s="519">
        <v>46070</v>
      </c>
    </row>
    <row r="682" spans="1:21">
      <c r="A682" t="s">
        <v>953</v>
      </c>
      <c r="B682" t="s">
        <v>3458</v>
      </c>
      <c r="C682" t="s">
        <v>953</v>
      </c>
      <c r="D682">
        <v>20429196</v>
      </c>
      <c r="E682" t="s">
        <v>2258</v>
      </c>
      <c r="F682" t="s">
        <v>581</v>
      </c>
      <c r="G682" t="s">
        <v>2290</v>
      </c>
      <c r="H682" t="s">
        <v>591</v>
      </c>
      <c r="J682" s="519">
        <v>46038</v>
      </c>
      <c r="R682" s="519">
        <v>46114</v>
      </c>
      <c r="U682" s="519">
        <v>46068</v>
      </c>
    </row>
    <row r="683" spans="1:21">
      <c r="A683" t="s">
        <v>953</v>
      </c>
      <c r="B683" t="s">
        <v>2960</v>
      </c>
      <c r="C683" t="s">
        <v>953</v>
      </c>
      <c r="D683">
        <v>20482315</v>
      </c>
      <c r="E683" t="s">
        <v>2252</v>
      </c>
      <c r="F683" t="s">
        <v>1115</v>
      </c>
      <c r="G683" t="s">
        <v>2250</v>
      </c>
      <c r="H683" t="s">
        <v>587</v>
      </c>
      <c r="I683" t="s">
        <v>1386</v>
      </c>
      <c r="J683" s="519">
        <v>46109</v>
      </c>
      <c r="K683" s="519">
        <v>46109</v>
      </c>
      <c r="R683" s="519">
        <v>46114</v>
      </c>
      <c r="U683" s="519">
        <v>46109</v>
      </c>
    </row>
    <row r="684" spans="1:21">
      <c r="A684" t="s">
        <v>953</v>
      </c>
      <c r="B684" t="s">
        <v>7043</v>
      </c>
      <c r="C684" t="s">
        <v>953</v>
      </c>
      <c r="D684">
        <v>20504181</v>
      </c>
      <c r="E684" t="s">
        <v>2245</v>
      </c>
      <c r="F684" t="s">
        <v>984</v>
      </c>
      <c r="G684" t="s">
        <v>2250</v>
      </c>
      <c r="H684" t="s">
        <v>592</v>
      </c>
      <c r="J684" s="519">
        <v>46132</v>
      </c>
      <c r="U684" s="519">
        <v>46139</v>
      </c>
    </row>
    <row r="685" spans="1:21">
      <c r="A685" t="s">
        <v>953</v>
      </c>
      <c r="B685" t="s">
        <v>7044</v>
      </c>
      <c r="C685" t="s">
        <v>953</v>
      </c>
      <c r="D685">
        <v>20505693</v>
      </c>
      <c r="E685" t="s">
        <v>2252</v>
      </c>
      <c r="F685" t="s">
        <v>583</v>
      </c>
      <c r="G685" t="s">
        <v>2250</v>
      </c>
      <c r="H685" t="s">
        <v>587</v>
      </c>
      <c r="I685" t="s">
        <v>889</v>
      </c>
      <c r="J685" s="519">
        <v>46134</v>
      </c>
      <c r="K685" s="519">
        <v>46134</v>
      </c>
      <c r="L685" s="519">
        <v>46134</v>
      </c>
      <c r="S685" s="519">
        <v>46135</v>
      </c>
      <c r="U685" s="519">
        <v>46142</v>
      </c>
    </row>
    <row r="686" spans="1:21">
      <c r="A686" t="s">
        <v>953</v>
      </c>
      <c r="B686" t="s">
        <v>7044</v>
      </c>
      <c r="C686" t="s">
        <v>953</v>
      </c>
      <c r="D686">
        <v>20505666</v>
      </c>
      <c r="E686" t="s">
        <v>2252</v>
      </c>
      <c r="F686" t="s">
        <v>583</v>
      </c>
      <c r="G686" t="s">
        <v>2250</v>
      </c>
      <c r="H686" t="s">
        <v>587</v>
      </c>
      <c r="I686" t="s">
        <v>889</v>
      </c>
      <c r="J686" s="519">
        <v>46134</v>
      </c>
      <c r="K686" s="519">
        <v>46134</v>
      </c>
      <c r="R686" s="519">
        <v>46137</v>
      </c>
      <c r="U686" s="519">
        <v>46134</v>
      </c>
    </row>
    <row r="687" spans="1:21">
      <c r="A687" t="s">
        <v>953</v>
      </c>
      <c r="B687" t="s">
        <v>7044</v>
      </c>
      <c r="C687" t="s">
        <v>953</v>
      </c>
      <c r="D687">
        <v>20505670</v>
      </c>
      <c r="E687" t="s">
        <v>2252</v>
      </c>
      <c r="F687" t="s">
        <v>984</v>
      </c>
      <c r="G687" t="s">
        <v>2250</v>
      </c>
      <c r="H687" t="s">
        <v>587</v>
      </c>
      <c r="I687" t="s">
        <v>2266</v>
      </c>
      <c r="J687" s="519">
        <v>46134</v>
      </c>
      <c r="K687" s="519">
        <v>46134</v>
      </c>
      <c r="R687" s="519">
        <v>46134</v>
      </c>
      <c r="U687" s="519">
        <v>46134</v>
      </c>
    </row>
    <row r="688" spans="1:21">
      <c r="A688" t="s">
        <v>953</v>
      </c>
      <c r="B688" t="s">
        <v>3459</v>
      </c>
      <c r="C688" t="s">
        <v>953</v>
      </c>
      <c r="D688">
        <v>20494492</v>
      </c>
      <c r="E688" t="s">
        <v>2258</v>
      </c>
      <c r="F688" t="s">
        <v>581</v>
      </c>
      <c r="G688" t="s">
        <v>2250</v>
      </c>
      <c r="H688" t="s">
        <v>2361</v>
      </c>
      <c r="J688" s="519">
        <v>46126</v>
      </c>
      <c r="R688" s="519">
        <v>46139</v>
      </c>
      <c r="U688" s="519">
        <v>46127</v>
      </c>
    </row>
    <row r="689" spans="1:21">
      <c r="A689" t="s">
        <v>953</v>
      </c>
      <c r="B689" t="s">
        <v>3460</v>
      </c>
      <c r="C689" t="s">
        <v>953</v>
      </c>
      <c r="D689">
        <v>20426517</v>
      </c>
      <c r="E689" t="s">
        <v>2258</v>
      </c>
      <c r="F689" t="s">
        <v>984</v>
      </c>
      <c r="G689" t="s">
        <v>1213</v>
      </c>
      <c r="H689" t="s">
        <v>591</v>
      </c>
      <c r="J689" s="519">
        <v>46037</v>
      </c>
      <c r="R689" s="519">
        <v>46114</v>
      </c>
      <c r="U689" s="519">
        <v>46037</v>
      </c>
    </row>
    <row r="690" spans="1:21">
      <c r="A690" t="s">
        <v>953</v>
      </c>
      <c r="B690" t="s">
        <v>3461</v>
      </c>
      <c r="C690" t="s">
        <v>953</v>
      </c>
      <c r="D690">
        <v>20428823</v>
      </c>
      <c r="E690" t="s">
        <v>2258</v>
      </c>
      <c r="F690" t="s">
        <v>984</v>
      </c>
      <c r="G690" t="s">
        <v>2259</v>
      </c>
      <c r="H690" t="s">
        <v>2388</v>
      </c>
      <c r="J690" s="519">
        <v>46038</v>
      </c>
      <c r="R690" s="519">
        <v>46114</v>
      </c>
      <c r="U690" s="519">
        <v>46038</v>
      </c>
    </row>
    <row r="691" spans="1:21">
      <c r="A691" t="s">
        <v>953</v>
      </c>
      <c r="B691" t="s">
        <v>3462</v>
      </c>
      <c r="C691" t="s">
        <v>953</v>
      </c>
      <c r="D691">
        <v>20437531</v>
      </c>
      <c r="E691" t="s">
        <v>2258</v>
      </c>
      <c r="F691" t="s">
        <v>581</v>
      </c>
      <c r="G691" t="s">
        <v>2248</v>
      </c>
      <c r="H691" t="s">
        <v>588</v>
      </c>
      <c r="J691" s="519">
        <v>46052</v>
      </c>
      <c r="R691" s="519">
        <v>46114</v>
      </c>
      <c r="U691" s="519">
        <v>46052</v>
      </c>
    </row>
    <row r="692" spans="1:21">
      <c r="A692" t="s">
        <v>953</v>
      </c>
      <c r="B692" t="s">
        <v>7045</v>
      </c>
      <c r="C692" t="s">
        <v>953</v>
      </c>
      <c r="D692">
        <v>20457003</v>
      </c>
      <c r="E692" t="s">
        <v>2258</v>
      </c>
      <c r="F692" t="s">
        <v>581</v>
      </c>
      <c r="G692" t="s">
        <v>2259</v>
      </c>
      <c r="H692" t="s">
        <v>2388</v>
      </c>
      <c r="J692" s="519">
        <v>46077</v>
      </c>
      <c r="R692" s="519">
        <v>46114</v>
      </c>
      <c r="U692" s="519">
        <v>46077</v>
      </c>
    </row>
    <row r="693" spans="1:21">
      <c r="A693" t="s">
        <v>953</v>
      </c>
      <c r="B693" t="s">
        <v>7045</v>
      </c>
      <c r="C693" t="s">
        <v>953</v>
      </c>
      <c r="D693">
        <v>20424126</v>
      </c>
      <c r="E693" t="s">
        <v>2258</v>
      </c>
      <c r="F693" t="s">
        <v>581</v>
      </c>
      <c r="G693" t="s">
        <v>2259</v>
      </c>
      <c r="H693" t="s">
        <v>2388</v>
      </c>
      <c r="J693" s="519">
        <v>46035</v>
      </c>
      <c r="R693" s="519">
        <v>46114</v>
      </c>
      <c r="U693" s="519">
        <v>46035</v>
      </c>
    </row>
    <row r="694" spans="1:21">
      <c r="A694" t="s">
        <v>953</v>
      </c>
      <c r="B694" t="s">
        <v>2961</v>
      </c>
      <c r="C694" t="s">
        <v>953</v>
      </c>
      <c r="D694">
        <v>20464167</v>
      </c>
      <c r="E694" t="s">
        <v>2258</v>
      </c>
      <c r="F694" t="s">
        <v>984</v>
      </c>
      <c r="G694" t="s">
        <v>2246</v>
      </c>
      <c r="H694" t="s">
        <v>587</v>
      </c>
      <c r="J694" s="519">
        <v>46088</v>
      </c>
      <c r="R694" s="519">
        <v>46114</v>
      </c>
      <c r="U694" s="519">
        <v>46100</v>
      </c>
    </row>
    <row r="695" spans="1:21">
      <c r="A695" t="s">
        <v>953</v>
      </c>
      <c r="B695" t="s">
        <v>3463</v>
      </c>
      <c r="C695" t="s">
        <v>953</v>
      </c>
      <c r="D695">
        <v>20416575</v>
      </c>
      <c r="E695" t="s">
        <v>2258</v>
      </c>
      <c r="F695" t="s">
        <v>581</v>
      </c>
      <c r="G695" t="s">
        <v>2259</v>
      </c>
      <c r="H695" t="s">
        <v>587</v>
      </c>
      <c r="J695" s="519">
        <v>46024</v>
      </c>
      <c r="R695" s="519">
        <v>46114</v>
      </c>
      <c r="U695" s="519">
        <v>46024</v>
      </c>
    </row>
    <row r="696" spans="1:21">
      <c r="A696" t="s">
        <v>953</v>
      </c>
      <c r="B696" t="s">
        <v>2450</v>
      </c>
      <c r="C696" t="s">
        <v>953</v>
      </c>
      <c r="D696">
        <v>20454124</v>
      </c>
      <c r="E696" t="s">
        <v>2258</v>
      </c>
      <c r="F696" t="s">
        <v>581</v>
      </c>
      <c r="G696" t="s">
        <v>2246</v>
      </c>
      <c r="H696" t="s">
        <v>587</v>
      </c>
      <c r="J696" s="519">
        <v>46073</v>
      </c>
      <c r="R696" s="519">
        <v>46114</v>
      </c>
      <c r="U696" s="519">
        <v>46082</v>
      </c>
    </row>
    <row r="697" spans="1:21">
      <c r="A697" t="s">
        <v>953</v>
      </c>
      <c r="B697" t="s">
        <v>3464</v>
      </c>
      <c r="C697" t="s">
        <v>953</v>
      </c>
      <c r="D697">
        <v>20489133</v>
      </c>
      <c r="E697" t="s">
        <v>1100</v>
      </c>
      <c r="F697" t="s">
        <v>581</v>
      </c>
      <c r="G697" t="s">
        <v>2250</v>
      </c>
      <c r="H697" t="s">
        <v>592</v>
      </c>
      <c r="I697" t="s">
        <v>1173</v>
      </c>
      <c r="J697" s="519">
        <v>46119</v>
      </c>
      <c r="K697" s="519">
        <v>46119</v>
      </c>
      <c r="U697" s="519">
        <v>46143</v>
      </c>
    </row>
    <row r="698" spans="1:21">
      <c r="A698" t="s">
        <v>953</v>
      </c>
      <c r="B698" t="s">
        <v>3465</v>
      </c>
      <c r="C698" t="s">
        <v>953</v>
      </c>
      <c r="D698">
        <v>20421574</v>
      </c>
      <c r="E698" t="s">
        <v>2258</v>
      </c>
      <c r="F698" t="s">
        <v>577</v>
      </c>
      <c r="G698" t="s">
        <v>2246</v>
      </c>
      <c r="H698" t="s">
        <v>592</v>
      </c>
      <c r="I698" t="s">
        <v>1147</v>
      </c>
      <c r="J698" s="519">
        <v>46031</v>
      </c>
      <c r="R698" s="519">
        <v>46114</v>
      </c>
      <c r="U698" s="519">
        <v>46031</v>
      </c>
    </row>
    <row r="699" spans="1:21">
      <c r="A699" t="s">
        <v>953</v>
      </c>
      <c r="B699" t="s">
        <v>7046</v>
      </c>
      <c r="C699" t="s">
        <v>953</v>
      </c>
      <c r="D699">
        <v>20505152</v>
      </c>
      <c r="E699" t="s">
        <v>2245</v>
      </c>
      <c r="F699" t="s">
        <v>582</v>
      </c>
      <c r="G699" t="s">
        <v>1213</v>
      </c>
      <c r="H699" t="s">
        <v>587</v>
      </c>
      <c r="I699" t="s">
        <v>1156</v>
      </c>
      <c r="J699" s="519">
        <v>46133</v>
      </c>
      <c r="U699" s="519">
        <v>46133</v>
      </c>
    </row>
    <row r="700" spans="1:21">
      <c r="A700" t="s">
        <v>953</v>
      </c>
      <c r="B700" t="s">
        <v>2962</v>
      </c>
      <c r="C700" t="s">
        <v>953</v>
      </c>
      <c r="D700">
        <v>20462994</v>
      </c>
      <c r="E700" t="s">
        <v>2258</v>
      </c>
      <c r="F700" t="s">
        <v>579</v>
      </c>
      <c r="G700" t="s">
        <v>2248</v>
      </c>
      <c r="H700" t="s">
        <v>591</v>
      </c>
      <c r="J700" s="519">
        <v>46086</v>
      </c>
      <c r="R700" s="519">
        <v>46114</v>
      </c>
      <c r="U700" s="519">
        <v>46095</v>
      </c>
    </row>
    <row r="701" spans="1:21">
      <c r="A701" t="s">
        <v>953</v>
      </c>
      <c r="B701" t="s">
        <v>7047</v>
      </c>
      <c r="C701" t="s">
        <v>953</v>
      </c>
      <c r="D701">
        <v>20495353</v>
      </c>
      <c r="E701" t="s">
        <v>2245</v>
      </c>
      <c r="F701" t="s">
        <v>581</v>
      </c>
      <c r="G701" t="s">
        <v>2250</v>
      </c>
      <c r="H701" t="s">
        <v>592</v>
      </c>
      <c r="J701" s="519">
        <v>46126</v>
      </c>
      <c r="U701" s="519">
        <v>46176</v>
      </c>
    </row>
    <row r="702" spans="1:21">
      <c r="A702" t="s">
        <v>953</v>
      </c>
      <c r="B702" t="s">
        <v>3466</v>
      </c>
      <c r="C702" t="s">
        <v>953</v>
      </c>
      <c r="D702">
        <v>20424987</v>
      </c>
      <c r="E702" t="s">
        <v>2258</v>
      </c>
      <c r="F702" t="s">
        <v>578</v>
      </c>
      <c r="G702" t="s">
        <v>2248</v>
      </c>
      <c r="H702" t="s">
        <v>592</v>
      </c>
      <c r="J702" s="519">
        <v>46036</v>
      </c>
      <c r="R702" s="519">
        <v>46114</v>
      </c>
      <c r="U702" s="519">
        <v>46036</v>
      </c>
    </row>
    <row r="703" spans="1:21">
      <c r="A703" t="s">
        <v>953</v>
      </c>
      <c r="B703" t="s">
        <v>2451</v>
      </c>
      <c r="C703" t="s">
        <v>953</v>
      </c>
      <c r="D703">
        <v>20441675</v>
      </c>
      <c r="E703" t="s">
        <v>2258</v>
      </c>
      <c r="F703" t="s">
        <v>577</v>
      </c>
      <c r="G703" t="s">
        <v>1213</v>
      </c>
      <c r="H703" t="s">
        <v>592</v>
      </c>
      <c r="J703" s="519">
        <v>46058</v>
      </c>
      <c r="R703" s="519">
        <v>46114</v>
      </c>
      <c r="U703" s="519">
        <v>46080</v>
      </c>
    </row>
    <row r="704" spans="1:21">
      <c r="A704" t="s">
        <v>953</v>
      </c>
      <c r="B704" t="s">
        <v>2103</v>
      </c>
      <c r="C704" t="s">
        <v>953</v>
      </c>
      <c r="D704">
        <v>20508390</v>
      </c>
      <c r="E704" t="s">
        <v>1110</v>
      </c>
      <c r="F704" t="s">
        <v>583</v>
      </c>
      <c r="G704" t="s">
        <v>1213</v>
      </c>
      <c r="H704" t="s">
        <v>587</v>
      </c>
      <c r="I704" t="s">
        <v>1739</v>
      </c>
      <c r="J704" s="519">
        <v>46135</v>
      </c>
      <c r="K704" s="519">
        <v>46137</v>
      </c>
      <c r="L704" s="519">
        <v>46137</v>
      </c>
      <c r="U704" s="519">
        <v>46142</v>
      </c>
    </row>
    <row r="705" spans="1:21">
      <c r="A705" t="s">
        <v>953</v>
      </c>
      <c r="B705" t="s">
        <v>2103</v>
      </c>
      <c r="C705" t="s">
        <v>953</v>
      </c>
      <c r="D705">
        <v>20509523</v>
      </c>
      <c r="E705" t="s">
        <v>2252</v>
      </c>
      <c r="F705" t="s">
        <v>581</v>
      </c>
      <c r="G705" t="s">
        <v>2250</v>
      </c>
      <c r="H705" t="s">
        <v>587</v>
      </c>
      <c r="I705" t="s">
        <v>1020</v>
      </c>
      <c r="J705" s="519">
        <v>46137</v>
      </c>
      <c r="K705" s="519">
        <v>46137</v>
      </c>
      <c r="R705" s="519">
        <v>46137</v>
      </c>
      <c r="U705" s="519">
        <v>46137</v>
      </c>
    </row>
    <row r="706" spans="1:21">
      <c r="A706" t="s">
        <v>953</v>
      </c>
      <c r="B706" t="s">
        <v>3467</v>
      </c>
      <c r="C706" t="s">
        <v>953</v>
      </c>
      <c r="D706">
        <v>20415925</v>
      </c>
      <c r="E706" t="s">
        <v>2252</v>
      </c>
      <c r="F706" t="s">
        <v>577</v>
      </c>
      <c r="G706" t="s">
        <v>2250</v>
      </c>
      <c r="H706" t="s">
        <v>587</v>
      </c>
      <c r="J706" s="519">
        <v>46022</v>
      </c>
      <c r="K706" s="519">
        <v>46022</v>
      </c>
      <c r="R706" s="519">
        <v>46114</v>
      </c>
      <c r="U706" s="519">
        <v>46022</v>
      </c>
    </row>
    <row r="707" spans="1:21">
      <c r="A707" t="s">
        <v>953</v>
      </c>
      <c r="B707" t="s">
        <v>7048</v>
      </c>
      <c r="C707" t="s">
        <v>953</v>
      </c>
      <c r="D707">
        <v>20495737</v>
      </c>
      <c r="E707" t="s">
        <v>2245</v>
      </c>
      <c r="F707" t="s">
        <v>581</v>
      </c>
      <c r="G707" t="s">
        <v>2259</v>
      </c>
      <c r="H707" t="s">
        <v>593</v>
      </c>
      <c r="J707" s="519">
        <v>46127</v>
      </c>
      <c r="U707" s="519">
        <v>46127</v>
      </c>
    </row>
    <row r="708" spans="1:21">
      <c r="A708" t="s">
        <v>953</v>
      </c>
      <c r="B708" t="s">
        <v>7048</v>
      </c>
      <c r="C708" t="s">
        <v>953</v>
      </c>
      <c r="D708">
        <v>20462879</v>
      </c>
      <c r="E708" t="s">
        <v>2258</v>
      </c>
      <c r="F708" t="s">
        <v>582</v>
      </c>
      <c r="G708" t="s">
        <v>2248</v>
      </c>
      <c r="H708" t="s">
        <v>588</v>
      </c>
      <c r="J708" s="519">
        <v>46086</v>
      </c>
      <c r="R708" s="519">
        <v>46115</v>
      </c>
      <c r="U708" s="519">
        <v>46086</v>
      </c>
    </row>
    <row r="709" spans="1:21">
      <c r="A709" t="s">
        <v>953</v>
      </c>
      <c r="B709" t="s">
        <v>2964</v>
      </c>
      <c r="C709" t="s">
        <v>953</v>
      </c>
      <c r="D709">
        <v>20477258</v>
      </c>
      <c r="E709" t="s">
        <v>2258</v>
      </c>
      <c r="F709" t="s">
        <v>984</v>
      </c>
      <c r="G709" t="s">
        <v>2250</v>
      </c>
      <c r="H709" t="s">
        <v>592</v>
      </c>
      <c r="J709" s="519">
        <v>46102</v>
      </c>
      <c r="R709" s="519">
        <v>46114</v>
      </c>
      <c r="U709" s="519">
        <v>46103</v>
      </c>
    </row>
    <row r="710" spans="1:21">
      <c r="A710" t="s">
        <v>953</v>
      </c>
      <c r="B710" t="s">
        <v>7049</v>
      </c>
      <c r="C710" t="s">
        <v>953</v>
      </c>
      <c r="D710">
        <v>20507604</v>
      </c>
      <c r="E710" t="s">
        <v>2245</v>
      </c>
      <c r="F710" t="s">
        <v>581</v>
      </c>
      <c r="G710" t="s">
        <v>2290</v>
      </c>
      <c r="H710" t="s">
        <v>592</v>
      </c>
      <c r="J710" s="519">
        <v>46135</v>
      </c>
      <c r="U710" s="519">
        <v>46225</v>
      </c>
    </row>
    <row r="711" spans="1:21">
      <c r="A711" t="s">
        <v>953</v>
      </c>
      <c r="B711" t="s">
        <v>7050</v>
      </c>
      <c r="C711" t="s">
        <v>953</v>
      </c>
      <c r="D711">
        <v>20509092</v>
      </c>
      <c r="E711" t="s">
        <v>2245</v>
      </c>
      <c r="F711" t="s">
        <v>984</v>
      </c>
      <c r="G711" t="s">
        <v>2250</v>
      </c>
      <c r="H711" t="s">
        <v>2361</v>
      </c>
      <c r="J711" s="519">
        <v>46136</v>
      </c>
      <c r="U711" s="519">
        <v>46137</v>
      </c>
    </row>
    <row r="712" spans="1:21">
      <c r="A712" t="s">
        <v>953</v>
      </c>
      <c r="B712" t="s">
        <v>2965</v>
      </c>
      <c r="C712" t="s">
        <v>953</v>
      </c>
      <c r="D712">
        <v>20470884</v>
      </c>
      <c r="E712" t="s">
        <v>2258</v>
      </c>
      <c r="F712" t="s">
        <v>984</v>
      </c>
      <c r="G712" t="s">
        <v>2250</v>
      </c>
      <c r="H712" t="s">
        <v>592</v>
      </c>
      <c r="J712" s="519">
        <v>46094</v>
      </c>
      <c r="R712" s="519">
        <v>46114</v>
      </c>
      <c r="U712" s="519">
        <v>46098</v>
      </c>
    </row>
    <row r="713" spans="1:21">
      <c r="A713" t="s">
        <v>953</v>
      </c>
      <c r="B713" t="s">
        <v>2455</v>
      </c>
      <c r="C713" t="s">
        <v>953</v>
      </c>
      <c r="D713">
        <v>20442547</v>
      </c>
      <c r="E713" t="s">
        <v>2258</v>
      </c>
      <c r="F713" t="s">
        <v>578</v>
      </c>
      <c r="G713" t="s">
        <v>2246</v>
      </c>
      <c r="H713" t="s">
        <v>587</v>
      </c>
      <c r="J713" s="519">
        <v>46059</v>
      </c>
      <c r="R713" s="519">
        <v>46114</v>
      </c>
      <c r="U713" s="519">
        <v>46073</v>
      </c>
    </row>
    <row r="714" spans="1:21">
      <c r="A714" t="s">
        <v>953</v>
      </c>
      <c r="B714" t="s">
        <v>2966</v>
      </c>
      <c r="C714" t="s">
        <v>953</v>
      </c>
      <c r="D714">
        <v>20481613</v>
      </c>
      <c r="E714" t="s">
        <v>2258</v>
      </c>
      <c r="F714" t="s">
        <v>581</v>
      </c>
      <c r="G714" t="s">
        <v>2250</v>
      </c>
      <c r="H714" t="s">
        <v>592</v>
      </c>
      <c r="J714" s="519">
        <v>46108</v>
      </c>
      <c r="R714" s="519">
        <v>46139</v>
      </c>
      <c r="U714" s="519">
        <v>46142</v>
      </c>
    </row>
    <row r="715" spans="1:21">
      <c r="A715" t="s">
        <v>953</v>
      </c>
      <c r="B715" t="s">
        <v>2456</v>
      </c>
      <c r="C715" t="s">
        <v>953</v>
      </c>
      <c r="D715">
        <v>20458398</v>
      </c>
      <c r="E715" t="s">
        <v>2258</v>
      </c>
      <c r="F715" t="s">
        <v>579</v>
      </c>
      <c r="G715" t="s">
        <v>2259</v>
      </c>
      <c r="H715" t="s">
        <v>592</v>
      </c>
      <c r="J715" s="519">
        <v>46079</v>
      </c>
      <c r="R715" s="519">
        <v>46115</v>
      </c>
      <c r="U715" s="519">
        <v>46079</v>
      </c>
    </row>
    <row r="716" spans="1:21">
      <c r="A716" t="s">
        <v>953</v>
      </c>
      <c r="B716" t="s">
        <v>7051</v>
      </c>
      <c r="C716" t="s">
        <v>953</v>
      </c>
      <c r="D716">
        <v>20506888</v>
      </c>
      <c r="E716" t="s">
        <v>2245</v>
      </c>
      <c r="F716" t="s">
        <v>984</v>
      </c>
      <c r="G716" t="s">
        <v>2246</v>
      </c>
      <c r="H716" t="s">
        <v>592</v>
      </c>
      <c r="J716" s="519">
        <v>46134</v>
      </c>
      <c r="U716" s="519">
        <v>46173</v>
      </c>
    </row>
    <row r="717" spans="1:21">
      <c r="A717" t="s">
        <v>953</v>
      </c>
      <c r="B717" t="s">
        <v>3468</v>
      </c>
      <c r="C717" t="s">
        <v>953</v>
      </c>
      <c r="D717">
        <v>20422265</v>
      </c>
      <c r="E717" t="s">
        <v>2258</v>
      </c>
      <c r="F717" t="s">
        <v>577</v>
      </c>
      <c r="G717" t="s">
        <v>2248</v>
      </c>
      <c r="H717" t="s">
        <v>591</v>
      </c>
      <c r="I717" t="s">
        <v>1384</v>
      </c>
      <c r="J717" s="519">
        <v>46032</v>
      </c>
      <c r="R717" s="519">
        <v>46114</v>
      </c>
      <c r="U717" s="519">
        <v>46032</v>
      </c>
    </row>
    <row r="718" spans="1:21">
      <c r="A718" t="s">
        <v>953</v>
      </c>
      <c r="B718" t="s">
        <v>7052</v>
      </c>
      <c r="C718" t="s">
        <v>953</v>
      </c>
      <c r="D718">
        <v>20496384</v>
      </c>
      <c r="E718" t="s">
        <v>2258</v>
      </c>
      <c r="F718" t="s">
        <v>581</v>
      </c>
      <c r="G718" t="s">
        <v>2250</v>
      </c>
      <c r="H718" t="s">
        <v>592</v>
      </c>
      <c r="J718" s="519">
        <v>46127</v>
      </c>
      <c r="R718" s="519">
        <v>46139</v>
      </c>
      <c r="U718" s="519">
        <v>46151</v>
      </c>
    </row>
    <row r="719" spans="1:21">
      <c r="A719" t="s">
        <v>953</v>
      </c>
      <c r="B719" t="s">
        <v>2457</v>
      </c>
      <c r="C719" t="s">
        <v>953</v>
      </c>
      <c r="D719">
        <v>20443287</v>
      </c>
      <c r="E719" t="s">
        <v>2258</v>
      </c>
      <c r="F719" t="s">
        <v>581</v>
      </c>
      <c r="G719" t="s">
        <v>2246</v>
      </c>
      <c r="H719" t="s">
        <v>587</v>
      </c>
      <c r="J719" s="519">
        <v>46061</v>
      </c>
      <c r="R719" s="519">
        <v>46114</v>
      </c>
      <c r="U719" s="519">
        <v>46113</v>
      </c>
    </row>
    <row r="720" spans="1:21">
      <c r="A720" t="s">
        <v>953</v>
      </c>
      <c r="B720" t="s">
        <v>3469</v>
      </c>
      <c r="C720" t="s">
        <v>953</v>
      </c>
      <c r="D720">
        <v>20417399</v>
      </c>
      <c r="E720" t="s">
        <v>2258</v>
      </c>
      <c r="F720" t="s">
        <v>984</v>
      </c>
      <c r="G720" t="s">
        <v>2259</v>
      </c>
      <c r="H720" t="s">
        <v>592</v>
      </c>
      <c r="J720" s="519">
        <v>46025</v>
      </c>
      <c r="R720" s="519">
        <v>46114</v>
      </c>
      <c r="U720" s="519">
        <v>46025</v>
      </c>
    </row>
    <row r="721" spans="1:21">
      <c r="A721" t="s">
        <v>953</v>
      </c>
      <c r="B721" t="s">
        <v>1026</v>
      </c>
      <c r="C721" t="s">
        <v>953</v>
      </c>
      <c r="D721">
        <v>20467150</v>
      </c>
      <c r="E721" t="s">
        <v>1215</v>
      </c>
      <c r="F721" t="s">
        <v>583</v>
      </c>
      <c r="G721" t="s">
        <v>2250</v>
      </c>
      <c r="H721" t="s">
        <v>588</v>
      </c>
      <c r="I721" t="s">
        <v>1684</v>
      </c>
      <c r="J721" s="519">
        <v>46092</v>
      </c>
      <c r="K721" s="519">
        <v>46092</v>
      </c>
      <c r="L721" s="519">
        <v>46097</v>
      </c>
      <c r="M721" s="519">
        <v>46106</v>
      </c>
      <c r="N721" s="519">
        <v>46106</v>
      </c>
      <c r="O721" s="519">
        <v>46111</v>
      </c>
      <c r="P721" s="519">
        <v>46113</v>
      </c>
      <c r="Q721" s="519">
        <v>46113</v>
      </c>
      <c r="U721" s="519">
        <v>46143</v>
      </c>
    </row>
    <row r="722" spans="1:21">
      <c r="A722" t="s">
        <v>953</v>
      </c>
      <c r="B722" t="s">
        <v>2458</v>
      </c>
      <c r="C722" t="s">
        <v>953</v>
      </c>
      <c r="D722">
        <v>20443187</v>
      </c>
      <c r="E722" t="s">
        <v>2258</v>
      </c>
      <c r="F722" t="s">
        <v>984</v>
      </c>
      <c r="G722" t="s">
        <v>2259</v>
      </c>
      <c r="H722" t="s">
        <v>593</v>
      </c>
      <c r="J722" s="519">
        <v>46061</v>
      </c>
      <c r="R722" s="519">
        <v>46114</v>
      </c>
      <c r="U722" s="519">
        <v>46082</v>
      </c>
    </row>
    <row r="723" spans="1:21">
      <c r="A723" t="s">
        <v>953</v>
      </c>
      <c r="B723" t="s">
        <v>2969</v>
      </c>
      <c r="C723" t="s">
        <v>953</v>
      </c>
      <c r="D723">
        <v>20482050</v>
      </c>
      <c r="E723" t="s">
        <v>2252</v>
      </c>
      <c r="F723" t="s">
        <v>578</v>
      </c>
      <c r="G723" t="s">
        <v>2250</v>
      </c>
      <c r="H723" t="s">
        <v>587</v>
      </c>
      <c r="I723" t="s">
        <v>1120</v>
      </c>
      <c r="J723" s="519">
        <v>46109</v>
      </c>
      <c r="K723" s="519">
        <v>46109</v>
      </c>
      <c r="L723" s="519">
        <v>46109</v>
      </c>
      <c r="R723" s="519">
        <v>46113</v>
      </c>
      <c r="U723" s="519">
        <v>46114</v>
      </c>
    </row>
    <row r="724" spans="1:21">
      <c r="A724" t="s">
        <v>953</v>
      </c>
      <c r="B724" t="s">
        <v>3470</v>
      </c>
      <c r="C724" t="s">
        <v>953</v>
      </c>
      <c r="D724">
        <v>20435543</v>
      </c>
      <c r="E724" t="s">
        <v>2258</v>
      </c>
      <c r="F724" t="s">
        <v>581</v>
      </c>
      <c r="G724" t="s">
        <v>2259</v>
      </c>
      <c r="H724" t="s">
        <v>592</v>
      </c>
      <c r="J724" s="519">
        <v>46049</v>
      </c>
      <c r="R724" s="519">
        <v>46114</v>
      </c>
      <c r="U724" s="519">
        <v>46063</v>
      </c>
    </row>
    <row r="725" spans="1:21">
      <c r="A725" t="s">
        <v>953</v>
      </c>
      <c r="B725" t="s">
        <v>2100</v>
      </c>
      <c r="C725" t="s">
        <v>953</v>
      </c>
      <c r="D725">
        <v>20502896</v>
      </c>
      <c r="E725" t="s">
        <v>1110</v>
      </c>
      <c r="F725" t="s">
        <v>581</v>
      </c>
      <c r="G725" t="s">
        <v>2259</v>
      </c>
      <c r="H725" t="s">
        <v>593</v>
      </c>
      <c r="I725" t="s">
        <v>859</v>
      </c>
      <c r="J725" s="519">
        <v>46132</v>
      </c>
      <c r="K725" s="519">
        <v>46132</v>
      </c>
      <c r="L725" s="519">
        <v>46135</v>
      </c>
      <c r="U725" s="519">
        <v>46140</v>
      </c>
    </row>
    <row r="726" spans="1:21">
      <c r="A726" t="s">
        <v>953</v>
      </c>
      <c r="B726" t="s">
        <v>2459</v>
      </c>
      <c r="C726" t="s">
        <v>953</v>
      </c>
      <c r="D726">
        <v>20444140</v>
      </c>
      <c r="E726" t="s">
        <v>2258</v>
      </c>
      <c r="F726" t="s">
        <v>984</v>
      </c>
      <c r="G726" t="s">
        <v>2246</v>
      </c>
      <c r="H726" t="s">
        <v>587</v>
      </c>
      <c r="J726" s="519">
        <v>46062</v>
      </c>
      <c r="R726" s="519">
        <v>46114</v>
      </c>
      <c r="U726" s="519">
        <v>46132</v>
      </c>
    </row>
    <row r="727" spans="1:21">
      <c r="A727" t="s">
        <v>953</v>
      </c>
      <c r="B727" t="s">
        <v>2970</v>
      </c>
      <c r="C727" t="s">
        <v>953</v>
      </c>
      <c r="D727">
        <v>20478492</v>
      </c>
      <c r="E727" t="s">
        <v>2258</v>
      </c>
      <c r="F727" t="s">
        <v>581</v>
      </c>
      <c r="G727" t="s">
        <v>2259</v>
      </c>
      <c r="H727" t="s">
        <v>2388</v>
      </c>
      <c r="J727" s="519">
        <v>46104</v>
      </c>
      <c r="R727" s="519">
        <v>46114</v>
      </c>
      <c r="U727" s="519">
        <v>46266</v>
      </c>
    </row>
    <row r="728" spans="1:21">
      <c r="A728" t="s">
        <v>953</v>
      </c>
      <c r="B728" t="s">
        <v>2461</v>
      </c>
      <c r="C728" t="s">
        <v>953</v>
      </c>
      <c r="D728">
        <v>20438908</v>
      </c>
      <c r="E728" t="s">
        <v>2252</v>
      </c>
      <c r="F728" t="s">
        <v>581</v>
      </c>
      <c r="G728" t="s">
        <v>2250</v>
      </c>
      <c r="H728" t="s">
        <v>587</v>
      </c>
      <c r="J728" s="519">
        <v>46054</v>
      </c>
      <c r="K728" s="519">
        <v>46054</v>
      </c>
      <c r="R728" s="519">
        <v>46114</v>
      </c>
      <c r="U728" s="519">
        <v>46113</v>
      </c>
    </row>
    <row r="729" spans="1:21">
      <c r="A729" t="s">
        <v>953</v>
      </c>
      <c r="B729" t="s">
        <v>3471</v>
      </c>
      <c r="C729" t="s">
        <v>953</v>
      </c>
      <c r="D729">
        <v>20430696</v>
      </c>
      <c r="E729" t="s">
        <v>2258</v>
      </c>
      <c r="F729" t="s">
        <v>984</v>
      </c>
      <c r="G729" t="s">
        <v>1213</v>
      </c>
      <c r="H729" t="s">
        <v>592</v>
      </c>
      <c r="J729" s="519">
        <v>46042</v>
      </c>
      <c r="R729" s="519">
        <v>46114</v>
      </c>
      <c r="U729" s="519">
        <v>46042</v>
      </c>
    </row>
    <row r="730" spans="1:21">
      <c r="A730" t="s">
        <v>953</v>
      </c>
      <c r="B730" t="s">
        <v>2971</v>
      </c>
      <c r="C730" t="s">
        <v>953</v>
      </c>
      <c r="D730">
        <v>20483062</v>
      </c>
      <c r="E730" t="s">
        <v>2258</v>
      </c>
      <c r="F730" t="s">
        <v>577</v>
      </c>
      <c r="G730" t="s">
        <v>2248</v>
      </c>
      <c r="H730" t="s">
        <v>588</v>
      </c>
      <c r="I730" t="s">
        <v>567</v>
      </c>
      <c r="J730" s="519">
        <v>46111</v>
      </c>
      <c r="R730" s="519">
        <v>46139</v>
      </c>
      <c r="U730" s="519">
        <v>46136</v>
      </c>
    </row>
    <row r="731" spans="1:21">
      <c r="A731" t="s">
        <v>953</v>
      </c>
      <c r="B731" t="s">
        <v>3472</v>
      </c>
      <c r="C731" t="s">
        <v>953</v>
      </c>
      <c r="D731">
        <v>20416608</v>
      </c>
      <c r="E731" t="s">
        <v>2252</v>
      </c>
      <c r="F731" t="s">
        <v>577</v>
      </c>
      <c r="G731" t="s">
        <v>2250</v>
      </c>
      <c r="H731" t="s">
        <v>587</v>
      </c>
      <c r="I731" t="s">
        <v>2285</v>
      </c>
      <c r="J731" s="519">
        <v>46024</v>
      </c>
      <c r="K731" s="519">
        <v>46024</v>
      </c>
      <c r="R731" s="519">
        <v>46114</v>
      </c>
      <c r="U731" s="519">
        <v>46024</v>
      </c>
    </row>
    <row r="732" spans="1:21">
      <c r="A732" t="s">
        <v>953</v>
      </c>
      <c r="B732" t="s">
        <v>2972</v>
      </c>
      <c r="C732" t="s">
        <v>953</v>
      </c>
      <c r="D732">
        <v>20483770</v>
      </c>
      <c r="E732" t="s">
        <v>2258</v>
      </c>
      <c r="F732" t="s">
        <v>581</v>
      </c>
      <c r="G732" t="s">
        <v>2250</v>
      </c>
      <c r="H732" t="s">
        <v>592</v>
      </c>
      <c r="J732" s="519">
        <v>46112</v>
      </c>
      <c r="R732" s="519">
        <v>46139</v>
      </c>
      <c r="U732" s="519">
        <v>46142</v>
      </c>
    </row>
    <row r="733" spans="1:21">
      <c r="A733" t="s">
        <v>953</v>
      </c>
      <c r="B733" t="s">
        <v>7053</v>
      </c>
      <c r="C733" t="s">
        <v>953</v>
      </c>
      <c r="D733">
        <v>20510545</v>
      </c>
      <c r="E733" t="s">
        <v>2245</v>
      </c>
      <c r="F733" t="s">
        <v>984</v>
      </c>
      <c r="G733" t="s">
        <v>2290</v>
      </c>
      <c r="H733" t="s">
        <v>592</v>
      </c>
      <c r="J733" s="519">
        <v>46139</v>
      </c>
      <c r="U733" s="519">
        <v>46174</v>
      </c>
    </row>
    <row r="734" spans="1:21">
      <c r="A734" t="s">
        <v>953</v>
      </c>
      <c r="B734" t="s">
        <v>3473</v>
      </c>
      <c r="C734" t="s">
        <v>953</v>
      </c>
      <c r="D734">
        <v>20428753</v>
      </c>
      <c r="E734" t="s">
        <v>2258</v>
      </c>
      <c r="F734" t="s">
        <v>579</v>
      </c>
      <c r="G734" t="s">
        <v>2248</v>
      </c>
      <c r="H734" t="s">
        <v>591</v>
      </c>
      <c r="J734" s="519">
        <v>46038</v>
      </c>
      <c r="R734" s="519">
        <v>46114</v>
      </c>
      <c r="U734" s="519">
        <v>46038</v>
      </c>
    </row>
    <row r="735" spans="1:21">
      <c r="A735" t="s">
        <v>953</v>
      </c>
      <c r="B735" t="s">
        <v>2464</v>
      </c>
      <c r="C735" t="s">
        <v>953</v>
      </c>
      <c r="D735">
        <v>20443912</v>
      </c>
      <c r="E735" t="s">
        <v>2324</v>
      </c>
      <c r="F735" t="s">
        <v>577</v>
      </c>
      <c r="G735" t="s">
        <v>2248</v>
      </c>
      <c r="H735" t="s">
        <v>591</v>
      </c>
      <c r="I735" t="s">
        <v>2373</v>
      </c>
      <c r="J735" s="519">
        <v>46062</v>
      </c>
      <c r="K735" s="519">
        <v>46109</v>
      </c>
      <c r="L735" s="519">
        <v>46111</v>
      </c>
      <c r="M735" s="519">
        <v>46126</v>
      </c>
      <c r="N735" s="519">
        <v>46127</v>
      </c>
      <c r="O735" s="519">
        <v>46129</v>
      </c>
      <c r="P735" s="519">
        <v>46129</v>
      </c>
      <c r="Q735" s="519">
        <v>46129</v>
      </c>
      <c r="U735" s="519">
        <v>46143</v>
      </c>
    </row>
    <row r="736" spans="1:21">
      <c r="A736" t="s">
        <v>953</v>
      </c>
      <c r="B736" t="s">
        <v>2466</v>
      </c>
      <c r="C736" t="s">
        <v>953</v>
      </c>
      <c r="D736">
        <v>20442804</v>
      </c>
      <c r="E736" t="s">
        <v>2258</v>
      </c>
      <c r="F736" t="s">
        <v>984</v>
      </c>
      <c r="G736" t="s">
        <v>2246</v>
      </c>
      <c r="H736" t="s">
        <v>587</v>
      </c>
      <c r="J736" s="519">
        <v>46060</v>
      </c>
      <c r="R736" s="519">
        <v>46114</v>
      </c>
      <c r="U736" s="519">
        <v>46063</v>
      </c>
    </row>
    <row r="737" spans="1:21">
      <c r="A737" t="s">
        <v>953</v>
      </c>
      <c r="B737" t="s">
        <v>7054</v>
      </c>
      <c r="C737" t="s">
        <v>953</v>
      </c>
      <c r="D737">
        <v>20501521</v>
      </c>
      <c r="E737" t="s">
        <v>2258</v>
      </c>
      <c r="F737" t="s">
        <v>984</v>
      </c>
      <c r="G737" t="s">
        <v>2246</v>
      </c>
      <c r="H737" t="s">
        <v>587</v>
      </c>
      <c r="J737" s="519">
        <v>46131</v>
      </c>
      <c r="R737" s="519">
        <v>46139</v>
      </c>
      <c r="U737" s="519">
        <v>46131</v>
      </c>
    </row>
    <row r="738" spans="1:21">
      <c r="A738" t="s">
        <v>953</v>
      </c>
      <c r="B738" t="s">
        <v>3474</v>
      </c>
      <c r="C738" t="s">
        <v>953</v>
      </c>
      <c r="D738">
        <v>20414615</v>
      </c>
      <c r="E738" t="s">
        <v>2252</v>
      </c>
      <c r="F738" t="s">
        <v>1001</v>
      </c>
      <c r="G738" t="s">
        <v>2250</v>
      </c>
      <c r="H738" t="s">
        <v>592</v>
      </c>
      <c r="I738" t="s">
        <v>1147</v>
      </c>
      <c r="J738" s="519">
        <v>46020</v>
      </c>
      <c r="K738" s="519">
        <v>46020</v>
      </c>
      <c r="R738" s="519">
        <v>46114</v>
      </c>
      <c r="U738" s="519">
        <v>46020</v>
      </c>
    </row>
    <row r="739" spans="1:21">
      <c r="A739" t="s">
        <v>953</v>
      </c>
      <c r="B739" t="s">
        <v>2470</v>
      </c>
      <c r="C739" t="s">
        <v>953</v>
      </c>
      <c r="D739">
        <v>20449581</v>
      </c>
      <c r="E739" t="s">
        <v>2258</v>
      </c>
      <c r="F739" t="s">
        <v>581</v>
      </c>
      <c r="G739" t="s">
        <v>2290</v>
      </c>
      <c r="H739" t="s">
        <v>587</v>
      </c>
      <c r="J739" s="519">
        <v>46068</v>
      </c>
      <c r="R739" s="519">
        <v>46114</v>
      </c>
      <c r="U739" s="519">
        <v>46265</v>
      </c>
    </row>
    <row r="740" spans="1:21">
      <c r="A740" t="s">
        <v>953</v>
      </c>
      <c r="B740" t="s">
        <v>3475</v>
      </c>
      <c r="C740" t="s">
        <v>953</v>
      </c>
      <c r="D740">
        <v>20410352</v>
      </c>
      <c r="E740" t="s">
        <v>2258</v>
      </c>
      <c r="F740" t="s">
        <v>984</v>
      </c>
      <c r="G740" t="s">
        <v>2259</v>
      </c>
      <c r="H740" t="s">
        <v>592</v>
      </c>
      <c r="J740" s="519">
        <v>46011</v>
      </c>
      <c r="R740" s="519">
        <v>46114</v>
      </c>
      <c r="U740" s="519">
        <v>46011</v>
      </c>
    </row>
    <row r="741" spans="1:21">
      <c r="A741" t="s">
        <v>953</v>
      </c>
      <c r="B741" t="s">
        <v>3476</v>
      </c>
      <c r="C741" t="s">
        <v>953</v>
      </c>
      <c r="D741">
        <v>20488003</v>
      </c>
      <c r="E741" t="s">
        <v>2252</v>
      </c>
      <c r="F741" t="s">
        <v>1115</v>
      </c>
      <c r="G741" t="s">
        <v>2250</v>
      </c>
      <c r="H741" t="s">
        <v>587</v>
      </c>
      <c r="I741" t="s">
        <v>3330</v>
      </c>
      <c r="J741" s="519">
        <v>46118</v>
      </c>
      <c r="K741" s="519">
        <v>46118</v>
      </c>
      <c r="R741" s="519">
        <v>46122</v>
      </c>
      <c r="U741" s="519">
        <v>46158</v>
      </c>
    </row>
    <row r="742" spans="1:21">
      <c r="A742" t="s">
        <v>953</v>
      </c>
      <c r="B742" t="s">
        <v>3476</v>
      </c>
      <c r="C742" t="s">
        <v>953</v>
      </c>
      <c r="D742">
        <v>20487357</v>
      </c>
      <c r="E742" t="s">
        <v>2252</v>
      </c>
      <c r="F742" t="s">
        <v>583</v>
      </c>
      <c r="G742" t="s">
        <v>2250</v>
      </c>
      <c r="H742" t="s">
        <v>592</v>
      </c>
      <c r="I742" t="s">
        <v>1662</v>
      </c>
      <c r="J742" s="519">
        <v>46116</v>
      </c>
      <c r="K742" s="519">
        <v>46118</v>
      </c>
      <c r="L742" s="519">
        <v>46118</v>
      </c>
      <c r="M742" s="519">
        <v>46135</v>
      </c>
      <c r="N742" s="519">
        <v>46135</v>
      </c>
      <c r="R742" s="519">
        <v>46136</v>
      </c>
      <c r="U742" s="519">
        <v>46158</v>
      </c>
    </row>
    <row r="743" spans="1:21">
      <c r="A743" t="s">
        <v>953</v>
      </c>
      <c r="B743" t="s">
        <v>2471</v>
      </c>
      <c r="C743" t="s">
        <v>953</v>
      </c>
      <c r="D743">
        <v>20443014</v>
      </c>
      <c r="E743" t="s">
        <v>2258</v>
      </c>
      <c r="F743" t="s">
        <v>984</v>
      </c>
      <c r="G743" t="s">
        <v>2246</v>
      </c>
      <c r="H743" t="s">
        <v>591</v>
      </c>
      <c r="J743" s="519">
        <v>46060</v>
      </c>
      <c r="R743" s="519">
        <v>46114</v>
      </c>
      <c r="U743" s="519">
        <v>46163</v>
      </c>
    </row>
    <row r="744" spans="1:21">
      <c r="A744" t="s">
        <v>953</v>
      </c>
      <c r="B744" t="s">
        <v>2973</v>
      </c>
      <c r="C744" t="s">
        <v>953</v>
      </c>
      <c r="D744">
        <v>20480147</v>
      </c>
      <c r="E744" t="s">
        <v>2324</v>
      </c>
      <c r="F744" t="s">
        <v>583</v>
      </c>
      <c r="G744" t="s">
        <v>2250</v>
      </c>
      <c r="H744" t="s">
        <v>587</v>
      </c>
      <c r="I744" t="s">
        <v>1136</v>
      </c>
      <c r="J744" s="519">
        <v>46106</v>
      </c>
      <c r="K744" s="519">
        <v>46106</v>
      </c>
      <c r="L744" s="519">
        <v>46106</v>
      </c>
      <c r="M744" s="519">
        <v>46129</v>
      </c>
      <c r="N744" s="519">
        <v>46129</v>
      </c>
      <c r="P744" s="519">
        <v>46129</v>
      </c>
      <c r="Q744" s="519">
        <v>46130</v>
      </c>
      <c r="U744" s="519">
        <v>46130</v>
      </c>
    </row>
    <row r="745" spans="1:21">
      <c r="A745" t="s">
        <v>953</v>
      </c>
      <c r="B745" t="s">
        <v>2974</v>
      </c>
      <c r="C745" t="s">
        <v>953</v>
      </c>
      <c r="D745">
        <v>20475459</v>
      </c>
      <c r="E745" t="s">
        <v>2258</v>
      </c>
      <c r="F745" t="s">
        <v>581</v>
      </c>
      <c r="G745" t="s">
        <v>2250</v>
      </c>
      <c r="H745" t="s">
        <v>592</v>
      </c>
      <c r="J745" s="519">
        <v>46099</v>
      </c>
      <c r="R745" s="519">
        <v>46114</v>
      </c>
      <c r="U745" s="519">
        <v>46100</v>
      </c>
    </row>
    <row r="746" spans="1:21">
      <c r="A746" t="s">
        <v>953</v>
      </c>
      <c r="B746" t="s">
        <v>2975</v>
      </c>
      <c r="C746" t="s">
        <v>953</v>
      </c>
      <c r="D746">
        <v>20479712</v>
      </c>
      <c r="E746" t="s">
        <v>2258</v>
      </c>
      <c r="F746" t="s">
        <v>984</v>
      </c>
      <c r="G746" t="s">
        <v>2250</v>
      </c>
      <c r="H746" t="s">
        <v>592</v>
      </c>
      <c r="J746" s="519">
        <v>46106</v>
      </c>
      <c r="R746" s="519">
        <v>46114</v>
      </c>
      <c r="U746" s="519">
        <v>46409</v>
      </c>
    </row>
    <row r="747" spans="1:21">
      <c r="A747" t="s">
        <v>953</v>
      </c>
      <c r="B747" t="s">
        <v>7055</v>
      </c>
      <c r="C747" t="s">
        <v>953</v>
      </c>
      <c r="D747">
        <v>20497154</v>
      </c>
      <c r="E747" t="s">
        <v>2258</v>
      </c>
      <c r="F747" t="s">
        <v>581</v>
      </c>
      <c r="G747" t="s">
        <v>2250</v>
      </c>
      <c r="H747" t="s">
        <v>592</v>
      </c>
      <c r="J747" s="519">
        <v>46127</v>
      </c>
      <c r="R747" s="519">
        <v>46139</v>
      </c>
      <c r="U747" s="519">
        <v>46357</v>
      </c>
    </row>
    <row r="748" spans="1:21">
      <c r="A748" t="s">
        <v>953</v>
      </c>
      <c r="B748" t="s">
        <v>7055</v>
      </c>
      <c r="C748" t="s">
        <v>953</v>
      </c>
      <c r="D748">
        <v>20500496</v>
      </c>
      <c r="E748" t="s">
        <v>2258</v>
      </c>
      <c r="F748" t="s">
        <v>984</v>
      </c>
      <c r="G748" t="s">
        <v>2250</v>
      </c>
      <c r="H748" t="s">
        <v>2361</v>
      </c>
      <c r="J748" s="519">
        <v>46130</v>
      </c>
      <c r="R748" s="519">
        <v>46139</v>
      </c>
      <c r="U748" s="519">
        <v>46266</v>
      </c>
    </row>
    <row r="749" spans="1:21">
      <c r="A749" t="s">
        <v>953</v>
      </c>
      <c r="B749" t="s">
        <v>2976</v>
      </c>
      <c r="C749" t="s">
        <v>953</v>
      </c>
      <c r="D749">
        <v>20475396</v>
      </c>
      <c r="E749" t="s">
        <v>2258</v>
      </c>
      <c r="F749" t="s">
        <v>581</v>
      </c>
      <c r="G749" t="s">
        <v>2246</v>
      </c>
      <c r="H749" t="s">
        <v>591</v>
      </c>
      <c r="J749" s="519">
        <v>46099</v>
      </c>
      <c r="R749" s="519">
        <v>46114</v>
      </c>
      <c r="U749" s="519">
        <v>46157</v>
      </c>
    </row>
    <row r="750" spans="1:21">
      <c r="A750" t="s">
        <v>953</v>
      </c>
      <c r="B750" t="s">
        <v>2977</v>
      </c>
      <c r="C750" t="s">
        <v>953</v>
      </c>
      <c r="D750">
        <v>20465900</v>
      </c>
      <c r="E750" t="s">
        <v>2258</v>
      </c>
      <c r="F750" t="s">
        <v>984</v>
      </c>
      <c r="G750" t="s">
        <v>2246</v>
      </c>
      <c r="H750" t="s">
        <v>587</v>
      </c>
      <c r="J750" s="519">
        <v>46091</v>
      </c>
      <c r="R750" s="519">
        <v>46114</v>
      </c>
      <c r="U750" s="519">
        <v>46091</v>
      </c>
    </row>
    <row r="751" spans="1:21">
      <c r="A751" t="s">
        <v>953</v>
      </c>
      <c r="B751" t="s">
        <v>2978</v>
      </c>
      <c r="C751" t="s">
        <v>953</v>
      </c>
      <c r="D751">
        <v>20477550</v>
      </c>
      <c r="E751" t="s">
        <v>2258</v>
      </c>
      <c r="F751" t="s">
        <v>984</v>
      </c>
      <c r="G751" t="s">
        <v>2250</v>
      </c>
      <c r="H751" t="s">
        <v>592</v>
      </c>
      <c r="J751" s="519">
        <v>46102</v>
      </c>
      <c r="R751" s="519">
        <v>46114</v>
      </c>
      <c r="U751" s="519">
        <v>46133</v>
      </c>
    </row>
    <row r="752" spans="1:21">
      <c r="A752" t="s">
        <v>953</v>
      </c>
      <c r="B752" t="s">
        <v>7056</v>
      </c>
      <c r="C752" t="s">
        <v>953</v>
      </c>
      <c r="D752">
        <v>20510378</v>
      </c>
      <c r="E752" t="s">
        <v>2245</v>
      </c>
      <c r="F752" t="s">
        <v>984</v>
      </c>
      <c r="G752" t="s">
        <v>2250</v>
      </c>
      <c r="H752" t="s">
        <v>592</v>
      </c>
      <c r="J752" s="519">
        <v>46138</v>
      </c>
      <c r="U752" s="519">
        <v>46235</v>
      </c>
    </row>
    <row r="753" spans="1:21">
      <c r="A753" t="s">
        <v>953</v>
      </c>
      <c r="B753" t="s">
        <v>7057</v>
      </c>
      <c r="C753" t="s">
        <v>953</v>
      </c>
      <c r="D753">
        <v>20501410</v>
      </c>
      <c r="E753" t="s">
        <v>2258</v>
      </c>
      <c r="F753" t="s">
        <v>984</v>
      </c>
      <c r="G753" t="s">
        <v>2246</v>
      </c>
      <c r="H753" t="s">
        <v>592</v>
      </c>
      <c r="J753" s="519">
        <v>46131</v>
      </c>
      <c r="R753" s="519">
        <v>46139</v>
      </c>
      <c r="U753" s="519">
        <v>46178</v>
      </c>
    </row>
    <row r="754" spans="1:21">
      <c r="A754" t="s">
        <v>953</v>
      </c>
      <c r="B754" t="s">
        <v>1153</v>
      </c>
      <c r="C754" t="s">
        <v>953</v>
      </c>
      <c r="D754">
        <v>20471501</v>
      </c>
      <c r="E754" t="s">
        <v>2252</v>
      </c>
      <c r="F754" t="s">
        <v>581</v>
      </c>
      <c r="G754" t="s">
        <v>2248</v>
      </c>
      <c r="H754" t="s">
        <v>589</v>
      </c>
      <c r="I754" t="s">
        <v>894</v>
      </c>
      <c r="J754" s="519">
        <v>46095</v>
      </c>
      <c r="K754" s="519">
        <v>46095</v>
      </c>
      <c r="R754" s="519">
        <v>46115</v>
      </c>
      <c r="U754" s="519">
        <v>46095</v>
      </c>
    </row>
    <row r="755" spans="1:21">
      <c r="A755" t="s">
        <v>953</v>
      </c>
      <c r="B755" t="s">
        <v>1153</v>
      </c>
      <c r="C755" t="s">
        <v>953</v>
      </c>
      <c r="D755">
        <v>20471688</v>
      </c>
      <c r="E755" t="s">
        <v>2252</v>
      </c>
      <c r="F755" t="s">
        <v>582</v>
      </c>
      <c r="G755" t="s">
        <v>2250</v>
      </c>
      <c r="H755" t="s">
        <v>589</v>
      </c>
      <c r="I755" t="s">
        <v>894</v>
      </c>
      <c r="J755" s="519">
        <v>46095</v>
      </c>
      <c r="K755" s="519">
        <v>46095</v>
      </c>
      <c r="R755" s="519">
        <v>46114</v>
      </c>
      <c r="U755" s="519">
        <v>46116</v>
      </c>
    </row>
    <row r="756" spans="1:21">
      <c r="A756" t="s">
        <v>953</v>
      </c>
      <c r="B756" t="s">
        <v>2979</v>
      </c>
      <c r="C756" t="s">
        <v>953</v>
      </c>
      <c r="D756">
        <v>20477765</v>
      </c>
      <c r="E756" t="s">
        <v>2258</v>
      </c>
      <c r="F756" t="s">
        <v>984</v>
      </c>
      <c r="G756" t="s">
        <v>2250</v>
      </c>
      <c r="H756" t="s">
        <v>592</v>
      </c>
      <c r="J756" s="519">
        <v>46103</v>
      </c>
      <c r="R756" s="519">
        <v>46114</v>
      </c>
      <c r="U756" s="519">
        <v>46115</v>
      </c>
    </row>
    <row r="757" spans="1:21">
      <c r="A757" t="s">
        <v>953</v>
      </c>
      <c r="B757" t="s">
        <v>7058</v>
      </c>
      <c r="C757" t="s">
        <v>953</v>
      </c>
      <c r="D757">
        <v>20497527</v>
      </c>
      <c r="E757" t="s">
        <v>2258</v>
      </c>
      <c r="F757" t="s">
        <v>581</v>
      </c>
      <c r="G757" t="s">
        <v>2259</v>
      </c>
      <c r="H757" t="s">
        <v>592</v>
      </c>
      <c r="I757" t="s">
        <v>3076</v>
      </c>
      <c r="J757" s="519">
        <v>46128</v>
      </c>
      <c r="R757" s="519">
        <v>46139</v>
      </c>
      <c r="U757" s="519">
        <v>46113</v>
      </c>
    </row>
    <row r="758" spans="1:21">
      <c r="A758" t="s">
        <v>953</v>
      </c>
      <c r="B758" t="s">
        <v>7059</v>
      </c>
      <c r="C758" t="s">
        <v>953</v>
      </c>
      <c r="D758">
        <v>20507655</v>
      </c>
      <c r="E758" t="s">
        <v>2245</v>
      </c>
      <c r="F758" t="s">
        <v>581</v>
      </c>
      <c r="G758" t="s">
        <v>2259</v>
      </c>
      <c r="H758" t="s">
        <v>593</v>
      </c>
      <c r="J758" s="519">
        <v>46135</v>
      </c>
      <c r="U758" s="519">
        <v>46121</v>
      </c>
    </row>
    <row r="759" spans="1:21">
      <c r="A759" t="s">
        <v>953</v>
      </c>
      <c r="B759" t="s">
        <v>2980</v>
      </c>
      <c r="C759" t="s">
        <v>953</v>
      </c>
      <c r="D759">
        <v>20476419</v>
      </c>
      <c r="E759" t="s">
        <v>2258</v>
      </c>
      <c r="F759" t="s">
        <v>581</v>
      </c>
      <c r="G759" t="s">
        <v>2250</v>
      </c>
      <c r="H759" t="s">
        <v>592</v>
      </c>
      <c r="J759" s="519">
        <v>46100</v>
      </c>
      <c r="R759" s="519">
        <v>46114</v>
      </c>
      <c r="U759" s="519">
        <v>46189</v>
      </c>
    </row>
    <row r="760" spans="1:21">
      <c r="A760" t="s">
        <v>953</v>
      </c>
      <c r="B760" t="s">
        <v>7060</v>
      </c>
      <c r="C760" t="s">
        <v>953</v>
      </c>
      <c r="D760">
        <v>20501919</v>
      </c>
      <c r="E760" t="s">
        <v>2245</v>
      </c>
      <c r="F760" t="s">
        <v>984</v>
      </c>
      <c r="G760" t="s">
        <v>2250</v>
      </c>
      <c r="H760" t="s">
        <v>2361</v>
      </c>
      <c r="J760" s="519">
        <v>46132</v>
      </c>
      <c r="U760" s="519">
        <v>46152</v>
      </c>
    </row>
    <row r="761" spans="1:21">
      <c r="A761" t="s">
        <v>953</v>
      </c>
      <c r="B761" t="s">
        <v>7061</v>
      </c>
      <c r="C761" t="s">
        <v>953</v>
      </c>
      <c r="D761">
        <v>20507287</v>
      </c>
      <c r="E761" t="s">
        <v>2245</v>
      </c>
      <c r="F761" t="s">
        <v>984</v>
      </c>
      <c r="G761" t="s">
        <v>2246</v>
      </c>
      <c r="H761" t="s">
        <v>592</v>
      </c>
      <c r="J761" s="519">
        <v>46134</v>
      </c>
      <c r="U761" s="519">
        <v>46158</v>
      </c>
    </row>
    <row r="762" spans="1:21">
      <c r="A762" t="s">
        <v>953</v>
      </c>
      <c r="B762" t="s">
        <v>7062</v>
      </c>
      <c r="C762" t="s">
        <v>953</v>
      </c>
      <c r="D762">
        <v>20509511</v>
      </c>
      <c r="E762" t="s">
        <v>1110</v>
      </c>
      <c r="F762" t="s">
        <v>583</v>
      </c>
      <c r="G762" t="s">
        <v>2250</v>
      </c>
      <c r="H762" t="s">
        <v>587</v>
      </c>
      <c r="I762" t="s">
        <v>986</v>
      </c>
      <c r="J762" s="519">
        <v>46137</v>
      </c>
      <c r="K762" s="519">
        <v>46137</v>
      </c>
      <c r="L762" s="519">
        <v>46137</v>
      </c>
      <c r="U762" s="519">
        <v>46141</v>
      </c>
    </row>
    <row r="763" spans="1:21">
      <c r="A763" t="s">
        <v>953</v>
      </c>
      <c r="B763" t="s">
        <v>7063</v>
      </c>
      <c r="C763" t="s">
        <v>953</v>
      </c>
      <c r="D763">
        <v>20508913</v>
      </c>
      <c r="E763" t="s">
        <v>2245</v>
      </c>
      <c r="F763" t="s">
        <v>582</v>
      </c>
      <c r="G763" t="s">
        <v>2259</v>
      </c>
      <c r="H763" t="s">
        <v>592</v>
      </c>
      <c r="J763" s="519">
        <v>46136</v>
      </c>
      <c r="U763" s="519">
        <v>46150</v>
      </c>
    </row>
    <row r="764" spans="1:21">
      <c r="A764" t="s">
        <v>953</v>
      </c>
      <c r="B764" t="s">
        <v>3477</v>
      </c>
      <c r="C764" t="s">
        <v>953</v>
      </c>
      <c r="D764">
        <v>20411072</v>
      </c>
      <c r="E764" t="s">
        <v>2258</v>
      </c>
      <c r="F764" t="s">
        <v>984</v>
      </c>
      <c r="G764" t="s">
        <v>2290</v>
      </c>
      <c r="H764" t="s">
        <v>591</v>
      </c>
      <c r="J764" s="519">
        <v>46013</v>
      </c>
      <c r="R764" s="519">
        <v>46114</v>
      </c>
      <c r="U764" s="519">
        <v>46013</v>
      </c>
    </row>
    <row r="765" spans="1:21">
      <c r="A765" t="s">
        <v>953</v>
      </c>
      <c r="B765" t="s">
        <v>3478</v>
      </c>
      <c r="C765" t="s">
        <v>953</v>
      </c>
      <c r="D765">
        <v>20420222</v>
      </c>
      <c r="E765" t="s">
        <v>2258</v>
      </c>
      <c r="F765" t="s">
        <v>578</v>
      </c>
      <c r="G765" t="s">
        <v>2248</v>
      </c>
      <c r="H765" t="s">
        <v>592</v>
      </c>
      <c r="J765" s="519">
        <v>46029</v>
      </c>
      <c r="R765" s="519">
        <v>46114</v>
      </c>
      <c r="U765" s="519">
        <v>46029</v>
      </c>
    </row>
    <row r="766" spans="1:21">
      <c r="A766" t="s">
        <v>953</v>
      </c>
      <c r="B766" t="s">
        <v>3479</v>
      </c>
      <c r="C766" t="s">
        <v>953</v>
      </c>
      <c r="D766">
        <v>20489451</v>
      </c>
      <c r="E766" t="s">
        <v>2258</v>
      </c>
      <c r="F766" t="s">
        <v>984</v>
      </c>
      <c r="G766" t="s">
        <v>2246</v>
      </c>
      <c r="H766" t="s">
        <v>592</v>
      </c>
      <c r="J766" s="519">
        <v>46119</v>
      </c>
      <c r="R766" s="519">
        <v>46139</v>
      </c>
      <c r="U766" s="519">
        <v>46209</v>
      </c>
    </row>
    <row r="767" spans="1:21">
      <c r="A767" t="s">
        <v>953</v>
      </c>
      <c r="B767" t="s">
        <v>7064</v>
      </c>
      <c r="C767" t="s">
        <v>953</v>
      </c>
      <c r="D767">
        <v>20507099</v>
      </c>
      <c r="E767" t="s">
        <v>2245</v>
      </c>
      <c r="F767" t="s">
        <v>984</v>
      </c>
      <c r="G767" t="s">
        <v>2250</v>
      </c>
      <c r="H767" t="s">
        <v>2361</v>
      </c>
      <c r="J767" s="519">
        <v>46134</v>
      </c>
      <c r="U767" s="519">
        <v>46173</v>
      </c>
    </row>
    <row r="768" spans="1:21">
      <c r="A768" t="s">
        <v>953</v>
      </c>
      <c r="B768" t="s">
        <v>2981</v>
      </c>
      <c r="C768" t="s">
        <v>953</v>
      </c>
      <c r="D768">
        <v>20483575</v>
      </c>
      <c r="E768" t="s">
        <v>1100</v>
      </c>
      <c r="F768" t="s">
        <v>581</v>
      </c>
      <c r="G768" t="s">
        <v>2259</v>
      </c>
      <c r="H768" t="s">
        <v>592</v>
      </c>
      <c r="I768" t="s">
        <v>2581</v>
      </c>
      <c r="J768" s="519">
        <v>46111</v>
      </c>
      <c r="K768" s="519">
        <v>46118</v>
      </c>
      <c r="U768" s="519">
        <v>46142</v>
      </c>
    </row>
    <row r="769" spans="1:21">
      <c r="A769" t="s">
        <v>953</v>
      </c>
      <c r="B769" t="s">
        <v>2981</v>
      </c>
      <c r="C769" t="s">
        <v>953</v>
      </c>
      <c r="D769">
        <v>20510754</v>
      </c>
      <c r="E769" t="s">
        <v>2245</v>
      </c>
      <c r="F769" t="s">
        <v>984</v>
      </c>
      <c r="G769" t="s">
        <v>2259</v>
      </c>
      <c r="H769" t="s">
        <v>593</v>
      </c>
      <c r="J769" s="519">
        <v>46139</v>
      </c>
      <c r="U769" s="519">
        <v>46139</v>
      </c>
    </row>
    <row r="770" spans="1:21">
      <c r="A770" t="s">
        <v>953</v>
      </c>
      <c r="B770" t="s">
        <v>2981</v>
      </c>
      <c r="C770" t="s">
        <v>953</v>
      </c>
      <c r="D770">
        <v>20488188</v>
      </c>
      <c r="E770" t="s">
        <v>1100</v>
      </c>
      <c r="F770" t="s">
        <v>581</v>
      </c>
      <c r="G770" t="s">
        <v>2250</v>
      </c>
      <c r="H770" t="s">
        <v>587</v>
      </c>
      <c r="I770" t="s">
        <v>2581</v>
      </c>
      <c r="J770" s="519">
        <v>46118</v>
      </c>
      <c r="K770" s="519">
        <v>46118</v>
      </c>
      <c r="U770" s="519">
        <v>46142</v>
      </c>
    </row>
    <row r="771" spans="1:21">
      <c r="A771" t="s">
        <v>953</v>
      </c>
      <c r="B771" t="s">
        <v>2982</v>
      </c>
      <c r="C771" t="s">
        <v>953</v>
      </c>
      <c r="D771">
        <v>20482233</v>
      </c>
      <c r="E771" t="s">
        <v>2252</v>
      </c>
      <c r="F771" t="s">
        <v>1115</v>
      </c>
      <c r="G771" t="s">
        <v>2250</v>
      </c>
      <c r="H771" t="s">
        <v>587</v>
      </c>
      <c r="I771" t="s">
        <v>2983</v>
      </c>
      <c r="J771" s="519">
        <v>46109</v>
      </c>
      <c r="K771" s="519">
        <v>46109</v>
      </c>
      <c r="R771" s="519">
        <v>46114</v>
      </c>
      <c r="U771" s="519">
        <v>46160</v>
      </c>
    </row>
    <row r="772" spans="1:21">
      <c r="A772" t="s">
        <v>953</v>
      </c>
      <c r="B772" t="s">
        <v>2984</v>
      </c>
      <c r="C772" t="s">
        <v>953</v>
      </c>
      <c r="D772">
        <v>20477898</v>
      </c>
      <c r="E772" t="s">
        <v>2258</v>
      </c>
      <c r="F772" t="s">
        <v>984</v>
      </c>
      <c r="G772" t="s">
        <v>2250</v>
      </c>
      <c r="H772" t="s">
        <v>592</v>
      </c>
      <c r="J772" s="519">
        <v>46103</v>
      </c>
      <c r="R772" s="519">
        <v>46114</v>
      </c>
      <c r="U772" s="519">
        <v>46108</v>
      </c>
    </row>
    <row r="773" spans="1:21">
      <c r="A773" t="s">
        <v>953</v>
      </c>
      <c r="B773" t="s">
        <v>7065</v>
      </c>
      <c r="C773" t="s">
        <v>953</v>
      </c>
      <c r="D773">
        <v>20501447</v>
      </c>
      <c r="E773" t="s">
        <v>2245</v>
      </c>
      <c r="F773" t="s">
        <v>984</v>
      </c>
      <c r="G773" t="s">
        <v>2250</v>
      </c>
      <c r="H773" t="s">
        <v>2361</v>
      </c>
      <c r="J773" s="519">
        <v>46131</v>
      </c>
      <c r="U773" s="519">
        <v>46132</v>
      </c>
    </row>
    <row r="774" spans="1:21">
      <c r="A774" t="s">
        <v>953</v>
      </c>
      <c r="B774" t="s">
        <v>2985</v>
      </c>
      <c r="C774" t="s">
        <v>953</v>
      </c>
      <c r="D774">
        <v>20461800</v>
      </c>
      <c r="E774" t="s">
        <v>2252</v>
      </c>
      <c r="F774" t="s">
        <v>583</v>
      </c>
      <c r="G774" t="s">
        <v>2250</v>
      </c>
      <c r="H774" t="s">
        <v>587</v>
      </c>
      <c r="I774" t="s">
        <v>2288</v>
      </c>
      <c r="J774" s="519">
        <v>46084</v>
      </c>
      <c r="K774" s="519">
        <v>46084</v>
      </c>
      <c r="L774" s="519">
        <v>46084</v>
      </c>
      <c r="R774" s="519">
        <v>46120</v>
      </c>
      <c r="U774" s="519">
        <v>46160</v>
      </c>
    </row>
    <row r="775" spans="1:21">
      <c r="A775" t="s">
        <v>953</v>
      </c>
      <c r="B775" t="s">
        <v>2985</v>
      </c>
      <c r="C775" t="s">
        <v>953</v>
      </c>
      <c r="D775">
        <v>20414491</v>
      </c>
      <c r="E775" t="s">
        <v>2252</v>
      </c>
      <c r="F775" t="s">
        <v>583</v>
      </c>
      <c r="G775" t="s">
        <v>2259</v>
      </c>
      <c r="H775" t="s">
        <v>593</v>
      </c>
      <c r="J775" s="519">
        <v>46020</v>
      </c>
      <c r="K775" s="519">
        <v>46086</v>
      </c>
      <c r="R775" s="519">
        <v>46114</v>
      </c>
      <c r="U775" s="519">
        <v>46160</v>
      </c>
    </row>
    <row r="776" spans="1:21">
      <c r="A776" t="s">
        <v>953</v>
      </c>
      <c r="B776" t="s">
        <v>2986</v>
      </c>
      <c r="C776" t="s">
        <v>953</v>
      </c>
      <c r="D776">
        <v>20465305</v>
      </c>
      <c r="E776" t="s">
        <v>2252</v>
      </c>
      <c r="F776" t="s">
        <v>1001</v>
      </c>
      <c r="G776" t="s">
        <v>2250</v>
      </c>
      <c r="H776" t="s">
        <v>588</v>
      </c>
      <c r="I776" t="s">
        <v>1020</v>
      </c>
      <c r="J776" s="519">
        <v>46090</v>
      </c>
      <c r="K776" s="519">
        <v>46090</v>
      </c>
      <c r="R776" s="519">
        <v>46114</v>
      </c>
      <c r="U776" s="519">
        <v>46090</v>
      </c>
    </row>
    <row r="777" spans="1:21">
      <c r="A777" t="s">
        <v>953</v>
      </c>
      <c r="B777" t="s">
        <v>2474</v>
      </c>
      <c r="C777" t="s">
        <v>953</v>
      </c>
      <c r="D777">
        <v>20449224</v>
      </c>
      <c r="E777" t="s">
        <v>2258</v>
      </c>
      <c r="F777" t="s">
        <v>984</v>
      </c>
      <c r="G777" t="s">
        <v>1213</v>
      </c>
      <c r="H777" t="s">
        <v>591</v>
      </c>
      <c r="J777" s="519">
        <v>46067</v>
      </c>
      <c r="R777" s="519">
        <v>46114</v>
      </c>
      <c r="U777" s="519">
        <v>46067</v>
      </c>
    </row>
    <row r="778" spans="1:21">
      <c r="A778" t="s">
        <v>953</v>
      </c>
      <c r="B778" t="s">
        <v>7066</v>
      </c>
      <c r="C778" t="s">
        <v>953</v>
      </c>
      <c r="D778">
        <v>20500275</v>
      </c>
      <c r="E778" t="s">
        <v>2245</v>
      </c>
      <c r="F778" t="s">
        <v>984</v>
      </c>
      <c r="G778" t="s">
        <v>2250</v>
      </c>
      <c r="H778" t="s">
        <v>2361</v>
      </c>
      <c r="J778" s="519">
        <v>46129</v>
      </c>
      <c r="U778" s="519">
        <v>46131</v>
      </c>
    </row>
    <row r="779" spans="1:21">
      <c r="A779" t="s">
        <v>953</v>
      </c>
      <c r="B779" t="s">
        <v>7066</v>
      </c>
      <c r="C779" t="s">
        <v>953</v>
      </c>
      <c r="D779">
        <v>20500274</v>
      </c>
      <c r="E779" t="s">
        <v>2245</v>
      </c>
      <c r="F779" t="s">
        <v>984</v>
      </c>
      <c r="G779" t="s">
        <v>2250</v>
      </c>
      <c r="H779" t="s">
        <v>2361</v>
      </c>
      <c r="J779" s="519">
        <v>46129</v>
      </c>
      <c r="U779" s="519">
        <v>46131</v>
      </c>
    </row>
    <row r="780" spans="1:21">
      <c r="A780" t="s">
        <v>953</v>
      </c>
      <c r="B780" t="s">
        <v>2475</v>
      </c>
      <c r="C780" t="s">
        <v>953</v>
      </c>
      <c r="D780">
        <v>20442365</v>
      </c>
      <c r="E780" t="s">
        <v>2252</v>
      </c>
      <c r="F780" t="s">
        <v>1001</v>
      </c>
      <c r="G780" t="s">
        <v>2250</v>
      </c>
      <c r="H780" t="s">
        <v>587</v>
      </c>
      <c r="J780" s="519">
        <v>46059</v>
      </c>
      <c r="K780" s="519">
        <v>46059</v>
      </c>
      <c r="R780" s="519">
        <v>46114</v>
      </c>
      <c r="U780" s="519">
        <v>46080</v>
      </c>
    </row>
    <row r="781" spans="1:21">
      <c r="A781" t="s">
        <v>953</v>
      </c>
      <c r="B781" t="s">
        <v>2987</v>
      </c>
      <c r="C781" t="s">
        <v>953</v>
      </c>
      <c r="D781">
        <v>20482388</v>
      </c>
      <c r="E781" t="s">
        <v>2258</v>
      </c>
      <c r="F781" t="s">
        <v>984</v>
      </c>
      <c r="G781" t="s">
        <v>2250</v>
      </c>
      <c r="H781" t="s">
        <v>592</v>
      </c>
      <c r="J781" s="519">
        <v>46109</v>
      </c>
      <c r="R781" s="519">
        <v>46139</v>
      </c>
      <c r="U781" s="519">
        <v>46143</v>
      </c>
    </row>
    <row r="782" spans="1:21">
      <c r="A782" t="s">
        <v>953</v>
      </c>
      <c r="B782" t="s">
        <v>2988</v>
      </c>
      <c r="C782" t="s">
        <v>953</v>
      </c>
      <c r="D782">
        <v>20466156</v>
      </c>
      <c r="E782" t="s">
        <v>2258</v>
      </c>
      <c r="F782" t="s">
        <v>984</v>
      </c>
      <c r="G782" t="s">
        <v>2290</v>
      </c>
      <c r="H782" t="s">
        <v>587</v>
      </c>
      <c r="J782" s="519">
        <v>46091</v>
      </c>
      <c r="R782" s="519">
        <v>46114</v>
      </c>
      <c r="U782" s="519">
        <v>46095</v>
      </c>
    </row>
    <row r="783" spans="1:21">
      <c r="A783" t="s">
        <v>953</v>
      </c>
      <c r="B783" t="s">
        <v>2989</v>
      </c>
      <c r="C783" t="s">
        <v>953</v>
      </c>
      <c r="D783">
        <v>20470438</v>
      </c>
      <c r="E783" t="s">
        <v>2252</v>
      </c>
      <c r="F783" t="s">
        <v>984</v>
      </c>
      <c r="G783" t="s">
        <v>2250</v>
      </c>
      <c r="H783" t="s">
        <v>592</v>
      </c>
      <c r="J783" s="519">
        <v>46093</v>
      </c>
      <c r="K783" s="519">
        <v>46093</v>
      </c>
      <c r="R783" s="519">
        <v>46115</v>
      </c>
      <c r="U783" s="519">
        <v>46095</v>
      </c>
    </row>
    <row r="784" spans="1:21">
      <c r="A784" t="s">
        <v>953</v>
      </c>
      <c r="B784" t="s">
        <v>7067</v>
      </c>
      <c r="C784" t="s">
        <v>953</v>
      </c>
      <c r="D784">
        <v>20511271</v>
      </c>
      <c r="E784" t="s">
        <v>2245</v>
      </c>
      <c r="F784" t="s">
        <v>984</v>
      </c>
      <c r="G784" t="s">
        <v>2246</v>
      </c>
      <c r="H784" t="s">
        <v>592</v>
      </c>
      <c r="J784" s="519">
        <v>46139</v>
      </c>
      <c r="U784" s="519">
        <v>46174</v>
      </c>
    </row>
    <row r="785" spans="1:21">
      <c r="A785" t="s">
        <v>953</v>
      </c>
      <c r="B785" t="s">
        <v>3480</v>
      </c>
      <c r="C785" t="s">
        <v>953</v>
      </c>
      <c r="D785">
        <v>20420103</v>
      </c>
      <c r="E785" t="s">
        <v>2258</v>
      </c>
      <c r="F785" t="s">
        <v>984</v>
      </c>
      <c r="G785" t="s">
        <v>2259</v>
      </c>
      <c r="H785" t="s">
        <v>2388</v>
      </c>
      <c r="J785" s="519">
        <v>46029</v>
      </c>
      <c r="R785" s="519">
        <v>46114</v>
      </c>
      <c r="U785" s="519">
        <v>46029</v>
      </c>
    </row>
    <row r="786" spans="1:21">
      <c r="A786" t="s">
        <v>953</v>
      </c>
      <c r="B786" t="s">
        <v>3481</v>
      </c>
      <c r="C786" t="s">
        <v>953</v>
      </c>
      <c r="D786">
        <v>20488658</v>
      </c>
      <c r="E786" t="s">
        <v>2258</v>
      </c>
      <c r="F786" t="s">
        <v>984</v>
      </c>
      <c r="G786" t="s">
        <v>2250</v>
      </c>
      <c r="H786" t="s">
        <v>592</v>
      </c>
      <c r="J786" s="519">
        <v>46118</v>
      </c>
      <c r="R786" s="519">
        <v>46139</v>
      </c>
      <c r="U786" s="519">
        <v>46119</v>
      </c>
    </row>
    <row r="787" spans="1:21">
      <c r="A787" t="s">
        <v>953</v>
      </c>
      <c r="B787" t="s">
        <v>2476</v>
      </c>
      <c r="C787" t="s">
        <v>953</v>
      </c>
      <c r="D787">
        <v>20443070</v>
      </c>
      <c r="E787" t="s">
        <v>2258</v>
      </c>
      <c r="F787" t="s">
        <v>984</v>
      </c>
      <c r="G787" t="s">
        <v>2246</v>
      </c>
      <c r="H787" t="s">
        <v>587</v>
      </c>
      <c r="J787" s="519">
        <v>46060</v>
      </c>
      <c r="R787" s="519">
        <v>46114</v>
      </c>
      <c r="U787" s="519">
        <v>46068</v>
      </c>
    </row>
    <row r="788" spans="1:21">
      <c r="A788" t="s">
        <v>953</v>
      </c>
      <c r="B788" t="s">
        <v>2991</v>
      </c>
      <c r="C788" t="s">
        <v>953</v>
      </c>
      <c r="D788">
        <v>20480916</v>
      </c>
      <c r="E788" t="s">
        <v>2258</v>
      </c>
      <c r="F788" t="s">
        <v>984</v>
      </c>
      <c r="G788" t="s">
        <v>2259</v>
      </c>
      <c r="H788" t="s">
        <v>592</v>
      </c>
      <c r="J788" s="519">
        <v>46107</v>
      </c>
      <c r="R788" s="519">
        <v>46115</v>
      </c>
      <c r="U788" s="519">
        <v>46107</v>
      </c>
    </row>
    <row r="789" spans="1:21">
      <c r="A789" t="s">
        <v>953</v>
      </c>
      <c r="B789" t="s">
        <v>2992</v>
      </c>
      <c r="C789" t="s">
        <v>953</v>
      </c>
      <c r="D789">
        <v>20481005</v>
      </c>
      <c r="E789" t="s">
        <v>2252</v>
      </c>
      <c r="F789" t="s">
        <v>1115</v>
      </c>
      <c r="G789" t="s">
        <v>2250</v>
      </c>
      <c r="H789" t="s">
        <v>592</v>
      </c>
      <c r="J789" s="519">
        <v>46107</v>
      </c>
      <c r="K789" s="519">
        <v>46107</v>
      </c>
      <c r="R789" s="519">
        <v>46115</v>
      </c>
      <c r="U789" s="519">
        <v>46107</v>
      </c>
    </row>
    <row r="790" spans="1:21">
      <c r="A790" t="s">
        <v>953</v>
      </c>
      <c r="B790" t="s">
        <v>2477</v>
      </c>
      <c r="C790" t="s">
        <v>953</v>
      </c>
      <c r="D790">
        <v>20444578</v>
      </c>
      <c r="E790" t="s">
        <v>2258</v>
      </c>
      <c r="F790" t="s">
        <v>581</v>
      </c>
      <c r="G790" t="s">
        <v>1213</v>
      </c>
      <c r="H790" t="s">
        <v>587</v>
      </c>
      <c r="J790" s="519">
        <v>46063</v>
      </c>
      <c r="R790" s="519">
        <v>46114</v>
      </c>
      <c r="U790" s="519">
        <v>46072</v>
      </c>
    </row>
    <row r="791" spans="1:21">
      <c r="A791" t="s">
        <v>953</v>
      </c>
      <c r="B791" t="s">
        <v>2993</v>
      </c>
      <c r="C791" t="s">
        <v>953</v>
      </c>
      <c r="D791">
        <v>20475240</v>
      </c>
      <c r="E791" t="s">
        <v>2258</v>
      </c>
      <c r="F791" t="s">
        <v>581</v>
      </c>
      <c r="G791" t="s">
        <v>2248</v>
      </c>
      <c r="H791" t="s">
        <v>592</v>
      </c>
      <c r="I791" t="s">
        <v>1034</v>
      </c>
      <c r="J791" s="519">
        <v>46099</v>
      </c>
      <c r="R791" s="519">
        <v>46114</v>
      </c>
      <c r="U791" s="519">
        <v>46099</v>
      </c>
    </row>
    <row r="792" spans="1:21">
      <c r="A792" t="s">
        <v>953</v>
      </c>
      <c r="B792" t="s">
        <v>3482</v>
      </c>
      <c r="C792" t="s">
        <v>953</v>
      </c>
      <c r="D792">
        <v>20411782</v>
      </c>
      <c r="E792" t="s">
        <v>2258</v>
      </c>
      <c r="F792" t="s">
        <v>581</v>
      </c>
      <c r="G792" t="s">
        <v>2290</v>
      </c>
      <c r="H792" t="s">
        <v>591</v>
      </c>
      <c r="J792" s="519">
        <v>46014</v>
      </c>
      <c r="R792" s="519">
        <v>46114</v>
      </c>
      <c r="U792" s="519">
        <v>46150</v>
      </c>
    </row>
    <row r="793" spans="1:21">
      <c r="A793" t="s">
        <v>953</v>
      </c>
      <c r="B793" t="s">
        <v>3483</v>
      </c>
      <c r="C793" t="s">
        <v>953</v>
      </c>
      <c r="D793">
        <v>20425571</v>
      </c>
      <c r="E793" t="s">
        <v>2258</v>
      </c>
      <c r="F793" t="s">
        <v>578</v>
      </c>
      <c r="G793" t="s">
        <v>2248</v>
      </c>
      <c r="H793" t="s">
        <v>588</v>
      </c>
      <c r="J793" s="519">
        <v>46036</v>
      </c>
      <c r="R793" s="519">
        <v>46114</v>
      </c>
      <c r="U793" s="519">
        <v>46045</v>
      </c>
    </row>
    <row r="794" spans="1:21">
      <c r="A794" t="s">
        <v>953</v>
      </c>
      <c r="B794" t="s">
        <v>3484</v>
      </c>
      <c r="C794" t="s">
        <v>953</v>
      </c>
      <c r="D794">
        <v>20435201</v>
      </c>
      <c r="E794" t="s">
        <v>2258</v>
      </c>
      <c r="F794" t="s">
        <v>578</v>
      </c>
      <c r="G794" t="s">
        <v>2259</v>
      </c>
      <c r="H794" t="s">
        <v>591</v>
      </c>
      <c r="J794" s="519">
        <v>46048</v>
      </c>
      <c r="R794" s="519">
        <v>46114</v>
      </c>
      <c r="U794" s="519">
        <v>46048</v>
      </c>
    </row>
    <row r="795" spans="1:21">
      <c r="A795" t="s">
        <v>953</v>
      </c>
      <c r="B795" t="s">
        <v>7068</v>
      </c>
      <c r="C795" t="s">
        <v>953</v>
      </c>
      <c r="D795">
        <v>20507209</v>
      </c>
      <c r="E795" t="s">
        <v>2245</v>
      </c>
      <c r="F795" t="s">
        <v>984</v>
      </c>
      <c r="G795" t="s">
        <v>2246</v>
      </c>
      <c r="H795" t="s">
        <v>592</v>
      </c>
      <c r="J795" s="519">
        <v>46134</v>
      </c>
      <c r="U795" s="519">
        <v>46204</v>
      </c>
    </row>
    <row r="796" spans="1:21">
      <c r="A796" t="s">
        <v>953</v>
      </c>
      <c r="B796" t="s">
        <v>2481</v>
      </c>
      <c r="C796" t="s">
        <v>953</v>
      </c>
      <c r="D796">
        <v>20452705</v>
      </c>
      <c r="E796" t="s">
        <v>2258</v>
      </c>
      <c r="F796" t="s">
        <v>984</v>
      </c>
      <c r="G796" t="s">
        <v>2246</v>
      </c>
      <c r="H796" t="s">
        <v>587</v>
      </c>
      <c r="J796" s="519">
        <v>46071</v>
      </c>
      <c r="R796" s="519">
        <v>46114</v>
      </c>
      <c r="U796" s="519">
        <v>46083</v>
      </c>
    </row>
    <row r="797" spans="1:21">
      <c r="A797" t="s">
        <v>953</v>
      </c>
      <c r="B797" t="s">
        <v>3485</v>
      </c>
      <c r="C797" t="s">
        <v>953</v>
      </c>
      <c r="D797">
        <v>20486287</v>
      </c>
      <c r="E797" t="s">
        <v>2258</v>
      </c>
      <c r="F797" t="s">
        <v>984</v>
      </c>
      <c r="G797" t="s">
        <v>2250</v>
      </c>
      <c r="H797" t="s">
        <v>592</v>
      </c>
      <c r="J797" s="519">
        <v>46114</v>
      </c>
      <c r="R797" s="519">
        <v>46115</v>
      </c>
      <c r="U797" s="519">
        <v>46118</v>
      </c>
    </row>
    <row r="798" spans="1:21">
      <c r="A798" t="s">
        <v>953</v>
      </c>
      <c r="B798" t="s">
        <v>7069</v>
      </c>
      <c r="C798" t="s">
        <v>953</v>
      </c>
      <c r="D798">
        <v>20504031</v>
      </c>
      <c r="E798" t="s">
        <v>2252</v>
      </c>
      <c r="F798" t="s">
        <v>582</v>
      </c>
      <c r="G798" t="s">
        <v>2250</v>
      </c>
      <c r="H798" t="s">
        <v>592</v>
      </c>
      <c r="I798" t="s">
        <v>5502</v>
      </c>
      <c r="J798" s="519">
        <v>46132</v>
      </c>
      <c r="K798" s="519">
        <v>46132</v>
      </c>
      <c r="L798" s="519">
        <v>46134</v>
      </c>
      <c r="R798" s="519">
        <v>46135</v>
      </c>
      <c r="U798" s="519">
        <v>46142</v>
      </c>
    </row>
    <row r="799" spans="1:21">
      <c r="A799" t="s">
        <v>953</v>
      </c>
      <c r="B799" t="s">
        <v>2994</v>
      </c>
      <c r="C799" t="s">
        <v>953</v>
      </c>
      <c r="D799">
        <v>20471679</v>
      </c>
      <c r="E799" t="s">
        <v>2258</v>
      </c>
      <c r="F799" t="s">
        <v>984</v>
      </c>
      <c r="G799" t="s">
        <v>2250</v>
      </c>
      <c r="H799" t="s">
        <v>592</v>
      </c>
      <c r="J799" s="519">
        <v>46095</v>
      </c>
      <c r="R799" s="519">
        <v>46114</v>
      </c>
      <c r="U799" s="519">
        <v>46097</v>
      </c>
    </row>
    <row r="800" spans="1:21">
      <c r="A800" t="s">
        <v>953</v>
      </c>
      <c r="B800" t="s">
        <v>2994</v>
      </c>
      <c r="C800" t="s">
        <v>953</v>
      </c>
      <c r="D800">
        <v>20478889</v>
      </c>
      <c r="E800" t="s">
        <v>2258</v>
      </c>
      <c r="F800" t="s">
        <v>581</v>
      </c>
      <c r="G800" t="s">
        <v>2250</v>
      </c>
      <c r="H800" t="s">
        <v>592</v>
      </c>
      <c r="J800" s="519">
        <v>46105</v>
      </c>
      <c r="R800" s="519">
        <v>46114</v>
      </c>
      <c r="U800" s="519">
        <v>46165</v>
      </c>
    </row>
    <row r="801" spans="1:21">
      <c r="A801" t="s">
        <v>953</v>
      </c>
      <c r="B801" t="s">
        <v>2995</v>
      </c>
      <c r="C801" t="s">
        <v>953</v>
      </c>
      <c r="D801">
        <v>20464379</v>
      </c>
      <c r="E801" t="s">
        <v>2258</v>
      </c>
      <c r="F801" t="s">
        <v>581</v>
      </c>
      <c r="G801" t="s">
        <v>2248</v>
      </c>
      <c r="H801" t="s">
        <v>587</v>
      </c>
      <c r="I801" t="s">
        <v>1156</v>
      </c>
      <c r="J801" s="519">
        <v>46088</v>
      </c>
      <c r="R801" s="519">
        <v>46114</v>
      </c>
      <c r="U801" s="519">
        <v>46095</v>
      </c>
    </row>
    <row r="802" spans="1:21">
      <c r="A802" t="s">
        <v>953</v>
      </c>
      <c r="B802" t="s">
        <v>7070</v>
      </c>
      <c r="C802" t="s">
        <v>953</v>
      </c>
      <c r="D802">
        <v>20504219</v>
      </c>
      <c r="E802" t="s">
        <v>2245</v>
      </c>
      <c r="F802" t="s">
        <v>984</v>
      </c>
      <c r="G802" t="s">
        <v>2246</v>
      </c>
      <c r="H802" t="s">
        <v>592</v>
      </c>
      <c r="J802" s="519">
        <v>46132</v>
      </c>
      <c r="U802" s="519">
        <v>46224</v>
      </c>
    </row>
    <row r="803" spans="1:21">
      <c r="A803" t="s">
        <v>953</v>
      </c>
      <c r="B803" t="s">
        <v>2996</v>
      </c>
      <c r="C803" t="s">
        <v>953</v>
      </c>
      <c r="D803">
        <v>20480963</v>
      </c>
      <c r="E803" t="s">
        <v>2258</v>
      </c>
      <c r="F803" t="s">
        <v>581</v>
      </c>
      <c r="G803" t="s">
        <v>2250</v>
      </c>
      <c r="H803" t="s">
        <v>592</v>
      </c>
      <c r="J803" s="519">
        <v>46107</v>
      </c>
      <c r="R803" s="519">
        <v>46139</v>
      </c>
      <c r="U803" s="519">
        <v>46138</v>
      </c>
    </row>
    <row r="804" spans="1:21">
      <c r="A804" t="s">
        <v>953</v>
      </c>
      <c r="B804" t="s">
        <v>2996</v>
      </c>
      <c r="C804" t="s">
        <v>953</v>
      </c>
      <c r="D804">
        <v>20482609</v>
      </c>
      <c r="E804" t="s">
        <v>2258</v>
      </c>
      <c r="F804" t="s">
        <v>984</v>
      </c>
      <c r="G804" t="s">
        <v>2250</v>
      </c>
      <c r="H804" t="s">
        <v>592</v>
      </c>
      <c r="J804" s="519">
        <v>46110</v>
      </c>
      <c r="R804" s="519">
        <v>46139</v>
      </c>
      <c r="U804" s="519">
        <v>46141</v>
      </c>
    </row>
    <row r="805" spans="1:21">
      <c r="A805" t="s">
        <v>953</v>
      </c>
      <c r="B805" t="s">
        <v>7071</v>
      </c>
      <c r="C805" t="s">
        <v>953</v>
      </c>
      <c r="D805">
        <v>20501613</v>
      </c>
      <c r="E805" t="s">
        <v>2258</v>
      </c>
      <c r="F805" t="s">
        <v>984</v>
      </c>
      <c r="G805" t="s">
        <v>2250</v>
      </c>
      <c r="H805" t="s">
        <v>2361</v>
      </c>
      <c r="J805" s="519">
        <v>46131</v>
      </c>
      <c r="R805" s="519">
        <v>46139</v>
      </c>
      <c r="U805" s="519">
        <v>46132</v>
      </c>
    </row>
    <row r="806" spans="1:21">
      <c r="A806" t="s">
        <v>953</v>
      </c>
      <c r="B806" t="s">
        <v>2997</v>
      </c>
      <c r="C806" t="s">
        <v>953</v>
      </c>
      <c r="D806">
        <v>20472828</v>
      </c>
      <c r="E806" t="s">
        <v>2258</v>
      </c>
      <c r="F806" t="s">
        <v>984</v>
      </c>
      <c r="G806" t="s">
        <v>2250</v>
      </c>
      <c r="H806" t="s">
        <v>592</v>
      </c>
      <c r="J806" s="519">
        <v>46097</v>
      </c>
      <c r="R806" s="519">
        <v>46114</v>
      </c>
      <c r="U806" s="519">
        <v>46140</v>
      </c>
    </row>
    <row r="807" spans="1:21">
      <c r="A807" t="s">
        <v>953</v>
      </c>
      <c r="B807" t="s">
        <v>3486</v>
      </c>
      <c r="C807" t="s">
        <v>953</v>
      </c>
      <c r="D807">
        <v>20491023</v>
      </c>
      <c r="E807" t="s">
        <v>2258</v>
      </c>
      <c r="F807" t="s">
        <v>581</v>
      </c>
      <c r="G807" t="s">
        <v>2250</v>
      </c>
      <c r="H807" t="s">
        <v>592</v>
      </c>
      <c r="J807" s="519">
        <v>46121</v>
      </c>
      <c r="R807" s="519">
        <v>46139</v>
      </c>
      <c r="U807" s="519">
        <v>46128</v>
      </c>
    </row>
    <row r="808" spans="1:21">
      <c r="A808" t="s">
        <v>953</v>
      </c>
      <c r="B808" t="s">
        <v>2998</v>
      </c>
      <c r="C808" t="s">
        <v>953</v>
      </c>
      <c r="D808">
        <v>20477959</v>
      </c>
      <c r="E808" t="s">
        <v>2258</v>
      </c>
      <c r="F808" t="s">
        <v>984</v>
      </c>
      <c r="G808" t="s">
        <v>2250</v>
      </c>
      <c r="H808" t="s">
        <v>592</v>
      </c>
      <c r="J808" s="519">
        <v>46103</v>
      </c>
      <c r="R808" s="519">
        <v>46114</v>
      </c>
      <c r="U808" s="519">
        <v>46164</v>
      </c>
    </row>
    <row r="809" spans="1:21">
      <c r="A809" t="s">
        <v>953</v>
      </c>
      <c r="B809" t="s">
        <v>3487</v>
      </c>
      <c r="C809" t="s">
        <v>953</v>
      </c>
      <c r="D809">
        <v>20491069</v>
      </c>
      <c r="E809" t="s">
        <v>2258</v>
      </c>
      <c r="F809" t="s">
        <v>581</v>
      </c>
      <c r="G809" t="s">
        <v>2250</v>
      </c>
      <c r="H809" t="s">
        <v>2361</v>
      </c>
      <c r="J809" s="519">
        <v>46121</v>
      </c>
      <c r="R809" s="519">
        <v>46139</v>
      </c>
      <c r="U809" s="519">
        <v>46122</v>
      </c>
    </row>
    <row r="810" spans="1:21">
      <c r="A810" t="s">
        <v>953</v>
      </c>
      <c r="B810" t="s">
        <v>2483</v>
      </c>
      <c r="C810" t="s">
        <v>953</v>
      </c>
      <c r="D810">
        <v>20455295</v>
      </c>
      <c r="E810" t="s">
        <v>2258</v>
      </c>
      <c r="F810" t="s">
        <v>581</v>
      </c>
      <c r="G810" t="s">
        <v>2246</v>
      </c>
      <c r="H810" t="s">
        <v>587</v>
      </c>
      <c r="J810" s="519">
        <v>46075</v>
      </c>
      <c r="R810" s="519">
        <v>46114</v>
      </c>
      <c r="U810" s="519">
        <v>46174</v>
      </c>
    </row>
    <row r="811" spans="1:21">
      <c r="A811" t="s">
        <v>953</v>
      </c>
      <c r="B811" t="s">
        <v>3488</v>
      </c>
      <c r="C811" t="s">
        <v>953</v>
      </c>
      <c r="D811">
        <v>20494431</v>
      </c>
      <c r="E811" t="s">
        <v>2258</v>
      </c>
      <c r="F811" t="s">
        <v>984</v>
      </c>
      <c r="G811" t="s">
        <v>2259</v>
      </c>
      <c r="H811" t="s">
        <v>2388</v>
      </c>
      <c r="J811" s="519">
        <v>46126</v>
      </c>
      <c r="R811" s="519">
        <v>46139</v>
      </c>
      <c r="U811" s="519">
        <v>46126</v>
      </c>
    </row>
    <row r="812" spans="1:21">
      <c r="A812" t="s">
        <v>953</v>
      </c>
      <c r="B812" t="s">
        <v>2484</v>
      </c>
      <c r="C812" t="s">
        <v>953</v>
      </c>
      <c r="D812">
        <v>20441373</v>
      </c>
      <c r="E812" t="s">
        <v>2258</v>
      </c>
      <c r="F812" t="s">
        <v>581</v>
      </c>
      <c r="G812" t="s">
        <v>2246</v>
      </c>
      <c r="H812" t="s">
        <v>587</v>
      </c>
      <c r="J812" s="519">
        <v>46058</v>
      </c>
      <c r="R812" s="519">
        <v>46114</v>
      </c>
      <c r="U812" s="519">
        <v>46335</v>
      </c>
    </row>
    <row r="813" spans="1:21">
      <c r="A813" t="s">
        <v>953</v>
      </c>
      <c r="B813" t="s">
        <v>3489</v>
      </c>
      <c r="C813" t="s">
        <v>953</v>
      </c>
      <c r="D813">
        <v>20492723</v>
      </c>
      <c r="E813" t="s">
        <v>2258</v>
      </c>
      <c r="F813" t="s">
        <v>581</v>
      </c>
      <c r="G813" t="s">
        <v>2250</v>
      </c>
      <c r="H813" t="s">
        <v>2361</v>
      </c>
      <c r="J813" s="519">
        <v>46123</v>
      </c>
      <c r="R813" s="519">
        <v>46139</v>
      </c>
      <c r="U813" s="519">
        <v>46200</v>
      </c>
    </row>
    <row r="814" spans="1:21">
      <c r="A814" t="s">
        <v>953</v>
      </c>
      <c r="B814" t="s">
        <v>990</v>
      </c>
      <c r="C814" t="s">
        <v>953</v>
      </c>
      <c r="D814">
        <v>20461703</v>
      </c>
      <c r="E814" t="s">
        <v>2324</v>
      </c>
      <c r="F814" t="s">
        <v>583</v>
      </c>
      <c r="G814" t="s">
        <v>2250</v>
      </c>
      <c r="H814" t="s">
        <v>587</v>
      </c>
      <c r="I814" t="s">
        <v>1165</v>
      </c>
      <c r="J814" s="519">
        <v>46084</v>
      </c>
      <c r="K814" s="519">
        <v>46084</v>
      </c>
      <c r="L814" s="519">
        <v>46085</v>
      </c>
      <c r="M814" s="519">
        <v>46099</v>
      </c>
      <c r="N814" s="519">
        <v>46099</v>
      </c>
      <c r="P814" s="519">
        <v>46109</v>
      </c>
      <c r="Q814" s="519">
        <v>46109</v>
      </c>
      <c r="U814" s="519">
        <v>46122</v>
      </c>
    </row>
    <row r="815" spans="1:21">
      <c r="A815" t="s">
        <v>953</v>
      </c>
      <c r="B815" t="s">
        <v>3490</v>
      </c>
      <c r="C815" t="s">
        <v>953</v>
      </c>
      <c r="D815">
        <v>20429282</v>
      </c>
      <c r="E815" t="s">
        <v>2258</v>
      </c>
      <c r="F815" t="s">
        <v>581</v>
      </c>
      <c r="G815" t="s">
        <v>2290</v>
      </c>
      <c r="H815" t="s">
        <v>592</v>
      </c>
      <c r="J815" s="519">
        <v>46038</v>
      </c>
      <c r="R815" s="519">
        <v>46114</v>
      </c>
      <c r="U815" s="519">
        <v>46038</v>
      </c>
    </row>
    <row r="816" spans="1:21">
      <c r="A816" t="s">
        <v>953</v>
      </c>
      <c r="B816" t="s">
        <v>2999</v>
      </c>
      <c r="C816" t="s">
        <v>953</v>
      </c>
      <c r="D816">
        <v>20417738</v>
      </c>
      <c r="E816" t="s">
        <v>2252</v>
      </c>
      <c r="F816" t="s">
        <v>1001</v>
      </c>
      <c r="G816" t="s">
        <v>2250</v>
      </c>
      <c r="H816" t="s">
        <v>587</v>
      </c>
      <c r="I816" t="s">
        <v>1165</v>
      </c>
      <c r="J816" s="519">
        <v>46025</v>
      </c>
      <c r="K816" s="519">
        <v>46025</v>
      </c>
      <c r="R816" s="519">
        <v>46114</v>
      </c>
      <c r="U816" s="519">
        <v>46098</v>
      </c>
    </row>
    <row r="817" spans="1:21">
      <c r="A817" t="s">
        <v>953</v>
      </c>
      <c r="B817" t="s">
        <v>3000</v>
      </c>
      <c r="C817" t="s">
        <v>953</v>
      </c>
      <c r="D817">
        <v>20481220</v>
      </c>
      <c r="E817" t="s">
        <v>2258</v>
      </c>
      <c r="F817" t="s">
        <v>984</v>
      </c>
      <c r="G817" t="s">
        <v>2259</v>
      </c>
      <c r="H817" t="s">
        <v>593</v>
      </c>
      <c r="J817" s="519">
        <v>46108</v>
      </c>
      <c r="R817" s="519">
        <v>46116</v>
      </c>
      <c r="U817" s="519">
        <v>46113</v>
      </c>
    </row>
    <row r="818" spans="1:21">
      <c r="A818" t="s">
        <v>953</v>
      </c>
      <c r="B818" t="s">
        <v>2485</v>
      </c>
      <c r="C818" t="s">
        <v>953</v>
      </c>
      <c r="D818">
        <v>20454196</v>
      </c>
      <c r="E818" t="s">
        <v>2252</v>
      </c>
      <c r="F818" t="s">
        <v>1115</v>
      </c>
      <c r="G818" t="s">
        <v>2250</v>
      </c>
      <c r="H818" t="s">
        <v>587</v>
      </c>
      <c r="J818" s="519">
        <v>46073</v>
      </c>
      <c r="K818" s="519">
        <v>46073</v>
      </c>
      <c r="R818" s="519">
        <v>46114</v>
      </c>
      <c r="U818" s="519">
        <v>46073</v>
      </c>
    </row>
    <row r="819" spans="1:21">
      <c r="A819" t="s">
        <v>953</v>
      </c>
      <c r="B819" t="s">
        <v>3491</v>
      </c>
      <c r="C819" t="s">
        <v>953</v>
      </c>
      <c r="D819">
        <v>20474349</v>
      </c>
      <c r="E819" t="s">
        <v>2258</v>
      </c>
      <c r="F819" t="s">
        <v>581</v>
      </c>
      <c r="G819" t="s">
        <v>2259</v>
      </c>
      <c r="H819" t="s">
        <v>592</v>
      </c>
      <c r="J819" s="519">
        <v>46099</v>
      </c>
      <c r="R819" s="519">
        <v>46114</v>
      </c>
      <c r="U819" s="519">
        <v>46142</v>
      </c>
    </row>
    <row r="820" spans="1:21">
      <c r="A820" t="s">
        <v>953</v>
      </c>
      <c r="B820" t="s">
        <v>3001</v>
      </c>
      <c r="C820" t="s">
        <v>953</v>
      </c>
      <c r="D820">
        <v>20472597</v>
      </c>
      <c r="E820" t="s">
        <v>2258</v>
      </c>
      <c r="F820" t="s">
        <v>984</v>
      </c>
      <c r="G820" t="s">
        <v>2250</v>
      </c>
      <c r="H820" t="s">
        <v>592</v>
      </c>
      <c r="J820" s="519">
        <v>46097</v>
      </c>
      <c r="R820" s="519">
        <v>46114</v>
      </c>
      <c r="U820" s="519">
        <v>46113</v>
      </c>
    </row>
    <row r="821" spans="1:21">
      <c r="A821" t="s">
        <v>953</v>
      </c>
      <c r="B821" t="s">
        <v>3492</v>
      </c>
      <c r="C821" t="s">
        <v>953</v>
      </c>
      <c r="D821">
        <v>20490991</v>
      </c>
      <c r="E821" t="s">
        <v>2258</v>
      </c>
      <c r="F821" t="s">
        <v>984</v>
      </c>
      <c r="G821" t="s">
        <v>2250</v>
      </c>
      <c r="H821" t="s">
        <v>592</v>
      </c>
      <c r="J821" s="519">
        <v>46121</v>
      </c>
      <c r="R821" s="519">
        <v>46139</v>
      </c>
      <c r="U821" s="519">
        <v>46174</v>
      </c>
    </row>
    <row r="822" spans="1:21">
      <c r="A822" t="s">
        <v>953</v>
      </c>
      <c r="B822" t="s">
        <v>2489</v>
      </c>
      <c r="C822" t="s">
        <v>953</v>
      </c>
      <c r="D822">
        <v>20445900</v>
      </c>
      <c r="E822" t="s">
        <v>2258</v>
      </c>
      <c r="F822" t="s">
        <v>581</v>
      </c>
      <c r="G822" t="s">
        <v>1213</v>
      </c>
      <c r="H822" t="s">
        <v>587</v>
      </c>
      <c r="J822" s="519">
        <v>46064</v>
      </c>
      <c r="R822" s="519">
        <v>46114</v>
      </c>
      <c r="U822" s="519">
        <v>46099</v>
      </c>
    </row>
    <row r="823" spans="1:21">
      <c r="A823" t="s">
        <v>953</v>
      </c>
      <c r="B823" t="s">
        <v>7072</v>
      </c>
      <c r="C823" t="s">
        <v>953</v>
      </c>
      <c r="D823">
        <v>20500944</v>
      </c>
      <c r="E823" t="s">
        <v>2258</v>
      </c>
      <c r="F823" t="s">
        <v>984</v>
      </c>
      <c r="G823" t="s">
        <v>2250</v>
      </c>
      <c r="H823" t="s">
        <v>592</v>
      </c>
      <c r="J823" s="519">
        <v>46130</v>
      </c>
      <c r="R823" s="519">
        <v>46139</v>
      </c>
      <c r="U823" s="519">
        <v>46242</v>
      </c>
    </row>
    <row r="824" spans="1:21">
      <c r="A824" t="s">
        <v>953</v>
      </c>
      <c r="B824" t="s">
        <v>3002</v>
      </c>
      <c r="C824" t="s">
        <v>953</v>
      </c>
      <c r="D824">
        <v>20476808</v>
      </c>
      <c r="E824" t="s">
        <v>2258</v>
      </c>
      <c r="F824" t="s">
        <v>581</v>
      </c>
      <c r="G824" t="s">
        <v>2250</v>
      </c>
      <c r="H824" t="s">
        <v>592</v>
      </c>
      <c r="J824" s="519">
        <v>46101</v>
      </c>
      <c r="R824" s="519">
        <v>46139</v>
      </c>
      <c r="U824" s="519">
        <v>46146</v>
      </c>
    </row>
    <row r="825" spans="1:21">
      <c r="A825" t="s">
        <v>953</v>
      </c>
      <c r="B825" t="s">
        <v>3493</v>
      </c>
      <c r="C825" t="s">
        <v>953</v>
      </c>
      <c r="D825">
        <v>20489585</v>
      </c>
      <c r="E825" t="s">
        <v>2258</v>
      </c>
      <c r="F825" t="s">
        <v>984</v>
      </c>
      <c r="G825" t="s">
        <v>2250</v>
      </c>
      <c r="H825" t="s">
        <v>592</v>
      </c>
      <c r="J825" s="519">
        <v>46119</v>
      </c>
      <c r="R825" s="519">
        <v>46139</v>
      </c>
      <c r="U825" s="519">
        <v>46172</v>
      </c>
    </row>
    <row r="826" spans="1:21">
      <c r="A826" t="s">
        <v>953</v>
      </c>
      <c r="B826" t="s">
        <v>2490</v>
      </c>
      <c r="C826" t="s">
        <v>953</v>
      </c>
      <c r="D826">
        <v>20452237</v>
      </c>
      <c r="E826" t="s">
        <v>2258</v>
      </c>
      <c r="F826" t="s">
        <v>984</v>
      </c>
      <c r="G826" t="s">
        <v>2246</v>
      </c>
      <c r="H826" t="s">
        <v>587</v>
      </c>
      <c r="J826" s="519">
        <v>46071</v>
      </c>
      <c r="R826" s="519">
        <v>46114</v>
      </c>
      <c r="U826" s="519">
        <v>46173</v>
      </c>
    </row>
    <row r="827" spans="1:21">
      <c r="A827" t="s">
        <v>953</v>
      </c>
      <c r="B827" t="s">
        <v>2491</v>
      </c>
      <c r="C827" t="s">
        <v>953</v>
      </c>
      <c r="D827">
        <v>20442545</v>
      </c>
      <c r="E827" t="s">
        <v>2258</v>
      </c>
      <c r="F827" t="s">
        <v>579</v>
      </c>
      <c r="G827" t="s">
        <v>2246</v>
      </c>
      <c r="H827" t="s">
        <v>2361</v>
      </c>
      <c r="J827" s="519">
        <v>46059</v>
      </c>
      <c r="R827" s="519">
        <v>46114</v>
      </c>
      <c r="U827" s="519">
        <v>46059</v>
      </c>
    </row>
    <row r="828" spans="1:21">
      <c r="A828" t="s">
        <v>953</v>
      </c>
      <c r="B828" t="s">
        <v>3494</v>
      </c>
      <c r="C828" t="s">
        <v>953</v>
      </c>
      <c r="D828">
        <v>20493023</v>
      </c>
      <c r="E828" t="s">
        <v>2258</v>
      </c>
      <c r="F828" t="s">
        <v>581</v>
      </c>
      <c r="G828" t="s">
        <v>2250</v>
      </c>
      <c r="H828" t="s">
        <v>592</v>
      </c>
      <c r="J828" s="519">
        <v>46124</v>
      </c>
      <c r="R828" s="519">
        <v>46139</v>
      </c>
      <c r="U828" s="519">
        <v>46204</v>
      </c>
    </row>
    <row r="829" spans="1:21">
      <c r="A829" t="s">
        <v>953</v>
      </c>
      <c r="B829" t="s">
        <v>7073</v>
      </c>
      <c r="C829" t="s">
        <v>953</v>
      </c>
      <c r="D829">
        <v>20501604</v>
      </c>
      <c r="E829" t="s">
        <v>2258</v>
      </c>
      <c r="F829" t="s">
        <v>984</v>
      </c>
      <c r="G829" t="s">
        <v>2250</v>
      </c>
      <c r="H829" t="s">
        <v>2361</v>
      </c>
      <c r="J829" s="519">
        <v>46131</v>
      </c>
      <c r="R829" s="519">
        <v>46139</v>
      </c>
      <c r="U829" s="519">
        <v>46234</v>
      </c>
    </row>
    <row r="830" spans="1:21">
      <c r="A830" t="s">
        <v>953</v>
      </c>
      <c r="B830" t="s">
        <v>2493</v>
      </c>
      <c r="C830" t="s">
        <v>953</v>
      </c>
      <c r="D830">
        <v>20442646</v>
      </c>
      <c r="E830" t="s">
        <v>2258</v>
      </c>
      <c r="F830" t="s">
        <v>984</v>
      </c>
      <c r="G830" t="s">
        <v>2259</v>
      </c>
      <c r="H830" t="s">
        <v>592</v>
      </c>
      <c r="J830" s="519">
        <v>46060</v>
      </c>
      <c r="R830" s="519">
        <v>46114</v>
      </c>
      <c r="U830" s="519">
        <v>46143</v>
      </c>
    </row>
    <row r="831" spans="1:21">
      <c r="A831" t="s">
        <v>953</v>
      </c>
      <c r="B831" t="s">
        <v>2493</v>
      </c>
      <c r="C831" t="s">
        <v>953</v>
      </c>
      <c r="D831">
        <v>20495299</v>
      </c>
      <c r="E831" t="s">
        <v>2245</v>
      </c>
      <c r="F831" t="s">
        <v>1115</v>
      </c>
      <c r="G831" t="s">
        <v>2290</v>
      </c>
      <c r="H831" t="s">
        <v>592</v>
      </c>
      <c r="J831" s="519">
        <v>46126</v>
      </c>
      <c r="U831" s="519">
        <v>46174</v>
      </c>
    </row>
    <row r="832" spans="1:21">
      <c r="A832" t="s">
        <v>953</v>
      </c>
      <c r="B832" t="s">
        <v>3495</v>
      </c>
      <c r="C832" t="s">
        <v>953</v>
      </c>
      <c r="D832">
        <v>20423664</v>
      </c>
      <c r="E832" t="s">
        <v>2258</v>
      </c>
      <c r="F832" t="s">
        <v>984</v>
      </c>
      <c r="G832" t="s">
        <v>2246</v>
      </c>
      <c r="H832" t="s">
        <v>2361</v>
      </c>
      <c r="J832" s="519">
        <v>46034</v>
      </c>
      <c r="R832" s="519">
        <v>46114</v>
      </c>
      <c r="U832" s="519">
        <v>46034</v>
      </c>
    </row>
    <row r="833" spans="1:21">
      <c r="A833" t="s">
        <v>953</v>
      </c>
      <c r="B833" t="s">
        <v>3003</v>
      </c>
      <c r="C833" t="s">
        <v>953</v>
      </c>
      <c r="D833">
        <v>20484177</v>
      </c>
      <c r="E833" t="s">
        <v>2258</v>
      </c>
      <c r="F833" t="s">
        <v>577</v>
      </c>
      <c r="G833" t="s">
        <v>2246</v>
      </c>
      <c r="H833" t="s">
        <v>591</v>
      </c>
      <c r="I833" t="s">
        <v>2783</v>
      </c>
      <c r="J833" s="519">
        <v>46112</v>
      </c>
      <c r="R833" s="519">
        <v>46114</v>
      </c>
      <c r="U833" s="519">
        <v>46112</v>
      </c>
    </row>
    <row r="834" spans="1:21">
      <c r="A834" t="s">
        <v>953</v>
      </c>
      <c r="B834" t="s">
        <v>3496</v>
      </c>
      <c r="C834" t="s">
        <v>953</v>
      </c>
      <c r="D834">
        <v>20422315</v>
      </c>
      <c r="E834" t="s">
        <v>2258</v>
      </c>
      <c r="F834" t="s">
        <v>577</v>
      </c>
      <c r="G834" t="s">
        <v>2248</v>
      </c>
      <c r="H834" t="s">
        <v>592</v>
      </c>
      <c r="J834" s="519">
        <v>46032</v>
      </c>
      <c r="R834" s="519">
        <v>46114</v>
      </c>
      <c r="U834" s="519">
        <v>46032</v>
      </c>
    </row>
    <row r="835" spans="1:21">
      <c r="A835" t="s">
        <v>953</v>
      </c>
      <c r="B835" t="s">
        <v>3004</v>
      </c>
      <c r="C835" t="s">
        <v>953</v>
      </c>
      <c r="D835">
        <v>20481773</v>
      </c>
      <c r="E835" t="s">
        <v>2258</v>
      </c>
      <c r="F835" t="s">
        <v>984</v>
      </c>
      <c r="G835" t="s">
        <v>2250</v>
      </c>
      <c r="H835" t="s">
        <v>592</v>
      </c>
      <c r="J835" s="519">
        <v>46108</v>
      </c>
      <c r="R835" s="519">
        <v>46116</v>
      </c>
      <c r="U835" s="519">
        <v>46132</v>
      </c>
    </row>
    <row r="836" spans="1:21">
      <c r="A836" t="s">
        <v>953</v>
      </c>
      <c r="B836" t="s">
        <v>3005</v>
      </c>
      <c r="C836" t="s">
        <v>953</v>
      </c>
      <c r="D836">
        <v>20476493</v>
      </c>
      <c r="E836" t="s">
        <v>2258</v>
      </c>
      <c r="F836" t="s">
        <v>984</v>
      </c>
      <c r="G836" t="s">
        <v>2290</v>
      </c>
      <c r="H836" t="s">
        <v>587</v>
      </c>
      <c r="J836" s="519">
        <v>46101</v>
      </c>
      <c r="R836" s="519">
        <v>46116</v>
      </c>
      <c r="U836" s="519">
        <v>46101</v>
      </c>
    </row>
    <row r="837" spans="1:21">
      <c r="A837" t="s">
        <v>953</v>
      </c>
      <c r="B837" t="s">
        <v>3497</v>
      </c>
      <c r="C837" t="s">
        <v>953</v>
      </c>
      <c r="D837">
        <v>20436879</v>
      </c>
      <c r="E837" t="s">
        <v>2258</v>
      </c>
      <c r="F837" t="s">
        <v>984</v>
      </c>
      <c r="G837" t="s">
        <v>2259</v>
      </c>
      <c r="H837" t="s">
        <v>2388</v>
      </c>
      <c r="J837" s="519">
        <v>46051</v>
      </c>
      <c r="R837" s="519">
        <v>46114</v>
      </c>
      <c r="U837" s="519">
        <v>46051</v>
      </c>
    </row>
    <row r="838" spans="1:21">
      <c r="A838" t="s">
        <v>953</v>
      </c>
      <c r="B838" t="s">
        <v>1139</v>
      </c>
      <c r="C838" t="s">
        <v>953</v>
      </c>
      <c r="D838">
        <v>20460821</v>
      </c>
      <c r="E838" t="s">
        <v>2252</v>
      </c>
      <c r="F838" t="s">
        <v>581</v>
      </c>
      <c r="G838" t="s">
        <v>2250</v>
      </c>
      <c r="H838" t="s">
        <v>587</v>
      </c>
      <c r="I838" t="s">
        <v>1138</v>
      </c>
      <c r="J838" s="519">
        <v>46083</v>
      </c>
      <c r="K838" s="519">
        <v>46083</v>
      </c>
      <c r="R838" s="519">
        <v>46114</v>
      </c>
      <c r="U838" s="519">
        <v>46088</v>
      </c>
    </row>
    <row r="839" spans="1:21">
      <c r="A839" t="s">
        <v>953</v>
      </c>
      <c r="B839" t="s">
        <v>3498</v>
      </c>
      <c r="C839" t="s">
        <v>953</v>
      </c>
      <c r="D839">
        <v>20418338</v>
      </c>
      <c r="E839" t="s">
        <v>2258</v>
      </c>
      <c r="F839" t="s">
        <v>984</v>
      </c>
      <c r="G839" t="s">
        <v>2246</v>
      </c>
      <c r="H839" t="s">
        <v>587</v>
      </c>
      <c r="J839" s="519">
        <v>46027</v>
      </c>
      <c r="R839" s="519">
        <v>46114</v>
      </c>
      <c r="U839" s="519">
        <v>46027</v>
      </c>
    </row>
    <row r="840" spans="1:21">
      <c r="A840" t="s">
        <v>953</v>
      </c>
      <c r="B840" t="s">
        <v>2494</v>
      </c>
      <c r="C840" t="s">
        <v>953</v>
      </c>
      <c r="D840">
        <v>20442316</v>
      </c>
      <c r="E840" t="s">
        <v>2258</v>
      </c>
      <c r="F840" t="s">
        <v>581</v>
      </c>
      <c r="G840" t="s">
        <v>2248</v>
      </c>
      <c r="H840" t="s">
        <v>2287</v>
      </c>
      <c r="J840" s="519">
        <v>46059</v>
      </c>
      <c r="R840" s="519">
        <v>46114</v>
      </c>
      <c r="U840" s="519">
        <v>46073</v>
      </c>
    </row>
    <row r="841" spans="1:21">
      <c r="A841" t="s">
        <v>953</v>
      </c>
      <c r="B841" t="s">
        <v>2495</v>
      </c>
      <c r="C841" t="s">
        <v>953</v>
      </c>
      <c r="D841">
        <v>20448313</v>
      </c>
      <c r="E841" t="s">
        <v>2252</v>
      </c>
      <c r="F841" t="s">
        <v>2256</v>
      </c>
      <c r="G841" t="s">
        <v>2248</v>
      </c>
      <c r="H841" t="s">
        <v>591</v>
      </c>
      <c r="J841" s="519">
        <v>46066</v>
      </c>
      <c r="K841" s="519">
        <v>46066</v>
      </c>
      <c r="R841" s="519">
        <v>46114</v>
      </c>
      <c r="U841" s="519">
        <v>46081</v>
      </c>
    </row>
    <row r="842" spans="1:21">
      <c r="A842" t="s">
        <v>953</v>
      </c>
      <c r="B842" t="s">
        <v>3499</v>
      </c>
      <c r="C842" t="s">
        <v>953</v>
      </c>
      <c r="D842">
        <v>20436936</v>
      </c>
      <c r="E842" t="s">
        <v>2258</v>
      </c>
      <c r="F842" t="s">
        <v>578</v>
      </c>
      <c r="G842" t="s">
        <v>2246</v>
      </c>
      <c r="H842" t="s">
        <v>591</v>
      </c>
      <c r="J842" s="519">
        <v>46051</v>
      </c>
      <c r="R842" s="519">
        <v>46114</v>
      </c>
      <c r="U842" s="519">
        <v>46073</v>
      </c>
    </row>
    <row r="843" spans="1:21">
      <c r="A843" t="s">
        <v>953</v>
      </c>
      <c r="B843" t="s">
        <v>3500</v>
      </c>
      <c r="C843" t="s">
        <v>953</v>
      </c>
      <c r="D843">
        <v>20492453</v>
      </c>
      <c r="E843" t="s">
        <v>2258</v>
      </c>
      <c r="F843" t="s">
        <v>581</v>
      </c>
      <c r="G843" t="s">
        <v>1213</v>
      </c>
      <c r="H843" t="s">
        <v>588</v>
      </c>
      <c r="J843" s="519">
        <v>46123</v>
      </c>
      <c r="R843" s="519">
        <v>46123</v>
      </c>
      <c r="U843" s="519">
        <v>46151</v>
      </c>
    </row>
    <row r="844" spans="1:21">
      <c r="A844" t="s">
        <v>953</v>
      </c>
      <c r="B844" t="s">
        <v>7074</v>
      </c>
      <c r="C844" t="s">
        <v>953</v>
      </c>
      <c r="D844">
        <v>20419641</v>
      </c>
      <c r="E844" t="s">
        <v>2258</v>
      </c>
      <c r="F844" t="s">
        <v>581</v>
      </c>
      <c r="G844" t="s">
        <v>2248</v>
      </c>
      <c r="H844" t="s">
        <v>592</v>
      </c>
      <c r="J844" s="519">
        <v>46028</v>
      </c>
      <c r="R844" s="519">
        <v>46139</v>
      </c>
      <c r="U844" s="519">
        <v>46028</v>
      </c>
    </row>
    <row r="845" spans="1:21">
      <c r="A845" t="s">
        <v>953</v>
      </c>
      <c r="B845" t="s">
        <v>3006</v>
      </c>
      <c r="C845" t="s">
        <v>953</v>
      </c>
      <c r="D845">
        <v>20459957</v>
      </c>
      <c r="E845" t="s">
        <v>2258</v>
      </c>
      <c r="F845" t="s">
        <v>581</v>
      </c>
      <c r="G845" t="s">
        <v>2290</v>
      </c>
      <c r="H845" t="s">
        <v>587</v>
      </c>
      <c r="J845" s="519">
        <v>46082</v>
      </c>
      <c r="R845" s="519">
        <v>46139</v>
      </c>
      <c r="U845" s="519">
        <v>46143</v>
      </c>
    </row>
    <row r="846" spans="1:21">
      <c r="A846" t="s">
        <v>953</v>
      </c>
      <c r="B846" t="s">
        <v>2498</v>
      </c>
      <c r="C846" t="s">
        <v>953</v>
      </c>
      <c r="D846">
        <v>20444279</v>
      </c>
      <c r="E846" t="s">
        <v>2258</v>
      </c>
      <c r="F846" t="s">
        <v>581</v>
      </c>
      <c r="G846" t="s">
        <v>2259</v>
      </c>
      <c r="H846" t="s">
        <v>592</v>
      </c>
      <c r="J846" s="519">
        <v>46063</v>
      </c>
      <c r="R846" s="519">
        <v>46114</v>
      </c>
      <c r="U846" s="519">
        <v>46078</v>
      </c>
    </row>
    <row r="847" spans="1:21">
      <c r="A847" t="s">
        <v>953</v>
      </c>
      <c r="B847" t="s">
        <v>2499</v>
      </c>
      <c r="C847" t="s">
        <v>953</v>
      </c>
      <c r="D847">
        <v>20449857</v>
      </c>
      <c r="E847" t="s">
        <v>2258</v>
      </c>
      <c r="F847" t="s">
        <v>984</v>
      </c>
      <c r="G847" t="s">
        <v>2246</v>
      </c>
      <c r="H847" t="s">
        <v>587</v>
      </c>
      <c r="J847" s="519">
        <v>46069</v>
      </c>
      <c r="R847" s="519">
        <v>46114</v>
      </c>
      <c r="U847" s="519">
        <v>46081</v>
      </c>
    </row>
    <row r="848" spans="1:21">
      <c r="A848" t="s">
        <v>953</v>
      </c>
      <c r="B848" t="s">
        <v>3501</v>
      </c>
      <c r="C848" t="s">
        <v>953</v>
      </c>
      <c r="D848">
        <v>20487174</v>
      </c>
      <c r="E848" t="s">
        <v>2258</v>
      </c>
      <c r="F848" t="s">
        <v>583</v>
      </c>
      <c r="G848" t="s">
        <v>2248</v>
      </c>
      <c r="H848" t="s">
        <v>588</v>
      </c>
      <c r="J848" s="519">
        <v>46116</v>
      </c>
      <c r="R848" s="519">
        <v>46139</v>
      </c>
      <c r="U848" s="519">
        <v>46116</v>
      </c>
    </row>
    <row r="849" spans="1:21">
      <c r="A849" t="s">
        <v>953</v>
      </c>
      <c r="B849" t="s">
        <v>3007</v>
      </c>
      <c r="C849" t="s">
        <v>953</v>
      </c>
      <c r="D849">
        <v>20480961</v>
      </c>
      <c r="E849" t="s">
        <v>2252</v>
      </c>
      <c r="F849" t="s">
        <v>1115</v>
      </c>
      <c r="G849" t="s">
        <v>2250</v>
      </c>
      <c r="H849" t="s">
        <v>591</v>
      </c>
      <c r="I849" t="s">
        <v>2420</v>
      </c>
      <c r="J849" s="519">
        <v>46107</v>
      </c>
      <c r="K849" s="519">
        <v>46107</v>
      </c>
      <c r="R849" s="519">
        <v>46115</v>
      </c>
      <c r="U849" s="519">
        <v>46107</v>
      </c>
    </row>
    <row r="850" spans="1:21">
      <c r="A850" t="s">
        <v>953</v>
      </c>
      <c r="B850" t="s">
        <v>3502</v>
      </c>
      <c r="C850" t="s">
        <v>953</v>
      </c>
      <c r="D850">
        <v>20415420</v>
      </c>
      <c r="E850" t="s">
        <v>2258</v>
      </c>
      <c r="F850" t="s">
        <v>581</v>
      </c>
      <c r="G850" t="s">
        <v>2259</v>
      </c>
      <c r="H850" t="s">
        <v>2469</v>
      </c>
      <c r="J850" s="519">
        <v>46021</v>
      </c>
      <c r="R850" s="519">
        <v>46114</v>
      </c>
      <c r="U850" s="519">
        <v>46021</v>
      </c>
    </row>
    <row r="851" spans="1:21">
      <c r="A851" t="s">
        <v>953</v>
      </c>
      <c r="B851" t="s">
        <v>3503</v>
      </c>
      <c r="C851" t="s">
        <v>953</v>
      </c>
      <c r="D851">
        <v>20413409</v>
      </c>
      <c r="E851" t="s">
        <v>2258</v>
      </c>
      <c r="F851" t="s">
        <v>581</v>
      </c>
      <c r="G851" t="s">
        <v>2259</v>
      </c>
      <c r="H851" t="s">
        <v>592</v>
      </c>
      <c r="J851" s="519">
        <v>46018</v>
      </c>
      <c r="R851" s="519">
        <v>46114</v>
      </c>
      <c r="U851" s="519">
        <v>46018</v>
      </c>
    </row>
    <row r="852" spans="1:21">
      <c r="A852" t="s">
        <v>953</v>
      </c>
      <c r="B852" t="s">
        <v>7075</v>
      </c>
      <c r="C852" t="s">
        <v>953</v>
      </c>
      <c r="D852">
        <v>20504425</v>
      </c>
      <c r="E852" t="s">
        <v>1100</v>
      </c>
      <c r="F852" t="s">
        <v>984</v>
      </c>
      <c r="G852" t="s">
        <v>2259</v>
      </c>
      <c r="H852" t="s">
        <v>3138</v>
      </c>
      <c r="I852" t="s">
        <v>1037</v>
      </c>
      <c r="J852" s="519">
        <v>46133</v>
      </c>
      <c r="K852" s="519">
        <v>46137</v>
      </c>
      <c r="U852" s="519">
        <v>46148</v>
      </c>
    </row>
    <row r="853" spans="1:21">
      <c r="A853" t="s">
        <v>953</v>
      </c>
      <c r="B853" t="s">
        <v>7075</v>
      </c>
      <c r="C853" t="s">
        <v>953</v>
      </c>
      <c r="D853">
        <v>20510828</v>
      </c>
      <c r="E853" t="s">
        <v>1100</v>
      </c>
      <c r="F853" t="s">
        <v>1115</v>
      </c>
      <c r="G853" t="s">
        <v>2250</v>
      </c>
      <c r="H853" t="s">
        <v>587</v>
      </c>
      <c r="I853" t="s">
        <v>2848</v>
      </c>
      <c r="J853" s="519">
        <v>46139</v>
      </c>
      <c r="K853" s="519">
        <v>46139</v>
      </c>
      <c r="U853" s="519">
        <v>46139</v>
      </c>
    </row>
    <row r="854" spans="1:21">
      <c r="A854" t="s">
        <v>953</v>
      </c>
      <c r="B854" t="s">
        <v>7075</v>
      </c>
      <c r="C854" t="s">
        <v>953</v>
      </c>
      <c r="D854">
        <v>20509574</v>
      </c>
      <c r="E854" t="s">
        <v>2252</v>
      </c>
      <c r="F854" t="s">
        <v>578</v>
      </c>
      <c r="G854" t="s">
        <v>2250</v>
      </c>
      <c r="H854" t="s">
        <v>587</v>
      </c>
      <c r="I854" t="s">
        <v>1037</v>
      </c>
      <c r="J854" s="519">
        <v>46137</v>
      </c>
      <c r="K854" s="519">
        <v>46137</v>
      </c>
      <c r="R854" s="519">
        <v>46137</v>
      </c>
      <c r="U854" s="519">
        <v>46137</v>
      </c>
    </row>
    <row r="855" spans="1:21">
      <c r="A855" t="s">
        <v>953</v>
      </c>
      <c r="B855" t="s">
        <v>7075</v>
      </c>
      <c r="C855" t="s">
        <v>953</v>
      </c>
      <c r="D855">
        <v>20509546</v>
      </c>
      <c r="E855" t="s">
        <v>1100</v>
      </c>
      <c r="F855" t="s">
        <v>582</v>
      </c>
      <c r="G855" t="s">
        <v>2250</v>
      </c>
      <c r="H855" t="s">
        <v>587</v>
      </c>
      <c r="J855" s="519">
        <v>46137</v>
      </c>
      <c r="K855" s="519">
        <v>46137</v>
      </c>
      <c r="U855" s="519">
        <v>46137</v>
      </c>
    </row>
    <row r="856" spans="1:21">
      <c r="A856" t="s">
        <v>953</v>
      </c>
      <c r="B856" t="s">
        <v>3504</v>
      </c>
      <c r="C856" t="s">
        <v>953</v>
      </c>
      <c r="D856">
        <v>20417338</v>
      </c>
      <c r="E856" t="s">
        <v>2252</v>
      </c>
      <c r="F856" t="s">
        <v>578</v>
      </c>
      <c r="G856" t="s">
        <v>2250</v>
      </c>
      <c r="H856" t="s">
        <v>3505</v>
      </c>
      <c r="J856" s="519">
        <v>46025</v>
      </c>
      <c r="K856" s="519">
        <v>46025</v>
      </c>
      <c r="R856" s="519">
        <v>46114</v>
      </c>
      <c r="U856" s="519">
        <v>46025</v>
      </c>
    </row>
    <row r="857" spans="1:21">
      <c r="A857" t="s">
        <v>953</v>
      </c>
      <c r="B857" t="s">
        <v>1706</v>
      </c>
      <c r="C857" t="s">
        <v>953</v>
      </c>
      <c r="D857">
        <v>20476202</v>
      </c>
      <c r="E857" t="s">
        <v>2324</v>
      </c>
      <c r="F857" t="s">
        <v>578</v>
      </c>
      <c r="G857" t="s">
        <v>2250</v>
      </c>
      <c r="H857" t="s">
        <v>587</v>
      </c>
      <c r="I857" t="s">
        <v>1705</v>
      </c>
      <c r="J857" s="519">
        <v>46100</v>
      </c>
      <c r="K857" s="519">
        <v>46100</v>
      </c>
      <c r="L857" s="519">
        <v>46107</v>
      </c>
      <c r="M857" s="519">
        <v>46129</v>
      </c>
      <c r="N857" s="519">
        <v>46129</v>
      </c>
      <c r="O857" s="519">
        <v>46129</v>
      </c>
      <c r="P857" s="519">
        <v>46129</v>
      </c>
      <c r="Q857" s="519">
        <v>46129</v>
      </c>
      <c r="U857" s="519">
        <v>46129</v>
      </c>
    </row>
    <row r="858" spans="1:21">
      <c r="A858" t="s">
        <v>953</v>
      </c>
      <c r="B858" t="s">
        <v>1706</v>
      </c>
      <c r="C858" t="s">
        <v>953</v>
      </c>
      <c r="D858">
        <v>20504098</v>
      </c>
      <c r="E858" t="s">
        <v>2252</v>
      </c>
      <c r="F858" t="s">
        <v>581</v>
      </c>
      <c r="G858" t="s">
        <v>2250</v>
      </c>
      <c r="H858" t="s">
        <v>587</v>
      </c>
      <c r="J858" s="519">
        <v>46132</v>
      </c>
      <c r="K858" s="519">
        <v>46132</v>
      </c>
      <c r="R858" s="519">
        <v>46134</v>
      </c>
      <c r="U858" s="519">
        <v>46132</v>
      </c>
    </row>
    <row r="859" spans="1:21">
      <c r="A859" t="s">
        <v>953</v>
      </c>
      <c r="B859" t="s">
        <v>3506</v>
      </c>
      <c r="C859" t="s">
        <v>953</v>
      </c>
      <c r="D859">
        <v>20487036</v>
      </c>
      <c r="E859" t="s">
        <v>2258</v>
      </c>
      <c r="F859" t="s">
        <v>984</v>
      </c>
      <c r="G859" t="s">
        <v>2250</v>
      </c>
      <c r="H859" t="s">
        <v>592</v>
      </c>
      <c r="J859" s="519">
        <v>46116</v>
      </c>
      <c r="R859" s="519">
        <v>46139</v>
      </c>
      <c r="U859" s="519">
        <v>46143</v>
      </c>
    </row>
    <row r="860" spans="1:21">
      <c r="A860" t="s">
        <v>953</v>
      </c>
      <c r="B860" t="s">
        <v>3008</v>
      </c>
      <c r="C860" t="s">
        <v>953</v>
      </c>
      <c r="D860">
        <v>20464126</v>
      </c>
      <c r="E860" t="s">
        <v>2252</v>
      </c>
      <c r="F860" t="s">
        <v>581</v>
      </c>
      <c r="G860" t="s">
        <v>2250</v>
      </c>
      <c r="H860" t="s">
        <v>589</v>
      </c>
      <c r="J860" s="519">
        <v>46087</v>
      </c>
      <c r="K860" s="519">
        <v>46087</v>
      </c>
      <c r="R860" s="519">
        <v>46116</v>
      </c>
      <c r="U860" s="519">
        <v>46087</v>
      </c>
    </row>
    <row r="861" spans="1:21">
      <c r="A861" t="s">
        <v>953</v>
      </c>
      <c r="B861" t="s">
        <v>3009</v>
      </c>
      <c r="C861" t="s">
        <v>953</v>
      </c>
      <c r="D861">
        <v>20472796</v>
      </c>
      <c r="E861" t="s">
        <v>2258</v>
      </c>
      <c r="F861" t="s">
        <v>581</v>
      </c>
      <c r="G861" t="s">
        <v>2250</v>
      </c>
      <c r="H861" t="s">
        <v>592</v>
      </c>
      <c r="J861" s="519">
        <v>46097</v>
      </c>
      <c r="R861" s="519">
        <v>46114</v>
      </c>
      <c r="U861" s="519">
        <v>46100</v>
      </c>
    </row>
    <row r="862" spans="1:21">
      <c r="A862" t="s">
        <v>953</v>
      </c>
      <c r="B862" t="s">
        <v>7076</v>
      </c>
      <c r="C862" t="s">
        <v>953</v>
      </c>
      <c r="D862">
        <v>20510165</v>
      </c>
      <c r="E862" t="s">
        <v>2245</v>
      </c>
      <c r="F862" t="s">
        <v>583</v>
      </c>
      <c r="G862" t="s">
        <v>2246</v>
      </c>
      <c r="H862" t="s">
        <v>592</v>
      </c>
      <c r="J862" s="519">
        <v>46138</v>
      </c>
      <c r="U862" s="519">
        <v>46139</v>
      </c>
    </row>
    <row r="863" spans="1:21">
      <c r="A863" t="s">
        <v>953</v>
      </c>
      <c r="B863" t="s">
        <v>7077</v>
      </c>
      <c r="C863" t="s">
        <v>953</v>
      </c>
      <c r="D863">
        <v>20510978</v>
      </c>
      <c r="E863" t="s">
        <v>2245</v>
      </c>
      <c r="F863" t="s">
        <v>984</v>
      </c>
      <c r="G863" t="s">
        <v>2246</v>
      </c>
      <c r="H863" t="s">
        <v>592</v>
      </c>
      <c r="J863" s="519">
        <v>46139</v>
      </c>
      <c r="U863" s="519">
        <v>46269</v>
      </c>
    </row>
    <row r="864" spans="1:21">
      <c r="A864" t="s">
        <v>953</v>
      </c>
      <c r="B864" t="s">
        <v>7078</v>
      </c>
      <c r="C864" t="s">
        <v>953</v>
      </c>
      <c r="D864">
        <v>20503595</v>
      </c>
      <c r="E864" t="s">
        <v>1100</v>
      </c>
      <c r="F864" t="s">
        <v>581</v>
      </c>
      <c r="G864" t="s">
        <v>2250</v>
      </c>
      <c r="H864" t="s">
        <v>587</v>
      </c>
      <c r="I864" t="s">
        <v>6526</v>
      </c>
      <c r="J864" s="519">
        <v>46132</v>
      </c>
      <c r="K864" s="519">
        <v>46132</v>
      </c>
      <c r="U864" s="519">
        <v>46132</v>
      </c>
    </row>
    <row r="865" spans="1:21">
      <c r="A865" t="s">
        <v>953</v>
      </c>
      <c r="B865" t="s">
        <v>7079</v>
      </c>
      <c r="C865" t="s">
        <v>953</v>
      </c>
      <c r="D865">
        <v>20503765</v>
      </c>
      <c r="E865" t="s">
        <v>2245</v>
      </c>
      <c r="F865" t="s">
        <v>984</v>
      </c>
      <c r="G865" t="s">
        <v>2259</v>
      </c>
      <c r="H865" t="s">
        <v>592</v>
      </c>
      <c r="J865" s="519">
        <v>46132</v>
      </c>
      <c r="U865" s="519">
        <v>46164</v>
      </c>
    </row>
    <row r="866" spans="1:21">
      <c r="A866" t="s">
        <v>953</v>
      </c>
      <c r="B866" t="s">
        <v>7079</v>
      </c>
      <c r="C866" t="s">
        <v>953</v>
      </c>
      <c r="D866">
        <v>20505092</v>
      </c>
      <c r="E866" t="s">
        <v>2245</v>
      </c>
      <c r="F866" t="s">
        <v>984</v>
      </c>
      <c r="G866" t="s">
        <v>2250</v>
      </c>
      <c r="H866" t="s">
        <v>592</v>
      </c>
      <c r="J866" s="519">
        <v>46133</v>
      </c>
      <c r="U866" s="519">
        <v>46164</v>
      </c>
    </row>
    <row r="867" spans="1:21">
      <c r="A867" t="s">
        <v>953</v>
      </c>
      <c r="B867" t="s">
        <v>2500</v>
      </c>
      <c r="C867" t="s">
        <v>953</v>
      </c>
      <c r="D867">
        <v>20443104</v>
      </c>
      <c r="E867" t="s">
        <v>2258</v>
      </c>
      <c r="F867" t="s">
        <v>581</v>
      </c>
      <c r="G867" t="s">
        <v>1213</v>
      </c>
      <c r="H867" t="s">
        <v>591</v>
      </c>
      <c r="J867" s="519">
        <v>46060</v>
      </c>
      <c r="R867" s="519">
        <v>46114</v>
      </c>
      <c r="U867" s="519">
        <v>46060</v>
      </c>
    </row>
    <row r="868" spans="1:21">
      <c r="A868" t="s">
        <v>953</v>
      </c>
      <c r="B868" t="s">
        <v>7080</v>
      </c>
      <c r="C868" t="s">
        <v>953</v>
      </c>
      <c r="D868">
        <v>20508511</v>
      </c>
      <c r="E868" t="s">
        <v>1100</v>
      </c>
      <c r="F868" t="s">
        <v>578</v>
      </c>
      <c r="G868" t="s">
        <v>2250</v>
      </c>
      <c r="H868" t="s">
        <v>587</v>
      </c>
      <c r="I868" t="s">
        <v>3351</v>
      </c>
      <c r="J868" s="519">
        <v>46135</v>
      </c>
      <c r="K868" s="519">
        <v>46135</v>
      </c>
      <c r="U868" s="519">
        <v>46135</v>
      </c>
    </row>
    <row r="869" spans="1:21">
      <c r="A869" t="s">
        <v>953</v>
      </c>
      <c r="B869" t="s">
        <v>7081</v>
      </c>
      <c r="C869" t="s">
        <v>953</v>
      </c>
      <c r="D869">
        <v>20492012</v>
      </c>
      <c r="E869" t="s">
        <v>2258</v>
      </c>
      <c r="F869" t="s">
        <v>581</v>
      </c>
      <c r="G869" t="s">
        <v>2259</v>
      </c>
      <c r="H869" t="s">
        <v>593</v>
      </c>
      <c r="J869" s="519">
        <v>46122</v>
      </c>
      <c r="R869" s="519">
        <v>46139</v>
      </c>
      <c r="U869" s="519">
        <v>46122</v>
      </c>
    </row>
    <row r="870" spans="1:21">
      <c r="A870" t="s">
        <v>953</v>
      </c>
      <c r="B870" t="s">
        <v>2502</v>
      </c>
      <c r="C870" t="s">
        <v>953</v>
      </c>
      <c r="D870">
        <v>20451081</v>
      </c>
      <c r="E870" t="s">
        <v>2258</v>
      </c>
      <c r="F870" t="s">
        <v>581</v>
      </c>
      <c r="G870" t="s">
        <v>1213</v>
      </c>
      <c r="H870" t="s">
        <v>587</v>
      </c>
      <c r="J870" s="519">
        <v>46070</v>
      </c>
      <c r="R870" s="519">
        <v>46139</v>
      </c>
      <c r="U870" s="519">
        <v>46238</v>
      </c>
    </row>
    <row r="871" spans="1:21">
      <c r="A871" t="s">
        <v>953</v>
      </c>
      <c r="B871" t="s">
        <v>3011</v>
      </c>
      <c r="C871" t="s">
        <v>953</v>
      </c>
      <c r="D871">
        <v>20474502</v>
      </c>
      <c r="E871" t="s">
        <v>2258</v>
      </c>
      <c r="F871" t="s">
        <v>578</v>
      </c>
      <c r="G871" t="s">
        <v>2248</v>
      </c>
      <c r="H871" t="s">
        <v>592</v>
      </c>
      <c r="J871" s="519">
        <v>46099</v>
      </c>
      <c r="R871" s="519">
        <v>46115</v>
      </c>
      <c r="U871" s="519">
        <v>46099</v>
      </c>
    </row>
    <row r="872" spans="1:21">
      <c r="A872" t="s">
        <v>953</v>
      </c>
      <c r="B872" t="s">
        <v>2503</v>
      </c>
      <c r="C872" t="s">
        <v>953</v>
      </c>
      <c r="D872">
        <v>20442104</v>
      </c>
      <c r="E872" t="s">
        <v>2258</v>
      </c>
      <c r="F872" t="s">
        <v>984</v>
      </c>
      <c r="G872" t="s">
        <v>2246</v>
      </c>
      <c r="H872" t="s">
        <v>587</v>
      </c>
      <c r="J872" s="519">
        <v>46059</v>
      </c>
      <c r="R872" s="519">
        <v>46114</v>
      </c>
      <c r="U872" s="519">
        <v>46150</v>
      </c>
    </row>
    <row r="873" spans="1:21">
      <c r="A873" t="s">
        <v>953</v>
      </c>
      <c r="B873" t="s">
        <v>3507</v>
      </c>
      <c r="C873" t="s">
        <v>953</v>
      </c>
      <c r="D873">
        <v>20487827</v>
      </c>
      <c r="E873" t="s">
        <v>1100</v>
      </c>
      <c r="F873" t="s">
        <v>581</v>
      </c>
      <c r="G873" t="s">
        <v>2246</v>
      </c>
      <c r="H873" t="s">
        <v>587</v>
      </c>
      <c r="I873" t="s">
        <v>894</v>
      </c>
      <c r="J873" s="519">
        <v>46118</v>
      </c>
      <c r="K873" s="519">
        <v>46118</v>
      </c>
      <c r="U873" s="519">
        <v>46142</v>
      </c>
    </row>
    <row r="874" spans="1:21">
      <c r="A874" t="s">
        <v>953</v>
      </c>
      <c r="B874" t="s">
        <v>2504</v>
      </c>
      <c r="C874" t="s">
        <v>953</v>
      </c>
      <c r="D874">
        <v>20456038</v>
      </c>
      <c r="E874" t="s">
        <v>2258</v>
      </c>
      <c r="F874" t="s">
        <v>984</v>
      </c>
      <c r="G874" t="s">
        <v>2246</v>
      </c>
      <c r="H874" t="s">
        <v>587</v>
      </c>
      <c r="J874" s="519">
        <v>46076</v>
      </c>
      <c r="R874" s="519">
        <v>46114</v>
      </c>
      <c r="U874" s="519">
        <v>46203</v>
      </c>
    </row>
    <row r="875" spans="1:21">
      <c r="A875" t="s">
        <v>953</v>
      </c>
      <c r="B875" t="s">
        <v>2505</v>
      </c>
      <c r="C875" t="s">
        <v>953</v>
      </c>
      <c r="D875">
        <v>20449565</v>
      </c>
      <c r="E875" t="s">
        <v>2252</v>
      </c>
      <c r="F875" t="s">
        <v>984</v>
      </c>
      <c r="G875" t="s">
        <v>2290</v>
      </c>
      <c r="H875" t="s">
        <v>592</v>
      </c>
      <c r="I875" t="s">
        <v>1151</v>
      </c>
      <c r="J875" s="519">
        <v>46068</v>
      </c>
      <c r="K875" s="519">
        <v>46100</v>
      </c>
      <c r="R875" s="519">
        <v>46114</v>
      </c>
      <c r="U875" s="519">
        <v>46123</v>
      </c>
    </row>
    <row r="876" spans="1:21">
      <c r="A876" t="s">
        <v>953</v>
      </c>
      <c r="B876" t="s">
        <v>7082</v>
      </c>
      <c r="C876" t="s">
        <v>953</v>
      </c>
      <c r="D876">
        <v>20497072</v>
      </c>
      <c r="E876" t="s">
        <v>2245</v>
      </c>
      <c r="F876" t="s">
        <v>984</v>
      </c>
      <c r="G876" t="s">
        <v>2250</v>
      </c>
      <c r="H876" t="s">
        <v>592</v>
      </c>
      <c r="J876" s="519">
        <v>46127</v>
      </c>
      <c r="U876" s="519">
        <v>46132</v>
      </c>
    </row>
    <row r="877" spans="1:21">
      <c r="A877" t="s">
        <v>953</v>
      </c>
      <c r="B877" t="s">
        <v>3012</v>
      </c>
      <c r="C877" t="s">
        <v>953</v>
      </c>
      <c r="D877">
        <v>20465841</v>
      </c>
      <c r="E877" t="s">
        <v>2258</v>
      </c>
      <c r="F877" t="s">
        <v>984</v>
      </c>
      <c r="G877" t="s">
        <v>2246</v>
      </c>
      <c r="H877" t="s">
        <v>587</v>
      </c>
      <c r="J877" s="519">
        <v>46090</v>
      </c>
      <c r="R877" s="519">
        <v>46114</v>
      </c>
      <c r="U877" s="519">
        <v>46266</v>
      </c>
    </row>
    <row r="878" spans="1:21">
      <c r="A878" t="s">
        <v>953</v>
      </c>
      <c r="B878" t="s">
        <v>3508</v>
      </c>
      <c r="C878" t="s">
        <v>953</v>
      </c>
      <c r="D878">
        <v>20464351</v>
      </c>
      <c r="E878" t="s">
        <v>2324</v>
      </c>
      <c r="F878" t="s">
        <v>582</v>
      </c>
      <c r="G878" t="s">
        <v>2259</v>
      </c>
      <c r="H878" t="s">
        <v>592</v>
      </c>
      <c r="I878" t="s">
        <v>856</v>
      </c>
      <c r="J878" s="519">
        <v>46088</v>
      </c>
      <c r="K878" s="519">
        <v>46111</v>
      </c>
      <c r="L878" s="519">
        <v>46113</v>
      </c>
      <c r="M878" s="519">
        <v>46126</v>
      </c>
      <c r="N878" s="519">
        <v>46126</v>
      </c>
      <c r="P878" s="519">
        <v>46126</v>
      </c>
      <c r="Q878" s="519">
        <v>46126</v>
      </c>
      <c r="U878" s="519">
        <v>46143</v>
      </c>
    </row>
    <row r="879" spans="1:21">
      <c r="A879" t="s">
        <v>953</v>
      </c>
      <c r="B879" t="s">
        <v>3509</v>
      </c>
      <c r="C879" t="s">
        <v>953</v>
      </c>
      <c r="D879">
        <v>20437624</v>
      </c>
      <c r="E879" t="s">
        <v>2258</v>
      </c>
      <c r="F879" t="s">
        <v>984</v>
      </c>
      <c r="G879" t="s">
        <v>2259</v>
      </c>
      <c r="H879" t="s">
        <v>2388</v>
      </c>
      <c r="J879" s="519">
        <v>46052</v>
      </c>
      <c r="R879" s="519">
        <v>46114</v>
      </c>
      <c r="U879" s="519">
        <v>46082</v>
      </c>
    </row>
    <row r="880" spans="1:21">
      <c r="A880" t="s">
        <v>953</v>
      </c>
      <c r="B880" t="s">
        <v>2506</v>
      </c>
      <c r="C880" t="s">
        <v>953</v>
      </c>
      <c r="D880">
        <v>20456433</v>
      </c>
      <c r="E880" t="s">
        <v>2258</v>
      </c>
      <c r="F880" t="s">
        <v>984</v>
      </c>
      <c r="G880" t="s">
        <v>2246</v>
      </c>
      <c r="H880" t="s">
        <v>587</v>
      </c>
      <c r="J880" s="519">
        <v>46077</v>
      </c>
      <c r="R880" s="519">
        <v>46114</v>
      </c>
      <c r="U880" s="519">
        <v>46200</v>
      </c>
    </row>
    <row r="881" spans="1:21">
      <c r="A881" t="s">
        <v>953</v>
      </c>
      <c r="B881" t="s">
        <v>3510</v>
      </c>
      <c r="C881" t="s">
        <v>953</v>
      </c>
      <c r="D881">
        <v>20491878</v>
      </c>
      <c r="E881" t="s">
        <v>2258</v>
      </c>
      <c r="F881" t="s">
        <v>984</v>
      </c>
      <c r="G881" t="s">
        <v>2250</v>
      </c>
      <c r="H881" t="s">
        <v>2361</v>
      </c>
      <c r="J881" s="519">
        <v>46122</v>
      </c>
      <c r="R881" s="519">
        <v>46139</v>
      </c>
      <c r="U881" s="519">
        <v>46195</v>
      </c>
    </row>
    <row r="882" spans="1:21">
      <c r="A882" t="s">
        <v>953</v>
      </c>
      <c r="B882" t="s">
        <v>3013</v>
      </c>
      <c r="C882" t="s">
        <v>953</v>
      </c>
      <c r="D882">
        <v>20475140</v>
      </c>
      <c r="E882" t="s">
        <v>2258</v>
      </c>
      <c r="F882" t="s">
        <v>577</v>
      </c>
      <c r="G882" t="s">
        <v>2248</v>
      </c>
      <c r="H882" t="s">
        <v>592</v>
      </c>
      <c r="I882" t="s">
        <v>1034</v>
      </c>
      <c r="J882" s="519">
        <v>46099</v>
      </c>
      <c r="R882" s="519">
        <v>46114</v>
      </c>
      <c r="U882" s="519">
        <v>46111</v>
      </c>
    </row>
    <row r="883" spans="1:21">
      <c r="A883" t="s">
        <v>953</v>
      </c>
      <c r="B883" t="s">
        <v>3014</v>
      </c>
      <c r="C883" t="s">
        <v>953</v>
      </c>
      <c r="D883">
        <v>20463790</v>
      </c>
      <c r="E883" t="s">
        <v>2258</v>
      </c>
      <c r="F883" t="s">
        <v>581</v>
      </c>
      <c r="G883" t="s">
        <v>2290</v>
      </c>
      <c r="H883" t="s">
        <v>592</v>
      </c>
      <c r="J883" s="519">
        <v>46087</v>
      </c>
      <c r="R883" s="519">
        <v>46139</v>
      </c>
      <c r="U883" s="519">
        <v>46087</v>
      </c>
    </row>
    <row r="884" spans="1:21">
      <c r="A884" t="s">
        <v>953</v>
      </c>
      <c r="B884" t="s">
        <v>3511</v>
      </c>
      <c r="C884" t="s">
        <v>953</v>
      </c>
      <c r="D884">
        <v>20410472</v>
      </c>
      <c r="E884" t="s">
        <v>2258</v>
      </c>
      <c r="F884" t="s">
        <v>581</v>
      </c>
      <c r="G884" t="s">
        <v>2290</v>
      </c>
      <c r="H884" t="s">
        <v>591</v>
      </c>
      <c r="J884" s="519">
        <v>46011</v>
      </c>
      <c r="R884" s="519">
        <v>46114</v>
      </c>
      <c r="U884" s="519">
        <v>46011</v>
      </c>
    </row>
    <row r="885" spans="1:21">
      <c r="A885" t="s">
        <v>953</v>
      </c>
      <c r="B885" t="s">
        <v>3512</v>
      </c>
      <c r="C885" t="s">
        <v>953</v>
      </c>
      <c r="D885">
        <v>20423544</v>
      </c>
      <c r="E885" t="s">
        <v>2258</v>
      </c>
      <c r="F885" t="s">
        <v>579</v>
      </c>
      <c r="G885" t="s">
        <v>2259</v>
      </c>
      <c r="H885" t="s">
        <v>592</v>
      </c>
      <c r="J885" s="519">
        <v>46034</v>
      </c>
      <c r="R885" s="519">
        <v>46114</v>
      </c>
      <c r="U885" s="519">
        <v>46055</v>
      </c>
    </row>
    <row r="886" spans="1:21">
      <c r="A886" t="s">
        <v>953</v>
      </c>
      <c r="B886" t="s">
        <v>3513</v>
      </c>
      <c r="C886" t="s">
        <v>953</v>
      </c>
      <c r="D886">
        <v>20425028</v>
      </c>
      <c r="E886" t="s">
        <v>2258</v>
      </c>
      <c r="F886" t="s">
        <v>984</v>
      </c>
      <c r="G886" t="s">
        <v>2259</v>
      </c>
      <c r="H886" t="s">
        <v>592</v>
      </c>
      <c r="J886" s="519">
        <v>46036</v>
      </c>
      <c r="R886" s="519">
        <v>46114</v>
      </c>
      <c r="U886" s="519">
        <v>46073</v>
      </c>
    </row>
    <row r="887" spans="1:21">
      <c r="A887" t="s">
        <v>953</v>
      </c>
      <c r="B887" t="s">
        <v>2512</v>
      </c>
      <c r="C887" t="s">
        <v>953</v>
      </c>
      <c r="D887">
        <v>20459043</v>
      </c>
      <c r="E887" t="s">
        <v>2258</v>
      </c>
      <c r="F887" t="s">
        <v>581</v>
      </c>
      <c r="G887" t="s">
        <v>2259</v>
      </c>
      <c r="H887" t="s">
        <v>2388</v>
      </c>
      <c r="J887" s="519">
        <v>46080</v>
      </c>
      <c r="R887" s="519">
        <v>46114</v>
      </c>
      <c r="U887" s="519">
        <v>46080</v>
      </c>
    </row>
    <row r="888" spans="1:21">
      <c r="A888" t="s">
        <v>953</v>
      </c>
      <c r="B888" t="s">
        <v>7083</v>
      </c>
      <c r="C888" t="s">
        <v>953</v>
      </c>
      <c r="D888">
        <v>20501842</v>
      </c>
      <c r="E888" t="s">
        <v>2245</v>
      </c>
      <c r="F888" t="s">
        <v>581</v>
      </c>
      <c r="G888" t="s">
        <v>2290</v>
      </c>
      <c r="H888" t="s">
        <v>592</v>
      </c>
      <c r="J888" s="519">
        <v>46131</v>
      </c>
      <c r="U888" s="519">
        <v>46146</v>
      </c>
    </row>
    <row r="889" spans="1:21">
      <c r="A889" t="s">
        <v>953</v>
      </c>
      <c r="B889" t="s">
        <v>3514</v>
      </c>
      <c r="C889" t="s">
        <v>953</v>
      </c>
      <c r="D889">
        <v>20410028</v>
      </c>
      <c r="E889" t="s">
        <v>2258</v>
      </c>
      <c r="F889" t="s">
        <v>984</v>
      </c>
      <c r="G889" t="s">
        <v>2248</v>
      </c>
      <c r="H889" t="s">
        <v>588</v>
      </c>
      <c r="J889" s="519">
        <v>46010</v>
      </c>
      <c r="R889" s="519">
        <v>46114</v>
      </c>
      <c r="U889" s="519">
        <v>46010</v>
      </c>
    </row>
    <row r="890" spans="1:21">
      <c r="A890" t="s">
        <v>953</v>
      </c>
      <c r="B890" t="s">
        <v>3515</v>
      </c>
      <c r="C890" t="s">
        <v>953</v>
      </c>
      <c r="D890">
        <v>20490878</v>
      </c>
      <c r="E890" t="s">
        <v>2258</v>
      </c>
      <c r="F890" t="s">
        <v>984</v>
      </c>
      <c r="G890" t="s">
        <v>2259</v>
      </c>
      <c r="H890" t="s">
        <v>593</v>
      </c>
      <c r="J890" s="519">
        <v>46121</v>
      </c>
      <c r="R890" s="519">
        <v>46122</v>
      </c>
      <c r="U890" s="519">
        <v>46121</v>
      </c>
    </row>
    <row r="891" spans="1:21">
      <c r="A891" t="s">
        <v>953</v>
      </c>
      <c r="B891" t="s">
        <v>3516</v>
      </c>
      <c r="C891" t="s">
        <v>953</v>
      </c>
      <c r="D891">
        <v>20412514</v>
      </c>
      <c r="E891" t="s">
        <v>2258</v>
      </c>
      <c r="F891" t="s">
        <v>581</v>
      </c>
      <c r="G891" t="s">
        <v>2259</v>
      </c>
      <c r="H891" t="s">
        <v>592</v>
      </c>
      <c r="J891" s="519">
        <v>46016</v>
      </c>
      <c r="R891" s="519">
        <v>46114</v>
      </c>
      <c r="U891" s="519">
        <v>46054</v>
      </c>
    </row>
    <row r="892" spans="1:21">
      <c r="A892" t="s">
        <v>953</v>
      </c>
      <c r="B892" t="s">
        <v>3517</v>
      </c>
      <c r="C892" t="s">
        <v>953</v>
      </c>
      <c r="D892">
        <v>20417128</v>
      </c>
      <c r="E892" t="s">
        <v>2252</v>
      </c>
      <c r="F892" t="s">
        <v>577</v>
      </c>
      <c r="G892" t="s">
        <v>2250</v>
      </c>
      <c r="H892" t="s">
        <v>588</v>
      </c>
      <c r="J892" s="519">
        <v>46024</v>
      </c>
      <c r="K892" s="519">
        <v>46024</v>
      </c>
      <c r="R892" s="519">
        <v>46114</v>
      </c>
      <c r="U892" s="519">
        <v>46024</v>
      </c>
    </row>
    <row r="893" spans="1:21">
      <c r="A893" t="s">
        <v>953</v>
      </c>
      <c r="B893" t="s">
        <v>7084</v>
      </c>
      <c r="C893" t="s">
        <v>953</v>
      </c>
      <c r="D893">
        <v>20507407</v>
      </c>
      <c r="E893" t="s">
        <v>2245</v>
      </c>
      <c r="F893" t="s">
        <v>984</v>
      </c>
      <c r="G893" t="s">
        <v>2246</v>
      </c>
      <c r="H893" t="s">
        <v>592</v>
      </c>
      <c r="J893" s="519">
        <v>46134</v>
      </c>
      <c r="U893" s="519">
        <v>46155</v>
      </c>
    </row>
    <row r="894" spans="1:21">
      <c r="A894" t="s">
        <v>953</v>
      </c>
      <c r="B894" t="s">
        <v>3518</v>
      </c>
      <c r="C894" t="s">
        <v>953</v>
      </c>
      <c r="D894">
        <v>20434844</v>
      </c>
      <c r="E894" t="s">
        <v>2258</v>
      </c>
      <c r="F894" t="s">
        <v>984</v>
      </c>
      <c r="G894" t="s">
        <v>2259</v>
      </c>
      <c r="H894" t="s">
        <v>592</v>
      </c>
      <c r="J894" s="519">
        <v>46048</v>
      </c>
      <c r="R894" s="519">
        <v>46114</v>
      </c>
      <c r="U894" s="519">
        <v>46050</v>
      </c>
    </row>
    <row r="895" spans="1:21">
      <c r="A895" t="s">
        <v>953</v>
      </c>
      <c r="B895" t="s">
        <v>3519</v>
      </c>
      <c r="C895" t="s">
        <v>953</v>
      </c>
      <c r="D895">
        <v>20494478</v>
      </c>
      <c r="E895" t="s">
        <v>2258</v>
      </c>
      <c r="F895" t="s">
        <v>582</v>
      </c>
      <c r="G895" t="s">
        <v>2248</v>
      </c>
      <c r="H895" t="s">
        <v>589</v>
      </c>
      <c r="I895" t="s">
        <v>1156</v>
      </c>
      <c r="J895" s="519">
        <v>46126</v>
      </c>
      <c r="R895" s="519">
        <v>46139</v>
      </c>
      <c r="U895" s="519">
        <v>46172</v>
      </c>
    </row>
    <row r="896" spans="1:21">
      <c r="A896" t="s">
        <v>953</v>
      </c>
      <c r="B896" t="s">
        <v>3015</v>
      </c>
      <c r="C896" t="s">
        <v>953</v>
      </c>
      <c r="D896">
        <v>20479509</v>
      </c>
      <c r="E896" t="s">
        <v>2258</v>
      </c>
      <c r="F896" t="s">
        <v>581</v>
      </c>
      <c r="G896" t="s">
        <v>2250</v>
      </c>
      <c r="H896" t="s">
        <v>592</v>
      </c>
      <c r="J896" s="519">
        <v>46105</v>
      </c>
      <c r="R896" s="519">
        <v>46114</v>
      </c>
      <c r="U896" s="519">
        <v>46167</v>
      </c>
    </row>
    <row r="897" spans="1:21">
      <c r="A897" t="s">
        <v>953</v>
      </c>
      <c r="B897" t="s">
        <v>3520</v>
      </c>
      <c r="C897" t="s">
        <v>953</v>
      </c>
      <c r="D897">
        <v>20417024</v>
      </c>
      <c r="E897" t="s">
        <v>2252</v>
      </c>
      <c r="F897" t="s">
        <v>577</v>
      </c>
      <c r="G897" t="s">
        <v>2250</v>
      </c>
      <c r="H897" t="s">
        <v>588</v>
      </c>
      <c r="J897" s="519">
        <v>46024</v>
      </c>
      <c r="K897" s="519">
        <v>46024</v>
      </c>
      <c r="R897" s="519">
        <v>46114</v>
      </c>
      <c r="U897" s="519">
        <v>46024</v>
      </c>
    </row>
    <row r="898" spans="1:21">
      <c r="A898" t="s">
        <v>953</v>
      </c>
      <c r="B898" t="s">
        <v>7085</v>
      </c>
      <c r="C898" t="s">
        <v>953</v>
      </c>
      <c r="D898">
        <v>20500560</v>
      </c>
      <c r="E898" t="s">
        <v>2258</v>
      </c>
      <c r="F898" t="s">
        <v>984</v>
      </c>
      <c r="G898" t="s">
        <v>2250</v>
      </c>
      <c r="H898" t="s">
        <v>2361</v>
      </c>
      <c r="J898" s="519">
        <v>46130</v>
      </c>
      <c r="R898" s="519">
        <v>46139</v>
      </c>
      <c r="U898" s="519">
        <v>46143</v>
      </c>
    </row>
    <row r="899" spans="1:21">
      <c r="A899" t="s">
        <v>953</v>
      </c>
      <c r="B899" t="s">
        <v>1155</v>
      </c>
      <c r="C899" t="s">
        <v>953</v>
      </c>
      <c r="D899">
        <v>20471775</v>
      </c>
      <c r="E899" t="s">
        <v>2252</v>
      </c>
      <c r="F899" t="s">
        <v>984</v>
      </c>
      <c r="G899" t="s">
        <v>2250</v>
      </c>
      <c r="H899" t="s">
        <v>592</v>
      </c>
      <c r="I899" t="s">
        <v>873</v>
      </c>
      <c r="J899" s="519">
        <v>46096</v>
      </c>
      <c r="K899" s="519">
        <v>46096</v>
      </c>
      <c r="R899" s="519">
        <v>46115</v>
      </c>
      <c r="U899" s="519">
        <v>46100</v>
      </c>
    </row>
    <row r="900" spans="1:21">
      <c r="A900" t="s">
        <v>953</v>
      </c>
      <c r="B900" t="s">
        <v>1155</v>
      </c>
      <c r="C900" t="s">
        <v>953</v>
      </c>
      <c r="D900">
        <v>20471796</v>
      </c>
      <c r="E900" t="s">
        <v>2252</v>
      </c>
      <c r="F900" t="s">
        <v>1001</v>
      </c>
      <c r="G900" t="s">
        <v>2250</v>
      </c>
      <c r="H900" t="s">
        <v>587</v>
      </c>
      <c r="I900" t="s">
        <v>1154</v>
      </c>
      <c r="J900" s="519">
        <v>46096</v>
      </c>
      <c r="K900" s="519">
        <v>46096</v>
      </c>
      <c r="R900" s="519">
        <v>46115</v>
      </c>
      <c r="U900" s="519">
        <v>46097</v>
      </c>
    </row>
    <row r="901" spans="1:21">
      <c r="A901" t="s">
        <v>953</v>
      </c>
      <c r="B901" t="s">
        <v>7086</v>
      </c>
      <c r="C901" t="s">
        <v>953</v>
      </c>
      <c r="D901">
        <v>20501818</v>
      </c>
      <c r="E901" t="s">
        <v>2245</v>
      </c>
      <c r="F901" t="s">
        <v>984</v>
      </c>
      <c r="G901" t="s">
        <v>2250</v>
      </c>
      <c r="H901" t="s">
        <v>2361</v>
      </c>
      <c r="J901" s="519">
        <v>46131</v>
      </c>
      <c r="U901" s="519">
        <v>46174</v>
      </c>
    </row>
    <row r="902" spans="1:21">
      <c r="A902" t="s">
        <v>953</v>
      </c>
      <c r="B902" t="s">
        <v>3521</v>
      </c>
      <c r="C902" t="s">
        <v>953</v>
      </c>
      <c r="D902">
        <v>20487895</v>
      </c>
      <c r="E902" t="s">
        <v>2252</v>
      </c>
      <c r="F902" t="s">
        <v>577</v>
      </c>
      <c r="G902" t="s">
        <v>2250</v>
      </c>
      <c r="H902" t="s">
        <v>592</v>
      </c>
      <c r="I902" t="s">
        <v>1151</v>
      </c>
      <c r="J902" s="519">
        <v>46118</v>
      </c>
      <c r="K902" s="519">
        <v>46120</v>
      </c>
      <c r="L902" s="519">
        <v>46120</v>
      </c>
      <c r="M902" s="519">
        <v>46122</v>
      </c>
      <c r="N902" s="519">
        <v>46127</v>
      </c>
      <c r="P902" s="519">
        <v>46129</v>
      </c>
      <c r="Q902" s="519">
        <v>46130</v>
      </c>
      <c r="R902" s="519">
        <v>46140</v>
      </c>
      <c r="U902" s="519">
        <v>46132</v>
      </c>
    </row>
    <row r="903" spans="1:21">
      <c r="A903" t="s">
        <v>953</v>
      </c>
      <c r="B903" t="s">
        <v>2514</v>
      </c>
      <c r="C903" t="s">
        <v>953</v>
      </c>
      <c r="D903">
        <v>20442939</v>
      </c>
      <c r="E903" t="s">
        <v>2258</v>
      </c>
      <c r="F903" t="s">
        <v>984</v>
      </c>
      <c r="G903" t="s">
        <v>2246</v>
      </c>
      <c r="H903" t="s">
        <v>587</v>
      </c>
      <c r="J903" s="519">
        <v>46060</v>
      </c>
      <c r="R903" s="519">
        <v>46114</v>
      </c>
      <c r="U903" s="519">
        <v>46082</v>
      </c>
    </row>
    <row r="904" spans="1:21">
      <c r="A904" t="s">
        <v>953</v>
      </c>
      <c r="B904" t="s">
        <v>7087</v>
      </c>
      <c r="C904" t="s">
        <v>953</v>
      </c>
      <c r="D904">
        <v>20497246</v>
      </c>
      <c r="E904" t="s">
        <v>2258</v>
      </c>
      <c r="F904" t="s">
        <v>581</v>
      </c>
      <c r="G904" t="s">
        <v>2250</v>
      </c>
      <c r="H904" t="s">
        <v>2361</v>
      </c>
      <c r="J904" s="519">
        <v>46128</v>
      </c>
      <c r="R904" s="519">
        <v>46139</v>
      </c>
      <c r="U904" s="519">
        <v>46131</v>
      </c>
    </row>
    <row r="905" spans="1:21">
      <c r="A905" t="s">
        <v>953</v>
      </c>
      <c r="B905" t="s">
        <v>7088</v>
      </c>
      <c r="C905" t="s">
        <v>953</v>
      </c>
      <c r="D905">
        <v>20510453</v>
      </c>
      <c r="E905" t="s">
        <v>2245</v>
      </c>
      <c r="F905" t="s">
        <v>984</v>
      </c>
      <c r="G905" t="s">
        <v>2246</v>
      </c>
      <c r="H905" t="s">
        <v>592</v>
      </c>
      <c r="J905" s="519">
        <v>46138</v>
      </c>
      <c r="U905" s="519">
        <v>46158</v>
      </c>
    </row>
    <row r="906" spans="1:21">
      <c r="A906" t="s">
        <v>953</v>
      </c>
      <c r="B906" t="s">
        <v>3017</v>
      </c>
      <c r="C906" t="s">
        <v>953</v>
      </c>
      <c r="D906">
        <v>20480891</v>
      </c>
      <c r="E906" t="s">
        <v>2258</v>
      </c>
      <c r="F906" t="s">
        <v>581</v>
      </c>
      <c r="G906" t="s">
        <v>2250</v>
      </c>
      <c r="H906" t="s">
        <v>592</v>
      </c>
      <c r="J906" s="519">
        <v>46107</v>
      </c>
      <c r="R906" s="519">
        <v>46139</v>
      </c>
      <c r="U906" s="519">
        <v>46108</v>
      </c>
    </row>
    <row r="907" spans="1:21">
      <c r="A907" t="s">
        <v>953</v>
      </c>
      <c r="B907" t="s">
        <v>2515</v>
      </c>
      <c r="C907" t="s">
        <v>953</v>
      </c>
      <c r="D907">
        <v>20453813</v>
      </c>
      <c r="E907" t="s">
        <v>2252</v>
      </c>
      <c r="F907" t="s">
        <v>984</v>
      </c>
      <c r="G907" t="s">
        <v>2250</v>
      </c>
      <c r="H907" t="s">
        <v>587</v>
      </c>
      <c r="J907" s="519">
        <v>46072</v>
      </c>
      <c r="K907" s="519">
        <v>46072</v>
      </c>
      <c r="R907" s="519">
        <v>46114</v>
      </c>
      <c r="U907" s="519">
        <v>46090</v>
      </c>
    </row>
    <row r="908" spans="1:21">
      <c r="A908" t="s">
        <v>953</v>
      </c>
      <c r="B908" t="s">
        <v>2515</v>
      </c>
      <c r="C908" t="s">
        <v>953</v>
      </c>
      <c r="D908">
        <v>20453335</v>
      </c>
      <c r="E908" t="s">
        <v>2252</v>
      </c>
      <c r="F908" t="s">
        <v>577</v>
      </c>
      <c r="G908" t="s">
        <v>2248</v>
      </c>
      <c r="H908" t="s">
        <v>591</v>
      </c>
      <c r="J908" s="519">
        <v>46072</v>
      </c>
      <c r="K908" s="519">
        <v>46072</v>
      </c>
      <c r="R908" s="519">
        <v>46114</v>
      </c>
      <c r="U908" s="519">
        <v>46072</v>
      </c>
    </row>
    <row r="909" spans="1:21">
      <c r="A909" t="s">
        <v>953</v>
      </c>
      <c r="B909" t="s">
        <v>3522</v>
      </c>
      <c r="C909" t="s">
        <v>953</v>
      </c>
      <c r="D909">
        <v>20412320</v>
      </c>
      <c r="E909" t="s">
        <v>2252</v>
      </c>
      <c r="F909" t="s">
        <v>579</v>
      </c>
      <c r="G909" t="s">
        <v>2250</v>
      </c>
      <c r="H909" t="s">
        <v>587</v>
      </c>
      <c r="I909" t="s">
        <v>1003</v>
      </c>
      <c r="J909" s="519">
        <v>46015</v>
      </c>
      <c r="K909" s="519">
        <v>46015</v>
      </c>
      <c r="R909" s="519">
        <v>46114</v>
      </c>
      <c r="U909" s="519">
        <v>46055</v>
      </c>
    </row>
    <row r="910" spans="1:21">
      <c r="A910" t="s">
        <v>953</v>
      </c>
      <c r="B910" t="s">
        <v>7089</v>
      </c>
      <c r="C910" t="s">
        <v>953</v>
      </c>
      <c r="D910">
        <v>20500459</v>
      </c>
      <c r="E910" t="s">
        <v>1100</v>
      </c>
      <c r="F910" t="s">
        <v>581</v>
      </c>
      <c r="G910" t="s">
        <v>2250</v>
      </c>
      <c r="H910" t="s">
        <v>587</v>
      </c>
      <c r="J910" s="519">
        <v>46130</v>
      </c>
      <c r="K910" s="519">
        <v>46130</v>
      </c>
      <c r="U910" s="519">
        <v>46130</v>
      </c>
    </row>
    <row r="911" spans="1:21">
      <c r="A911" t="s">
        <v>953</v>
      </c>
      <c r="B911" t="s">
        <v>3523</v>
      </c>
      <c r="C911" t="s">
        <v>953</v>
      </c>
      <c r="D911">
        <v>20437581</v>
      </c>
      <c r="E911" t="s">
        <v>2258</v>
      </c>
      <c r="F911" t="s">
        <v>578</v>
      </c>
      <c r="G911" t="s">
        <v>1213</v>
      </c>
      <c r="H911" t="s">
        <v>591</v>
      </c>
      <c r="J911" s="519">
        <v>46052</v>
      </c>
      <c r="R911" s="519">
        <v>46114</v>
      </c>
      <c r="U911" s="519">
        <v>46069</v>
      </c>
    </row>
    <row r="912" spans="1:21">
      <c r="A912" t="s">
        <v>953</v>
      </c>
      <c r="B912" t="s">
        <v>3019</v>
      </c>
      <c r="C912" t="s">
        <v>953</v>
      </c>
      <c r="D912">
        <v>20462749</v>
      </c>
      <c r="E912" t="s">
        <v>2258</v>
      </c>
      <c r="F912" t="s">
        <v>984</v>
      </c>
      <c r="G912" t="s">
        <v>2246</v>
      </c>
      <c r="H912" t="s">
        <v>587</v>
      </c>
      <c r="J912" s="519">
        <v>46086</v>
      </c>
      <c r="R912" s="519">
        <v>46114</v>
      </c>
      <c r="U912" s="519">
        <v>46112</v>
      </c>
    </row>
    <row r="913" spans="1:21">
      <c r="A913" t="s">
        <v>953</v>
      </c>
      <c r="B913" t="s">
        <v>7090</v>
      </c>
      <c r="C913" t="s">
        <v>953</v>
      </c>
      <c r="D913">
        <v>20500049</v>
      </c>
      <c r="E913" t="s">
        <v>2258</v>
      </c>
      <c r="F913" t="s">
        <v>984</v>
      </c>
      <c r="G913" t="s">
        <v>2259</v>
      </c>
      <c r="H913" t="s">
        <v>592</v>
      </c>
      <c r="J913" s="519">
        <v>46129</v>
      </c>
      <c r="R913" s="519">
        <v>46139</v>
      </c>
      <c r="U913" s="519">
        <v>46129</v>
      </c>
    </row>
    <row r="914" spans="1:21">
      <c r="A914" t="s">
        <v>953</v>
      </c>
      <c r="B914" t="s">
        <v>3524</v>
      </c>
      <c r="C914" t="s">
        <v>953</v>
      </c>
      <c r="D914">
        <v>20488174</v>
      </c>
      <c r="E914" t="s">
        <v>2258</v>
      </c>
      <c r="F914" t="s">
        <v>984</v>
      </c>
      <c r="G914" t="s">
        <v>2259</v>
      </c>
      <c r="H914" t="s">
        <v>593</v>
      </c>
      <c r="J914" s="519">
        <v>46118</v>
      </c>
      <c r="R914" s="519">
        <v>46139</v>
      </c>
      <c r="U914" s="519">
        <v>46118</v>
      </c>
    </row>
    <row r="915" spans="1:21">
      <c r="A915" t="s">
        <v>953</v>
      </c>
      <c r="B915" t="s">
        <v>2516</v>
      </c>
      <c r="C915" t="s">
        <v>953</v>
      </c>
      <c r="D915">
        <v>20444066</v>
      </c>
      <c r="E915" t="s">
        <v>2258</v>
      </c>
      <c r="F915" t="s">
        <v>984</v>
      </c>
      <c r="G915" t="s">
        <v>2246</v>
      </c>
      <c r="H915" t="s">
        <v>587</v>
      </c>
      <c r="J915" s="519">
        <v>46062</v>
      </c>
      <c r="R915" s="519">
        <v>46114</v>
      </c>
      <c r="U915" s="519">
        <v>46080</v>
      </c>
    </row>
    <row r="916" spans="1:21">
      <c r="A916" t="s">
        <v>953</v>
      </c>
      <c r="B916" t="s">
        <v>2517</v>
      </c>
      <c r="C916" t="s">
        <v>953</v>
      </c>
      <c r="D916">
        <v>20446012</v>
      </c>
      <c r="E916" t="s">
        <v>2258</v>
      </c>
      <c r="F916" t="s">
        <v>581</v>
      </c>
      <c r="G916" t="s">
        <v>1213</v>
      </c>
      <c r="H916" t="s">
        <v>587</v>
      </c>
      <c r="J916" s="519">
        <v>46064</v>
      </c>
      <c r="R916" s="519">
        <v>46114</v>
      </c>
      <c r="U916" s="519">
        <v>46073</v>
      </c>
    </row>
    <row r="917" spans="1:21">
      <c r="A917" t="s">
        <v>953</v>
      </c>
      <c r="B917" t="s">
        <v>7091</v>
      </c>
      <c r="C917" t="s">
        <v>953</v>
      </c>
      <c r="D917">
        <v>20507791</v>
      </c>
      <c r="E917" t="s">
        <v>2245</v>
      </c>
      <c r="F917" t="s">
        <v>984</v>
      </c>
      <c r="G917" t="s">
        <v>2250</v>
      </c>
      <c r="H917" t="s">
        <v>592</v>
      </c>
      <c r="J917" s="519">
        <v>46135</v>
      </c>
      <c r="U917" s="519">
        <v>46195</v>
      </c>
    </row>
    <row r="918" spans="1:21">
      <c r="A918" t="s">
        <v>953</v>
      </c>
      <c r="B918" t="s">
        <v>1141</v>
      </c>
      <c r="C918" t="s">
        <v>953</v>
      </c>
      <c r="D918">
        <v>20461257</v>
      </c>
      <c r="E918" t="s">
        <v>2252</v>
      </c>
      <c r="F918" t="s">
        <v>1115</v>
      </c>
      <c r="G918" t="s">
        <v>2250</v>
      </c>
      <c r="H918" t="s">
        <v>587</v>
      </c>
      <c r="I918" t="s">
        <v>1140</v>
      </c>
      <c r="J918" s="519">
        <v>46084</v>
      </c>
      <c r="K918" s="519">
        <v>46084</v>
      </c>
      <c r="R918" s="519">
        <v>46115</v>
      </c>
      <c r="U918" s="519">
        <v>46127</v>
      </c>
    </row>
    <row r="919" spans="1:21">
      <c r="A919" t="s">
        <v>953</v>
      </c>
      <c r="B919" t="s">
        <v>3525</v>
      </c>
      <c r="C919" t="s">
        <v>953</v>
      </c>
      <c r="D919">
        <v>20489511</v>
      </c>
      <c r="E919" t="s">
        <v>2258</v>
      </c>
      <c r="F919" t="s">
        <v>581</v>
      </c>
      <c r="G919" t="s">
        <v>2250</v>
      </c>
      <c r="H919" t="s">
        <v>592</v>
      </c>
      <c r="J919" s="519">
        <v>46119</v>
      </c>
      <c r="R919" s="519">
        <v>46139</v>
      </c>
      <c r="U919" s="519">
        <v>46165</v>
      </c>
    </row>
    <row r="920" spans="1:21">
      <c r="A920" t="s">
        <v>953</v>
      </c>
      <c r="B920" t="s">
        <v>3526</v>
      </c>
      <c r="C920" t="s">
        <v>953</v>
      </c>
      <c r="D920">
        <v>20431740</v>
      </c>
      <c r="E920" t="s">
        <v>2258</v>
      </c>
      <c r="F920" t="s">
        <v>2256</v>
      </c>
      <c r="G920" t="s">
        <v>2259</v>
      </c>
      <c r="H920" t="s">
        <v>592</v>
      </c>
      <c r="I920" t="s">
        <v>567</v>
      </c>
      <c r="J920" s="519">
        <v>46043</v>
      </c>
      <c r="R920" s="519">
        <v>46114</v>
      </c>
      <c r="U920" s="519">
        <v>46043</v>
      </c>
    </row>
    <row r="921" spans="1:21">
      <c r="A921" t="s">
        <v>953</v>
      </c>
      <c r="B921" t="s">
        <v>2518</v>
      </c>
      <c r="C921" t="s">
        <v>953</v>
      </c>
      <c r="D921">
        <v>20441241</v>
      </c>
      <c r="E921" t="s">
        <v>2258</v>
      </c>
      <c r="F921" t="s">
        <v>581</v>
      </c>
      <c r="G921" t="s">
        <v>2246</v>
      </c>
      <c r="H921" t="s">
        <v>587</v>
      </c>
      <c r="J921" s="519">
        <v>46057</v>
      </c>
      <c r="R921" s="519">
        <v>46114</v>
      </c>
      <c r="U921" s="519">
        <v>46078</v>
      </c>
    </row>
    <row r="922" spans="1:21">
      <c r="A922" t="s">
        <v>953</v>
      </c>
      <c r="B922" t="s">
        <v>3527</v>
      </c>
      <c r="C922" t="s">
        <v>953</v>
      </c>
      <c r="D922">
        <v>20421783</v>
      </c>
      <c r="E922" t="s">
        <v>2258</v>
      </c>
      <c r="F922" t="s">
        <v>577</v>
      </c>
      <c r="G922" t="s">
        <v>2246</v>
      </c>
      <c r="H922" t="s">
        <v>592</v>
      </c>
      <c r="J922" s="519">
        <v>46012</v>
      </c>
      <c r="R922" s="519">
        <v>46114</v>
      </c>
      <c r="U922" s="519">
        <v>46031</v>
      </c>
    </row>
    <row r="923" spans="1:21">
      <c r="A923" t="s">
        <v>953</v>
      </c>
      <c r="B923" t="s">
        <v>3021</v>
      </c>
      <c r="C923" t="s">
        <v>953</v>
      </c>
      <c r="D923">
        <v>20465968</v>
      </c>
      <c r="E923" t="s">
        <v>2258</v>
      </c>
      <c r="F923" t="s">
        <v>984</v>
      </c>
      <c r="G923" t="s">
        <v>2259</v>
      </c>
      <c r="H923" t="s">
        <v>2388</v>
      </c>
      <c r="J923" s="519">
        <v>46091</v>
      </c>
      <c r="R923" s="519">
        <v>46114</v>
      </c>
      <c r="U923" s="519">
        <v>46091</v>
      </c>
    </row>
    <row r="924" spans="1:21">
      <c r="A924" t="s">
        <v>953</v>
      </c>
      <c r="B924" t="s">
        <v>3528</v>
      </c>
      <c r="C924" t="s">
        <v>953</v>
      </c>
      <c r="D924">
        <v>20488110</v>
      </c>
      <c r="E924" t="s">
        <v>2324</v>
      </c>
      <c r="F924" t="s">
        <v>579</v>
      </c>
      <c r="G924" t="s">
        <v>2250</v>
      </c>
      <c r="H924" t="s">
        <v>587</v>
      </c>
      <c r="I924" t="s">
        <v>2861</v>
      </c>
      <c r="J924" s="519">
        <v>46118</v>
      </c>
      <c r="K924" s="519">
        <v>46118</v>
      </c>
      <c r="L924" s="519">
        <v>46118</v>
      </c>
      <c r="M924" s="519">
        <v>46128</v>
      </c>
      <c r="N924" s="519">
        <v>46128</v>
      </c>
      <c r="P924" s="519">
        <v>46129</v>
      </c>
      <c r="Q924" s="519">
        <v>46129</v>
      </c>
      <c r="U924" s="519">
        <v>46148</v>
      </c>
    </row>
    <row r="925" spans="1:21">
      <c r="A925" t="s">
        <v>953</v>
      </c>
      <c r="B925" t="s">
        <v>3528</v>
      </c>
      <c r="C925" t="s">
        <v>953</v>
      </c>
      <c r="D925">
        <v>20487349</v>
      </c>
      <c r="E925" t="s">
        <v>2258</v>
      </c>
      <c r="F925" t="s">
        <v>984</v>
      </c>
      <c r="G925" t="s">
        <v>2248</v>
      </c>
      <c r="H925" t="s">
        <v>587</v>
      </c>
      <c r="I925" t="s">
        <v>1156</v>
      </c>
      <c r="J925" s="519">
        <v>46116</v>
      </c>
      <c r="K925" s="519">
        <v>46118</v>
      </c>
      <c r="R925" s="519">
        <v>46123</v>
      </c>
      <c r="U925" s="519">
        <v>46143</v>
      </c>
    </row>
    <row r="926" spans="1:21">
      <c r="A926" t="s">
        <v>953</v>
      </c>
      <c r="B926" t="s">
        <v>3529</v>
      </c>
      <c r="C926" t="s">
        <v>953</v>
      </c>
      <c r="D926">
        <v>20438466</v>
      </c>
      <c r="E926" t="s">
        <v>2252</v>
      </c>
      <c r="F926" t="s">
        <v>577</v>
      </c>
      <c r="G926" t="s">
        <v>2250</v>
      </c>
      <c r="H926" t="s">
        <v>587</v>
      </c>
      <c r="J926" s="519">
        <v>46053</v>
      </c>
      <c r="K926" s="519">
        <v>46053</v>
      </c>
      <c r="R926" s="519">
        <v>46114</v>
      </c>
      <c r="U926" s="519">
        <v>46053</v>
      </c>
    </row>
    <row r="927" spans="1:21">
      <c r="A927" t="s">
        <v>953</v>
      </c>
      <c r="B927" t="s">
        <v>7092</v>
      </c>
      <c r="C927" t="s">
        <v>953</v>
      </c>
      <c r="D927">
        <v>20509914</v>
      </c>
      <c r="E927" t="s">
        <v>2245</v>
      </c>
      <c r="F927" t="s">
        <v>984</v>
      </c>
      <c r="G927" t="s">
        <v>2246</v>
      </c>
      <c r="H927" t="s">
        <v>592</v>
      </c>
      <c r="J927" s="519">
        <v>46137</v>
      </c>
      <c r="U927" s="519">
        <v>46156</v>
      </c>
    </row>
    <row r="928" spans="1:21">
      <c r="A928" t="s">
        <v>953</v>
      </c>
      <c r="B928" t="s">
        <v>7093</v>
      </c>
      <c r="C928" t="s">
        <v>953</v>
      </c>
      <c r="D928">
        <v>20509529</v>
      </c>
      <c r="E928" t="s">
        <v>2245</v>
      </c>
      <c r="F928" t="s">
        <v>984</v>
      </c>
      <c r="G928" t="s">
        <v>2259</v>
      </c>
      <c r="H928" t="s">
        <v>587</v>
      </c>
      <c r="J928" s="519">
        <v>46137</v>
      </c>
      <c r="U928" s="519">
        <v>46137</v>
      </c>
    </row>
    <row r="929" spans="1:21">
      <c r="A929" t="s">
        <v>953</v>
      </c>
      <c r="B929" t="s">
        <v>2098</v>
      </c>
      <c r="C929" t="s">
        <v>953</v>
      </c>
      <c r="D929">
        <v>20476997</v>
      </c>
      <c r="E929" t="s">
        <v>2324</v>
      </c>
      <c r="F929" t="s">
        <v>578</v>
      </c>
      <c r="G929" t="s">
        <v>1213</v>
      </c>
      <c r="H929" t="s">
        <v>2469</v>
      </c>
      <c r="I929" t="s">
        <v>865</v>
      </c>
      <c r="J929" s="519">
        <v>46101</v>
      </c>
      <c r="K929" s="519">
        <v>46118</v>
      </c>
      <c r="L929" s="519">
        <v>46123</v>
      </c>
      <c r="M929" s="519">
        <v>46136</v>
      </c>
      <c r="N929" s="519">
        <v>46136</v>
      </c>
      <c r="O929" s="519">
        <v>46137</v>
      </c>
      <c r="P929" s="519">
        <v>46137</v>
      </c>
      <c r="Q929" s="519">
        <v>46137</v>
      </c>
      <c r="U929" s="519">
        <v>46136</v>
      </c>
    </row>
    <row r="930" spans="1:21">
      <c r="A930" t="s">
        <v>953</v>
      </c>
      <c r="B930" t="s">
        <v>2098</v>
      </c>
      <c r="C930" t="s">
        <v>953</v>
      </c>
      <c r="D930">
        <v>20487188</v>
      </c>
      <c r="E930" t="s">
        <v>2252</v>
      </c>
      <c r="F930" t="s">
        <v>984</v>
      </c>
      <c r="G930" t="s">
        <v>2250</v>
      </c>
      <c r="H930" t="s">
        <v>587</v>
      </c>
      <c r="I930" t="s">
        <v>887</v>
      </c>
      <c r="J930" s="519">
        <v>46116</v>
      </c>
      <c r="K930" s="519">
        <v>46116</v>
      </c>
      <c r="R930" s="519">
        <v>46137</v>
      </c>
      <c r="U930" s="519">
        <v>46136</v>
      </c>
    </row>
    <row r="931" spans="1:21">
      <c r="A931" t="s">
        <v>953</v>
      </c>
      <c r="B931" t="s">
        <v>3530</v>
      </c>
      <c r="C931" t="s">
        <v>953</v>
      </c>
      <c r="D931">
        <v>20415829</v>
      </c>
      <c r="E931" t="s">
        <v>2258</v>
      </c>
      <c r="F931" t="s">
        <v>577</v>
      </c>
      <c r="G931" t="s">
        <v>2248</v>
      </c>
      <c r="H931" t="s">
        <v>588</v>
      </c>
      <c r="I931" t="s">
        <v>2272</v>
      </c>
      <c r="J931" s="519">
        <v>46022</v>
      </c>
      <c r="R931" s="519">
        <v>46114</v>
      </c>
      <c r="U931" s="519">
        <v>46022</v>
      </c>
    </row>
    <row r="932" spans="1:21">
      <c r="A932" t="s">
        <v>953</v>
      </c>
      <c r="B932" t="s">
        <v>3531</v>
      </c>
      <c r="C932" t="s">
        <v>953</v>
      </c>
      <c r="D932">
        <v>20493692</v>
      </c>
      <c r="E932" t="s">
        <v>2258</v>
      </c>
      <c r="F932" t="s">
        <v>581</v>
      </c>
      <c r="G932" t="s">
        <v>2250</v>
      </c>
      <c r="H932" t="s">
        <v>592</v>
      </c>
      <c r="J932" s="519">
        <v>46125</v>
      </c>
      <c r="R932" s="519">
        <v>46139</v>
      </c>
      <c r="U932" s="519">
        <v>46266</v>
      </c>
    </row>
    <row r="933" spans="1:21">
      <c r="A933" t="s">
        <v>953</v>
      </c>
      <c r="B933" t="s">
        <v>7094</v>
      </c>
      <c r="C933" t="s">
        <v>953</v>
      </c>
      <c r="D933">
        <v>20497608</v>
      </c>
      <c r="E933" t="s">
        <v>2258</v>
      </c>
      <c r="F933" t="s">
        <v>581</v>
      </c>
      <c r="G933" t="s">
        <v>2250</v>
      </c>
      <c r="H933" t="s">
        <v>592</v>
      </c>
      <c r="J933" s="519">
        <v>46128</v>
      </c>
      <c r="R933" s="519">
        <v>46139</v>
      </c>
      <c r="U933" s="519">
        <v>46188</v>
      </c>
    </row>
    <row r="934" spans="1:21">
      <c r="A934" t="s">
        <v>953</v>
      </c>
      <c r="B934" t="s">
        <v>2519</v>
      </c>
      <c r="C934" t="s">
        <v>953</v>
      </c>
      <c r="D934">
        <v>20450060</v>
      </c>
      <c r="E934" t="s">
        <v>2258</v>
      </c>
      <c r="F934" t="s">
        <v>984</v>
      </c>
      <c r="G934" t="s">
        <v>2246</v>
      </c>
      <c r="H934" t="s">
        <v>587</v>
      </c>
      <c r="J934" s="519">
        <v>46069</v>
      </c>
      <c r="R934" s="519">
        <v>46114</v>
      </c>
      <c r="U934" s="519">
        <v>46135</v>
      </c>
    </row>
    <row r="935" spans="1:21">
      <c r="A935" t="s">
        <v>953</v>
      </c>
      <c r="B935" t="s">
        <v>3532</v>
      </c>
      <c r="C935" t="s">
        <v>953</v>
      </c>
      <c r="D935">
        <v>20485692</v>
      </c>
      <c r="E935" t="s">
        <v>2258</v>
      </c>
      <c r="F935" t="s">
        <v>1001</v>
      </c>
      <c r="G935" t="s">
        <v>2248</v>
      </c>
      <c r="H935" t="s">
        <v>591</v>
      </c>
      <c r="I935" t="s">
        <v>1034</v>
      </c>
      <c r="J935" s="519">
        <v>46114</v>
      </c>
      <c r="R935" s="519">
        <v>46139</v>
      </c>
      <c r="U935" s="519">
        <v>46129</v>
      </c>
    </row>
    <row r="936" spans="1:21">
      <c r="A936" t="s">
        <v>953</v>
      </c>
      <c r="B936" t="s">
        <v>3023</v>
      </c>
      <c r="C936" t="s">
        <v>953</v>
      </c>
      <c r="D936">
        <v>20476957</v>
      </c>
      <c r="E936" t="s">
        <v>2258</v>
      </c>
      <c r="F936" t="s">
        <v>984</v>
      </c>
      <c r="G936" t="s">
        <v>2250</v>
      </c>
      <c r="H936" t="s">
        <v>592</v>
      </c>
      <c r="J936" s="519">
        <v>46101</v>
      </c>
      <c r="R936" s="519">
        <v>46114</v>
      </c>
      <c r="U936" s="519">
        <v>46130</v>
      </c>
    </row>
    <row r="937" spans="1:21">
      <c r="A937" t="s">
        <v>953</v>
      </c>
      <c r="B937" t="s">
        <v>2520</v>
      </c>
      <c r="C937" t="s">
        <v>953</v>
      </c>
      <c r="D937">
        <v>20442635</v>
      </c>
      <c r="E937" t="s">
        <v>2258</v>
      </c>
      <c r="F937" t="s">
        <v>581</v>
      </c>
      <c r="G937" t="s">
        <v>2290</v>
      </c>
      <c r="H937" t="s">
        <v>587</v>
      </c>
      <c r="J937" s="519">
        <v>46060</v>
      </c>
      <c r="R937" s="519">
        <v>46114</v>
      </c>
      <c r="U937" s="519">
        <v>46082</v>
      </c>
    </row>
    <row r="938" spans="1:21">
      <c r="A938" t="s">
        <v>953</v>
      </c>
      <c r="B938" t="s">
        <v>3533</v>
      </c>
      <c r="C938" t="s">
        <v>953</v>
      </c>
      <c r="D938">
        <v>20425342</v>
      </c>
      <c r="E938" t="s">
        <v>2258</v>
      </c>
      <c r="F938" t="s">
        <v>577</v>
      </c>
      <c r="G938" t="s">
        <v>2290</v>
      </c>
      <c r="H938" t="s">
        <v>592</v>
      </c>
      <c r="J938" s="519">
        <v>46036</v>
      </c>
      <c r="R938" s="519">
        <v>46114</v>
      </c>
      <c r="U938" s="519">
        <v>46036</v>
      </c>
    </row>
    <row r="939" spans="1:21">
      <c r="A939" t="s">
        <v>953</v>
      </c>
      <c r="B939" t="s">
        <v>1032</v>
      </c>
      <c r="C939" t="s">
        <v>953</v>
      </c>
      <c r="D939">
        <v>20475814</v>
      </c>
      <c r="E939" t="s">
        <v>2252</v>
      </c>
      <c r="F939" t="s">
        <v>577</v>
      </c>
      <c r="G939" t="s">
        <v>2248</v>
      </c>
      <c r="H939" t="s">
        <v>589</v>
      </c>
      <c r="I939" t="s">
        <v>1165</v>
      </c>
      <c r="J939" s="519">
        <v>46100</v>
      </c>
      <c r="K939" s="519">
        <v>46100</v>
      </c>
      <c r="R939" s="519">
        <v>46114</v>
      </c>
      <c r="U939" s="519">
        <v>46123</v>
      </c>
    </row>
    <row r="940" spans="1:21">
      <c r="A940" t="s">
        <v>953</v>
      </c>
      <c r="B940" t="s">
        <v>1032</v>
      </c>
      <c r="C940" t="s">
        <v>953</v>
      </c>
      <c r="D940">
        <v>20476166</v>
      </c>
      <c r="E940" t="s">
        <v>2324</v>
      </c>
      <c r="F940" t="s">
        <v>577</v>
      </c>
      <c r="G940" t="s">
        <v>2250</v>
      </c>
      <c r="H940" t="s">
        <v>2453</v>
      </c>
      <c r="I940" t="s">
        <v>897</v>
      </c>
      <c r="J940" s="519">
        <v>46100</v>
      </c>
      <c r="K940" s="519">
        <v>46100</v>
      </c>
      <c r="L940" s="519">
        <v>46100</v>
      </c>
      <c r="M940" s="519">
        <v>46120</v>
      </c>
      <c r="N940" s="519">
        <v>46120</v>
      </c>
      <c r="P940" s="519">
        <v>46120</v>
      </c>
      <c r="Q940" s="519">
        <v>46120</v>
      </c>
      <c r="U940" s="519">
        <v>46123</v>
      </c>
    </row>
    <row r="941" spans="1:21">
      <c r="A941" t="s">
        <v>953</v>
      </c>
      <c r="B941" t="s">
        <v>7095</v>
      </c>
      <c r="C941" t="s">
        <v>953</v>
      </c>
      <c r="D941">
        <v>20509748</v>
      </c>
      <c r="E941" t="s">
        <v>1100</v>
      </c>
      <c r="F941" t="s">
        <v>582</v>
      </c>
      <c r="G941" t="s">
        <v>2250</v>
      </c>
      <c r="H941" t="s">
        <v>587</v>
      </c>
      <c r="I941" t="s">
        <v>1688</v>
      </c>
      <c r="J941" s="519">
        <v>46137</v>
      </c>
      <c r="K941" s="519">
        <v>46137</v>
      </c>
      <c r="U941" s="519">
        <v>46137</v>
      </c>
    </row>
    <row r="942" spans="1:21">
      <c r="A942" t="s">
        <v>953</v>
      </c>
      <c r="B942" t="s">
        <v>7096</v>
      </c>
      <c r="C942" t="s">
        <v>953</v>
      </c>
      <c r="D942">
        <v>20505197</v>
      </c>
      <c r="E942" t="s">
        <v>2245</v>
      </c>
      <c r="F942" t="s">
        <v>581</v>
      </c>
      <c r="G942" t="s">
        <v>2250</v>
      </c>
      <c r="H942" t="s">
        <v>2361</v>
      </c>
      <c r="J942" s="519">
        <v>46133</v>
      </c>
      <c r="U942" s="519">
        <v>46203</v>
      </c>
    </row>
    <row r="943" spans="1:21">
      <c r="A943" t="s">
        <v>953</v>
      </c>
      <c r="B943" t="s">
        <v>3534</v>
      </c>
      <c r="C943" t="s">
        <v>953</v>
      </c>
      <c r="D943">
        <v>20488827</v>
      </c>
      <c r="E943" t="s">
        <v>2258</v>
      </c>
      <c r="F943" t="s">
        <v>984</v>
      </c>
      <c r="G943" t="s">
        <v>2250</v>
      </c>
      <c r="H943" t="s">
        <v>592</v>
      </c>
      <c r="J943" s="519">
        <v>46118</v>
      </c>
      <c r="R943" s="519">
        <v>46139</v>
      </c>
      <c r="U943" s="519">
        <v>46146</v>
      </c>
    </row>
    <row r="944" spans="1:21">
      <c r="A944" t="s">
        <v>953</v>
      </c>
      <c r="B944" t="s">
        <v>2521</v>
      </c>
      <c r="C944" t="s">
        <v>953</v>
      </c>
      <c r="D944">
        <v>20448138</v>
      </c>
      <c r="E944" t="s">
        <v>2258</v>
      </c>
      <c r="F944" t="s">
        <v>581</v>
      </c>
      <c r="G944" t="s">
        <v>1213</v>
      </c>
      <c r="H944" t="s">
        <v>587</v>
      </c>
      <c r="J944" s="519">
        <v>46065</v>
      </c>
      <c r="R944" s="519">
        <v>46114</v>
      </c>
      <c r="U944" s="519">
        <v>46080</v>
      </c>
    </row>
    <row r="945" spans="1:21">
      <c r="A945" t="s">
        <v>953</v>
      </c>
      <c r="B945" t="s">
        <v>3535</v>
      </c>
      <c r="C945" t="s">
        <v>953</v>
      </c>
      <c r="D945">
        <v>20488250</v>
      </c>
      <c r="E945" t="s">
        <v>2258</v>
      </c>
      <c r="F945" t="s">
        <v>984</v>
      </c>
      <c r="G945" t="s">
        <v>2250</v>
      </c>
      <c r="H945" t="s">
        <v>592</v>
      </c>
      <c r="J945" s="519">
        <v>46118</v>
      </c>
      <c r="R945" s="519">
        <v>46139</v>
      </c>
      <c r="U945" s="519">
        <v>46136</v>
      </c>
    </row>
    <row r="946" spans="1:21">
      <c r="A946" t="s">
        <v>953</v>
      </c>
      <c r="B946" t="s">
        <v>3024</v>
      </c>
      <c r="C946" t="s">
        <v>953</v>
      </c>
      <c r="D946">
        <v>20476624</v>
      </c>
      <c r="E946" t="s">
        <v>2258</v>
      </c>
      <c r="F946" t="s">
        <v>984</v>
      </c>
      <c r="G946" t="s">
        <v>2250</v>
      </c>
      <c r="H946" t="s">
        <v>592</v>
      </c>
      <c r="J946" s="519">
        <v>46101</v>
      </c>
      <c r="R946" s="519">
        <v>46114</v>
      </c>
      <c r="U946" s="519">
        <v>46101</v>
      </c>
    </row>
    <row r="947" spans="1:21">
      <c r="A947" t="s">
        <v>953</v>
      </c>
      <c r="B947" t="s">
        <v>2522</v>
      </c>
      <c r="C947" t="s">
        <v>953</v>
      </c>
      <c r="D947">
        <v>20445946</v>
      </c>
      <c r="E947" t="s">
        <v>2258</v>
      </c>
      <c r="F947" t="s">
        <v>581</v>
      </c>
      <c r="G947" t="s">
        <v>1213</v>
      </c>
      <c r="H947" t="s">
        <v>587</v>
      </c>
      <c r="J947" s="519">
        <v>46064</v>
      </c>
      <c r="R947" s="519">
        <v>46114</v>
      </c>
      <c r="U947" s="519">
        <v>46071</v>
      </c>
    </row>
    <row r="948" spans="1:21">
      <c r="A948" t="s">
        <v>953</v>
      </c>
      <c r="B948" t="s">
        <v>3536</v>
      </c>
      <c r="C948" t="s">
        <v>953</v>
      </c>
      <c r="D948">
        <v>20490921</v>
      </c>
      <c r="E948" t="s">
        <v>2258</v>
      </c>
      <c r="F948" t="s">
        <v>581</v>
      </c>
      <c r="G948" t="s">
        <v>2259</v>
      </c>
      <c r="H948" t="s">
        <v>592</v>
      </c>
      <c r="J948" s="519">
        <v>46121</v>
      </c>
      <c r="R948" s="519">
        <v>46139</v>
      </c>
      <c r="U948" s="519">
        <v>46121</v>
      </c>
    </row>
    <row r="949" spans="1:21">
      <c r="A949" t="s">
        <v>953</v>
      </c>
      <c r="B949" t="s">
        <v>7097</v>
      </c>
      <c r="C949" t="s">
        <v>953</v>
      </c>
      <c r="D949">
        <v>20500926</v>
      </c>
      <c r="E949" t="s">
        <v>2258</v>
      </c>
      <c r="F949" t="s">
        <v>984</v>
      </c>
      <c r="G949" t="s">
        <v>2246</v>
      </c>
      <c r="H949" t="s">
        <v>592</v>
      </c>
      <c r="J949" s="519">
        <v>46130</v>
      </c>
      <c r="R949" s="519">
        <v>46139</v>
      </c>
      <c r="U949" s="519">
        <v>46132</v>
      </c>
    </row>
    <row r="950" spans="1:21">
      <c r="A950" t="s">
        <v>953</v>
      </c>
      <c r="B950" t="s">
        <v>3537</v>
      </c>
      <c r="C950" t="s">
        <v>953</v>
      </c>
      <c r="D950">
        <v>20437510</v>
      </c>
      <c r="E950" t="s">
        <v>2258</v>
      </c>
      <c r="F950" t="s">
        <v>984</v>
      </c>
      <c r="G950" t="s">
        <v>2248</v>
      </c>
      <c r="H950" t="s">
        <v>592</v>
      </c>
      <c r="J950" s="519">
        <v>46052</v>
      </c>
      <c r="R950" s="519">
        <v>46114</v>
      </c>
      <c r="U950" s="519">
        <v>46081</v>
      </c>
    </row>
    <row r="951" spans="1:21">
      <c r="A951" t="s">
        <v>953</v>
      </c>
      <c r="B951" t="s">
        <v>2523</v>
      </c>
      <c r="C951" t="s">
        <v>953</v>
      </c>
      <c r="D951">
        <v>20453164</v>
      </c>
      <c r="E951" t="s">
        <v>2258</v>
      </c>
      <c r="F951" t="s">
        <v>581</v>
      </c>
      <c r="G951" t="s">
        <v>2246</v>
      </c>
      <c r="H951" t="s">
        <v>587</v>
      </c>
      <c r="J951" s="519">
        <v>46072</v>
      </c>
      <c r="R951" s="519">
        <v>46114</v>
      </c>
      <c r="U951" s="519">
        <v>46109</v>
      </c>
    </row>
    <row r="952" spans="1:21">
      <c r="A952" t="s">
        <v>953</v>
      </c>
      <c r="B952" t="s">
        <v>7098</v>
      </c>
      <c r="C952" t="s">
        <v>953</v>
      </c>
      <c r="D952">
        <v>20442538</v>
      </c>
      <c r="E952" t="s">
        <v>2258</v>
      </c>
      <c r="F952" t="s">
        <v>581</v>
      </c>
      <c r="G952" t="s">
        <v>2246</v>
      </c>
      <c r="H952" t="s">
        <v>587</v>
      </c>
      <c r="J952" s="519">
        <v>46059</v>
      </c>
      <c r="R952" s="519">
        <v>46114</v>
      </c>
      <c r="U952" s="519">
        <v>46150</v>
      </c>
    </row>
    <row r="953" spans="1:21">
      <c r="A953" t="s">
        <v>953</v>
      </c>
      <c r="B953" t="s">
        <v>3538</v>
      </c>
      <c r="C953" t="s">
        <v>953</v>
      </c>
      <c r="D953">
        <v>20420236</v>
      </c>
      <c r="E953" t="s">
        <v>2258</v>
      </c>
      <c r="F953" t="s">
        <v>984</v>
      </c>
      <c r="G953" t="s">
        <v>2259</v>
      </c>
      <c r="H953" t="s">
        <v>2388</v>
      </c>
      <c r="J953" s="519">
        <v>46029</v>
      </c>
      <c r="R953" s="519">
        <v>46114</v>
      </c>
      <c r="U953" s="519">
        <v>46043</v>
      </c>
    </row>
    <row r="954" spans="1:21">
      <c r="A954" t="s">
        <v>953</v>
      </c>
      <c r="B954" t="s">
        <v>3539</v>
      </c>
      <c r="C954" t="s">
        <v>953</v>
      </c>
      <c r="D954">
        <v>20418714</v>
      </c>
      <c r="E954" t="s">
        <v>2252</v>
      </c>
      <c r="F954" t="s">
        <v>1001</v>
      </c>
      <c r="G954" t="s">
        <v>2250</v>
      </c>
      <c r="H954" t="s">
        <v>587</v>
      </c>
      <c r="I954" t="s">
        <v>2337</v>
      </c>
      <c r="J954" s="519">
        <v>46027</v>
      </c>
      <c r="K954" s="519">
        <v>46027</v>
      </c>
      <c r="R954" s="519">
        <v>46114</v>
      </c>
      <c r="U954" s="519">
        <v>46027</v>
      </c>
    </row>
    <row r="955" spans="1:21">
      <c r="A955" t="s">
        <v>953</v>
      </c>
      <c r="B955" t="s">
        <v>3025</v>
      </c>
      <c r="C955" t="s">
        <v>953</v>
      </c>
      <c r="D955">
        <v>20468836</v>
      </c>
      <c r="E955" t="s">
        <v>2258</v>
      </c>
      <c r="F955" t="s">
        <v>984</v>
      </c>
      <c r="G955" t="s">
        <v>2246</v>
      </c>
      <c r="H955" t="s">
        <v>587</v>
      </c>
      <c r="J955" s="519">
        <v>46092</v>
      </c>
      <c r="R955" s="519">
        <v>46114</v>
      </c>
      <c r="U955" s="519">
        <v>46143</v>
      </c>
    </row>
    <row r="956" spans="1:21">
      <c r="A956" t="s">
        <v>953</v>
      </c>
      <c r="B956" t="s">
        <v>3026</v>
      </c>
      <c r="C956" t="s">
        <v>953</v>
      </c>
      <c r="D956">
        <v>20477347</v>
      </c>
      <c r="E956" t="s">
        <v>2258</v>
      </c>
      <c r="F956" t="s">
        <v>581</v>
      </c>
      <c r="G956" t="s">
        <v>2259</v>
      </c>
      <c r="H956" t="s">
        <v>593</v>
      </c>
      <c r="J956" s="519">
        <v>46102</v>
      </c>
      <c r="R956" s="519">
        <v>46139</v>
      </c>
      <c r="U956" s="519">
        <v>46157</v>
      </c>
    </row>
    <row r="957" spans="1:21">
      <c r="A957" t="s">
        <v>953</v>
      </c>
      <c r="B957" t="s">
        <v>3027</v>
      </c>
      <c r="C957" t="s">
        <v>953</v>
      </c>
      <c r="D957">
        <v>20474425</v>
      </c>
      <c r="E957" t="s">
        <v>2258</v>
      </c>
      <c r="F957" t="s">
        <v>581</v>
      </c>
      <c r="G957" t="s">
        <v>2250</v>
      </c>
      <c r="H957" t="s">
        <v>592</v>
      </c>
      <c r="J957" s="519">
        <v>46099</v>
      </c>
      <c r="R957" s="519">
        <v>46139</v>
      </c>
      <c r="U957" s="519">
        <v>46116</v>
      </c>
    </row>
    <row r="958" spans="1:21">
      <c r="A958" t="s">
        <v>953</v>
      </c>
      <c r="B958" t="s">
        <v>3028</v>
      </c>
      <c r="C958" t="s">
        <v>953</v>
      </c>
      <c r="D958">
        <v>20477372</v>
      </c>
      <c r="E958" t="s">
        <v>2258</v>
      </c>
      <c r="F958" t="s">
        <v>984</v>
      </c>
      <c r="G958" t="s">
        <v>2250</v>
      </c>
      <c r="H958" t="s">
        <v>592</v>
      </c>
      <c r="I958" t="s">
        <v>567</v>
      </c>
      <c r="J958" s="519">
        <v>46102</v>
      </c>
      <c r="R958" s="519">
        <v>46114</v>
      </c>
      <c r="U958" s="519">
        <v>46143</v>
      </c>
    </row>
    <row r="959" spans="1:21">
      <c r="A959" t="s">
        <v>953</v>
      </c>
      <c r="B959" t="s">
        <v>3028</v>
      </c>
      <c r="C959" t="s">
        <v>953</v>
      </c>
      <c r="D959">
        <v>20495913</v>
      </c>
      <c r="E959" t="s">
        <v>1100</v>
      </c>
      <c r="F959" t="s">
        <v>578</v>
      </c>
      <c r="G959" t="s">
        <v>2250</v>
      </c>
      <c r="H959" t="s">
        <v>592</v>
      </c>
      <c r="I959" t="s">
        <v>1395</v>
      </c>
      <c r="J959" s="519">
        <v>46127</v>
      </c>
      <c r="K959" s="519">
        <v>46127</v>
      </c>
      <c r="U959" s="519">
        <v>46174</v>
      </c>
    </row>
    <row r="960" spans="1:21">
      <c r="A960" t="s">
        <v>953</v>
      </c>
      <c r="B960" t="s">
        <v>3028</v>
      </c>
      <c r="C960" t="s">
        <v>953</v>
      </c>
      <c r="D960">
        <v>20492399</v>
      </c>
      <c r="E960" t="s">
        <v>1100</v>
      </c>
      <c r="F960" t="s">
        <v>582</v>
      </c>
      <c r="G960" t="s">
        <v>1213</v>
      </c>
      <c r="H960" t="s">
        <v>592</v>
      </c>
      <c r="I960" t="s">
        <v>1395</v>
      </c>
      <c r="J960" s="519">
        <v>46123</v>
      </c>
      <c r="K960" s="519">
        <v>46127</v>
      </c>
      <c r="U960" s="519">
        <v>46123</v>
      </c>
    </row>
    <row r="961" spans="1:21">
      <c r="A961" t="s">
        <v>953</v>
      </c>
      <c r="B961" t="s">
        <v>3029</v>
      </c>
      <c r="C961" t="s">
        <v>953</v>
      </c>
      <c r="D961">
        <v>20473055</v>
      </c>
      <c r="E961" t="s">
        <v>2258</v>
      </c>
      <c r="F961" t="s">
        <v>581</v>
      </c>
      <c r="G961" t="s">
        <v>2250</v>
      </c>
      <c r="H961" t="s">
        <v>592</v>
      </c>
      <c r="J961" s="519">
        <v>46098</v>
      </c>
      <c r="R961" s="519">
        <v>46114</v>
      </c>
      <c r="U961" s="519">
        <v>46185</v>
      </c>
    </row>
    <row r="962" spans="1:21">
      <c r="A962" t="s">
        <v>953</v>
      </c>
      <c r="B962" t="s">
        <v>3030</v>
      </c>
      <c r="C962" t="s">
        <v>953</v>
      </c>
      <c r="D962">
        <v>20484046</v>
      </c>
      <c r="E962" t="s">
        <v>2258</v>
      </c>
      <c r="F962" t="s">
        <v>581</v>
      </c>
      <c r="G962" t="s">
        <v>2248</v>
      </c>
      <c r="H962" t="s">
        <v>588</v>
      </c>
      <c r="I962" t="s">
        <v>1156</v>
      </c>
      <c r="J962" s="519">
        <v>46112</v>
      </c>
      <c r="R962" s="519">
        <v>46139</v>
      </c>
      <c r="U962" s="519">
        <v>46150</v>
      </c>
    </row>
    <row r="963" spans="1:21">
      <c r="A963" t="s">
        <v>953</v>
      </c>
      <c r="B963" t="s">
        <v>7099</v>
      </c>
      <c r="C963" t="s">
        <v>953</v>
      </c>
      <c r="D963">
        <v>20498202</v>
      </c>
      <c r="E963" t="s">
        <v>2258</v>
      </c>
      <c r="F963" t="s">
        <v>984</v>
      </c>
      <c r="G963" t="s">
        <v>2259</v>
      </c>
      <c r="H963" t="s">
        <v>592</v>
      </c>
      <c r="J963" s="519">
        <v>46128</v>
      </c>
      <c r="R963" s="519">
        <v>46139</v>
      </c>
      <c r="U963" s="519">
        <v>46128</v>
      </c>
    </row>
    <row r="964" spans="1:21">
      <c r="A964" t="s">
        <v>953</v>
      </c>
      <c r="B964" t="s">
        <v>3031</v>
      </c>
      <c r="C964" t="s">
        <v>953</v>
      </c>
      <c r="D964">
        <v>20473050</v>
      </c>
      <c r="E964" t="s">
        <v>2258</v>
      </c>
      <c r="F964" t="s">
        <v>581</v>
      </c>
      <c r="G964" t="s">
        <v>2250</v>
      </c>
      <c r="H964" t="s">
        <v>592</v>
      </c>
      <c r="J964" s="519">
        <v>46098</v>
      </c>
      <c r="R964" s="519">
        <v>46114</v>
      </c>
      <c r="U964" s="519">
        <v>46174</v>
      </c>
    </row>
    <row r="965" spans="1:21">
      <c r="A965" t="s">
        <v>953</v>
      </c>
      <c r="B965" t="s">
        <v>7100</v>
      </c>
      <c r="C965" t="s">
        <v>953</v>
      </c>
      <c r="D965">
        <v>20508893</v>
      </c>
      <c r="E965" t="s">
        <v>2245</v>
      </c>
      <c r="F965" t="s">
        <v>984</v>
      </c>
      <c r="G965" t="s">
        <v>2250</v>
      </c>
      <c r="H965" t="s">
        <v>2361</v>
      </c>
      <c r="J965" s="519">
        <v>46136</v>
      </c>
      <c r="U965" s="519">
        <v>46137</v>
      </c>
    </row>
    <row r="966" spans="1:21">
      <c r="A966" t="s">
        <v>953</v>
      </c>
      <c r="B966" t="s">
        <v>7101</v>
      </c>
      <c r="C966" t="s">
        <v>953</v>
      </c>
      <c r="D966">
        <v>20496993</v>
      </c>
      <c r="E966" t="s">
        <v>2258</v>
      </c>
      <c r="F966" t="s">
        <v>984</v>
      </c>
      <c r="G966" t="s">
        <v>2248</v>
      </c>
      <c r="H966" t="s">
        <v>592</v>
      </c>
      <c r="J966" s="519">
        <v>46127</v>
      </c>
      <c r="R966" s="519">
        <v>46139</v>
      </c>
      <c r="U966" s="519">
        <v>46164</v>
      </c>
    </row>
    <row r="967" spans="1:21">
      <c r="A967" t="s">
        <v>953</v>
      </c>
      <c r="B967" t="s">
        <v>7102</v>
      </c>
      <c r="C967" t="s">
        <v>953</v>
      </c>
      <c r="D967">
        <v>20509941</v>
      </c>
      <c r="E967" t="s">
        <v>1100</v>
      </c>
      <c r="F967" t="s">
        <v>1115</v>
      </c>
      <c r="G967" t="s">
        <v>2250</v>
      </c>
      <c r="H967" t="s">
        <v>587</v>
      </c>
      <c r="I967" t="s">
        <v>3795</v>
      </c>
      <c r="J967" s="519">
        <v>46137</v>
      </c>
      <c r="K967" s="519">
        <v>46137</v>
      </c>
      <c r="U967" s="519">
        <v>46141</v>
      </c>
    </row>
    <row r="968" spans="1:21">
      <c r="A968" t="s">
        <v>953</v>
      </c>
      <c r="B968" t="s">
        <v>2524</v>
      </c>
      <c r="C968" t="s">
        <v>953</v>
      </c>
      <c r="D968">
        <v>20453908</v>
      </c>
      <c r="E968" t="s">
        <v>2258</v>
      </c>
      <c r="F968" t="s">
        <v>581</v>
      </c>
      <c r="G968" t="s">
        <v>2290</v>
      </c>
      <c r="H968" t="s">
        <v>592</v>
      </c>
      <c r="J968" s="519">
        <v>46073</v>
      </c>
      <c r="R968" s="519">
        <v>46114</v>
      </c>
      <c r="U968" s="519">
        <v>46091</v>
      </c>
    </row>
    <row r="969" spans="1:21">
      <c r="A969" t="s">
        <v>953</v>
      </c>
      <c r="B969" t="s">
        <v>7103</v>
      </c>
      <c r="C969" t="s">
        <v>953</v>
      </c>
      <c r="D969">
        <v>20508335</v>
      </c>
      <c r="E969" t="s">
        <v>2252</v>
      </c>
      <c r="F969" t="s">
        <v>984</v>
      </c>
      <c r="G969" t="s">
        <v>2259</v>
      </c>
      <c r="H969" t="s">
        <v>593</v>
      </c>
      <c r="J969" s="519">
        <v>46135</v>
      </c>
      <c r="K969" s="519">
        <v>46136</v>
      </c>
      <c r="R969" s="519">
        <v>46139</v>
      </c>
      <c r="U969" s="519">
        <v>46140</v>
      </c>
    </row>
    <row r="970" spans="1:21">
      <c r="A970" t="s">
        <v>953</v>
      </c>
      <c r="B970" t="s">
        <v>3032</v>
      </c>
      <c r="C970" t="s">
        <v>953</v>
      </c>
      <c r="D970">
        <v>20482785</v>
      </c>
      <c r="E970" t="s">
        <v>2252</v>
      </c>
      <c r="F970" t="s">
        <v>1115</v>
      </c>
      <c r="G970" t="s">
        <v>2250</v>
      </c>
      <c r="H970" t="s">
        <v>587</v>
      </c>
      <c r="J970" s="519">
        <v>46110</v>
      </c>
      <c r="K970" s="519">
        <v>46110</v>
      </c>
      <c r="R970" s="519">
        <v>46115</v>
      </c>
      <c r="U970" s="519">
        <v>46111</v>
      </c>
    </row>
    <row r="971" spans="1:21">
      <c r="A971" t="s">
        <v>953</v>
      </c>
      <c r="B971" t="s">
        <v>3540</v>
      </c>
      <c r="C971" t="s">
        <v>953</v>
      </c>
      <c r="D971">
        <v>20416150</v>
      </c>
      <c r="E971" t="s">
        <v>2252</v>
      </c>
      <c r="F971" t="s">
        <v>578</v>
      </c>
      <c r="G971" t="s">
        <v>2250</v>
      </c>
      <c r="H971" t="s">
        <v>587</v>
      </c>
      <c r="I971" t="s">
        <v>2111</v>
      </c>
      <c r="J971" s="519">
        <v>46023</v>
      </c>
      <c r="K971" s="519">
        <v>46023</v>
      </c>
      <c r="R971" s="519">
        <v>46114</v>
      </c>
      <c r="U971" s="519">
        <v>46041</v>
      </c>
    </row>
    <row r="972" spans="1:21">
      <c r="A972" t="s">
        <v>953</v>
      </c>
      <c r="B972" t="s">
        <v>7104</v>
      </c>
      <c r="C972" t="s">
        <v>953</v>
      </c>
      <c r="D972">
        <v>20497268</v>
      </c>
      <c r="E972" t="s">
        <v>2245</v>
      </c>
      <c r="F972" t="s">
        <v>581</v>
      </c>
      <c r="G972" t="s">
        <v>2250</v>
      </c>
      <c r="H972" t="s">
        <v>2361</v>
      </c>
      <c r="J972" s="519">
        <v>46128</v>
      </c>
      <c r="U972" s="519">
        <v>46175</v>
      </c>
    </row>
    <row r="973" spans="1:21">
      <c r="A973" t="s">
        <v>953</v>
      </c>
      <c r="B973" t="s">
        <v>3541</v>
      </c>
      <c r="C973" t="s">
        <v>953</v>
      </c>
      <c r="D973">
        <v>20437363</v>
      </c>
      <c r="E973" t="s">
        <v>2258</v>
      </c>
      <c r="F973" t="s">
        <v>577</v>
      </c>
      <c r="G973" t="s">
        <v>2248</v>
      </c>
      <c r="H973" t="s">
        <v>2361</v>
      </c>
      <c r="J973" s="519">
        <v>46051</v>
      </c>
      <c r="R973" s="519">
        <v>46114</v>
      </c>
      <c r="U973" s="519">
        <v>46051</v>
      </c>
    </row>
    <row r="974" spans="1:21">
      <c r="A974" t="s">
        <v>953</v>
      </c>
      <c r="B974" t="s">
        <v>7105</v>
      </c>
      <c r="C974" t="s">
        <v>953</v>
      </c>
      <c r="D974">
        <v>20433478</v>
      </c>
      <c r="E974" t="s">
        <v>2258</v>
      </c>
      <c r="F974" t="s">
        <v>577</v>
      </c>
      <c r="G974" t="s">
        <v>2259</v>
      </c>
      <c r="H974" t="s">
        <v>593</v>
      </c>
      <c r="J974" s="519">
        <v>46045</v>
      </c>
      <c r="R974" s="519">
        <v>46114</v>
      </c>
      <c r="U974" s="519">
        <v>46086</v>
      </c>
    </row>
    <row r="975" spans="1:21">
      <c r="A975" t="s">
        <v>953</v>
      </c>
      <c r="B975" t="s">
        <v>1107</v>
      </c>
      <c r="C975" t="s">
        <v>953</v>
      </c>
      <c r="D975">
        <v>20441505</v>
      </c>
      <c r="E975" t="s">
        <v>2252</v>
      </c>
      <c r="F975" t="s">
        <v>1001</v>
      </c>
      <c r="G975" t="s">
        <v>2259</v>
      </c>
      <c r="H975" t="s">
        <v>592</v>
      </c>
      <c r="I975" t="s">
        <v>1106</v>
      </c>
      <c r="J975" s="519">
        <v>46058</v>
      </c>
      <c r="K975" s="519">
        <v>46084</v>
      </c>
      <c r="R975" s="519">
        <v>46114</v>
      </c>
      <c r="U975" s="519">
        <v>46102</v>
      </c>
    </row>
    <row r="976" spans="1:21">
      <c r="A976" t="s">
        <v>953</v>
      </c>
      <c r="B976" t="s">
        <v>2527</v>
      </c>
      <c r="C976" t="s">
        <v>953</v>
      </c>
      <c r="D976">
        <v>20446849</v>
      </c>
      <c r="E976" t="s">
        <v>2258</v>
      </c>
      <c r="F976" t="s">
        <v>581</v>
      </c>
      <c r="G976" t="s">
        <v>2248</v>
      </c>
      <c r="H976" t="s">
        <v>588</v>
      </c>
      <c r="I976" t="s">
        <v>1034</v>
      </c>
      <c r="J976" s="519">
        <v>46064</v>
      </c>
      <c r="R976" s="519">
        <v>46115</v>
      </c>
      <c r="U976" s="519">
        <v>46142</v>
      </c>
    </row>
    <row r="977" spans="1:21">
      <c r="A977" t="s">
        <v>953</v>
      </c>
      <c r="B977" t="s">
        <v>3033</v>
      </c>
      <c r="C977" t="s">
        <v>953</v>
      </c>
      <c r="D977">
        <v>20482848</v>
      </c>
      <c r="E977" t="s">
        <v>2258</v>
      </c>
      <c r="F977" t="s">
        <v>984</v>
      </c>
      <c r="G977" t="s">
        <v>2250</v>
      </c>
      <c r="H977" t="s">
        <v>592</v>
      </c>
      <c r="J977" s="519">
        <v>46111</v>
      </c>
      <c r="R977" s="519">
        <v>46139</v>
      </c>
      <c r="U977" s="519">
        <v>46143</v>
      </c>
    </row>
    <row r="978" spans="1:21">
      <c r="A978" t="s">
        <v>953</v>
      </c>
      <c r="B978" t="s">
        <v>3035</v>
      </c>
      <c r="C978" t="s">
        <v>953</v>
      </c>
      <c r="D978">
        <v>20480954</v>
      </c>
      <c r="E978" t="s">
        <v>2258</v>
      </c>
      <c r="F978" t="s">
        <v>581</v>
      </c>
      <c r="G978" t="s">
        <v>2250</v>
      </c>
      <c r="H978" t="s">
        <v>592</v>
      </c>
      <c r="J978" s="519">
        <v>46107</v>
      </c>
      <c r="R978" s="519">
        <v>46139</v>
      </c>
      <c r="U978" s="519">
        <v>46136</v>
      </c>
    </row>
    <row r="979" spans="1:21">
      <c r="A979" t="s">
        <v>953</v>
      </c>
      <c r="B979" t="s">
        <v>3036</v>
      </c>
      <c r="C979" t="s">
        <v>953</v>
      </c>
      <c r="D979">
        <v>20477418</v>
      </c>
      <c r="E979" t="s">
        <v>1110</v>
      </c>
      <c r="F979" t="s">
        <v>579</v>
      </c>
      <c r="G979" t="s">
        <v>1213</v>
      </c>
      <c r="H979" t="s">
        <v>588</v>
      </c>
      <c r="I979" t="s">
        <v>1334</v>
      </c>
      <c r="J979" s="519">
        <v>46102</v>
      </c>
      <c r="K979" s="519">
        <v>46133</v>
      </c>
      <c r="L979" s="519">
        <v>46133</v>
      </c>
      <c r="U979" s="519">
        <v>46160</v>
      </c>
    </row>
    <row r="980" spans="1:21">
      <c r="A980" t="s">
        <v>953</v>
      </c>
      <c r="B980" t="s">
        <v>3542</v>
      </c>
      <c r="C980" t="s">
        <v>953</v>
      </c>
      <c r="D980">
        <v>20430969</v>
      </c>
      <c r="E980" t="s">
        <v>2258</v>
      </c>
      <c r="F980" t="s">
        <v>578</v>
      </c>
      <c r="G980" t="s">
        <v>2248</v>
      </c>
      <c r="H980" t="s">
        <v>592</v>
      </c>
      <c r="J980" s="519">
        <v>46042</v>
      </c>
      <c r="R980" s="519">
        <v>46114</v>
      </c>
      <c r="U980" s="519">
        <v>46042</v>
      </c>
    </row>
    <row r="981" spans="1:21">
      <c r="A981" t="s">
        <v>953</v>
      </c>
      <c r="B981" t="s">
        <v>3037</v>
      </c>
      <c r="C981" t="s">
        <v>953</v>
      </c>
      <c r="D981">
        <v>20470819</v>
      </c>
      <c r="E981" t="s">
        <v>2258</v>
      </c>
      <c r="F981" t="s">
        <v>984</v>
      </c>
      <c r="G981" t="s">
        <v>2250</v>
      </c>
      <c r="H981" t="s">
        <v>592</v>
      </c>
      <c r="J981" s="519">
        <v>46094</v>
      </c>
      <c r="R981" s="519">
        <v>46114</v>
      </c>
      <c r="U981" s="519">
        <v>46113</v>
      </c>
    </row>
    <row r="982" spans="1:21">
      <c r="A982" t="s">
        <v>953</v>
      </c>
      <c r="B982" t="s">
        <v>3038</v>
      </c>
      <c r="C982" t="s">
        <v>953</v>
      </c>
      <c r="D982">
        <v>20473249</v>
      </c>
      <c r="E982" t="s">
        <v>2258</v>
      </c>
      <c r="F982" t="s">
        <v>581</v>
      </c>
      <c r="G982" t="s">
        <v>2250</v>
      </c>
      <c r="H982" t="s">
        <v>592</v>
      </c>
      <c r="J982" s="519">
        <v>46098</v>
      </c>
      <c r="R982" s="519">
        <v>46114</v>
      </c>
      <c r="U982" s="519">
        <v>46113</v>
      </c>
    </row>
    <row r="983" spans="1:21">
      <c r="A983" t="s">
        <v>953</v>
      </c>
      <c r="B983" t="s">
        <v>7106</v>
      </c>
      <c r="C983" t="s">
        <v>953</v>
      </c>
      <c r="D983">
        <v>20498773</v>
      </c>
      <c r="E983" t="s">
        <v>2258</v>
      </c>
      <c r="F983" t="s">
        <v>581</v>
      </c>
      <c r="G983" t="s">
        <v>2250</v>
      </c>
      <c r="H983" t="s">
        <v>592</v>
      </c>
      <c r="J983" s="519">
        <v>46129</v>
      </c>
      <c r="R983" s="519">
        <v>46139</v>
      </c>
      <c r="U983" s="519">
        <v>46298</v>
      </c>
    </row>
    <row r="984" spans="1:21">
      <c r="A984" t="s">
        <v>953</v>
      </c>
      <c r="B984" t="s">
        <v>3543</v>
      </c>
      <c r="C984" t="s">
        <v>953</v>
      </c>
      <c r="D984">
        <v>20410556</v>
      </c>
      <c r="E984" t="s">
        <v>2258</v>
      </c>
      <c r="F984" t="s">
        <v>578</v>
      </c>
      <c r="G984" t="s">
        <v>2248</v>
      </c>
      <c r="H984" t="s">
        <v>592</v>
      </c>
      <c r="J984" s="519">
        <v>46011</v>
      </c>
      <c r="R984" s="519">
        <v>46114</v>
      </c>
      <c r="U984" s="519">
        <v>46011</v>
      </c>
    </row>
    <row r="985" spans="1:21">
      <c r="A985" t="s">
        <v>953</v>
      </c>
      <c r="B985" t="s">
        <v>3543</v>
      </c>
      <c r="C985" t="s">
        <v>953</v>
      </c>
      <c r="D985">
        <v>20500636</v>
      </c>
      <c r="E985" t="s">
        <v>2258</v>
      </c>
      <c r="F985" t="s">
        <v>984</v>
      </c>
      <c r="G985" t="s">
        <v>2259</v>
      </c>
      <c r="H985" t="s">
        <v>2388</v>
      </c>
      <c r="J985" s="519">
        <v>46130</v>
      </c>
      <c r="R985" s="519">
        <v>46139</v>
      </c>
      <c r="U985" s="519">
        <v>46130</v>
      </c>
    </row>
    <row r="986" spans="1:21">
      <c r="A986" t="s">
        <v>953</v>
      </c>
      <c r="B986" t="s">
        <v>3544</v>
      </c>
      <c r="C986" t="s">
        <v>953</v>
      </c>
      <c r="D986">
        <v>20418749</v>
      </c>
      <c r="E986" t="s">
        <v>2258</v>
      </c>
      <c r="F986" t="s">
        <v>579</v>
      </c>
      <c r="G986" t="s">
        <v>2259</v>
      </c>
      <c r="H986" t="s">
        <v>591</v>
      </c>
      <c r="J986" s="519">
        <v>46027</v>
      </c>
      <c r="R986" s="519">
        <v>46114</v>
      </c>
      <c r="U986" s="519">
        <v>46027</v>
      </c>
    </row>
    <row r="987" spans="1:21">
      <c r="A987" t="s">
        <v>953</v>
      </c>
      <c r="B987" t="s">
        <v>2529</v>
      </c>
      <c r="C987" t="s">
        <v>953</v>
      </c>
      <c r="D987">
        <v>20442656</v>
      </c>
      <c r="E987" t="s">
        <v>2258</v>
      </c>
      <c r="F987" t="s">
        <v>984</v>
      </c>
      <c r="G987" t="s">
        <v>2246</v>
      </c>
      <c r="H987" t="s">
        <v>587</v>
      </c>
      <c r="J987" s="519">
        <v>46060</v>
      </c>
      <c r="R987" s="519">
        <v>46114</v>
      </c>
      <c r="U987" s="519">
        <v>46174</v>
      </c>
    </row>
    <row r="988" spans="1:21">
      <c r="A988" t="s">
        <v>953</v>
      </c>
      <c r="B988" t="s">
        <v>3039</v>
      </c>
      <c r="C988" t="s">
        <v>953</v>
      </c>
      <c r="D988">
        <v>20482403</v>
      </c>
      <c r="E988" t="s">
        <v>2258</v>
      </c>
      <c r="F988" t="s">
        <v>984</v>
      </c>
      <c r="G988" t="s">
        <v>2250</v>
      </c>
      <c r="H988" t="s">
        <v>592</v>
      </c>
      <c r="J988" s="519">
        <v>46109</v>
      </c>
      <c r="R988" s="519">
        <v>46139</v>
      </c>
      <c r="U988" s="519">
        <v>46127</v>
      </c>
    </row>
    <row r="989" spans="1:21">
      <c r="A989" t="s">
        <v>953</v>
      </c>
      <c r="B989" t="s">
        <v>3040</v>
      </c>
      <c r="C989" t="s">
        <v>953</v>
      </c>
      <c r="D989">
        <v>20477595</v>
      </c>
      <c r="E989" t="s">
        <v>2258</v>
      </c>
      <c r="F989" t="s">
        <v>984</v>
      </c>
      <c r="G989" t="s">
        <v>2250</v>
      </c>
      <c r="H989" t="s">
        <v>592</v>
      </c>
      <c r="J989" s="519">
        <v>46102</v>
      </c>
      <c r="R989" s="519">
        <v>46114</v>
      </c>
      <c r="U989" s="519">
        <v>46139</v>
      </c>
    </row>
    <row r="990" spans="1:21">
      <c r="A990" t="s">
        <v>953</v>
      </c>
      <c r="B990" t="s">
        <v>3545</v>
      </c>
      <c r="C990" t="s">
        <v>953</v>
      </c>
      <c r="D990">
        <v>20411772</v>
      </c>
      <c r="E990" t="s">
        <v>2258</v>
      </c>
      <c r="F990" t="s">
        <v>577</v>
      </c>
      <c r="G990" t="s">
        <v>2248</v>
      </c>
      <c r="H990" t="s">
        <v>591</v>
      </c>
      <c r="I990" t="s">
        <v>3546</v>
      </c>
      <c r="J990" s="519">
        <v>46014</v>
      </c>
      <c r="R990" s="519">
        <v>46114</v>
      </c>
      <c r="U990" s="519">
        <v>46027</v>
      </c>
    </row>
    <row r="991" spans="1:21">
      <c r="A991" t="s">
        <v>953</v>
      </c>
      <c r="B991" t="s">
        <v>3547</v>
      </c>
      <c r="C991" t="s">
        <v>953</v>
      </c>
      <c r="D991">
        <v>20428745</v>
      </c>
      <c r="E991" t="s">
        <v>2258</v>
      </c>
      <c r="F991" t="s">
        <v>577</v>
      </c>
      <c r="G991" t="s">
        <v>2248</v>
      </c>
      <c r="H991" t="s">
        <v>588</v>
      </c>
      <c r="I991" t="s">
        <v>2273</v>
      </c>
      <c r="J991" s="519">
        <v>46038</v>
      </c>
      <c r="R991" s="519">
        <v>46114</v>
      </c>
      <c r="U991" s="519">
        <v>46038</v>
      </c>
    </row>
    <row r="992" spans="1:21">
      <c r="A992" t="s">
        <v>953</v>
      </c>
      <c r="B992" t="s">
        <v>3041</v>
      </c>
      <c r="C992" t="s">
        <v>953</v>
      </c>
      <c r="D992">
        <v>20477818</v>
      </c>
      <c r="E992" t="s">
        <v>2258</v>
      </c>
      <c r="F992" t="s">
        <v>581</v>
      </c>
      <c r="G992" t="s">
        <v>2250</v>
      </c>
      <c r="H992" t="s">
        <v>592</v>
      </c>
      <c r="J992" s="519">
        <v>46103</v>
      </c>
      <c r="R992" s="519">
        <v>46114</v>
      </c>
      <c r="U992" s="519">
        <v>46117</v>
      </c>
    </row>
    <row r="993" spans="1:21">
      <c r="A993" t="s">
        <v>953</v>
      </c>
      <c r="B993" t="s">
        <v>7107</v>
      </c>
      <c r="C993" t="s">
        <v>953</v>
      </c>
      <c r="D993">
        <v>20509745</v>
      </c>
      <c r="E993" t="s">
        <v>2245</v>
      </c>
      <c r="F993" t="s">
        <v>582</v>
      </c>
      <c r="G993" t="s">
        <v>2246</v>
      </c>
      <c r="H993" t="s">
        <v>588</v>
      </c>
      <c r="J993" s="519">
        <v>46137</v>
      </c>
      <c r="U993" s="519">
        <v>46137</v>
      </c>
    </row>
    <row r="994" spans="1:21">
      <c r="A994" t="s">
        <v>953</v>
      </c>
      <c r="B994" t="s">
        <v>7108</v>
      </c>
      <c r="C994" t="s">
        <v>953</v>
      </c>
      <c r="D994">
        <v>20505752</v>
      </c>
      <c r="E994" t="s">
        <v>2245</v>
      </c>
      <c r="F994" t="s">
        <v>984</v>
      </c>
      <c r="G994" t="s">
        <v>2290</v>
      </c>
      <c r="H994" t="s">
        <v>587</v>
      </c>
      <c r="J994" s="519">
        <v>46134</v>
      </c>
      <c r="U994" s="519">
        <v>46134</v>
      </c>
    </row>
    <row r="995" spans="1:21">
      <c r="A995" t="s">
        <v>953</v>
      </c>
      <c r="B995" t="s">
        <v>7108</v>
      </c>
      <c r="C995" t="s">
        <v>953</v>
      </c>
      <c r="D995">
        <v>20503601</v>
      </c>
      <c r="E995" t="s">
        <v>1100</v>
      </c>
      <c r="F995" t="s">
        <v>984</v>
      </c>
      <c r="G995" t="s">
        <v>2250</v>
      </c>
      <c r="H995" t="s">
        <v>592</v>
      </c>
      <c r="J995" s="519">
        <v>46132</v>
      </c>
      <c r="K995" s="519">
        <v>46134</v>
      </c>
      <c r="U995" s="519">
        <v>46192</v>
      </c>
    </row>
    <row r="996" spans="1:21">
      <c r="A996" t="s">
        <v>953</v>
      </c>
      <c r="B996" t="s">
        <v>3042</v>
      </c>
      <c r="C996" t="s">
        <v>953</v>
      </c>
      <c r="D996">
        <v>20480604</v>
      </c>
      <c r="E996" t="s">
        <v>2258</v>
      </c>
      <c r="F996" t="s">
        <v>581</v>
      </c>
      <c r="G996" t="s">
        <v>2246</v>
      </c>
      <c r="H996" t="s">
        <v>591</v>
      </c>
      <c r="J996" s="519">
        <v>46107</v>
      </c>
      <c r="R996" s="519">
        <v>46139</v>
      </c>
      <c r="U996" s="519">
        <v>46107</v>
      </c>
    </row>
    <row r="997" spans="1:21">
      <c r="A997" t="s">
        <v>953</v>
      </c>
      <c r="B997" t="s">
        <v>2099</v>
      </c>
      <c r="C997" t="s">
        <v>953</v>
      </c>
      <c r="D997">
        <v>20462872</v>
      </c>
      <c r="E997" t="s">
        <v>2324</v>
      </c>
      <c r="F997" t="s">
        <v>582</v>
      </c>
      <c r="G997" t="s">
        <v>2248</v>
      </c>
      <c r="H997" t="s">
        <v>588</v>
      </c>
      <c r="I997" t="s">
        <v>1724</v>
      </c>
      <c r="J997" s="519">
        <v>46086</v>
      </c>
      <c r="K997" s="519">
        <v>46121</v>
      </c>
      <c r="L997" s="519">
        <v>46121</v>
      </c>
      <c r="M997" s="519">
        <v>46128</v>
      </c>
      <c r="N997" s="519">
        <v>46128</v>
      </c>
      <c r="P997" s="519">
        <v>46129</v>
      </c>
      <c r="Q997" s="519">
        <v>46129</v>
      </c>
      <c r="U997" s="519">
        <v>46133</v>
      </c>
    </row>
    <row r="998" spans="1:21">
      <c r="A998" t="s">
        <v>953</v>
      </c>
      <c r="B998" t="s">
        <v>3043</v>
      </c>
      <c r="C998" t="s">
        <v>953</v>
      </c>
      <c r="D998">
        <v>20461420</v>
      </c>
      <c r="E998" t="s">
        <v>2258</v>
      </c>
      <c r="F998" t="s">
        <v>577</v>
      </c>
      <c r="G998" t="s">
        <v>2248</v>
      </c>
      <c r="H998" t="s">
        <v>588</v>
      </c>
      <c r="I998" t="s">
        <v>2465</v>
      </c>
      <c r="J998" s="519">
        <v>46084</v>
      </c>
      <c r="R998" s="519">
        <v>46114</v>
      </c>
      <c r="U998" s="519">
        <v>46126</v>
      </c>
    </row>
    <row r="999" spans="1:21">
      <c r="A999" t="s">
        <v>953</v>
      </c>
      <c r="B999" t="s">
        <v>3044</v>
      </c>
      <c r="C999" t="s">
        <v>953</v>
      </c>
      <c r="D999">
        <v>20471953</v>
      </c>
      <c r="E999" t="s">
        <v>2258</v>
      </c>
      <c r="F999" t="s">
        <v>984</v>
      </c>
      <c r="G999" t="s">
        <v>2250</v>
      </c>
      <c r="H999" t="s">
        <v>592</v>
      </c>
      <c r="J999" s="519">
        <v>46096</v>
      </c>
      <c r="R999" s="519">
        <v>46115</v>
      </c>
      <c r="U999" s="519">
        <v>46104</v>
      </c>
    </row>
    <row r="1000" spans="1:21">
      <c r="A1000" t="s">
        <v>953</v>
      </c>
      <c r="B1000" t="s">
        <v>7109</v>
      </c>
      <c r="C1000" t="s">
        <v>953</v>
      </c>
      <c r="D1000">
        <v>20504370</v>
      </c>
      <c r="E1000" t="s">
        <v>1100</v>
      </c>
      <c r="F1000" t="s">
        <v>578</v>
      </c>
      <c r="G1000" t="s">
        <v>2250</v>
      </c>
      <c r="H1000" t="s">
        <v>592</v>
      </c>
      <c r="I1000" t="s">
        <v>1722</v>
      </c>
      <c r="J1000" s="519">
        <v>46133</v>
      </c>
      <c r="K1000" s="519">
        <v>46133</v>
      </c>
      <c r="U1000" s="519">
        <v>46137</v>
      </c>
    </row>
    <row r="1001" spans="1:21">
      <c r="A1001" t="s">
        <v>953</v>
      </c>
      <c r="B1001" t="s">
        <v>7109</v>
      </c>
      <c r="C1001" t="s">
        <v>953</v>
      </c>
      <c r="D1001">
        <v>20504371</v>
      </c>
      <c r="E1001" t="s">
        <v>1100</v>
      </c>
      <c r="F1001" t="s">
        <v>578</v>
      </c>
      <c r="G1001" t="s">
        <v>2250</v>
      </c>
      <c r="H1001" t="s">
        <v>587</v>
      </c>
      <c r="I1001" t="s">
        <v>859</v>
      </c>
      <c r="J1001" s="519">
        <v>46133</v>
      </c>
      <c r="K1001" s="519">
        <v>46133</v>
      </c>
      <c r="U1001" s="519">
        <v>46133</v>
      </c>
    </row>
    <row r="1002" spans="1:21">
      <c r="A1002" t="s">
        <v>953</v>
      </c>
      <c r="B1002" t="s">
        <v>3548</v>
      </c>
      <c r="C1002" t="s">
        <v>953</v>
      </c>
      <c r="D1002">
        <v>20434547</v>
      </c>
      <c r="E1002" t="s">
        <v>2258</v>
      </c>
      <c r="F1002" t="s">
        <v>578</v>
      </c>
      <c r="G1002" t="s">
        <v>2259</v>
      </c>
      <c r="H1002" t="s">
        <v>2388</v>
      </c>
      <c r="J1002" s="519">
        <v>46047</v>
      </c>
      <c r="R1002" s="519">
        <v>46114</v>
      </c>
      <c r="U1002" s="519">
        <v>46073</v>
      </c>
    </row>
    <row r="1003" spans="1:21">
      <c r="A1003" t="s">
        <v>953</v>
      </c>
      <c r="B1003" t="s">
        <v>7110</v>
      </c>
      <c r="C1003" t="s">
        <v>953</v>
      </c>
      <c r="D1003">
        <v>20510368</v>
      </c>
      <c r="E1003" t="s">
        <v>2245</v>
      </c>
      <c r="F1003" t="s">
        <v>581</v>
      </c>
      <c r="G1003" t="s">
        <v>2290</v>
      </c>
      <c r="H1003" t="s">
        <v>592</v>
      </c>
      <c r="J1003" s="519">
        <v>46138</v>
      </c>
      <c r="U1003" s="519">
        <v>46172</v>
      </c>
    </row>
    <row r="1004" spans="1:21">
      <c r="A1004" t="s">
        <v>953</v>
      </c>
      <c r="B1004" t="s">
        <v>2532</v>
      </c>
      <c r="C1004" t="s">
        <v>953</v>
      </c>
      <c r="D1004">
        <v>20444547</v>
      </c>
      <c r="E1004" t="s">
        <v>2258</v>
      </c>
      <c r="F1004" t="s">
        <v>581</v>
      </c>
      <c r="G1004" t="s">
        <v>1213</v>
      </c>
      <c r="H1004" t="s">
        <v>587</v>
      </c>
      <c r="J1004" s="519">
        <v>46063</v>
      </c>
      <c r="R1004" s="519">
        <v>46114</v>
      </c>
      <c r="U1004" s="519">
        <v>46122</v>
      </c>
    </row>
    <row r="1005" spans="1:21">
      <c r="A1005" t="s">
        <v>953</v>
      </c>
      <c r="B1005" t="s">
        <v>1043</v>
      </c>
      <c r="C1005" t="s">
        <v>953</v>
      </c>
      <c r="D1005">
        <v>20478246</v>
      </c>
      <c r="E1005" t="s">
        <v>2324</v>
      </c>
      <c r="F1005" t="s">
        <v>1001</v>
      </c>
      <c r="G1005" t="s">
        <v>2248</v>
      </c>
      <c r="H1005" t="s">
        <v>592</v>
      </c>
      <c r="I1005" t="s">
        <v>1042</v>
      </c>
      <c r="J1005" s="519">
        <v>46104</v>
      </c>
      <c r="K1005" s="519">
        <v>46104</v>
      </c>
      <c r="L1005" s="519">
        <v>46104</v>
      </c>
      <c r="M1005" s="519">
        <v>46114</v>
      </c>
      <c r="N1005" s="519">
        <v>46114</v>
      </c>
      <c r="P1005" s="519">
        <v>46129</v>
      </c>
      <c r="Q1005" s="519">
        <v>46129</v>
      </c>
      <c r="U1005" s="519">
        <v>46172</v>
      </c>
    </row>
    <row r="1006" spans="1:21">
      <c r="A1006" t="s">
        <v>953</v>
      </c>
      <c r="B1006" t="s">
        <v>2533</v>
      </c>
      <c r="C1006" t="s">
        <v>953</v>
      </c>
      <c r="D1006">
        <v>20459311</v>
      </c>
      <c r="E1006" t="s">
        <v>2252</v>
      </c>
      <c r="F1006" t="s">
        <v>1115</v>
      </c>
      <c r="G1006" t="s">
        <v>2250</v>
      </c>
      <c r="H1006" t="s">
        <v>587</v>
      </c>
      <c r="J1006" s="519">
        <v>46081</v>
      </c>
      <c r="K1006" s="519">
        <v>46081</v>
      </c>
      <c r="R1006" s="519">
        <v>46114</v>
      </c>
      <c r="U1006" s="519">
        <v>46191</v>
      </c>
    </row>
    <row r="1007" spans="1:21">
      <c r="A1007" t="s">
        <v>953</v>
      </c>
      <c r="B1007" t="s">
        <v>3549</v>
      </c>
      <c r="C1007" t="s">
        <v>953</v>
      </c>
      <c r="D1007">
        <v>20488371</v>
      </c>
      <c r="E1007" t="s">
        <v>1100</v>
      </c>
      <c r="F1007" t="s">
        <v>581</v>
      </c>
      <c r="G1007" t="s">
        <v>2250</v>
      </c>
      <c r="H1007" t="s">
        <v>587</v>
      </c>
      <c r="J1007" s="519">
        <v>46118</v>
      </c>
      <c r="K1007" s="519">
        <v>46118</v>
      </c>
      <c r="U1007" s="519">
        <v>46118</v>
      </c>
    </row>
    <row r="1008" spans="1:21">
      <c r="A1008" t="s">
        <v>953</v>
      </c>
      <c r="B1008" t="s">
        <v>7111</v>
      </c>
      <c r="C1008" t="s">
        <v>953</v>
      </c>
      <c r="D1008">
        <v>20500888</v>
      </c>
      <c r="E1008" t="s">
        <v>2245</v>
      </c>
      <c r="F1008" t="s">
        <v>984</v>
      </c>
      <c r="G1008" t="s">
        <v>2246</v>
      </c>
      <c r="H1008" t="s">
        <v>592</v>
      </c>
      <c r="J1008" s="519">
        <v>46130</v>
      </c>
      <c r="U1008" s="519">
        <v>46160</v>
      </c>
    </row>
    <row r="1009" spans="1:21">
      <c r="A1009" t="s">
        <v>953</v>
      </c>
      <c r="B1009" t="s">
        <v>2534</v>
      </c>
      <c r="C1009" t="s">
        <v>953</v>
      </c>
      <c r="D1009">
        <v>20423136</v>
      </c>
      <c r="E1009" t="s">
        <v>2252</v>
      </c>
      <c r="F1009" t="s">
        <v>583</v>
      </c>
      <c r="G1009" t="s">
        <v>2246</v>
      </c>
      <c r="H1009" t="s">
        <v>592</v>
      </c>
      <c r="I1009" t="s">
        <v>2288</v>
      </c>
      <c r="J1009" s="519">
        <v>46034</v>
      </c>
      <c r="K1009" s="519">
        <v>46074</v>
      </c>
      <c r="L1009" s="519">
        <v>46078</v>
      </c>
      <c r="R1009" s="519">
        <v>46114</v>
      </c>
      <c r="U1009" s="519">
        <v>46174</v>
      </c>
    </row>
    <row r="1010" spans="1:21">
      <c r="A1010" t="s">
        <v>953</v>
      </c>
      <c r="B1010" t="s">
        <v>3047</v>
      </c>
      <c r="C1010" t="s">
        <v>953</v>
      </c>
      <c r="D1010">
        <v>20473630</v>
      </c>
      <c r="E1010" t="s">
        <v>2258</v>
      </c>
      <c r="F1010" t="s">
        <v>579</v>
      </c>
      <c r="G1010" t="s">
        <v>2290</v>
      </c>
      <c r="H1010" t="s">
        <v>591</v>
      </c>
      <c r="J1010" s="519">
        <v>46098</v>
      </c>
      <c r="R1010" s="519">
        <v>46114</v>
      </c>
      <c r="U1010" s="519">
        <v>46175</v>
      </c>
    </row>
    <row r="1011" spans="1:21">
      <c r="A1011" t="s">
        <v>953</v>
      </c>
      <c r="B1011" t="s">
        <v>3550</v>
      </c>
      <c r="C1011" t="s">
        <v>953</v>
      </c>
      <c r="D1011">
        <v>20487643</v>
      </c>
      <c r="E1011" t="s">
        <v>2258</v>
      </c>
      <c r="F1011" t="s">
        <v>984</v>
      </c>
      <c r="G1011" t="s">
        <v>2250</v>
      </c>
      <c r="H1011" t="s">
        <v>592</v>
      </c>
      <c r="J1011" s="519">
        <v>46117</v>
      </c>
      <c r="R1011" s="519">
        <v>46139</v>
      </c>
      <c r="U1011" s="519">
        <v>46121</v>
      </c>
    </row>
    <row r="1012" spans="1:21">
      <c r="A1012" t="s">
        <v>953</v>
      </c>
      <c r="B1012" t="s">
        <v>3551</v>
      </c>
      <c r="C1012" t="s">
        <v>953</v>
      </c>
      <c r="D1012">
        <v>20421180</v>
      </c>
      <c r="E1012" t="s">
        <v>2258</v>
      </c>
      <c r="F1012" t="s">
        <v>578</v>
      </c>
      <c r="G1012" t="s">
        <v>2248</v>
      </c>
      <c r="H1012" t="s">
        <v>592</v>
      </c>
      <c r="J1012" s="519">
        <v>46030</v>
      </c>
      <c r="R1012" s="519">
        <v>46114</v>
      </c>
      <c r="U1012" s="519">
        <v>46030</v>
      </c>
    </row>
    <row r="1013" spans="1:21">
      <c r="A1013" t="s">
        <v>953</v>
      </c>
      <c r="B1013" t="s">
        <v>7112</v>
      </c>
      <c r="C1013" t="s">
        <v>953</v>
      </c>
      <c r="D1013">
        <v>20512296</v>
      </c>
      <c r="E1013" t="s">
        <v>2245</v>
      </c>
      <c r="F1013" t="s">
        <v>581</v>
      </c>
      <c r="G1013" t="s">
        <v>2250</v>
      </c>
      <c r="H1013" t="s">
        <v>2361</v>
      </c>
      <c r="J1013" s="519">
        <v>46140</v>
      </c>
      <c r="U1013" s="519">
        <v>46209</v>
      </c>
    </row>
    <row r="1014" spans="1:21">
      <c r="A1014" t="s">
        <v>953</v>
      </c>
      <c r="B1014" t="s">
        <v>3552</v>
      </c>
      <c r="C1014" t="s">
        <v>953</v>
      </c>
      <c r="D1014">
        <v>20430558</v>
      </c>
      <c r="E1014" t="s">
        <v>2258</v>
      </c>
      <c r="F1014" t="s">
        <v>579</v>
      </c>
      <c r="G1014" t="s">
        <v>2246</v>
      </c>
      <c r="H1014" t="s">
        <v>593</v>
      </c>
      <c r="J1014" s="519">
        <v>46041</v>
      </c>
      <c r="R1014" s="519">
        <v>46114</v>
      </c>
      <c r="U1014" s="519">
        <v>46080</v>
      </c>
    </row>
    <row r="1015" spans="1:21">
      <c r="A1015" t="s">
        <v>953</v>
      </c>
      <c r="B1015" t="s">
        <v>997</v>
      </c>
      <c r="C1015" t="s">
        <v>953</v>
      </c>
      <c r="D1015">
        <v>20465530</v>
      </c>
      <c r="E1015" t="s">
        <v>2252</v>
      </c>
      <c r="F1015" t="s">
        <v>1001</v>
      </c>
      <c r="G1015" t="s">
        <v>2250</v>
      </c>
      <c r="H1015" t="s">
        <v>2388</v>
      </c>
      <c r="J1015" s="519">
        <v>46090</v>
      </c>
      <c r="K1015" s="519">
        <v>46090</v>
      </c>
      <c r="R1015" s="519">
        <v>46114</v>
      </c>
      <c r="U1015" s="519">
        <v>46090</v>
      </c>
    </row>
    <row r="1016" spans="1:21">
      <c r="A1016" t="s">
        <v>953</v>
      </c>
      <c r="B1016" t="s">
        <v>3553</v>
      </c>
      <c r="C1016" t="s">
        <v>953</v>
      </c>
      <c r="D1016">
        <v>20486289</v>
      </c>
      <c r="E1016" t="s">
        <v>2258</v>
      </c>
      <c r="F1016" t="s">
        <v>984</v>
      </c>
      <c r="G1016" t="s">
        <v>2250</v>
      </c>
      <c r="H1016" t="s">
        <v>592</v>
      </c>
      <c r="J1016" s="519">
        <v>46114</v>
      </c>
      <c r="R1016" s="519">
        <v>46115</v>
      </c>
      <c r="U1016" s="519">
        <v>46174</v>
      </c>
    </row>
    <row r="1017" spans="1:21">
      <c r="A1017" t="s">
        <v>953</v>
      </c>
      <c r="B1017" t="s">
        <v>3554</v>
      </c>
      <c r="C1017" t="s">
        <v>953</v>
      </c>
      <c r="D1017">
        <v>20494220</v>
      </c>
      <c r="E1017" t="s">
        <v>2258</v>
      </c>
      <c r="F1017" t="s">
        <v>581</v>
      </c>
      <c r="G1017" t="s">
        <v>2250</v>
      </c>
      <c r="H1017" t="s">
        <v>592</v>
      </c>
      <c r="J1017" s="519">
        <v>46126</v>
      </c>
      <c r="R1017" s="519">
        <v>46139</v>
      </c>
      <c r="U1017" s="519">
        <v>46126</v>
      </c>
    </row>
    <row r="1018" spans="1:21">
      <c r="A1018" t="s">
        <v>953</v>
      </c>
      <c r="B1018" t="s">
        <v>7113</v>
      </c>
      <c r="C1018" t="s">
        <v>953</v>
      </c>
      <c r="D1018">
        <v>20509135</v>
      </c>
      <c r="E1018" t="s">
        <v>2245</v>
      </c>
      <c r="F1018" t="s">
        <v>581</v>
      </c>
      <c r="G1018" t="s">
        <v>1213</v>
      </c>
      <c r="H1018" t="s">
        <v>587</v>
      </c>
      <c r="J1018" s="519">
        <v>46136</v>
      </c>
      <c r="U1018" s="519">
        <v>46136</v>
      </c>
    </row>
    <row r="1019" spans="1:21">
      <c r="A1019" t="s">
        <v>953</v>
      </c>
      <c r="B1019" t="s">
        <v>7114</v>
      </c>
      <c r="C1019" t="s">
        <v>953</v>
      </c>
      <c r="D1019">
        <v>20494989</v>
      </c>
      <c r="E1019" t="s">
        <v>2258</v>
      </c>
      <c r="F1019" t="s">
        <v>581</v>
      </c>
      <c r="G1019" t="s">
        <v>2250</v>
      </c>
      <c r="H1019" t="s">
        <v>2361</v>
      </c>
      <c r="J1019" s="519">
        <v>46126</v>
      </c>
      <c r="R1019" s="519">
        <v>46139</v>
      </c>
      <c r="U1019" s="519">
        <v>46127</v>
      </c>
    </row>
    <row r="1020" spans="1:21">
      <c r="A1020" t="s">
        <v>953</v>
      </c>
      <c r="B1020" t="s">
        <v>2536</v>
      </c>
      <c r="C1020" t="s">
        <v>953</v>
      </c>
      <c r="D1020">
        <v>20444709</v>
      </c>
      <c r="E1020" t="s">
        <v>2252</v>
      </c>
      <c r="F1020" t="s">
        <v>1001</v>
      </c>
      <c r="G1020" t="s">
        <v>2250</v>
      </c>
      <c r="H1020" t="s">
        <v>587</v>
      </c>
      <c r="I1020" t="s">
        <v>859</v>
      </c>
      <c r="J1020" s="519">
        <v>46063</v>
      </c>
      <c r="K1020" s="519">
        <v>46063</v>
      </c>
      <c r="R1020" s="519">
        <v>46114</v>
      </c>
      <c r="U1020" s="519">
        <v>46079</v>
      </c>
    </row>
    <row r="1021" spans="1:21">
      <c r="A1021" t="s">
        <v>953</v>
      </c>
      <c r="B1021" t="s">
        <v>3555</v>
      </c>
      <c r="C1021" t="s">
        <v>953</v>
      </c>
      <c r="D1021">
        <v>20489517</v>
      </c>
      <c r="E1021" t="s">
        <v>2258</v>
      </c>
      <c r="F1021" t="s">
        <v>984</v>
      </c>
      <c r="G1021" t="s">
        <v>2250</v>
      </c>
      <c r="H1021" t="s">
        <v>592</v>
      </c>
      <c r="J1021" s="519">
        <v>46119</v>
      </c>
      <c r="R1021" s="519">
        <v>46139</v>
      </c>
      <c r="U1021" s="519">
        <v>46191</v>
      </c>
    </row>
    <row r="1022" spans="1:21">
      <c r="A1022" t="s">
        <v>953</v>
      </c>
      <c r="B1022" t="s">
        <v>3556</v>
      </c>
      <c r="C1022" t="s">
        <v>953</v>
      </c>
      <c r="D1022">
        <v>20423489</v>
      </c>
      <c r="E1022" t="s">
        <v>2258</v>
      </c>
      <c r="F1022" t="s">
        <v>578</v>
      </c>
      <c r="G1022" t="s">
        <v>2248</v>
      </c>
      <c r="H1022" t="s">
        <v>588</v>
      </c>
      <c r="J1022" s="519">
        <v>46034</v>
      </c>
      <c r="R1022" s="519">
        <v>46114</v>
      </c>
      <c r="U1022" s="519">
        <v>46074</v>
      </c>
    </row>
    <row r="1023" spans="1:21">
      <c r="A1023" t="s">
        <v>953</v>
      </c>
      <c r="B1023" t="s">
        <v>3557</v>
      </c>
      <c r="C1023" t="s">
        <v>953</v>
      </c>
      <c r="D1023">
        <v>20485556</v>
      </c>
      <c r="E1023" t="s">
        <v>2258</v>
      </c>
      <c r="F1023" t="s">
        <v>984</v>
      </c>
      <c r="G1023" t="s">
        <v>2250</v>
      </c>
      <c r="H1023" t="s">
        <v>592</v>
      </c>
      <c r="J1023" s="519">
        <v>46114</v>
      </c>
      <c r="R1023" s="519">
        <v>46139</v>
      </c>
      <c r="U1023" s="519">
        <v>46115</v>
      </c>
    </row>
    <row r="1024" spans="1:21">
      <c r="A1024" t="s">
        <v>953</v>
      </c>
      <c r="B1024" t="s">
        <v>3558</v>
      </c>
      <c r="C1024" t="s">
        <v>953</v>
      </c>
      <c r="D1024">
        <v>20431823</v>
      </c>
      <c r="E1024" t="s">
        <v>2258</v>
      </c>
      <c r="F1024" t="s">
        <v>578</v>
      </c>
      <c r="G1024" t="s">
        <v>2248</v>
      </c>
      <c r="H1024" t="s">
        <v>588</v>
      </c>
      <c r="J1024" s="519">
        <v>46043</v>
      </c>
      <c r="R1024" s="519">
        <v>46114</v>
      </c>
      <c r="U1024" s="519">
        <v>46043</v>
      </c>
    </row>
    <row r="1025" spans="1:21">
      <c r="A1025" t="s">
        <v>953</v>
      </c>
      <c r="B1025" t="s">
        <v>3559</v>
      </c>
      <c r="C1025" t="s">
        <v>953</v>
      </c>
      <c r="D1025">
        <v>20487052</v>
      </c>
      <c r="E1025" t="s">
        <v>2245</v>
      </c>
      <c r="F1025" t="s">
        <v>582</v>
      </c>
      <c r="G1025" t="s">
        <v>2246</v>
      </c>
      <c r="H1025" t="s">
        <v>588</v>
      </c>
      <c r="I1025" t="s">
        <v>1156</v>
      </c>
      <c r="J1025" s="519">
        <v>46116</v>
      </c>
      <c r="U1025" s="519">
        <v>46116</v>
      </c>
    </row>
    <row r="1026" spans="1:21">
      <c r="A1026" t="s">
        <v>953</v>
      </c>
      <c r="B1026" t="s">
        <v>3048</v>
      </c>
      <c r="C1026" t="s">
        <v>953</v>
      </c>
      <c r="D1026">
        <v>20477986</v>
      </c>
      <c r="E1026" t="s">
        <v>2258</v>
      </c>
      <c r="F1026" t="s">
        <v>581</v>
      </c>
      <c r="G1026" t="s">
        <v>2250</v>
      </c>
      <c r="H1026" t="s">
        <v>592</v>
      </c>
      <c r="J1026" s="519">
        <v>46103</v>
      </c>
      <c r="R1026" s="519">
        <v>46114</v>
      </c>
      <c r="U1026" s="519">
        <v>46122</v>
      </c>
    </row>
    <row r="1027" spans="1:21">
      <c r="A1027" t="s">
        <v>953</v>
      </c>
      <c r="B1027" t="s">
        <v>1131</v>
      </c>
      <c r="C1027" t="s">
        <v>953</v>
      </c>
      <c r="D1027">
        <v>20458158</v>
      </c>
      <c r="E1027" t="s">
        <v>2252</v>
      </c>
      <c r="F1027" t="s">
        <v>984</v>
      </c>
      <c r="G1027" t="s">
        <v>2248</v>
      </c>
      <c r="H1027" t="s">
        <v>590</v>
      </c>
      <c r="I1027" t="s">
        <v>1130</v>
      </c>
      <c r="J1027" s="519">
        <v>46079</v>
      </c>
      <c r="K1027" s="519">
        <v>46082</v>
      </c>
      <c r="R1027" s="519">
        <v>46114</v>
      </c>
      <c r="U1027" s="519">
        <v>46094</v>
      </c>
    </row>
    <row r="1028" spans="1:21">
      <c r="A1028" t="s">
        <v>953</v>
      </c>
      <c r="B1028" t="s">
        <v>3050</v>
      </c>
      <c r="C1028" t="s">
        <v>953</v>
      </c>
      <c r="D1028">
        <v>20475803</v>
      </c>
      <c r="E1028" t="s">
        <v>2258</v>
      </c>
      <c r="F1028" t="s">
        <v>581</v>
      </c>
      <c r="G1028" t="s">
        <v>2250</v>
      </c>
      <c r="H1028" t="s">
        <v>592</v>
      </c>
      <c r="J1028" s="519">
        <v>46100</v>
      </c>
      <c r="R1028" s="519">
        <v>46114</v>
      </c>
      <c r="U1028" s="519">
        <v>46220</v>
      </c>
    </row>
    <row r="1029" spans="1:21">
      <c r="A1029" t="s">
        <v>953</v>
      </c>
      <c r="B1029" t="s">
        <v>7115</v>
      </c>
      <c r="C1029" t="s">
        <v>953</v>
      </c>
      <c r="D1029">
        <v>20510645</v>
      </c>
      <c r="E1029" t="s">
        <v>2258</v>
      </c>
      <c r="F1029" t="s">
        <v>984</v>
      </c>
      <c r="G1029" t="s">
        <v>2259</v>
      </c>
      <c r="H1029" t="s">
        <v>593</v>
      </c>
      <c r="J1029" s="519">
        <v>46139</v>
      </c>
      <c r="R1029" s="519">
        <v>46139</v>
      </c>
      <c r="U1029" s="519">
        <v>46139</v>
      </c>
    </row>
    <row r="1030" spans="1:21">
      <c r="A1030" t="s">
        <v>953</v>
      </c>
      <c r="B1030" t="s">
        <v>7116</v>
      </c>
      <c r="C1030" t="s">
        <v>953</v>
      </c>
      <c r="D1030">
        <v>20501547</v>
      </c>
      <c r="E1030" t="s">
        <v>2245</v>
      </c>
      <c r="F1030" t="s">
        <v>581</v>
      </c>
      <c r="G1030" t="s">
        <v>1213</v>
      </c>
      <c r="H1030" t="s">
        <v>587</v>
      </c>
      <c r="J1030" s="519">
        <v>46131</v>
      </c>
      <c r="U1030" s="519">
        <v>46131</v>
      </c>
    </row>
    <row r="1031" spans="1:21">
      <c r="A1031" t="s">
        <v>953</v>
      </c>
      <c r="B1031" t="s">
        <v>3051</v>
      </c>
      <c r="C1031" t="s">
        <v>953</v>
      </c>
      <c r="D1031">
        <v>20472760</v>
      </c>
      <c r="E1031" t="s">
        <v>2258</v>
      </c>
      <c r="F1031" t="s">
        <v>581</v>
      </c>
      <c r="G1031" t="s">
        <v>2250</v>
      </c>
      <c r="H1031" t="s">
        <v>592</v>
      </c>
      <c r="J1031" s="519">
        <v>46097</v>
      </c>
      <c r="R1031" s="519">
        <v>46114</v>
      </c>
      <c r="U1031" s="519">
        <v>46102</v>
      </c>
    </row>
    <row r="1032" spans="1:21">
      <c r="A1032" t="s">
        <v>953</v>
      </c>
      <c r="B1032" t="s">
        <v>3560</v>
      </c>
      <c r="C1032" t="s">
        <v>953</v>
      </c>
      <c r="D1032">
        <v>20424353</v>
      </c>
      <c r="E1032" t="s">
        <v>2258</v>
      </c>
      <c r="F1032" t="s">
        <v>2256</v>
      </c>
      <c r="G1032" t="s">
        <v>2248</v>
      </c>
      <c r="H1032" t="s">
        <v>591</v>
      </c>
      <c r="I1032" t="s">
        <v>3561</v>
      </c>
      <c r="J1032" s="519">
        <v>46035</v>
      </c>
      <c r="R1032" s="519">
        <v>46114</v>
      </c>
      <c r="U1032" s="519">
        <v>46035</v>
      </c>
    </row>
    <row r="1033" spans="1:21">
      <c r="A1033" t="s">
        <v>953</v>
      </c>
      <c r="B1033" t="s">
        <v>3052</v>
      </c>
      <c r="C1033" t="s">
        <v>953</v>
      </c>
      <c r="D1033">
        <v>20480580</v>
      </c>
      <c r="E1033" t="s">
        <v>2258</v>
      </c>
      <c r="F1033" t="s">
        <v>581</v>
      </c>
      <c r="G1033" t="s">
        <v>2250</v>
      </c>
      <c r="H1033" t="s">
        <v>592</v>
      </c>
      <c r="J1033" s="519">
        <v>46107</v>
      </c>
      <c r="R1033" s="519">
        <v>46115</v>
      </c>
      <c r="U1033" s="519">
        <v>46203</v>
      </c>
    </row>
    <row r="1034" spans="1:21">
      <c r="A1034" t="s">
        <v>953</v>
      </c>
      <c r="B1034" t="s">
        <v>3053</v>
      </c>
      <c r="C1034" t="s">
        <v>953</v>
      </c>
      <c r="D1034">
        <v>20478155</v>
      </c>
      <c r="E1034" t="s">
        <v>2324</v>
      </c>
      <c r="F1034" t="s">
        <v>582</v>
      </c>
      <c r="G1034" t="s">
        <v>2248</v>
      </c>
      <c r="H1034" t="s">
        <v>589</v>
      </c>
      <c r="I1034" t="s">
        <v>1034</v>
      </c>
      <c r="J1034" s="519">
        <v>46104</v>
      </c>
      <c r="K1034" s="519">
        <v>46104</v>
      </c>
      <c r="L1034" s="519">
        <v>46104</v>
      </c>
      <c r="M1034" s="519">
        <v>46120</v>
      </c>
      <c r="N1034" s="519">
        <v>46122</v>
      </c>
      <c r="P1034" s="519">
        <v>46125</v>
      </c>
      <c r="Q1034" s="519">
        <v>46126</v>
      </c>
      <c r="U1034" s="519">
        <v>46125</v>
      </c>
    </row>
    <row r="1035" spans="1:21">
      <c r="A1035" t="s">
        <v>953</v>
      </c>
      <c r="B1035" t="s">
        <v>7117</v>
      </c>
      <c r="C1035" t="s">
        <v>953</v>
      </c>
      <c r="D1035">
        <v>20509579</v>
      </c>
      <c r="E1035" t="s">
        <v>2245</v>
      </c>
      <c r="F1035" t="s">
        <v>984</v>
      </c>
      <c r="G1035" t="s">
        <v>2250</v>
      </c>
      <c r="H1035" t="s">
        <v>592</v>
      </c>
      <c r="J1035" s="519">
        <v>46137</v>
      </c>
      <c r="U1035" s="519">
        <v>46151</v>
      </c>
    </row>
    <row r="1036" spans="1:21">
      <c r="A1036" t="s">
        <v>953</v>
      </c>
      <c r="B1036" t="s">
        <v>7118</v>
      </c>
      <c r="C1036" t="s">
        <v>953</v>
      </c>
      <c r="D1036">
        <v>20505571</v>
      </c>
      <c r="E1036" t="s">
        <v>2245</v>
      </c>
      <c r="F1036" t="s">
        <v>581</v>
      </c>
      <c r="G1036" t="s">
        <v>2250</v>
      </c>
      <c r="H1036" t="s">
        <v>2361</v>
      </c>
      <c r="J1036" s="519">
        <v>46134</v>
      </c>
      <c r="U1036" s="519">
        <v>46218</v>
      </c>
    </row>
    <row r="1037" spans="1:21">
      <c r="A1037" t="s">
        <v>953</v>
      </c>
      <c r="B1037" t="s">
        <v>1166</v>
      </c>
      <c r="C1037" t="s">
        <v>953</v>
      </c>
      <c r="D1037">
        <v>20475854</v>
      </c>
      <c r="E1037" t="s">
        <v>2252</v>
      </c>
      <c r="F1037" t="s">
        <v>577</v>
      </c>
      <c r="G1037" t="s">
        <v>2250</v>
      </c>
      <c r="H1037" t="s">
        <v>587</v>
      </c>
      <c r="I1037" t="s">
        <v>2935</v>
      </c>
      <c r="J1037" s="519">
        <v>46100</v>
      </c>
      <c r="K1037" s="519">
        <v>46100</v>
      </c>
      <c r="L1037" s="519">
        <v>46106</v>
      </c>
      <c r="R1037" s="519">
        <v>46128</v>
      </c>
      <c r="U1037" s="519">
        <v>46128</v>
      </c>
    </row>
    <row r="1038" spans="1:21">
      <c r="A1038" t="s">
        <v>953</v>
      </c>
      <c r="B1038" t="s">
        <v>3054</v>
      </c>
      <c r="C1038" t="s">
        <v>953</v>
      </c>
      <c r="D1038">
        <v>20483782</v>
      </c>
      <c r="E1038" t="s">
        <v>2258</v>
      </c>
      <c r="F1038" t="s">
        <v>581</v>
      </c>
      <c r="G1038" t="s">
        <v>2250</v>
      </c>
      <c r="H1038" t="s">
        <v>592</v>
      </c>
      <c r="J1038" s="519">
        <v>46112</v>
      </c>
      <c r="R1038" s="519">
        <v>46139</v>
      </c>
      <c r="U1038" s="519">
        <v>46115</v>
      </c>
    </row>
    <row r="1039" spans="1:21">
      <c r="A1039" t="s">
        <v>953</v>
      </c>
      <c r="B1039" t="s">
        <v>3562</v>
      </c>
      <c r="C1039" t="s">
        <v>953</v>
      </c>
      <c r="D1039">
        <v>20419247</v>
      </c>
      <c r="E1039" t="s">
        <v>2258</v>
      </c>
      <c r="F1039" t="s">
        <v>579</v>
      </c>
      <c r="G1039" t="s">
        <v>2248</v>
      </c>
      <c r="H1039" t="s">
        <v>592</v>
      </c>
      <c r="J1039" s="519">
        <v>46028</v>
      </c>
      <c r="R1039" s="519">
        <v>46114</v>
      </c>
      <c r="U1039" s="519">
        <v>46028</v>
      </c>
    </row>
    <row r="1040" spans="1:21">
      <c r="A1040" t="s">
        <v>953</v>
      </c>
      <c r="B1040" t="s">
        <v>3563</v>
      </c>
      <c r="C1040" t="s">
        <v>953</v>
      </c>
      <c r="D1040">
        <v>20420152</v>
      </c>
      <c r="E1040" t="s">
        <v>2258</v>
      </c>
      <c r="F1040" t="s">
        <v>581</v>
      </c>
      <c r="G1040" t="s">
        <v>2290</v>
      </c>
      <c r="H1040" t="s">
        <v>592</v>
      </c>
      <c r="J1040" s="519">
        <v>46029</v>
      </c>
      <c r="R1040" s="519">
        <v>46114</v>
      </c>
      <c r="U1040" s="519">
        <v>46222</v>
      </c>
    </row>
    <row r="1041" spans="1:21">
      <c r="A1041" t="s">
        <v>953</v>
      </c>
      <c r="B1041" t="s">
        <v>3055</v>
      </c>
      <c r="C1041" t="s">
        <v>953</v>
      </c>
      <c r="D1041">
        <v>20472116</v>
      </c>
      <c r="E1041" t="s">
        <v>2258</v>
      </c>
      <c r="F1041" t="s">
        <v>577</v>
      </c>
      <c r="G1041" t="s">
        <v>2259</v>
      </c>
      <c r="H1041" t="s">
        <v>592</v>
      </c>
      <c r="I1041" t="s">
        <v>1334</v>
      </c>
      <c r="J1041" s="519">
        <v>46096</v>
      </c>
      <c r="R1041" s="519">
        <v>46114</v>
      </c>
      <c r="U1041" s="519">
        <v>46096</v>
      </c>
    </row>
    <row r="1042" spans="1:21">
      <c r="A1042" t="s">
        <v>953</v>
      </c>
      <c r="B1042" t="s">
        <v>3055</v>
      </c>
      <c r="C1042" t="s">
        <v>953</v>
      </c>
      <c r="D1042">
        <v>20500688</v>
      </c>
      <c r="E1042" t="s">
        <v>2245</v>
      </c>
      <c r="F1042" t="s">
        <v>578</v>
      </c>
      <c r="G1042" t="s">
        <v>2248</v>
      </c>
      <c r="H1042" t="s">
        <v>592</v>
      </c>
      <c r="I1042" t="s">
        <v>1156</v>
      </c>
      <c r="J1042" s="519">
        <v>46130</v>
      </c>
      <c r="U1042" s="519">
        <v>46172</v>
      </c>
    </row>
    <row r="1043" spans="1:21">
      <c r="A1043" t="s">
        <v>953</v>
      </c>
      <c r="B1043" t="s">
        <v>3056</v>
      </c>
      <c r="C1043" t="s">
        <v>953</v>
      </c>
      <c r="D1043">
        <v>20483867</v>
      </c>
      <c r="E1043" t="s">
        <v>2258</v>
      </c>
      <c r="F1043" t="s">
        <v>581</v>
      </c>
      <c r="G1043" t="s">
        <v>2250</v>
      </c>
      <c r="H1043" t="s">
        <v>592</v>
      </c>
      <c r="I1043" t="s">
        <v>1156</v>
      </c>
      <c r="J1043" s="519">
        <v>46112</v>
      </c>
      <c r="R1043" s="519">
        <v>46114</v>
      </c>
      <c r="U1043" s="519">
        <v>46143</v>
      </c>
    </row>
    <row r="1044" spans="1:21">
      <c r="A1044" t="s">
        <v>953</v>
      </c>
      <c r="B1044" t="s">
        <v>2538</v>
      </c>
      <c r="C1044" t="s">
        <v>953</v>
      </c>
      <c r="D1044">
        <v>20455891</v>
      </c>
      <c r="E1044" t="s">
        <v>2258</v>
      </c>
      <c r="F1044" t="s">
        <v>984</v>
      </c>
      <c r="G1044" t="s">
        <v>2246</v>
      </c>
      <c r="H1044" t="s">
        <v>2539</v>
      </c>
      <c r="J1044" s="519">
        <v>46076</v>
      </c>
      <c r="R1044" s="519">
        <v>46114</v>
      </c>
      <c r="U1044" s="519">
        <v>46088</v>
      </c>
    </row>
    <row r="1045" spans="1:21">
      <c r="A1045" t="s">
        <v>953</v>
      </c>
      <c r="B1045" t="s">
        <v>2540</v>
      </c>
      <c r="C1045" t="s">
        <v>953</v>
      </c>
      <c r="D1045">
        <v>20439108</v>
      </c>
      <c r="E1045" t="s">
        <v>2258</v>
      </c>
      <c r="F1045" t="s">
        <v>984</v>
      </c>
      <c r="G1045" t="s">
        <v>2259</v>
      </c>
      <c r="H1045" t="s">
        <v>591</v>
      </c>
      <c r="J1045" s="519">
        <v>46054</v>
      </c>
      <c r="R1045" s="519">
        <v>46114</v>
      </c>
      <c r="U1045" s="519">
        <v>46055</v>
      </c>
    </row>
    <row r="1046" spans="1:21">
      <c r="A1046" t="s">
        <v>953</v>
      </c>
      <c r="B1046" t="s">
        <v>3057</v>
      </c>
      <c r="C1046" t="s">
        <v>953</v>
      </c>
      <c r="D1046">
        <v>20470994</v>
      </c>
      <c r="E1046" t="s">
        <v>2258</v>
      </c>
      <c r="F1046" t="s">
        <v>1001</v>
      </c>
      <c r="G1046" t="s">
        <v>2250</v>
      </c>
      <c r="H1046" t="s">
        <v>592</v>
      </c>
      <c r="J1046" s="519">
        <v>46094</v>
      </c>
      <c r="R1046" s="519">
        <v>46114</v>
      </c>
      <c r="U1046" s="519">
        <v>46320</v>
      </c>
    </row>
    <row r="1047" spans="1:21">
      <c r="A1047" t="s">
        <v>953</v>
      </c>
      <c r="B1047" t="s">
        <v>3564</v>
      </c>
      <c r="C1047" t="s">
        <v>953</v>
      </c>
      <c r="D1047">
        <v>20493026</v>
      </c>
      <c r="E1047" t="s">
        <v>1100</v>
      </c>
      <c r="F1047" t="s">
        <v>6888</v>
      </c>
      <c r="G1047" t="s">
        <v>2250</v>
      </c>
      <c r="H1047" t="s">
        <v>587</v>
      </c>
      <c r="I1047" t="s">
        <v>1381</v>
      </c>
      <c r="J1047" s="519">
        <v>46124</v>
      </c>
      <c r="K1047" s="519">
        <v>46124</v>
      </c>
      <c r="U1047" s="519">
        <v>46125</v>
      </c>
    </row>
    <row r="1048" spans="1:21">
      <c r="A1048" t="s">
        <v>953</v>
      </c>
      <c r="B1048" t="s">
        <v>3565</v>
      </c>
      <c r="C1048" t="s">
        <v>953</v>
      </c>
      <c r="D1048">
        <v>20492251</v>
      </c>
      <c r="E1048" t="s">
        <v>2258</v>
      </c>
      <c r="F1048" t="s">
        <v>581</v>
      </c>
      <c r="G1048" t="s">
        <v>2250</v>
      </c>
      <c r="H1048" t="s">
        <v>592</v>
      </c>
      <c r="J1048" s="519">
        <v>46123</v>
      </c>
      <c r="R1048" s="519">
        <v>46139</v>
      </c>
      <c r="U1048" s="519">
        <v>46143</v>
      </c>
    </row>
    <row r="1049" spans="1:21">
      <c r="A1049" t="s">
        <v>953</v>
      </c>
      <c r="B1049" t="s">
        <v>7119</v>
      </c>
      <c r="C1049" t="s">
        <v>953</v>
      </c>
      <c r="D1049">
        <v>20500870</v>
      </c>
      <c r="E1049" t="s">
        <v>1110</v>
      </c>
      <c r="F1049" t="s">
        <v>582</v>
      </c>
      <c r="G1049" t="s">
        <v>2250</v>
      </c>
      <c r="H1049" t="s">
        <v>587</v>
      </c>
      <c r="I1049" t="s">
        <v>5921</v>
      </c>
      <c r="J1049" s="519">
        <v>46130</v>
      </c>
      <c r="K1049" s="519">
        <v>46130</v>
      </c>
      <c r="L1049" s="519">
        <v>46135</v>
      </c>
      <c r="U1049" s="519">
        <v>46161</v>
      </c>
    </row>
    <row r="1050" spans="1:21">
      <c r="A1050" t="s">
        <v>953</v>
      </c>
      <c r="B1050" t="s">
        <v>3058</v>
      </c>
      <c r="C1050" t="s">
        <v>953</v>
      </c>
      <c r="D1050">
        <v>20471687</v>
      </c>
      <c r="E1050" t="s">
        <v>2258</v>
      </c>
      <c r="F1050" t="s">
        <v>581</v>
      </c>
      <c r="G1050" t="s">
        <v>2250</v>
      </c>
      <c r="H1050" t="s">
        <v>592</v>
      </c>
      <c r="I1050" t="s">
        <v>1156</v>
      </c>
      <c r="J1050" s="519">
        <v>46095</v>
      </c>
      <c r="R1050" s="519">
        <v>46114</v>
      </c>
      <c r="U1050" s="519">
        <v>46174</v>
      </c>
    </row>
    <row r="1051" spans="1:21">
      <c r="A1051" t="s">
        <v>953</v>
      </c>
      <c r="B1051" t="s">
        <v>7120</v>
      </c>
      <c r="C1051" t="s">
        <v>953</v>
      </c>
      <c r="D1051">
        <v>20504845</v>
      </c>
      <c r="E1051" t="s">
        <v>1110</v>
      </c>
      <c r="F1051" t="s">
        <v>581</v>
      </c>
      <c r="G1051" t="s">
        <v>2250</v>
      </c>
      <c r="H1051" t="s">
        <v>589</v>
      </c>
      <c r="I1051" t="s">
        <v>1118</v>
      </c>
      <c r="J1051" s="519">
        <v>46133</v>
      </c>
      <c r="K1051" s="519">
        <v>46133</v>
      </c>
      <c r="L1051" s="519">
        <v>46133</v>
      </c>
      <c r="U1051" s="519">
        <v>46142</v>
      </c>
    </row>
    <row r="1052" spans="1:21">
      <c r="A1052" t="s">
        <v>953</v>
      </c>
      <c r="B1052" t="s">
        <v>7120</v>
      </c>
      <c r="C1052" t="s">
        <v>953</v>
      </c>
      <c r="D1052">
        <v>20503764</v>
      </c>
      <c r="E1052" t="s">
        <v>2258</v>
      </c>
      <c r="F1052" t="s">
        <v>577</v>
      </c>
      <c r="G1052" t="s">
        <v>2248</v>
      </c>
      <c r="H1052" t="s">
        <v>2287</v>
      </c>
      <c r="J1052" s="519">
        <v>46132</v>
      </c>
      <c r="R1052" s="519">
        <v>46139</v>
      </c>
      <c r="U1052" s="519">
        <v>46136</v>
      </c>
    </row>
    <row r="1053" spans="1:21">
      <c r="A1053" t="s">
        <v>953</v>
      </c>
      <c r="B1053" t="s">
        <v>3566</v>
      </c>
      <c r="C1053" t="s">
        <v>953</v>
      </c>
      <c r="D1053">
        <v>20416747</v>
      </c>
      <c r="E1053" t="s">
        <v>2258</v>
      </c>
      <c r="F1053" t="s">
        <v>579</v>
      </c>
      <c r="G1053" t="s">
        <v>2259</v>
      </c>
      <c r="H1053" t="s">
        <v>593</v>
      </c>
      <c r="J1053" s="519">
        <v>46024</v>
      </c>
      <c r="R1053" s="519">
        <v>46114</v>
      </c>
      <c r="U1053" s="519">
        <v>46054</v>
      </c>
    </row>
    <row r="1054" spans="1:21">
      <c r="A1054" t="s">
        <v>953</v>
      </c>
      <c r="B1054" t="s">
        <v>3059</v>
      </c>
      <c r="C1054" t="s">
        <v>953</v>
      </c>
      <c r="D1054">
        <v>20483105</v>
      </c>
      <c r="E1054" t="s">
        <v>2252</v>
      </c>
      <c r="F1054" t="s">
        <v>1001</v>
      </c>
      <c r="G1054" t="s">
        <v>2250</v>
      </c>
      <c r="H1054" t="s">
        <v>587</v>
      </c>
      <c r="I1054" t="s">
        <v>567</v>
      </c>
      <c r="J1054" s="519">
        <v>46111</v>
      </c>
      <c r="K1054" s="519">
        <v>46111</v>
      </c>
      <c r="L1054" s="519">
        <v>46111</v>
      </c>
      <c r="R1054" s="519">
        <v>46119</v>
      </c>
      <c r="U1054" s="519">
        <v>46122</v>
      </c>
    </row>
    <row r="1055" spans="1:21">
      <c r="A1055" t="s">
        <v>953</v>
      </c>
      <c r="B1055" t="s">
        <v>3567</v>
      </c>
      <c r="C1055" t="s">
        <v>953</v>
      </c>
      <c r="D1055">
        <v>20488439</v>
      </c>
      <c r="E1055" t="s">
        <v>1100</v>
      </c>
      <c r="F1055" t="s">
        <v>984</v>
      </c>
      <c r="G1055" t="s">
        <v>2250</v>
      </c>
      <c r="H1055" t="s">
        <v>587</v>
      </c>
      <c r="J1055" s="519">
        <v>46118</v>
      </c>
      <c r="K1055" s="519">
        <v>46118</v>
      </c>
      <c r="U1055" s="519">
        <v>46135</v>
      </c>
    </row>
    <row r="1056" spans="1:21">
      <c r="A1056" t="s">
        <v>953</v>
      </c>
      <c r="B1056" t="s">
        <v>3567</v>
      </c>
      <c r="C1056" t="s">
        <v>953</v>
      </c>
      <c r="D1056">
        <v>20492640</v>
      </c>
      <c r="E1056" t="s">
        <v>2252</v>
      </c>
      <c r="F1056" t="s">
        <v>6888</v>
      </c>
      <c r="G1056" t="s">
        <v>2250</v>
      </c>
      <c r="H1056" t="s">
        <v>592</v>
      </c>
      <c r="J1056" s="519">
        <v>46123</v>
      </c>
      <c r="K1056" s="519">
        <v>46123</v>
      </c>
      <c r="R1056" s="519">
        <v>46136</v>
      </c>
      <c r="U1056" s="519">
        <v>46123</v>
      </c>
    </row>
    <row r="1057" spans="1:21">
      <c r="A1057" t="s">
        <v>953</v>
      </c>
      <c r="B1057" t="s">
        <v>3568</v>
      </c>
      <c r="C1057" t="s">
        <v>953</v>
      </c>
      <c r="D1057">
        <v>20492703</v>
      </c>
      <c r="E1057" t="s">
        <v>2258</v>
      </c>
      <c r="F1057" t="s">
        <v>581</v>
      </c>
      <c r="G1057" t="s">
        <v>2250</v>
      </c>
      <c r="H1057" t="s">
        <v>592</v>
      </c>
      <c r="J1057" s="519">
        <v>46123</v>
      </c>
      <c r="R1057" s="519">
        <v>46139</v>
      </c>
      <c r="U1057" s="519">
        <v>46134</v>
      </c>
    </row>
    <row r="1058" spans="1:21">
      <c r="A1058" t="s">
        <v>953</v>
      </c>
      <c r="B1058" t="s">
        <v>3061</v>
      </c>
      <c r="C1058" t="s">
        <v>953</v>
      </c>
      <c r="D1058">
        <v>20472974</v>
      </c>
      <c r="E1058" t="s">
        <v>2258</v>
      </c>
      <c r="F1058" t="s">
        <v>984</v>
      </c>
      <c r="G1058" t="s">
        <v>2250</v>
      </c>
      <c r="H1058" t="s">
        <v>592</v>
      </c>
      <c r="J1058" s="519">
        <v>46097</v>
      </c>
      <c r="R1058" s="519">
        <v>46114</v>
      </c>
      <c r="U1058" s="519">
        <v>46098</v>
      </c>
    </row>
    <row r="1059" spans="1:21">
      <c r="A1059" t="s">
        <v>953</v>
      </c>
      <c r="B1059" t="s">
        <v>2541</v>
      </c>
      <c r="C1059" t="s">
        <v>953</v>
      </c>
      <c r="D1059">
        <v>20449363</v>
      </c>
      <c r="E1059" t="s">
        <v>2258</v>
      </c>
      <c r="F1059" t="s">
        <v>581</v>
      </c>
      <c r="G1059" t="s">
        <v>2290</v>
      </c>
      <c r="H1059" t="s">
        <v>591</v>
      </c>
      <c r="J1059" s="519">
        <v>46068</v>
      </c>
      <c r="R1059" s="519">
        <v>46114</v>
      </c>
      <c r="U1059" s="519">
        <v>46082</v>
      </c>
    </row>
    <row r="1060" spans="1:21">
      <c r="A1060" t="s">
        <v>953</v>
      </c>
      <c r="B1060" t="s">
        <v>3569</v>
      </c>
      <c r="C1060" t="s">
        <v>953</v>
      </c>
      <c r="D1060">
        <v>20430692</v>
      </c>
      <c r="E1060" t="s">
        <v>2258</v>
      </c>
      <c r="F1060" t="s">
        <v>577</v>
      </c>
      <c r="G1060" t="s">
        <v>2246</v>
      </c>
      <c r="H1060" t="s">
        <v>593</v>
      </c>
      <c r="J1060" s="519">
        <v>46042</v>
      </c>
      <c r="R1060" s="519">
        <v>46114</v>
      </c>
      <c r="U1060" s="519">
        <v>46042</v>
      </c>
    </row>
    <row r="1061" spans="1:21">
      <c r="A1061" t="s">
        <v>953</v>
      </c>
      <c r="B1061" t="s">
        <v>2542</v>
      </c>
      <c r="C1061" t="s">
        <v>953</v>
      </c>
      <c r="D1061">
        <v>20440351</v>
      </c>
      <c r="E1061" t="s">
        <v>2258</v>
      </c>
      <c r="F1061" t="s">
        <v>578</v>
      </c>
      <c r="G1061" t="s">
        <v>2246</v>
      </c>
      <c r="H1061" t="s">
        <v>593</v>
      </c>
      <c r="J1061" s="519">
        <v>46056</v>
      </c>
      <c r="R1061" s="519">
        <v>46114</v>
      </c>
      <c r="U1061" s="519">
        <v>46062</v>
      </c>
    </row>
    <row r="1062" spans="1:21">
      <c r="A1062" t="s">
        <v>953</v>
      </c>
      <c r="B1062" t="s">
        <v>3570</v>
      </c>
      <c r="C1062" t="s">
        <v>953</v>
      </c>
      <c r="D1062">
        <v>20435782</v>
      </c>
      <c r="E1062" t="s">
        <v>2258</v>
      </c>
      <c r="F1062" t="s">
        <v>984</v>
      </c>
      <c r="G1062" t="s">
        <v>2246</v>
      </c>
      <c r="H1062" t="s">
        <v>593</v>
      </c>
      <c r="J1062" s="519">
        <v>46049</v>
      </c>
      <c r="R1062" s="519">
        <v>46114</v>
      </c>
      <c r="U1062" s="519">
        <v>46049</v>
      </c>
    </row>
    <row r="1063" spans="1:21">
      <c r="A1063" t="s">
        <v>953</v>
      </c>
      <c r="B1063" t="s">
        <v>3571</v>
      </c>
      <c r="C1063" t="s">
        <v>953</v>
      </c>
      <c r="D1063">
        <v>20413232</v>
      </c>
      <c r="E1063" t="s">
        <v>2258</v>
      </c>
      <c r="F1063" t="s">
        <v>984</v>
      </c>
      <c r="G1063" t="s">
        <v>2246</v>
      </c>
      <c r="H1063" t="s">
        <v>593</v>
      </c>
      <c r="J1063" s="519">
        <v>46017</v>
      </c>
      <c r="R1063" s="519">
        <v>46114</v>
      </c>
      <c r="U1063" s="519">
        <v>46028</v>
      </c>
    </row>
    <row r="1064" spans="1:21">
      <c r="A1064" t="s">
        <v>953</v>
      </c>
      <c r="B1064" t="s">
        <v>7121</v>
      </c>
      <c r="C1064" t="s">
        <v>953</v>
      </c>
      <c r="D1064">
        <v>20511582</v>
      </c>
      <c r="E1064" t="s">
        <v>2245</v>
      </c>
      <c r="F1064" t="s">
        <v>984</v>
      </c>
      <c r="G1064" t="s">
        <v>2246</v>
      </c>
      <c r="H1064" t="s">
        <v>592</v>
      </c>
      <c r="J1064" s="519">
        <v>46140</v>
      </c>
      <c r="U1064" s="519">
        <v>46143</v>
      </c>
    </row>
    <row r="1065" spans="1:21">
      <c r="A1065" t="s">
        <v>953</v>
      </c>
      <c r="B1065" t="s">
        <v>7122</v>
      </c>
      <c r="C1065" t="s">
        <v>953</v>
      </c>
      <c r="D1065">
        <v>20498625</v>
      </c>
      <c r="E1065" t="s">
        <v>2258</v>
      </c>
      <c r="F1065" t="s">
        <v>581</v>
      </c>
      <c r="G1065" t="s">
        <v>2250</v>
      </c>
      <c r="H1065" t="s">
        <v>592</v>
      </c>
      <c r="J1065" s="519">
        <v>46128</v>
      </c>
      <c r="R1065" s="519">
        <v>46139</v>
      </c>
      <c r="U1065" s="519">
        <v>46172</v>
      </c>
    </row>
    <row r="1066" spans="1:21">
      <c r="A1066" t="s">
        <v>953</v>
      </c>
      <c r="B1066" t="s">
        <v>3062</v>
      </c>
      <c r="C1066" t="s">
        <v>953</v>
      </c>
      <c r="D1066">
        <v>20482024</v>
      </c>
      <c r="E1066" t="s">
        <v>2258</v>
      </c>
      <c r="F1066" t="s">
        <v>984</v>
      </c>
      <c r="G1066" t="s">
        <v>2250</v>
      </c>
      <c r="H1066" t="s">
        <v>592</v>
      </c>
      <c r="J1066" s="519">
        <v>46109</v>
      </c>
      <c r="R1066" s="519">
        <v>46139</v>
      </c>
      <c r="U1066" s="519">
        <v>46113</v>
      </c>
    </row>
    <row r="1067" spans="1:21">
      <c r="A1067" t="s">
        <v>953</v>
      </c>
      <c r="B1067" t="s">
        <v>2543</v>
      </c>
      <c r="C1067" t="s">
        <v>953</v>
      </c>
      <c r="D1067">
        <v>20443917</v>
      </c>
      <c r="E1067" t="s">
        <v>2258</v>
      </c>
      <c r="F1067" t="s">
        <v>581</v>
      </c>
      <c r="G1067" t="s">
        <v>2290</v>
      </c>
      <c r="H1067" t="s">
        <v>591</v>
      </c>
      <c r="J1067" s="519">
        <v>46062</v>
      </c>
      <c r="R1067" s="519">
        <v>46114</v>
      </c>
      <c r="U1067" s="519">
        <v>46062</v>
      </c>
    </row>
    <row r="1068" spans="1:21">
      <c r="A1068" t="s">
        <v>953</v>
      </c>
      <c r="B1068" t="s">
        <v>3063</v>
      </c>
      <c r="C1068" t="s">
        <v>953</v>
      </c>
      <c r="D1068">
        <v>20493720</v>
      </c>
      <c r="E1068" t="s">
        <v>1100</v>
      </c>
      <c r="F1068" t="s">
        <v>582</v>
      </c>
      <c r="G1068" t="s">
        <v>2250</v>
      </c>
      <c r="H1068" t="s">
        <v>587</v>
      </c>
      <c r="J1068" s="519">
        <v>46125</v>
      </c>
      <c r="K1068" s="519">
        <v>46125</v>
      </c>
      <c r="U1068" s="519">
        <v>46142</v>
      </c>
    </row>
    <row r="1069" spans="1:21">
      <c r="A1069" t="s">
        <v>953</v>
      </c>
      <c r="B1069" t="s">
        <v>3572</v>
      </c>
      <c r="C1069" t="s">
        <v>953</v>
      </c>
      <c r="D1069">
        <v>20487282</v>
      </c>
      <c r="E1069" t="s">
        <v>2258</v>
      </c>
      <c r="F1069" t="s">
        <v>984</v>
      </c>
      <c r="G1069" t="s">
        <v>2250</v>
      </c>
      <c r="H1069" t="s">
        <v>592</v>
      </c>
      <c r="J1069" s="519">
        <v>46116</v>
      </c>
      <c r="R1069" s="519">
        <v>46139</v>
      </c>
      <c r="U1069" s="519">
        <v>46137</v>
      </c>
    </row>
    <row r="1070" spans="1:21">
      <c r="A1070" t="s">
        <v>953</v>
      </c>
      <c r="B1070" t="s">
        <v>3573</v>
      </c>
      <c r="C1070" t="s">
        <v>953</v>
      </c>
      <c r="D1070">
        <v>20489813</v>
      </c>
      <c r="E1070" t="s">
        <v>1100</v>
      </c>
      <c r="F1070" t="s">
        <v>582</v>
      </c>
      <c r="G1070" t="s">
        <v>2250</v>
      </c>
      <c r="H1070" t="s">
        <v>590</v>
      </c>
      <c r="I1070" t="s">
        <v>1841</v>
      </c>
      <c r="J1070" s="519">
        <v>46120</v>
      </c>
      <c r="K1070" s="519">
        <v>46120</v>
      </c>
      <c r="U1070" s="519">
        <v>46172</v>
      </c>
    </row>
    <row r="1071" spans="1:21">
      <c r="A1071" t="s">
        <v>953</v>
      </c>
      <c r="B1071" t="s">
        <v>3574</v>
      </c>
      <c r="C1071" t="s">
        <v>953</v>
      </c>
      <c r="D1071">
        <v>20432472</v>
      </c>
      <c r="E1071" t="s">
        <v>2252</v>
      </c>
      <c r="F1071" t="s">
        <v>577</v>
      </c>
      <c r="G1071" t="s">
        <v>2248</v>
      </c>
      <c r="H1071" t="s">
        <v>589</v>
      </c>
      <c r="J1071" s="519">
        <v>46044</v>
      </c>
      <c r="K1071" s="519">
        <v>46053</v>
      </c>
      <c r="R1071" s="519">
        <v>46114</v>
      </c>
      <c r="U1071" s="519">
        <v>46081</v>
      </c>
    </row>
    <row r="1072" spans="1:21">
      <c r="A1072" t="s">
        <v>953</v>
      </c>
      <c r="B1072" t="s">
        <v>7123</v>
      </c>
      <c r="C1072" t="s">
        <v>953</v>
      </c>
      <c r="D1072">
        <v>20509613</v>
      </c>
      <c r="E1072" t="s">
        <v>2245</v>
      </c>
      <c r="F1072" t="s">
        <v>581</v>
      </c>
      <c r="G1072" t="s">
        <v>1213</v>
      </c>
      <c r="H1072" t="s">
        <v>1144</v>
      </c>
      <c r="J1072" s="519">
        <v>46137</v>
      </c>
      <c r="U1072" s="519">
        <v>46234</v>
      </c>
    </row>
    <row r="1073" spans="1:21">
      <c r="A1073" t="s">
        <v>953</v>
      </c>
      <c r="B1073" t="s">
        <v>7124</v>
      </c>
      <c r="C1073" t="s">
        <v>953</v>
      </c>
      <c r="D1073">
        <v>20509253</v>
      </c>
      <c r="E1073" t="s">
        <v>2245</v>
      </c>
      <c r="F1073" t="s">
        <v>582</v>
      </c>
      <c r="G1073" t="s">
        <v>1213</v>
      </c>
      <c r="H1073" t="s">
        <v>589</v>
      </c>
      <c r="J1073" s="519">
        <v>46136</v>
      </c>
      <c r="U1073" s="519">
        <v>46150</v>
      </c>
    </row>
    <row r="1074" spans="1:21">
      <c r="A1074" t="s">
        <v>953</v>
      </c>
      <c r="B1074" t="s">
        <v>3064</v>
      </c>
      <c r="C1074" t="s">
        <v>953</v>
      </c>
      <c r="D1074">
        <v>20468603</v>
      </c>
      <c r="E1074" t="s">
        <v>2252</v>
      </c>
      <c r="F1074" t="s">
        <v>581</v>
      </c>
      <c r="G1074" t="s">
        <v>2250</v>
      </c>
      <c r="H1074" t="s">
        <v>587</v>
      </c>
      <c r="J1074" s="519">
        <v>46092</v>
      </c>
      <c r="K1074" s="519">
        <v>46092</v>
      </c>
      <c r="R1074" s="519">
        <v>46116</v>
      </c>
      <c r="U1074" s="519">
        <v>46092</v>
      </c>
    </row>
    <row r="1075" spans="1:21">
      <c r="A1075" t="s">
        <v>953</v>
      </c>
      <c r="B1075" t="s">
        <v>1014</v>
      </c>
      <c r="C1075" t="s">
        <v>953</v>
      </c>
      <c r="D1075">
        <v>20469260</v>
      </c>
      <c r="E1075" t="s">
        <v>2252</v>
      </c>
      <c r="F1075" t="s">
        <v>578</v>
      </c>
      <c r="G1075" t="s">
        <v>2248</v>
      </c>
      <c r="H1075" t="s">
        <v>2287</v>
      </c>
      <c r="I1075" t="s">
        <v>1013</v>
      </c>
      <c r="J1075" s="519">
        <v>46093</v>
      </c>
      <c r="K1075" s="519">
        <v>46093</v>
      </c>
      <c r="L1075" s="519">
        <v>46093</v>
      </c>
      <c r="M1075" s="519">
        <v>46106</v>
      </c>
      <c r="N1075" s="519">
        <v>46106</v>
      </c>
      <c r="R1075" s="519">
        <v>46118</v>
      </c>
      <c r="U1075" s="519">
        <v>46123</v>
      </c>
    </row>
    <row r="1076" spans="1:21">
      <c r="A1076" t="s">
        <v>953</v>
      </c>
      <c r="B1076" t="s">
        <v>3065</v>
      </c>
      <c r="C1076" t="s">
        <v>953</v>
      </c>
      <c r="D1076">
        <v>20473053</v>
      </c>
      <c r="E1076" t="s">
        <v>2258</v>
      </c>
      <c r="F1076" t="s">
        <v>984</v>
      </c>
      <c r="G1076" t="s">
        <v>2250</v>
      </c>
      <c r="H1076" t="s">
        <v>592</v>
      </c>
      <c r="J1076" s="519">
        <v>46098</v>
      </c>
      <c r="R1076" s="519">
        <v>46114</v>
      </c>
      <c r="U1076" s="519">
        <v>46113</v>
      </c>
    </row>
    <row r="1077" spans="1:21">
      <c r="A1077" t="s">
        <v>953</v>
      </c>
      <c r="B1077" t="s">
        <v>3575</v>
      </c>
      <c r="C1077" t="s">
        <v>953</v>
      </c>
      <c r="D1077">
        <v>20487874</v>
      </c>
      <c r="E1077" t="s">
        <v>2245</v>
      </c>
      <c r="F1077" t="s">
        <v>581</v>
      </c>
      <c r="G1077" t="s">
        <v>2250</v>
      </c>
      <c r="H1077" t="s">
        <v>592</v>
      </c>
      <c r="J1077" s="519">
        <v>46118</v>
      </c>
      <c r="U1077" s="519">
        <v>46132</v>
      </c>
    </row>
    <row r="1078" spans="1:21">
      <c r="A1078" t="s">
        <v>953</v>
      </c>
      <c r="B1078" t="s">
        <v>3066</v>
      </c>
      <c r="C1078" t="s">
        <v>953</v>
      </c>
      <c r="D1078">
        <v>20473152</v>
      </c>
      <c r="E1078" t="s">
        <v>2258</v>
      </c>
      <c r="F1078" t="s">
        <v>577</v>
      </c>
      <c r="G1078" t="s">
        <v>2248</v>
      </c>
      <c r="H1078" t="s">
        <v>2287</v>
      </c>
      <c r="I1078" t="s">
        <v>1151</v>
      </c>
      <c r="J1078" s="519">
        <v>46098</v>
      </c>
      <c r="R1078" s="519">
        <v>46114</v>
      </c>
      <c r="U1078" s="519">
        <v>46104</v>
      </c>
    </row>
    <row r="1079" spans="1:21">
      <c r="A1079" t="s">
        <v>953</v>
      </c>
      <c r="B1079" t="s">
        <v>3576</v>
      </c>
      <c r="C1079" t="s">
        <v>953</v>
      </c>
      <c r="D1079">
        <v>20423008</v>
      </c>
      <c r="E1079" t="s">
        <v>2258</v>
      </c>
      <c r="F1079" t="s">
        <v>579</v>
      </c>
      <c r="G1079" t="s">
        <v>2248</v>
      </c>
      <c r="H1079" t="s">
        <v>588</v>
      </c>
      <c r="J1079" s="519">
        <v>46034</v>
      </c>
      <c r="R1079" s="519">
        <v>46139</v>
      </c>
      <c r="U1079" s="519">
        <v>46034</v>
      </c>
    </row>
    <row r="1080" spans="1:21">
      <c r="A1080" t="s">
        <v>953</v>
      </c>
      <c r="B1080" t="s">
        <v>3576</v>
      </c>
      <c r="C1080" t="s">
        <v>953</v>
      </c>
      <c r="D1080">
        <v>20487224</v>
      </c>
      <c r="E1080" t="s">
        <v>2258</v>
      </c>
      <c r="F1080" t="s">
        <v>577</v>
      </c>
      <c r="G1080" t="s">
        <v>2248</v>
      </c>
      <c r="H1080" t="s">
        <v>588</v>
      </c>
      <c r="J1080" s="519">
        <v>46116</v>
      </c>
      <c r="R1080" s="519">
        <v>46139</v>
      </c>
      <c r="U1080" s="519">
        <v>46116</v>
      </c>
    </row>
    <row r="1081" spans="1:21">
      <c r="A1081" t="s">
        <v>953</v>
      </c>
      <c r="B1081" t="s">
        <v>2548</v>
      </c>
      <c r="C1081" t="s">
        <v>953</v>
      </c>
      <c r="D1081">
        <v>20458359</v>
      </c>
      <c r="E1081" t="s">
        <v>2258</v>
      </c>
      <c r="F1081" t="s">
        <v>984</v>
      </c>
      <c r="G1081" t="s">
        <v>2259</v>
      </c>
      <c r="H1081" t="s">
        <v>592</v>
      </c>
      <c r="J1081" s="519">
        <v>46079</v>
      </c>
      <c r="R1081" s="519">
        <v>46114</v>
      </c>
      <c r="U1081" s="519">
        <v>46173</v>
      </c>
    </row>
    <row r="1082" spans="1:21">
      <c r="A1082" t="s">
        <v>953</v>
      </c>
      <c r="B1082" t="s">
        <v>2552</v>
      </c>
      <c r="C1082" t="s">
        <v>953</v>
      </c>
      <c r="D1082">
        <v>20459733</v>
      </c>
      <c r="E1082" t="s">
        <v>2258</v>
      </c>
      <c r="F1082" t="s">
        <v>578</v>
      </c>
      <c r="G1082" t="s">
        <v>2248</v>
      </c>
      <c r="H1082" t="s">
        <v>588</v>
      </c>
      <c r="J1082" s="519">
        <v>46081</v>
      </c>
      <c r="R1082" s="519">
        <v>46114</v>
      </c>
      <c r="U1082" s="519">
        <v>46081</v>
      </c>
    </row>
    <row r="1083" spans="1:21">
      <c r="A1083" t="s">
        <v>953</v>
      </c>
      <c r="B1083" t="s">
        <v>7125</v>
      </c>
      <c r="C1083" t="s">
        <v>953</v>
      </c>
      <c r="D1083">
        <v>20507886</v>
      </c>
      <c r="E1083" t="s">
        <v>2245</v>
      </c>
      <c r="F1083" t="s">
        <v>984</v>
      </c>
      <c r="G1083" t="s">
        <v>2250</v>
      </c>
      <c r="H1083" t="s">
        <v>592</v>
      </c>
      <c r="J1083" s="519">
        <v>46135</v>
      </c>
      <c r="U1083" s="519">
        <v>46174</v>
      </c>
    </row>
    <row r="1084" spans="1:21">
      <c r="A1084" t="s">
        <v>953</v>
      </c>
      <c r="B1084" t="s">
        <v>3577</v>
      </c>
      <c r="C1084" t="s">
        <v>953</v>
      </c>
      <c r="D1084">
        <v>20411932</v>
      </c>
      <c r="E1084" t="s">
        <v>2252</v>
      </c>
      <c r="F1084" t="s">
        <v>577</v>
      </c>
      <c r="G1084" t="s">
        <v>2259</v>
      </c>
      <c r="H1084" t="s">
        <v>591</v>
      </c>
      <c r="I1084" t="s">
        <v>986</v>
      </c>
      <c r="J1084" s="519">
        <v>46014</v>
      </c>
      <c r="K1084" s="519">
        <v>46014</v>
      </c>
      <c r="R1084" s="519">
        <v>46113</v>
      </c>
      <c r="U1084" s="519">
        <v>46014</v>
      </c>
    </row>
    <row r="1085" spans="1:21">
      <c r="A1085" t="s">
        <v>953</v>
      </c>
      <c r="B1085" t="s">
        <v>7126</v>
      </c>
      <c r="C1085" t="s">
        <v>953</v>
      </c>
      <c r="D1085">
        <v>20511034</v>
      </c>
      <c r="E1085" t="s">
        <v>2245</v>
      </c>
      <c r="F1085" t="s">
        <v>984</v>
      </c>
      <c r="G1085" t="s">
        <v>2246</v>
      </c>
      <c r="H1085" t="s">
        <v>592</v>
      </c>
      <c r="J1085" s="519">
        <v>46139</v>
      </c>
      <c r="U1085" s="519">
        <v>46162</v>
      </c>
    </row>
    <row r="1086" spans="1:21">
      <c r="A1086" t="s">
        <v>953</v>
      </c>
      <c r="B1086" t="s">
        <v>2553</v>
      </c>
      <c r="C1086" t="s">
        <v>953</v>
      </c>
      <c r="D1086">
        <v>20452346</v>
      </c>
      <c r="E1086" t="s">
        <v>2258</v>
      </c>
      <c r="F1086" t="s">
        <v>581</v>
      </c>
      <c r="G1086" t="s">
        <v>2259</v>
      </c>
      <c r="H1086" t="s">
        <v>593</v>
      </c>
      <c r="J1086" s="519">
        <v>46071</v>
      </c>
      <c r="R1086" s="519">
        <v>46114</v>
      </c>
      <c r="U1086" s="519">
        <v>46072</v>
      </c>
    </row>
    <row r="1087" spans="1:21">
      <c r="A1087" t="s">
        <v>953</v>
      </c>
      <c r="B1087" t="s">
        <v>2554</v>
      </c>
      <c r="C1087" t="s">
        <v>953</v>
      </c>
      <c r="D1087">
        <v>20449102</v>
      </c>
      <c r="E1087" t="s">
        <v>2258</v>
      </c>
      <c r="F1087" t="s">
        <v>579</v>
      </c>
      <c r="G1087" t="s">
        <v>2248</v>
      </c>
      <c r="H1087" t="s">
        <v>588</v>
      </c>
      <c r="J1087" s="519">
        <v>46067</v>
      </c>
      <c r="R1087" s="519">
        <v>46115</v>
      </c>
      <c r="U1087" s="519">
        <v>46067</v>
      </c>
    </row>
    <row r="1088" spans="1:21">
      <c r="A1088" t="s">
        <v>953</v>
      </c>
      <c r="B1088" t="s">
        <v>3067</v>
      </c>
      <c r="C1088" t="s">
        <v>953</v>
      </c>
      <c r="D1088">
        <v>20475989</v>
      </c>
      <c r="E1088" t="s">
        <v>2258</v>
      </c>
      <c r="F1088" t="s">
        <v>581</v>
      </c>
      <c r="G1088" t="s">
        <v>2246</v>
      </c>
      <c r="H1088" t="s">
        <v>1526</v>
      </c>
      <c r="J1088" s="519">
        <v>46100</v>
      </c>
      <c r="R1088" s="519">
        <v>46114</v>
      </c>
      <c r="U1088" s="519">
        <v>46100</v>
      </c>
    </row>
    <row r="1089" spans="1:21">
      <c r="A1089" t="s">
        <v>953</v>
      </c>
      <c r="B1089" t="s">
        <v>7127</v>
      </c>
      <c r="C1089" t="s">
        <v>953</v>
      </c>
      <c r="D1089">
        <v>20500820</v>
      </c>
      <c r="E1089" t="s">
        <v>2258</v>
      </c>
      <c r="F1089" t="s">
        <v>984</v>
      </c>
      <c r="G1089" t="s">
        <v>2250</v>
      </c>
      <c r="H1089" t="s">
        <v>2361</v>
      </c>
      <c r="J1089" s="519">
        <v>46130</v>
      </c>
      <c r="R1089" s="519">
        <v>46139</v>
      </c>
      <c r="U1089" s="519">
        <v>46131</v>
      </c>
    </row>
    <row r="1090" spans="1:21">
      <c r="A1090" t="s">
        <v>953</v>
      </c>
      <c r="B1090" t="s">
        <v>3578</v>
      </c>
      <c r="C1090" t="s">
        <v>953</v>
      </c>
      <c r="D1090">
        <v>20491192</v>
      </c>
      <c r="E1090" t="s">
        <v>2324</v>
      </c>
      <c r="F1090" t="s">
        <v>3440</v>
      </c>
      <c r="G1090" t="s">
        <v>2250</v>
      </c>
      <c r="H1090" t="s">
        <v>592</v>
      </c>
      <c r="I1090" t="s">
        <v>2581</v>
      </c>
      <c r="J1090" s="519">
        <v>46121</v>
      </c>
      <c r="K1090" s="519">
        <v>46122</v>
      </c>
      <c r="L1090" s="519">
        <v>46122</v>
      </c>
      <c r="M1090" s="519">
        <v>46132</v>
      </c>
      <c r="N1090" s="519">
        <v>46132</v>
      </c>
      <c r="O1090" s="519">
        <v>46132</v>
      </c>
      <c r="P1090" s="519">
        <v>46132</v>
      </c>
      <c r="Q1090" s="519">
        <v>46133</v>
      </c>
      <c r="U1090" s="519">
        <v>46151</v>
      </c>
    </row>
    <row r="1091" spans="1:21">
      <c r="A1091" t="s">
        <v>953</v>
      </c>
      <c r="B1091" t="s">
        <v>2556</v>
      </c>
      <c r="C1091" t="s">
        <v>953</v>
      </c>
      <c r="D1091">
        <v>20440253</v>
      </c>
      <c r="E1091" t="s">
        <v>2258</v>
      </c>
      <c r="F1091" t="s">
        <v>984</v>
      </c>
      <c r="G1091" t="s">
        <v>2248</v>
      </c>
      <c r="H1091" t="s">
        <v>591</v>
      </c>
      <c r="J1091" s="519">
        <v>46056</v>
      </c>
      <c r="R1091" s="519">
        <v>46114</v>
      </c>
      <c r="U1091" s="519">
        <v>46056</v>
      </c>
    </row>
    <row r="1092" spans="1:21">
      <c r="A1092" t="s">
        <v>953</v>
      </c>
      <c r="B1092" t="s">
        <v>7128</v>
      </c>
      <c r="C1092" t="s">
        <v>953</v>
      </c>
      <c r="D1092">
        <v>20500675</v>
      </c>
      <c r="E1092" t="s">
        <v>2258</v>
      </c>
      <c r="F1092" t="s">
        <v>984</v>
      </c>
      <c r="G1092" t="s">
        <v>2246</v>
      </c>
      <c r="H1092" t="s">
        <v>592</v>
      </c>
      <c r="J1092" s="519">
        <v>46130</v>
      </c>
      <c r="R1092" s="519">
        <v>46139</v>
      </c>
      <c r="U1092" s="519">
        <v>46132</v>
      </c>
    </row>
    <row r="1093" spans="1:21">
      <c r="A1093" t="s">
        <v>953</v>
      </c>
      <c r="B1093" t="s">
        <v>7129</v>
      </c>
      <c r="C1093" t="s">
        <v>953</v>
      </c>
      <c r="D1093">
        <v>20512094</v>
      </c>
      <c r="E1093" t="s">
        <v>2245</v>
      </c>
      <c r="F1093" t="s">
        <v>984</v>
      </c>
      <c r="G1093" t="s">
        <v>2250</v>
      </c>
      <c r="H1093" t="s">
        <v>2361</v>
      </c>
      <c r="J1093" s="519">
        <v>46140</v>
      </c>
      <c r="U1093" s="519">
        <v>46141</v>
      </c>
    </row>
    <row r="1094" spans="1:21">
      <c r="A1094" t="s">
        <v>953</v>
      </c>
      <c r="B1094" t="s">
        <v>2557</v>
      </c>
      <c r="C1094" t="s">
        <v>953</v>
      </c>
      <c r="D1094">
        <v>20448910</v>
      </c>
      <c r="E1094" t="s">
        <v>2258</v>
      </c>
      <c r="F1094" t="s">
        <v>579</v>
      </c>
      <c r="G1094" t="s">
        <v>2248</v>
      </c>
      <c r="H1094" t="s">
        <v>591</v>
      </c>
      <c r="J1094" s="519">
        <v>46067</v>
      </c>
      <c r="R1094" s="519">
        <v>46115</v>
      </c>
      <c r="U1094" s="519">
        <v>46067</v>
      </c>
    </row>
    <row r="1095" spans="1:21">
      <c r="A1095" t="s">
        <v>953</v>
      </c>
      <c r="B1095" t="s">
        <v>2558</v>
      </c>
      <c r="C1095" t="s">
        <v>953</v>
      </c>
      <c r="D1095">
        <v>20448883</v>
      </c>
      <c r="E1095" t="s">
        <v>2258</v>
      </c>
      <c r="F1095" t="s">
        <v>581</v>
      </c>
      <c r="G1095" t="s">
        <v>1213</v>
      </c>
      <c r="H1095" t="s">
        <v>587</v>
      </c>
      <c r="J1095" s="519">
        <v>46067</v>
      </c>
      <c r="R1095" s="519">
        <v>46114</v>
      </c>
      <c r="U1095" s="519">
        <v>46067</v>
      </c>
    </row>
    <row r="1096" spans="1:21">
      <c r="A1096" t="s">
        <v>953</v>
      </c>
      <c r="B1096" t="s">
        <v>3579</v>
      </c>
      <c r="C1096" t="s">
        <v>953</v>
      </c>
      <c r="D1096">
        <v>20436360</v>
      </c>
      <c r="E1096" t="s">
        <v>2258</v>
      </c>
      <c r="F1096" t="s">
        <v>578</v>
      </c>
      <c r="G1096" t="s">
        <v>2259</v>
      </c>
      <c r="H1096" t="s">
        <v>2428</v>
      </c>
      <c r="J1096" s="519">
        <v>46050</v>
      </c>
      <c r="R1096" s="519">
        <v>46114</v>
      </c>
      <c r="U1096" s="519">
        <v>46050</v>
      </c>
    </row>
    <row r="1097" spans="1:21">
      <c r="A1097" t="s">
        <v>953</v>
      </c>
      <c r="B1097" t="s">
        <v>2559</v>
      </c>
      <c r="C1097" t="s">
        <v>953</v>
      </c>
      <c r="D1097">
        <v>20442245</v>
      </c>
      <c r="E1097" t="s">
        <v>2258</v>
      </c>
      <c r="F1097" t="s">
        <v>581</v>
      </c>
      <c r="G1097" t="s">
        <v>2290</v>
      </c>
      <c r="H1097" t="s">
        <v>2453</v>
      </c>
      <c r="J1097" s="519">
        <v>46059</v>
      </c>
      <c r="R1097" s="519">
        <v>46114</v>
      </c>
      <c r="U1097" s="519">
        <v>46059</v>
      </c>
    </row>
    <row r="1098" spans="1:21">
      <c r="A1098" t="s">
        <v>953</v>
      </c>
      <c r="B1098" t="s">
        <v>1854</v>
      </c>
      <c r="C1098" t="s">
        <v>953</v>
      </c>
      <c r="D1098">
        <v>20484376</v>
      </c>
      <c r="E1098" t="s">
        <v>2324</v>
      </c>
      <c r="F1098" t="s">
        <v>582</v>
      </c>
      <c r="G1098" t="s">
        <v>2250</v>
      </c>
      <c r="H1098" t="s">
        <v>587</v>
      </c>
      <c r="I1098" t="s">
        <v>1138</v>
      </c>
      <c r="J1098" s="519">
        <v>46112</v>
      </c>
      <c r="K1098" s="519">
        <v>46112</v>
      </c>
      <c r="L1098" s="519">
        <v>46113</v>
      </c>
      <c r="M1098" s="519">
        <v>46127</v>
      </c>
      <c r="N1098" s="519">
        <v>46127</v>
      </c>
      <c r="P1098" s="519">
        <v>46127</v>
      </c>
      <c r="Q1098" s="519">
        <v>46127</v>
      </c>
      <c r="T1098" s="519">
        <v>46126</v>
      </c>
      <c r="U1098" s="519">
        <v>46127</v>
      </c>
    </row>
    <row r="1099" spans="1:21">
      <c r="A1099" t="s">
        <v>953</v>
      </c>
      <c r="B1099" t="s">
        <v>2560</v>
      </c>
      <c r="C1099" t="s">
        <v>953</v>
      </c>
      <c r="D1099">
        <v>20441535</v>
      </c>
      <c r="E1099" t="s">
        <v>2258</v>
      </c>
      <c r="F1099" t="s">
        <v>581</v>
      </c>
      <c r="G1099" t="s">
        <v>2259</v>
      </c>
      <c r="H1099" t="s">
        <v>590</v>
      </c>
      <c r="J1099" s="519">
        <v>46058</v>
      </c>
      <c r="R1099" s="519">
        <v>46114</v>
      </c>
      <c r="U1099" s="519">
        <v>46058</v>
      </c>
    </row>
    <row r="1100" spans="1:21">
      <c r="A1100" t="s">
        <v>953</v>
      </c>
      <c r="B1100" t="s">
        <v>3580</v>
      </c>
      <c r="C1100" t="s">
        <v>953</v>
      </c>
      <c r="D1100">
        <v>20418538</v>
      </c>
      <c r="E1100" t="s">
        <v>2258</v>
      </c>
      <c r="F1100" t="s">
        <v>577</v>
      </c>
      <c r="G1100" t="s">
        <v>2248</v>
      </c>
      <c r="H1100" t="s">
        <v>592</v>
      </c>
      <c r="I1100" t="s">
        <v>1136</v>
      </c>
      <c r="J1100" s="519">
        <v>46027</v>
      </c>
      <c r="R1100" s="519">
        <v>46114</v>
      </c>
      <c r="U1100" s="519">
        <v>46027</v>
      </c>
    </row>
    <row r="1101" spans="1:21">
      <c r="A1101" t="s">
        <v>953</v>
      </c>
      <c r="B1101" t="s">
        <v>3581</v>
      </c>
      <c r="C1101" t="s">
        <v>953</v>
      </c>
      <c r="D1101">
        <v>20494027</v>
      </c>
      <c r="E1101" t="s">
        <v>2252</v>
      </c>
      <c r="F1101" t="s">
        <v>3440</v>
      </c>
      <c r="G1101" t="s">
        <v>2250</v>
      </c>
      <c r="H1101" t="s">
        <v>592</v>
      </c>
      <c r="I1101" t="s">
        <v>876</v>
      </c>
      <c r="J1101" s="519">
        <v>46125</v>
      </c>
      <c r="K1101" s="519">
        <v>46125</v>
      </c>
      <c r="L1101" s="519">
        <v>46125</v>
      </c>
      <c r="R1101" s="519">
        <v>46135</v>
      </c>
      <c r="U1101" s="519">
        <v>46135</v>
      </c>
    </row>
    <row r="1102" spans="1:21">
      <c r="A1102" t="s">
        <v>953</v>
      </c>
      <c r="B1102" t="s">
        <v>3068</v>
      </c>
      <c r="C1102" t="s">
        <v>953</v>
      </c>
      <c r="D1102">
        <v>20482351</v>
      </c>
      <c r="E1102" t="s">
        <v>2258</v>
      </c>
      <c r="F1102" t="s">
        <v>984</v>
      </c>
      <c r="G1102" t="s">
        <v>2250</v>
      </c>
      <c r="H1102" t="s">
        <v>592</v>
      </c>
      <c r="J1102" s="519">
        <v>46109</v>
      </c>
      <c r="R1102" s="519">
        <v>46119</v>
      </c>
      <c r="U1102" s="519">
        <v>46112</v>
      </c>
    </row>
    <row r="1103" spans="1:21">
      <c r="A1103" t="s">
        <v>953</v>
      </c>
      <c r="B1103" t="s">
        <v>3069</v>
      </c>
      <c r="C1103" t="s">
        <v>953</v>
      </c>
      <c r="D1103">
        <v>20477048</v>
      </c>
      <c r="E1103" t="s">
        <v>2258</v>
      </c>
      <c r="F1103" t="s">
        <v>984</v>
      </c>
      <c r="G1103" t="s">
        <v>2250</v>
      </c>
      <c r="H1103" t="s">
        <v>592</v>
      </c>
      <c r="J1103" s="519">
        <v>46101</v>
      </c>
      <c r="R1103" s="519">
        <v>46114</v>
      </c>
      <c r="U1103" s="519">
        <v>46113</v>
      </c>
    </row>
    <row r="1104" spans="1:21">
      <c r="A1104" t="s">
        <v>953</v>
      </c>
      <c r="B1104" t="s">
        <v>3582</v>
      </c>
      <c r="C1104" t="s">
        <v>953</v>
      </c>
      <c r="D1104">
        <v>20491632</v>
      </c>
      <c r="E1104" t="s">
        <v>2258</v>
      </c>
      <c r="F1104" t="s">
        <v>581</v>
      </c>
      <c r="G1104" t="s">
        <v>2250</v>
      </c>
      <c r="H1104" t="s">
        <v>592</v>
      </c>
      <c r="J1104" s="519">
        <v>46122</v>
      </c>
      <c r="R1104" s="519">
        <v>46139</v>
      </c>
      <c r="U1104" s="519">
        <v>46141</v>
      </c>
    </row>
    <row r="1105" spans="1:21">
      <c r="A1105" t="s">
        <v>953</v>
      </c>
      <c r="B1105" t="s">
        <v>3582</v>
      </c>
      <c r="C1105" t="s">
        <v>953</v>
      </c>
      <c r="D1105">
        <v>20491364</v>
      </c>
      <c r="E1105" t="s">
        <v>2258</v>
      </c>
      <c r="F1105" t="s">
        <v>581</v>
      </c>
      <c r="G1105" t="s">
        <v>2246</v>
      </c>
      <c r="H1105" t="s">
        <v>587</v>
      </c>
      <c r="J1105" s="519">
        <v>46121</v>
      </c>
      <c r="R1105" s="519">
        <v>46139</v>
      </c>
      <c r="U1105" s="519">
        <v>46121</v>
      </c>
    </row>
    <row r="1106" spans="1:21">
      <c r="A1106" t="s">
        <v>953</v>
      </c>
      <c r="B1106" t="s">
        <v>7130</v>
      </c>
      <c r="C1106" t="s">
        <v>953</v>
      </c>
      <c r="D1106">
        <v>20507708</v>
      </c>
      <c r="E1106" t="s">
        <v>2245</v>
      </c>
      <c r="F1106" t="s">
        <v>984</v>
      </c>
      <c r="G1106" t="s">
        <v>2246</v>
      </c>
      <c r="H1106" t="s">
        <v>592</v>
      </c>
      <c r="J1106" s="519">
        <v>46135</v>
      </c>
      <c r="U1106" s="519">
        <v>46135</v>
      </c>
    </row>
    <row r="1107" spans="1:21">
      <c r="A1107" t="s">
        <v>953</v>
      </c>
      <c r="B1107" t="s">
        <v>1152</v>
      </c>
      <c r="C1107" t="s">
        <v>953</v>
      </c>
      <c r="D1107">
        <v>20471357</v>
      </c>
      <c r="E1107" t="s">
        <v>2252</v>
      </c>
      <c r="F1107" t="s">
        <v>578</v>
      </c>
      <c r="G1107" t="s">
        <v>2250</v>
      </c>
      <c r="H1107" t="s">
        <v>588</v>
      </c>
      <c r="I1107" t="s">
        <v>1151</v>
      </c>
      <c r="J1107" s="519">
        <v>46095</v>
      </c>
      <c r="K1107" s="519">
        <v>46095</v>
      </c>
      <c r="R1107" s="519">
        <v>46114</v>
      </c>
      <c r="U1107" s="519">
        <v>46095</v>
      </c>
    </row>
    <row r="1108" spans="1:21">
      <c r="A1108" t="s">
        <v>953</v>
      </c>
      <c r="B1108" t="s">
        <v>1152</v>
      </c>
      <c r="C1108" t="s">
        <v>953</v>
      </c>
      <c r="D1108">
        <v>20471361</v>
      </c>
      <c r="E1108" t="s">
        <v>2258</v>
      </c>
      <c r="F1108" t="s">
        <v>578</v>
      </c>
      <c r="G1108" t="s">
        <v>2248</v>
      </c>
      <c r="H1108" t="s">
        <v>588</v>
      </c>
      <c r="J1108" s="519">
        <v>46095</v>
      </c>
      <c r="R1108" s="519">
        <v>46115</v>
      </c>
      <c r="U1108" s="519">
        <v>46095</v>
      </c>
    </row>
    <row r="1109" spans="1:21">
      <c r="A1109" t="s">
        <v>953</v>
      </c>
      <c r="B1109" t="s">
        <v>2561</v>
      </c>
      <c r="C1109" t="s">
        <v>953</v>
      </c>
      <c r="D1109">
        <v>20442341</v>
      </c>
      <c r="E1109" t="s">
        <v>2258</v>
      </c>
      <c r="F1109" t="s">
        <v>579</v>
      </c>
      <c r="G1109" t="s">
        <v>2248</v>
      </c>
      <c r="H1109" t="s">
        <v>587</v>
      </c>
      <c r="J1109" s="519">
        <v>46059</v>
      </c>
      <c r="R1109" s="519">
        <v>46114</v>
      </c>
      <c r="U1109" s="519">
        <v>46059</v>
      </c>
    </row>
    <row r="1110" spans="1:21">
      <c r="A1110" t="s">
        <v>953</v>
      </c>
      <c r="B1110" t="s">
        <v>7131</v>
      </c>
      <c r="C1110" t="s">
        <v>953</v>
      </c>
      <c r="D1110">
        <v>20504497</v>
      </c>
      <c r="E1110" t="s">
        <v>2245</v>
      </c>
      <c r="F1110" t="s">
        <v>582</v>
      </c>
      <c r="G1110" t="s">
        <v>2290</v>
      </c>
      <c r="H1110" t="s">
        <v>591</v>
      </c>
      <c r="J1110" s="519">
        <v>46133</v>
      </c>
      <c r="U1110" s="519">
        <v>46133</v>
      </c>
    </row>
    <row r="1111" spans="1:21">
      <c r="A1111" t="s">
        <v>953</v>
      </c>
      <c r="B1111" t="s">
        <v>1146</v>
      </c>
      <c r="C1111" t="s">
        <v>953</v>
      </c>
      <c r="D1111">
        <v>20465180</v>
      </c>
      <c r="E1111" t="s">
        <v>2252</v>
      </c>
      <c r="F1111" t="s">
        <v>582</v>
      </c>
      <c r="G1111" t="s">
        <v>2250</v>
      </c>
      <c r="H1111" t="s">
        <v>587</v>
      </c>
      <c r="I1111" t="s">
        <v>1145</v>
      </c>
      <c r="J1111" s="519">
        <v>46090</v>
      </c>
      <c r="K1111" s="519">
        <v>46090</v>
      </c>
      <c r="R1111" s="519">
        <v>46114</v>
      </c>
      <c r="U1111" s="519">
        <v>46090</v>
      </c>
    </row>
    <row r="1112" spans="1:21">
      <c r="A1112" t="s">
        <v>953</v>
      </c>
      <c r="B1112" t="s">
        <v>3070</v>
      </c>
      <c r="C1112" t="s">
        <v>953</v>
      </c>
      <c r="D1112">
        <v>20481552</v>
      </c>
      <c r="E1112" t="s">
        <v>2258</v>
      </c>
      <c r="F1112" t="s">
        <v>984</v>
      </c>
      <c r="G1112" t="s">
        <v>2250</v>
      </c>
      <c r="H1112" t="s">
        <v>592</v>
      </c>
      <c r="J1112" s="519">
        <v>46108</v>
      </c>
      <c r="R1112" s="519">
        <v>46139</v>
      </c>
      <c r="U1112" s="519">
        <v>46118</v>
      </c>
    </row>
    <row r="1113" spans="1:21">
      <c r="A1113" t="s">
        <v>953</v>
      </c>
      <c r="B1113" t="s">
        <v>7132</v>
      </c>
      <c r="C1113" t="s">
        <v>953</v>
      </c>
      <c r="D1113">
        <v>20504949</v>
      </c>
      <c r="E1113" t="s">
        <v>2245</v>
      </c>
      <c r="F1113" t="s">
        <v>984</v>
      </c>
      <c r="G1113" t="s">
        <v>2246</v>
      </c>
      <c r="H1113" t="s">
        <v>592</v>
      </c>
      <c r="J1113" s="519">
        <v>46133</v>
      </c>
      <c r="U1113" s="519">
        <v>46162</v>
      </c>
    </row>
    <row r="1114" spans="1:21">
      <c r="A1114" t="s">
        <v>953</v>
      </c>
      <c r="B1114" t="s">
        <v>7133</v>
      </c>
      <c r="C1114" t="s">
        <v>953</v>
      </c>
      <c r="D1114">
        <v>20511749</v>
      </c>
      <c r="E1114" t="s">
        <v>2245</v>
      </c>
      <c r="F1114" t="s">
        <v>984</v>
      </c>
      <c r="G1114" t="s">
        <v>2246</v>
      </c>
      <c r="H1114" t="s">
        <v>2428</v>
      </c>
      <c r="J1114" s="519">
        <v>46140</v>
      </c>
      <c r="U1114" s="519">
        <v>46140</v>
      </c>
    </row>
    <row r="1115" spans="1:21">
      <c r="A1115" t="s">
        <v>953</v>
      </c>
      <c r="B1115" t="s">
        <v>2562</v>
      </c>
      <c r="C1115" t="s">
        <v>953</v>
      </c>
      <c r="D1115">
        <v>20442494</v>
      </c>
      <c r="E1115" t="s">
        <v>2258</v>
      </c>
      <c r="F1115" t="s">
        <v>577</v>
      </c>
      <c r="G1115" t="s">
        <v>2248</v>
      </c>
      <c r="H1115" t="s">
        <v>2469</v>
      </c>
      <c r="J1115" s="519">
        <v>46059</v>
      </c>
      <c r="R1115" s="519">
        <v>46114</v>
      </c>
      <c r="U1115" s="519">
        <v>46059</v>
      </c>
    </row>
    <row r="1116" spans="1:21">
      <c r="A1116" t="s">
        <v>953</v>
      </c>
      <c r="B1116" t="s">
        <v>1036</v>
      </c>
      <c r="C1116" t="s">
        <v>953</v>
      </c>
      <c r="D1116">
        <v>20476384</v>
      </c>
      <c r="E1116" t="s">
        <v>2252</v>
      </c>
      <c r="F1116" t="s">
        <v>583</v>
      </c>
      <c r="G1116" t="s">
        <v>2250</v>
      </c>
      <c r="H1116" t="s">
        <v>587</v>
      </c>
      <c r="I1116" t="s">
        <v>859</v>
      </c>
      <c r="J1116" s="519">
        <v>46100</v>
      </c>
      <c r="K1116" s="519">
        <v>46100</v>
      </c>
      <c r="L1116" s="519">
        <v>46101</v>
      </c>
      <c r="R1116" s="519">
        <v>46122</v>
      </c>
      <c r="U1116" s="519">
        <v>46123</v>
      </c>
    </row>
    <row r="1117" spans="1:21">
      <c r="A1117" t="s">
        <v>953</v>
      </c>
      <c r="B1117" t="s">
        <v>3583</v>
      </c>
      <c r="C1117" t="s">
        <v>953</v>
      </c>
      <c r="D1117">
        <v>20417958</v>
      </c>
      <c r="E1117" t="s">
        <v>2258</v>
      </c>
      <c r="F1117" t="s">
        <v>984</v>
      </c>
      <c r="G1117" t="s">
        <v>2246</v>
      </c>
      <c r="H1117" t="s">
        <v>591</v>
      </c>
      <c r="J1117" s="519">
        <v>46026</v>
      </c>
      <c r="R1117" s="519">
        <v>46114</v>
      </c>
      <c r="U1117" s="519">
        <v>46063</v>
      </c>
    </row>
    <row r="1118" spans="1:21">
      <c r="A1118" t="s">
        <v>953</v>
      </c>
      <c r="B1118" t="s">
        <v>3584</v>
      </c>
      <c r="C1118" t="s">
        <v>953</v>
      </c>
      <c r="D1118">
        <v>20494165</v>
      </c>
      <c r="E1118" t="s">
        <v>2258</v>
      </c>
      <c r="F1118" t="s">
        <v>581</v>
      </c>
      <c r="G1118" t="s">
        <v>2250</v>
      </c>
      <c r="H1118" t="s">
        <v>2361</v>
      </c>
      <c r="J1118" s="519">
        <v>46126</v>
      </c>
      <c r="R1118" s="519">
        <v>46139</v>
      </c>
      <c r="U1118" s="519">
        <v>46127</v>
      </c>
    </row>
    <row r="1119" spans="1:21">
      <c r="A1119" t="s">
        <v>953</v>
      </c>
      <c r="B1119" t="s">
        <v>7134</v>
      </c>
      <c r="C1119" t="s">
        <v>953</v>
      </c>
      <c r="D1119">
        <v>20502955</v>
      </c>
      <c r="E1119" t="s">
        <v>2245</v>
      </c>
      <c r="F1119" t="s">
        <v>581</v>
      </c>
      <c r="G1119" t="s">
        <v>2246</v>
      </c>
      <c r="H1119" t="s">
        <v>587</v>
      </c>
      <c r="J1119" s="519">
        <v>46132</v>
      </c>
      <c r="U1119" s="519">
        <v>46158</v>
      </c>
    </row>
    <row r="1120" spans="1:21">
      <c r="A1120" t="s">
        <v>953</v>
      </c>
      <c r="B1120" t="s">
        <v>3585</v>
      </c>
      <c r="C1120" t="s">
        <v>953</v>
      </c>
      <c r="D1120">
        <v>20486433</v>
      </c>
      <c r="E1120" t="s">
        <v>2245</v>
      </c>
      <c r="F1120" t="s">
        <v>581</v>
      </c>
      <c r="G1120" t="s">
        <v>1213</v>
      </c>
      <c r="H1120" t="s">
        <v>587</v>
      </c>
      <c r="I1120" t="s">
        <v>1156</v>
      </c>
      <c r="J1120" s="519">
        <v>46115</v>
      </c>
      <c r="U1120" s="519">
        <v>46115</v>
      </c>
    </row>
    <row r="1121" spans="1:21">
      <c r="A1121" t="s">
        <v>953</v>
      </c>
      <c r="B1121" t="s">
        <v>3586</v>
      </c>
      <c r="C1121" t="s">
        <v>953</v>
      </c>
      <c r="D1121">
        <v>20414431</v>
      </c>
      <c r="E1121" t="s">
        <v>2252</v>
      </c>
      <c r="F1121" t="s">
        <v>1001</v>
      </c>
      <c r="G1121" t="s">
        <v>2250</v>
      </c>
      <c r="H1121" t="s">
        <v>587</v>
      </c>
      <c r="I1121" t="s">
        <v>558</v>
      </c>
      <c r="J1121" s="519">
        <v>46020</v>
      </c>
      <c r="K1121" s="519">
        <v>46020</v>
      </c>
      <c r="R1121" s="519">
        <v>46114</v>
      </c>
      <c r="U1121" s="519">
        <v>46020</v>
      </c>
    </row>
    <row r="1122" spans="1:21">
      <c r="A1122" t="s">
        <v>953</v>
      </c>
      <c r="B1122" t="s">
        <v>3072</v>
      </c>
      <c r="C1122" t="s">
        <v>953</v>
      </c>
      <c r="D1122">
        <v>20479608</v>
      </c>
      <c r="E1122" t="s">
        <v>2258</v>
      </c>
      <c r="F1122" t="s">
        <v>984</v>
      </c>
      <c r="G1122" t="s">
        <v>1213</v>
      </c>
      <c r="H1122" t="s">
        <v>591</v>
      </c>
      <c r="I1122" t="s">
        <v>1156</v>
      </c>
      <c r="J1122" s="519">
        <v>46106</v>
      </c>
      <c r="R1122" s="519">
        <v>46139</v>
      </c>
      <c r="U1122" s="519">
        <v>46106</v>
      </c>
    </row>
    <row r="1123" spans="1:21">
      <c r="A1123" t="s">
        <v>953</v>
      </c>
      <c r="B1123" t="s">
        <v>3587</v>
      </c>
      <c r="C1123" t="s">
        <v>953</v>
      </c>
      <c r="D1123">
        <v>20421657</v>
      </c>
      <c r="E1123" t="s">
        <v>2258</v>
      </c>
      <c r="F1123" t="s">
        <v>984</v>
      </c>
      <c r="G1123" t="s">
        <v>2246</v>
      </c>
      <c r="H1123" t="s">
        <v>2469</v>
      </c>
      <c r="J1123" s="519">
        <v>46031</v>
      </c>
      <c r="R1123" s="519">
        <v>46114</v>
      </c>
      <c r="U1123" s="519">
        <v>46031</v>
      </c>
    </row>
    <row r="1124" spans="1:21">
      <c r="A1124" t="s">
        <v>953</v>
      </c>
      <c r="B1124" t="s">
        <v>3073</v>
      </c>
      <c r="C1124" t="s">
        <v>953</v>
      </c>
      <c r="D1124">
        <v>20478182</v>
      </c>
      <c r="E1124" t="s">
        <v>2258</v>
      </c>
      <c r="F1124" t="s">
        <v>984</v>
      </c>
      <c r="G1124" t="s">
        <v>2248</v>
      </c>
      <c r="H1124" t="s">
        <v>587</v>
      </c>
      <c r="J1124" s="519">
        <v>46104</v>
      </c>
      <c r="R1124" s="519">
        <v>46114</v>
      </c>
      <c r="U1124" s="519">
        <v>46104</v>
      </c>
    </row>
    <row r="1125" spans="1:21">
      <c r="A1125" t="s">
        <v>953</v>
      </c>
      <c r="B1125" t="s">
        <v>2567</v>
      </c>
      <c r="C1125" t="s">
        <v>953</v>
      </c>
      <c r="D1125">
        <v>20448852</v>
      </c>
      <c r="E1125" t="s">
        <v>2258</v>
      </c>
      <c r="F1125" t="s">
        <v>581</v>
      </c>
      <c r="G1125" t="s">
        <v>2290</v>
      </c>
      <c r="H1125" t="s">
        <v>591</v>
      </c>
      <c r="J1125" s="519">
        <v>46067</v>
      </c>
      <c r="R1125" s="519">
        <v>46114</v>
      </c>
      <c r="U1125" s="519">
        <v>46067</v>
      </c>
    </row>
    <row r="1126" spans="1:21">
      <c r="A1126" t="s">
        <v>953</v>
      </c>
      <c r="B1126" t="s">
        <v>3588</v>
      </c>
      <c r="C1126" t="s">
        <v>953</v>
      </c>
      <c r="D1126">
        <v>20493093</v>
      </c>
      <c r="E1126" t="s">
        <v>2258</v>
      </c>
      <c r="F1126" t="s">
        <v>581</v>
      </c>
      <c r="G1126" t="s">
        <v>2250</v>
      </c>
      <c r="H1126" t="s">
        <v>592</v>
      </c>
      <c r="J1126" s="519">
        <v>46124</v>
      </c>
      <c r="R1126" s="519">
        <v>46139</v>
      </c>
      <c r="U1126" s="519">
        <v>46185</v>
      </c>
    </row>
    <row r="1127" spans="1:21">
      <c r="A1127" t="s">
        <v>953</v>
      </c>
      <c r="B1127" t="s">
        <v>3589</v>
      </c>
      <c r="C1127" t="s">
        <v>953</v>
      </c>
      <c r="D1127">
        <v>20420908</v>
      </c>
      <c r="E1127" t="s">
        <v>2258</v>
      </c>
      <c r="F1127" t="s">
        <v>577</v>
      </c>
      <c r="G1127" t="s">
        <v>2248</v>
      </c>
      <c r="H1127" t="s">
        <v>588</v>
      </c>
      <c r="I1127" t="s">
        <v>558</v>
      </c>
      <c r="J1127" s="519">
        <v>46030</v>
      </c>
      <c r="R1127" s="519">
        <v>46114</v>
      </c>
      <c r="U1127" s="519">
        <v>46030</v>
      </c>
    </row>
    <row r="1128" spans="1:21">
      <c r="A1128" t="s">
        <v>953</v>
      </c>
      <c r="B1128" t="s">
        <v>2568</v>
      </c>
      <c r="C1128" t="s">
        <v>953</v>
      </c>
      <c r="D1128">
        <v>20449834</v>
      </c>
      <c r="E1128" t="s">
        <v>2258</v>
      </c>
      <c r="F1128" t="s">
        <v>984</v>
      </c>
      <c r="G1128" t="s">
        <v>2290</v>
      </c>
      <c r="H1128" t="s">
        <v>591</v>
      </c>
      <c r="J1128" s="519">
        <v>46069</v>
      </c>
      <c r="R1128" s="519">
        <v>46114</v>
      </c>
      <c r="U1128" s="519">
        <v>46174</v>
      </c>
    </row>
    <row r="1129" spans="1:21">
      <c r="A1129" t="s">
        <v>953</v>
      </c>
      <c r="B1129" t="s">
        <v>7135</v>
      </c>
      <c r="C1129" t="s">
        <v>953</v>
      </c>
      <c r="D1129">
        <v>20495561</v>
      </c>
      <c r="E1129" t="s">
        <v>2245</v>
      </c>
      <c r="F1129" t="s">
        <v>984</v>
      </c>
      <c r="G1129" t="s">
        <v>2290</v>
      </c>
      <c r="H1129" t="s">
        <v>587</v>
      </c>
      <c r="J1129" s="519">
        <v>46127</v>
      </c>
      <c r="U1129" s="519">
        <v>46182</v>
      </c>
    </row>
    <row r="1130" spans="1:21">
      <c r="A1130" t="s">
        <v>953</v>
      </c>
      <c r="B1130" t="s">
        <v>3590</v>
      </c>
      <c r="C1130" t="s">
        <v>953</v>
      </c>
      <c r="D1130">
        <v>20490026</v>
      </c>
      <c r="E1130" t="s">
        <v>2258</v>
      </c>
      <c r="F1130" t="s">
        <v>577</v>
      </c>
      <c r="G1130" t="s">
        <v>2246</v>
      </c>
      <c r="H1130" t="s">
        <v>588</v>
      </c>
      <c r="J1130" s="519">
        <v>46120</v>
      </c>
      <c r="R1130" s="519">
        <v>46139</v>
      </c>
      <c r="U1130" s="519">
        <v>46136</v>
      </c>
    </row>
    <row r="1131" spans="1:21">
      <c r="A1131" t="s">
        <v>953</v>
      </c>
      <c r="B1131" t="s">
        <v>7136</v>
      </c>
      <c r="C1131" t="s">
        <v>953</v>
      </c>
      <c r="D1131">
        <v>20500202</v>
      </c>
      <c r="E1131" t="s">
        <v>2258</v>
      </c>
      <c r="F1131" t="s">
        <v>582</v>
      </c>
      <c r="G1131" t="s">
        <v>2259</v>
      </c>
      <c r="H1131" t="s">
        <v>592</v>
      </c>
      <c r="J1131" s="519">
        <v>46129</v>
      </c>
      <c r="R1131" s="519">
        <v>46132</v>
      </c>
      <c r="U1131" s="519">
        <v>46129</v>
      </c>
    </row>
    <row r="1132" spans="1:21">
      <c r="A1132" t="s">
        <v>953</v>
      </c>
      <c r="B1132" t="s">
        <v>3074</v>
      </c>
      <c r="C1132" t="s">
        <v>953</v>
      </c>
      <c r="D1132">
        <v>20504954</v>
      </c>
      <c r="E1132" t="s">
        <v>2245</v>
      </c>
      <c r="F1132" t="s">
        <v>582</v>
      </c>
      <c r="G1132" t="s">
        <v>2248</v>
      </c>
      <c r="H1132" t="s">
        <v>588</v>
      </c>
      <c r="J1132" s="519">
        <v>46133</v>
      </c>
      <c r="U1132" s="519">
        <v>46172</v>
      </c>
    </row>
    <row r="1133" spans="1:21">
      <c r="A1133" t="s">
        <v>953</v>
      </c>
      <c r="B1133" t="s">
        <v>7137</v>
      </c>
      <c r="C1133" t="s">
        <v>953</v>
      </c>
      <c r="D1133">
        <v>20504482</v>
      </c>
      <c r="E1133" t="s">
        <v>2245</v>
      </c>
      <c r="F1133" t="s">
        <v>984</v>
      </c>
      <c r="G1133" t="s">
        <v>2259</v>
      </c>
      <c r="H1133" t="s">
        <v>593</v>
      </c>
      <c r="J1133" s="519">
        <v>46133</v>
      </c>
      <c r="U1133" s="519">
        <v>46133</v>
      </c>
    </row>
    <row r="1134" spans="1:21">
      <c r="A1134" t="s">
        <v>953</v>
      </c>
      <c r="B1134" t="s">
        <v>3075</v>
      </c>
      <c r="C1134" t="s">
        <v>953</v>
      </c>
      <c r="D1134">
        <v>20464694</v>
      </c>
      <c r="E1134" t="s">
        <v>2258</v>
      </c>
      <c r="F1134" t="s">
        <v>984</v>
      </c>
      <c r="G1134" t="s">
        <v>2246</v>
      </c>
      <c r="H1134" t="s">
        <v>587</v>
      </c>
      <c r="J1134" s="519">
        <v>46088</v>
      </c>
      <c r="R1134" s="519">
        <v>46114</v>
      </c>
      <c r="U1134" s="519">
        <v>46113</v>
      </c>
    </row>
    <row r="1135" spans="1:21">
      <c r="A1135" t="s">
        <v>953</v>
      </c>
      <c r="B1135" t="s">
        <v>3591</v>
      </c>
      <c r="C1135" t="s">
        <v>953</v>
      </c>
      <c r="D1135">
        <v>20492324</v>
      </c>
      <c r="E1135" t="s">
        <v>1100</v>
      </c>
      <c r="F1135" t="s">
        <v>582</v>
      </c>
      <c r="G1135" t="s">
        <v>2248</v>
      </c>
      <c r="H1135" t="s">
        <v>588</v>
      </c>
      <c r="I1135" t="s">
        <v>1156</v>
      </c>
      <c r="J1135" s="519">
        <v>46123</v>
      </c>
      <c r="K1135" s="519">
        <v>46129</v>
      </c>
      <c r="U1135" s="519">
        <v>46178</v>
      </c>
    </row>
    <row r="1136" spans="1:21">
      <c r="A1136" t="s">
        <v>953</v>
      </c>
      <c r="B1136" t="s">
        <v>3591</v>
      </c>
      <c r="C1136" t="s">
        <v>953</v>
      </c>
      <c r="D1136">
        <v>20499705</v>
      </c>
      <c r="E1136" t="s">
        <v>1100</v>
      </c>
      <c r="F1136" t="s">
        <v>581</v>
      </c>
      <c r="G1136" t="s">
        <v>2250</v>
      </c>
      <c r="H1136" t="s">
        <v>587</v>
      </c>
      <c r="I1136" t="s">
        <v>1171</v>
      </c>
      <c r="J1136" s="519">
        <v>46129</v>
      </c>
      <c r="K1136" s="519">
        <v>46129</v>
      </c>
      <c r="U1136" s="519">
        <v>46143</v>
      </c>
    </row>
    <row r="1137" spans="1:21">
      <c r="A1137" t="s">
        <v>953</v>
      </c>
      <c r="B1137" t="s">
        <v>3592</v>
      </c>
      <c r="C1137" t="s">
        <v>953</v>
      </c>
      <c r="D1137">
        <v>20492210</v>
      </c>
      <c r="E1137" t="s">
        <v>2258</v>
      </c>
      <c r="F1137" t="s">
        <v>581</v>
      </c>
      <c r="G1137" t="s">
        <v>2250</v>
      </c>
      <c r="H1137" t="s">
        <v>2361</v>
      </c>
      <c r="J1137" s="519">
        <v>46123</v>
      </c>
      <c r="R1137" s="519">
        <v>46139</v>
      </c>
      <c r="U1137" s="519">
        <v>46136</v>
      </c>
    </row>
    <row r="1138" spans="1:21">
      <c r="A1138" t="s">
        <v>953</v>
      </c>
      <c r="B1138" t="s">
        <v>7138</v>
      </c>
      <c r="C1138" t="s">
        <v>953</v>
      </c>
      <c r="D1138">
        <v>20507346</v>
      </c>
      <c r="E1138" t="s">
        <v>2245</v>
      </c>
      <c r="F1138" t="s">
        <v>984</v>
      </c>
      <c r="G1138" t="s">
        <v>2246</v>
      </c>
      <c r="H1138" t="s">
        <v>592</v>
      </c>
      <c r="J1138" s="519">
        <v>46134</v>
      </c>
      <c r="U1138" s="519">
        <v>46203</v>
      </c>
    </row>
    <row r="1139" spans="1:21">
      <c r="A1139" t="s">
        <v>953</v>
      </c>
      <c r="B1139" t="s">
        <v>2570</v>
      </c>
      <c r="C1139" t="s">
        <v>953</v>
      </c>
      <c r="D1139">
        <v>20455506</v>
      </c>
      <c r="E1139" t="s">
        <v>2258</v>
      </c>
      <c r="F1139" t="s">
        <v>984</v>
      </c>
      <c r="G1139" t="s">
        <v>2290</v>
      </c>
      <c r="H1139" t="s">
        <v>587</v>
      </c>
      <c r="J1139" s="519">
        <v>46076</v>
      </c>
      <c r="R1139" s="519">
        <v>46114</v>
      </c>
      <c r="U1139" s="519">
        <v>46171</v>
      </c>
    </row>
    <row r="1140" spans="1:21">
      <c r="A1140" t="s">
        <v>953</v>
      </c>
      <c r="B1140" t="s">
        <v>3593</v>
      </c>
      <c r="C1140" t="s">
        <v>953</v>
      </c>
      <c r="D1140">
        <v>20486648</v>
      </c>
      <c r="E1140" t="s">
        <v>2258</v>
      </c>
      <c r="F1140" t="s">
        <v>984</v>
      </c>
      <c r="G1140" t="s">
        <v>2246</v>
      </c>
      <c r="H1140" t="s">
        <v>587</v>
      </c>
      <c r="J1140" s="519">
        <v>46115</v>
      </c>
      <c r="R1140" s="519">
        <v>46139</v>
      </c>
      <c r="U1140" s="519">
        <v>46174</v>
      </c>
    </row>
    <row r="1141" spans="1:21">
      <c r="A1141" t="s">
        <v>953</v>
      </c>
      <c r="B1141" t="s">
        <v>3594</v>
      </c>
      <c r="C1141" t="s">
        <v>953</v>
      </c>
      <c r="D1141">
        <v>20491435</v>
      </c>
      <c r="E1141" t="s">
        <v>2258</v>
      </c>
      <c r="F1141" t="s">
        <v>581</v>
      </c>
      <c r="G1141" t="s">
        <v>2250</v>
      </c>
      <c r="H1141" t="s">
        <v>2361</v>
      </c>
      <c r="J1141" s="519">
        <v>46122</v>
      </c>
      <c r="R1141" s="519">
        <v>46139</v>
      </c>
      <c r="U1141" s="519">
        <v>46204</v>
      </c>
    </row>
    <row r="1142" spans="1:21">
      <c r="A1142" t="s">
        <v>953</v>
      </c>
      <c r="B1142" t="s">
        <v>3595</v>
      </c>
      <c r="C1142" t="s">
        <v>953</v>
      </c>
      <c r="D1142">
        <v>20417847</v>
      </c>
      <c r="E1142" t="s">
        <v>2252</v>
      </c>
      <c r="F1142" t="s">
        <v>578</v>
      </c>
      <c r="G1142" t="s">
        <v>2250</v>
      </c>
      <c r="H1142" t="s">
        <v>587</v>
      </c>
      <c r="I1142" t="s">
        <v>2824</v>
      </c>
      <c r="J1142" s="519">
        <v>46026</v>
      </c>
      <c r="K1142" s="519">
        <v>46026</v>
      </c>
      <c r="R1142" s="519">
        <v>46114</v>
      </c>
      <c r="U1142" s="519">
        <v>46034</v>
      </c>
    </row>
    <row r="1143" spans="1:21">
      <c r="A1143" t="s">
        <v>953</v>
      </c>
      <c r="B1143" t="s">
        <v>1031</v>
      </c>
      <c r="C1143" t="s">
        <v>953</v>
      </c>
      <c r="D1143">
        <v>20471989</v>
      </c>
      <c r="E1143" t="s">
        <v>2252</v>
      </c>
      <c r="F1143" t="s">
        <v>583</v>
      </c>
      <c r="G1143" t="s">
        <v>2250</v>
      </c>
      <c r="H1143" t="s">
        <v>587</v>
      </c>
      <c r="I1143" t="s">
        <v>3076</v>
      </c>
      <c r="J1143" s="519">
        <v>46096</v>
      </c>
      <c r="K1143" s="519">
        <v>46096</v>
      </c>
      <c r="L1143" s="519">
        <v>46100</v>
      </c>
      <c r="R1143" s="519">
        <v>46114</v>
      </c>
      <c r="U1143" s="519">
        <v>46163</v>
      </c>
    </row>
    <row r="1144" spans="1:21">
      <c r="A1144" t="s">
        <v>953</v>
      </c>
      <c r="B1144" t="s">
        <v>7139</v>
      </c>
      <c r="C1144" t="s">
        <v>953</v>
      </c>
      <c r="D1144">
        <v>20501792</v>
      </c>
      <c r="E1144" t="s">
        <v>1100</v>
      </c>
      <c r="F1144" t="s">
        <v>578</v>
      </c>
      <c r="G1144" t="s">
        <v>2250</v>
      </c>
      <c r="H1144" t="s">
        <v>2361</v>
      </c>
      <c r="I1144" t="s">
        <v>6194</v>
      </c>
      <c r="J1144" s="519">
        <v>46131</v>
      </c>
      <c r="K1144" s="519">
        <v>46135</v>
      </c>
      <c r="U1144" s="519">
        <v>46191</v>
      </c>
    </row>
    <row r="1145" spans="1:21">
      <c r="A1145" t="s">
        <v>953</v>
      </c>
      <c r="B1145" t="s">
        <v>3078</v>
      </c>
      <c r="C1145" t="s">
        <v>953</v>
      </c>
      <c r="D1145">
        <v>20472382</v>
      </c>
      <c r="E1145" t="s">
        <v>2258</v>
      </c>
      <c r="F1145" t="s">
        <v>984</v>
      </c>
      <c r="G1145" t="s">
        <v>2250</v>
      </c>
      <c r="H1145" t="s">
        <v>592</v>
      </c>
      <c r="J1145" s="519">
        <v>46097</v>
      </c>
      <c r="R1145" s="519">
        <v>46114</v>
      </c>
      <c r="U1145" s="519">
        <v>46138</v>
      </c>
    </row>
    <row r="1146" spans="1:21">
      <c r="A1146" t="s">
        <v>953</v>
      </c>
      <c r="B1146" t="s">
        <v>3079</v>
      </c>
      <c r="C1146" t="s">
        <v>953</v>
      </c>
      <c r="D1146">
        <v>20474234</v>
      </c>
      <c r="E1146" t="s">
        <v>2258</v>
      </c>
      <c r="F1146" t="s">
        <v>581</v>
      </c>
      <c r="G1146" t="s">
        <v>2250</v>
      </c>
      <c r="H1146" t="s">
        <v>592</v>
      </c>
      <c r="J1146" s="519">
        <v>46098</v>
      </c>
      <c r="R1146" s="519">
        <v>46114</v>
      </c>
      <c r="U1146" s="519">
        <v>46146</v>
      </c>
    </row>
    <row r="1147" spans="1:21">
      <c r="A1147" t="s">
        <v>953</v>
      </c>
      <c r="B1147" t="s">
        <v>3596</v>
      </c>
      <c r="C1147" t="s">
        <v>953</v>
      </c>
      <c r="D1147">
        <v>20432156</v>
      </c>
      <c r="E1147" t="s">
        <v>2252</v>
      </c>
      <c r="F1147" t="s">
        <v>577</v>
      </c>
      <c r="G1147" t="s">
        <v>2250</v>
      </c>
      <c r="H1147" t="s">
        <v>592</v>
      </c>
      <c r="I1147" t="s">
        <v>1007</v>
      </c>
      <c r="J1147" s="519">
        <v>46043</v>
      </c>
      <c r="K1147" s="519">
        <v>46043</v>
      </c>
      <c r="R1147" s="519">
        <v>46114</v>
      </c>
      <c r="U1147" s="519">
        <v>46043</v>
      </c>
    </row>
    <row r="1148" spans="1:21">
      <c r="A1148" t="s">
        <v>953</v>
      </c>
      <c r="B1148" t="s">
        <v>7140</v>
      </c>
      <c r="C1148" t="s">
        <v>953</v>
      </c>
      <c r="D1148">
        <v>20500110</v>
      </c>
      <c r="E1148" t="s">
        <v>2258</v>
      </c>
      <c r="F1148" t="s">
        <v>984</v>
      </c>
      <c r="G1148" t="s">
        <v>2250</v>
      </c>
      <c r="H1148" t="s">
        <v>2361</v>
      </c>
      <c r="J1148" s="519">
        <v>46129</v>
      </c>
      <c r="R1148" s="519">
        <v>46139</v>
      </c>
      <c r="U1148" s="519">
        <v>46134</v>
      </c>
    </row>
    <row r="1149" spans="1:21">
      <c r="A1149" t="s">
        <v>953</v>
      </c>
      <c r="B1149" t="s">
        <v>2571</v>
      </c>
      <c r="C1149" t="s">
        <v>953</v>
      </c>
      <c r="D1149">
        <v>20443652</v>
      </c>
      <c r="E1149" t="s">
        <v>2258</v>
      </c>
      <c r="F1149" t="s">
        <v>984</v>
      </c>
      <c r="G1149" t="s">
        <v>2246</v>
      </c>
      <c r="H1149" t="s">
        <v>587</v>
      </c>
      <c r="J1149" s="519">
        <v>46062</v>
      </c>
      <c r="R1149" s="519">
        <v>46114</v>
      </c>
      <c r="U1149" s="519">
        <v>46082</v>
      </c>
    </row>
    <row r="1150" spans="1:21">
      <c r="A1150" t="s">
        <v>953</v>
      </c>
      <c r="B1150" t="s">
        <v>3597</v>
      </c>
      <c r="C1150" t="s">
        <v>953</v>
      </c>
      <c r="D1150">
        <v>20486959</v>
      </c>
      <c r="E1150" t="s">
        <v>2258</v>
      </c>
      <c r="F1150" t="s">
        <v>984</v>
      </c>
      <c r="G1150" t="s">
        <v>2248</v>
      </c>
      <c r="H1150" t="s">
        <v>587</v>
      </c>
      <c r="I1150" t="s">
        <v>1334</v>
      </c>
      <c r="J1150" s="519">
        <v>46116</v>
      </c>
      <c r="R1150" s="519">
        <v>46139</v>
      </c>
      <c r="U1150" s="519">
        <v>46116</v>
      </c>
    </row>
    <row r="1151" spans="1:21">
      <c r="A1151" t="s">
        <v>953</v>
      </c>
      <c r="B1151" t="s">
        <v>3598</v>
      </c>
      <c r="C1151" t="s">
        <v>953</v>
      </c>
      <c r="D1151">
        <v>20416223</v>
      </c>
      <c r="E1151" t="s">
        <v>2258</v>
      </c>
      <c r="F1151" t="s">
        <v>581</v>
      </c>
      <c r="G1151" t="s">
        <v>2246</v>
      </c>
      <c r="H1151" t="s">
        <v>587</v>
      </c>
      <c r="J1151" s="519">
        <v>46023</v>
      </c>
      <c r="R1151" s="519">
        <v>46114</v>
      </c>
      <c r="U1151" s="519">
        <v>46023</v>
      </c>
    </row>
    <row r="1152" spans="1:21">
      <c r="A1152" t="s">
        <v>953</v>
      </c>
      <c r="B1152" t="s">
        <v>3080</v>
      </c>
      <c r="C1152" t="s">
        <v>953</v>
      </c>
      <c r="D1152">
        <v>20462270</v>
      </c>
      <c r="E1152" t="s">
        <v>2258</v>
      </c>
      <c r="F1152" t="s">
        <v>577</v>
      </c>
      <c r="G1152" t="s">
        <v>2248</v>
      </c>
      <c r="H1152" t="s">
        <v>588</v>
      </c>
      <c r="I1152" t="s">
        <v>3081</v>
      </c>
      <c r="J1152" s="519">
        <v>46085</v>
      </c>
      <c r="R1152" s="519">
        <v>46114</v>
      </c>
      <c r="U1152" s="519">
        <v>46113</v>
      </c>
    </row>
    <row r="1153" spans="1:21">
      <c r="A1153" t="s">
        <v>953</v>
      </c>
      <c r="B1153" t="s">
        <v>3599</v>
      </c>
      <c r="C1153" t="s">
        <v>953</v>
      </c>
      <c r="D1153">
        <v>20436092</v>
      </c>
      <c r="E1153" t="s">
        <v>2258</v>
      </c>
      <c r="F1153" t="s">
        <v>578</v>
      </c>
      <c r="G1153" t="s">
        <v>2259</v>
      </c>
      <c r="H1153" t="s">
        <v>589</v>
      </c>
      <c r="J1153" s="519">
        <v>46050</v>
      </c>
      <c r="R1153" s="519">
        <v>46114</v>
      </c>
      <c r="U1153" s="519">
        <v>46081</v>
      </c>
    </row>
    <row r="1154" spans="1:21">
      <c r="A1154" t="s">
        <v>953</v>
      </c>
      <c r="B1154" t="s">
        <v>2573</v>
      </c>
      <c r="C1154" t="s">
        <v>953</v>
      </c>
      <c r="D1154">
        <v>20454336</v>
      </c>
      <c r="E1154" t="s">
        <v>2258</v>
      </c>
      <c r="F1154" t="s">
        <v>984</v>
      </c>
      <c r="G1154" t="s">
        <v>2246</v>
      </c>
      <c r="H1154" t="s">
        <v>587</v>
      </c>
      <c r="J1154" s="519">
        <v>46073</v>
      </c>
      <c r="R1154" s="519">
        <v>46114</v>
      </c>
      <c r="U1154" s="519">
        <v>46080</v>
      </c>
    </row>
    <row r="1155" spans="1:21">
      <c r="A1155" t="s">
        <v>953</v>
      </c>
      <c r="B1155" t="s">
        <v>2576</v>
      </c>
      <c r="C1155" t="s">
        <v>953</v>
      </c>
      <c r="D1155">
        <v>20445987</v>
      </c>
      <c r="E1155" t="s">
        <v>2252</v>
      </c>
      <c r="F1155" t="s">
        <v>1001</v>
      </c>
      <c r="G1155" t="s">
        <v>2290</v>
      </c>
      <c r="H1155" t="s">
        <v>587</v>
      </c>
      <c r="J1155" s="519">
        <v>46064</v>
      </c>
      <c r="K1155" s="519">
        <v>46065</v>
      </c>
      <c r="R1155" s="519">
        <v>46114</v>
      </c>
      <c r="U1155" s="519">
        <v>46082</v>
      </c>
    </row>
    <row r="1156" spans="1:21">
      <c r="A1156" t="s">
        <v>953</v>
      </c>
      <c r="B1156" t="s">
        <v>2576</v>
      </c>
      <c r="C1156" t="s">
        <v>953</v>
      </c>
      <c r="D1156">
        <v>20445988</v>
      </c>
      <c r="E1156" t="s">
        <v>2252</v>
      </c>
      <c r="F1156" t="s">
        <v>1115</v>
      </c>
      <c r="G1156" t="s">
        <v>2250</v>
      </c>
      <c r="H1156" t="s">
        <v>587</v>
      </c>
      <c r="I1156" t="s">
        <v>1705</v>
      </c>
      <c r="J1156" s="519">
        <v>46064</v>
      </c>
      <c r="K1156" s="519">
        <v>46064</v>
      </c>
      <c r="R1156" s="519">
        <v>46114</v>
      </c>
      <c r="U1156" s="519">
        <v>46086</v>
      </c>
    </row>
    <row r="1157" spans="1:21">
      <c r="A1157" t="s">
        <v>953</v>
      </c>
      <c r="B1157" t="s">
        <v>3600</v>
      </c>
      <c r="C1157" t="s">
        <v>953</v>
      </c>
      <c r="D1157">
        <v>20433738</v>
      </c>
      <c r="E1157" t="s">
        <v>2258</v>
      </c>
      <c r="F1157" t="s">
        <v>578</v>
      </c>
      <c r="G1157" t="s">
        <v>2248</v>
      </c>
      <c r="H1157" t="s">
        <v>592</v>
      </c>
      <c r="J1157" s="519">
        <v>46045</v>
      </c>
      <c r="R1157" s="519">
        <v>46114</v>
      </c>
      <c r="U1157" s="519">
        <v>46045</v>
      </c>
    </row>
    <row r="1158" spans="1:21">
      <c r="A1158" t="s">
        <v>953</v>
      </c>
      <c r="B1158" t="s">
        <v>3601</v>
      </c>
      <c r="C1158" t="s">
        <v>953</v>
      </c>
      <c r="D1158">
        <v>20414780</v>
      </c>
      <c r="E1158" t="s">
        <v>2252</v>
      </c>
      <c r="F1158" t="s">
        <v>581</v>
      </c>
      <c r="G1158" t="s">
        <v>2250</v>
      </c>
      <c r="H1158" t="s">
        <v>592</v>
      </c>
      <c r="J1158" s="519">
        <v>46020</v>
      </c>
      <c r="K1158" s="519">
        <v>46020</v>
      </c>
      <c r="R1158" s="519">
        <v>46114</v>
      </c>
      <c r="U1158" s="519">
        <v>46063</v>
      </c>
    </row>
    <row r="1159" spans="1:21">
      <c r="A1159" t="s">
        <v>953</v>
      </c>
      <c r="B1159" t="s">
        <v>2579</v>
      </c>
      <c r="C1159" t="s">
        <v>953</v>
      </c>
      <c r="D1159">
        <v>20449354</v>
      </c>
      <c r="E1159" t="s">
        <v>2258</v>
      </c>
      <c r="F1159" t="s">
        <v>581</v>
      </c>
      <c r="G1159" t="s">
        <v>2290</v>
      </c>
      <c r="H1159" t="s">
        <v>587</v>
      </c>
      <c r="J1159" s="519">
        <v>46068</v>
      </c>
      <c r="R1159" s="519">
        <v>46114</v>
      </c>
      <c r="U1159" s="519">
        <v>46088</v>
      </c>
    </row>
    <row r="1160" spans="1:21">
      <c r="A1160" t="s">
        <v>953</v>
      </c>
      <c r="B1160" t="s">
        <v>7141</v>
      </c>
      <c r="C1160" t="s">
        <v>953</v>
      </c>
      <c r="D1160">
        <v>20509839</v>
      </c>
      <c r="E1160" t="s">
        <v>2245</v>
      </c>
      <c r="F1160" t="s">
        <v>581</v>
      </c>
      <c r="G1160" t="s">
        <v>2259</v>
      </c>
      <c r="H1160" t="s">
        <v>2388</v>
      </c>
      <c r="J1160" s="519">
        <v>46137</v>
      </c>
      <c r="U1160" s="519">
        <v>46137</v>
      </c>
    </row>
    <row r="1161" spans="1:21">
      <c r="A1161" t="s">
        <v>953</v>
      </c>
      <c r="B1161" t="s">
        <v>3602</v>
      </c>
      <c r="C1161" t="s">
        <v>953</v>
      </c>
      <c r="D1161">
        <v>20417357</v>
      </c>
      <c r="E1161" t="s">
        <v>2258</v>
      </c>
      <c r="F1161" t="s">
        <v>581</v>
      </c>
      <c r="G1161" t="s">
        <v>2259</v>
      </c>
      <c r="H1161" t="s">
        <v>587</v>
      </c>
      <c r="J1161" s="519">
        <v>46025</v>
      </c>
      <c r="R1161" s="519">
        <v>46114</v>
      </c>
      <c r="U1161" s="519">
        <v>46025</v>
      </c>
    </row>
    <row r="1162" spans="1:21">
      <c r="A1162" t="s">
        <v>953</v>
      </c>
      <c r="B1162" t="s">
        <v>3082</v>
      </c>
      <c r="C1162" t="s">
        <v>953</v>
      </c>
      <c r="D1162">
        <v>20471983</v>
      </c>
      <c r="E1162" t="s">
        <v>2258</v>
      </c>
      <c r="F1162" t="s">
        <v>581</v>
      </c>
      <c r="G1162" t="s">
        <v>2250</v>
      </c>
      <c r="H1162" t="s">
        <v>592</v>
      </c>
      <c r="J1162" s="519">
        <v>46096</v>
      </c>
      <c r="R1162" s="519">
        <v>46114</v>
      </c>
      <c r="U1162" s="519">
        <v>46143</v>
      </c>
    </row>
    <row r="1163" spans="1:21">
      <c r="A1163" t="s">
        <v>953</v>
      </c>
      <c r="B1163" t="s">
        <v>3603</v>
      </c>
      <c r="C1163" t="s">
        <v>953</v>
      </c>
      <c r="D1163">
        <v>20438522</v>
      </c>
      <c r="E1163" t="s">
        <v>2252</v>
      </c>
      <c r="F1163" t="s">
        <v>577</v>
      </c>
      <c r="G1163" t="s">
        <v>2250</v>
      </c>
      <c r="H1163" t="s">
        <v>587</v>
      </c>
      <c r="I1163" t="s">
        <v>1007</v>
      </c>
      <c r="J1163" s="519">
        <v>46053</v>
      </c>
      <c r="K1163" s="519">
        <v>46053</v>
      </c>
      <c r="R1163" s="519">
        <v>46114</v>
      </c>
      <c r="U1163" s="519">
        <v>46083</v>
      </c>
    </row>
    <row r="1164" spans="1:21">
      <c r="A1164" t="s">
        <v>953</v>
      </c>
      <c r="B1164" t="s">
        <v>2580</v>
      </c>
      <c r="C1164" t="s">
        <v>953</v>
      </c>
      <c r="D1164">
        <v>20459641</v>
      </c>
      <c r="E1164" t="s">
        <v>2252</v>
      </c>
      <c r="F1164" t="s">
        <v>1115</v>
      </c>
      <c r="G1164" t="s">
        <v>2250</v>
      </c>
      <c r="H1164" t="s">
        <v>587</v>
      </c>
      <c r="I1164" t="s">
        <v>2581</v>
      </c>
      <c r="J1164" s="519">
        <v>46081</v>
      </c>
      <c r="K1164" s="519">
        <v>46081</v>
      </c>
      <c r="R1164" s="519">
        <v>46114</v>
      </c>
      <c r="U1164" s="519">
        <v>46081</v>
      </c>
    </row>
    <row r="1165" spans="1:21">
      <c r="A1165" t="s">
        <v>953</v>
      </c>
      <c r="B1165" t="s">
        <v>3083</v>
      </c>
      <c r="C1165" t="s">
        <v>953</v>
      </c>
      <c r="D1165">
        <v>20481203</v>
      </c>
      <c r="E1165" t="s">
        <v>2258</v>
      </c>
      <c r="F1165" t="s">
        <v>984</v>
      </c>
      <c r="G1165" t="s">
        <v>2250</v>
      </c>
      <c r="H1165" t="s">
        <v>592</v>
      </c>
      <c r="J1165" s="519">
        <v>46108</v>
      </c>
      <c r="R1165" s="519">
        <v>46116</v>
      </c>
      <c r="U1165" s="519">
        <v>46143</v>
      </c>
    </row>
    <row r="1166" spans="1:21">
      <c r="A1166" t="s">
        <v>953</v>
      </c>
      <c r="B1166" t="s">
        <v>3084</v>
      </c>
      <c r="C1166" t="s">
        <v>953</v>
      </c>
      <c r="D1166">
        <v>20465644</v>
      </c>
      <c r="E1166" t="s">
        <v>1212</v>
      </c>
      <c r="F1166" t="s">
        <v>578</v>
      </c>
      <c r="G1166" t="s">
        <v>2259</v>
      </c>
      <c r="H1166" t="s">
        <v>2388</v>
      </c>
      <c r="I1166" t="s">
        <v>2487</v>
      </c>
      <c r="J1166" s="519">
        <v>46090</v>
      </c>
      <c r="K1166" s="519">
        <v>46108</v>
      </c>
      <c r="L1166" s="519">
        <v>46113</v>
      </c>
      <c r="M1166" s="519">
        <v>46133</v>
      </c>
      <c r="U1166" s="519">
        <v>46143</v>
      </c>
    </row>
    <row r="1167" spans="1:21">
      <c r="A1167" t="s">
        <v>953</v>
      </c>
      <c r="B1167" t="s">
        <v>2582</v>
      </c>
      <c r="C1167" t="s">
        <v>953</v>
      </c>
      <c r="D1167">
        <v>20444115</v>
      </c>
      <c r="E1167" t="s">
        <v>2258</v>
      </c>
      <c r="F1167" t="s">
        <v>984</v>
      </c>
      <c r="G1167" t="s">
        <v>2246</v>
      </c>
      <c r="H1167" t="s">
        <v>587</v>
      </c>
      <c r="J1167" s="519">
        <v>46062</v>
      </c>
      <c r="R1167" s="519">
        <v>46114</v>
      </c>
      <c r="U1167" s="519">
        <v>46087</v>
      </c>
    </row>
    <row r="1168" spans="1:21">
      <c r="A1168" t="s">
        <v>953</v>
      </c>
      <c r="B1168" t="s">
        <v>3085</v>
      </c>
      <c r="C1168" t="s">
        <v>953</v>
      </c>
      <c r="D1168">
        <v>20480491</v>
      </c>
      <c r="E1168" t="s">
        <v>2258</v>
      </c>
      <c r="F1168" t="s">
        <v>984</v>
      </c>
      <c r="G1168" t="s">
        <v>2259</v>
      </c>
      <c r="H1168" t="s">
        <v>2388</v>
      </c>
      <c r="J1168" s="519">
        <v>46107</v>
      </c>
      <c r="R1168" s="519">
        <v>46114</v>
      </c>
      <c r="U1168" s="519">
        <v>46109</v>
      </c>
    </row>
    <row r="1169" spans="1:21">
      <c r="A1169" t="s">
        <v>953</v>
      </c>
      <c r="B1169" t="s">
        <v>3086</v>
      </c>
      <c r="C1169" t="s">
        <v>953</v>
      </c>
      <c r="D1169">
        <v>20479450</v>
      </c>
      <c r="E1169" t="s">
        <v>2252</v>
      </c>
      <c r="F1169" t="s">
        <v>583</v>
      </c>
      <c r="G1169" t="s">
        <v>2250</v>
      </c>
      <c r="H1169" t="s">
        <v>587</v>
      </c>
      <c r="I1169" t="s">
        <v>2373</v>
      </c>
      <c r="J1169" s="519">
        <v>46105</v>
      </c>
      <c r="K1169" s="519">
        <v>46105</v>
      </c>
      <c r="L1169" s="519">
        <v>46105</v>
      </c>
      <c r="M1169" s="519">
        <v>46120</v>
      </c>
      <c r="N1169" s="519">
        <v>46120</v>
      </c>
      <c r="R1169" s="519">
        <v>46128</v>
      </c>
      <c r="U1169" s="519">
        <v>46127</v>
      </c>
    </row>
    <row r="1170" spans="1:21">
      <c r="A1170" t="s">
        <v>953</v>
      </c>
      <c r="B1170" t="s">
        <v>7142</v>
      </c>
      <c r="C1170" t="s">
        <v>953</v>
      </c>
      <c r="D1170">
        <v>20508409</v>
      </c>
      <c r="E1170" t="s">
        <v>2245</v>
      </c>
      <c r="F1170" t="s">
        <v>578</v>
      </c>
      <c r="G1170" t="s">
        <v>2248</v>
      </c>
      <c r="H1170" t="s">
        <v>591</v>
      </c>
      <c r="I1170" t="s">
        <v>859</v>
      </c>
      <c r="J1170" s="519">
        <v>46135</v>
      </c>
      <c r="U1170" s="519">
        <v>46174</v>
      </c>
    </row>
    <row r="1171" spans="1:21">
      <c r="A1171" t="s">
        <v>953</v>
      </c>
      <c r="B1171" t="s">
        <v>3604</v>
      </c>
      <c r="C1171" t="s">
        <v>953</v>
      </c>
      <c r="D1171">
        <v>20509703</v>
      </c>
      <c r="E1171" t="s">
        <v>1100</v>
      </c>
      <c r="F1171" t="s">
        <v>1115</v>
      </c>
      <c r="G1171" t="s">
        <v>2250</v>
      </c>
      <c r="H1171" t="s">
        <v>587</v>
      </c>
      <c r="J1171" s="519">
        <v>46137</v>
      </c>
      <c r="K1171" s="519">
        <v>46137</v>
      </c>
      <c r="U1171" s="519">
        <v>46153</v>
      </c>
    </row>
    <row r="1172" spans="1:21">
      <c r="A1172" t="s">
        <v>953</v>
      </c>
      <c r="B1172" t="s">
        <v>3604</v>
      </c>
      <c r="C1172" t="s">
        <v>953</v>
      </c>
      <c r="D1172">
        <v>20487623</v>
      </c>
      <c r="E1172" t="s">
        <v>1100</v>
      </c>
      <c r="F1172" t="s">
        <v>984</v>
      </c>
      <c r="G1172" t="s">
        <v>2250</v>
      </c>
      <c r="H1172" t="s">
        <v>592</v>
      </c>
      <c r="J1172" s="519">
        <v>46117</v>
      </c>
      <c r="K1172" s="519">
        <v>46140</v>
      </c>
      <c r="U1172" s="519">
        <v>46153</v>
      </c>
    </row>
    <row r="1173" spans="1:21">
      <c r="A1173" t="s">
        <v>953</v>
      </c>
      <c r="B1173" t="s">
        <v>7143</v>
      </c>
      <c r="C1173" t="s">
        <v>953</v>
      </c>
      <c r="D1173">
        <v>20500530</v>
      </c>
      <c r="E1173" t="s">
        <v>2245</v>
      </c>
      <c r="F1173" t="s">
        <v>984</v>
      </c>
      <c r="G1173" t="s">
        <v>2290</v>
      </c>
      <c r="H1173" t="s">
        <v>592</v>
      </c>
      <c r="J1173" s="519">
        <v>46130</v>
      </c>
      <c r="U1173" s="519">
        <v>46173</v>
      </c>
    </row>
    <row r="1174" spans="1:21">
      <c r="A1174" t="s">
        <v>953</v>
      </c>
      <c r="B1174" t="s">
        <v>7143</v>
      </c>
      <c r="C1174" t="s">
        <v>953</v>
      </c>
      <c r="D1174">
        <v>20500529</v>
      </c>
      <c r="E1174" t="s">
        <v>2258</v>
      </c>
      <c r="F1174" t="s">
        <v>984</v>
      </c>
      <c r="G1174" t="s">
        <v>2250</v>
      </c>
      <c r="H1174" t="s">
        <v>592</v>
      </c>
      <c r="J1174" s="519">
        <v>46130</v>
      </c>
      <c r="R1174" s="519">
        <v>46139</v>
      </c>
      <c r="U1174" s="519">
        <v>46173</v>
      </c>
    </row>
    <row r="1175" spans="1:21">
      <c r="A1175" t="s">
        <v>953</v>
      </c>
      <c r="B1175" t="s">
        <v>2584</v>
      </c>
      <c r="C1175" t="s">
        <v>953</v>
      </c>
      <c r="D1175">
        <v>20449899</v>
      </c>
      <c r="E1175" t="s">
        <v>2258</v>
      </c>
      <c r="F1175" t="s">
        <v>581</v>
      </c>
      <c r="G1175" t="s">
        <v>2290</v>
      </c>
      <c r="H1175" t="s">
        <v>587</v>
      </c>
      <c r="J1175" s="519">
        <v>46069</v>
      </c>
      <c r="R1175" s="519">
        <v>46114</v>
      </c>
      <c r="U1175" s="519">
        <v>46129</v>
      </c>
    </row>
    <row r="1176" spans="1:21">
      <c r="A1176" t="s">
        <v>953</v>
      </c>
      <c r="B1176" t="s">
        <v>3605</v>
      </c>
      <c r="C1176" t="s">
        <v>953</v>
      </c>
      <c r="D1176">
        <v>20494463</v>
      </c>
      <c r="E1176" t="s">
        <v>2258</v>
      </c>
      <c r="F1176" t="s">
        <v>581</v>
      </c>
      <c r="G1176" t="s">
        <v>2250</v>
      </c>
      <c r="H1176" t="s">
        <v>592</v>
      </c>
      <c r="J1176" s="519">
        <v>46126</v>
      </c>
      <c r="R1176" s="519">
        <v>46139</v>
      </c>
      <c r="U1176" s="519">
        <v>46174</v>
      </c>
    </row>
    <row r="1177" spans="1:21">
      <c r="A1177" t="s">
        <v>953</v>
      </c>
      <c r="B1177" t="s">
        <v>7144</v>
      </c>
      <c r="C1177" t="s">
        <v>953</v>
      </c>
      <c r="D1177">
        <v>20508819</v>
      </c>
      <c r="E1177" t="s">
        <v>2245</v>
      </c>
      <c r="F1177" t="s">
        <v>984</v>
      </c>
      <c r="G1177" t="s">
        <v>2248</v>
      </c>
      <c r="H1177" t="s">
        <v>592</v>
      </c>
      <c r="I1177" t="s">
        <v>1156</v>
      </c>
      <c r="J1177" s="519">
        <v>46136</v>
      </c>
      <c r="U1177" s="519">
        <v>46136</v>
      </c>
    </row>
    <row r="1178" spans="1:21">
      <c r="A1178" t="s">
        <v>953</v>
      </c>
      <c r="B1178" t="s">
        <v>7145</v>
      </c>
      <c r="C1178" t="s">
        <v>953</v>
      </c>
      <c r="D1178">
        <v>20497652</v>
      </c>
      <c r="E1178" t="s">
        <v>2258</v>
      </c>
      <c r="F1178" t="s">
        <v>984</v>
      </c>
      <c r="G1178" t="s">
        <v>2250</v>
      </c>
      <c r="H1178" t="s">
        <v>592</v>
      </c>
      <c r="J1178" s="519">
        <v>46128</v>
      </c>
      <c r="R1178" s="519">
        <v>46139</v>
      </c>
      <c r="U1178" s="519">
        <v>46153</v>
      </c>
    </row>
    <row r="1179" spans="1:21">
      <c r="A1179" t="s">
        <v>953</v>
      </c>
      <c r="B1179" t="s">
        <v>2585</v>
      </c>
      <c r="C1179" t="s">
        <v>953</v>
      </c>
      <c r="D1179">
        <v>20449533</v>
      </c>
      <c r="E1179" t="s">
        <v>2258</v>
      </c>
      <c r="F1179" t="s">
        <v>984</v>
      </c>
      <c r="G1179" t="s">
        <v>2290</v>
      </c>
      <c r="H1179" t="s">
        <v>587</v>
      </c>
      <c r="J1179" s="519">
        <v>46068</v>
      </c>
      <c r="R1179" s="519">
        <v>46114</v>
      </c>
      <c r="U1179" s="519">
        <v>46114</v>
      </c>
    </row>
    <row r="1180" spans="1:21">
      <c r="A1180" t="s">
        <v>953</v>
      </c>
      <c r="B1180" t="s">
        <v>3088</v>
      </c>
      <c r="C1180" t="s">
        <v>953</v>
      </c>
      <c r="D1180">
        <v>20482953</v>
      </c>
      <c r="E1180" t="s">
        <v>2252</v>
      </c>
      <c r="F1180" t="s">
        <v>578</v>
      </c>
      <c r="G1180" t="s">
        <v>2250</v>
      </c>
      <c r="H1180" t="s">
        <v>587</v>
      </c>
      <c r="I1180" t="s">
        <v>1334</v>
      </c>
      <c r="J1180" s="519">
        <v>46111</v>
      </c>
      <c r="K1180" s="519">
        <v>46111</v>
      </c>
      <c r="L1180" s="519">
        <v>46111</v>
      </c>
      <c r="R1180" s="519">
        <v>46122</v>
      </c>
      <c r="U1180" s="519">
        <v>46120</v>
      </c>
    </row>
    <row r="1181" spans="1:21">
      <c r="A1181" t="s">
        <v>953</v>
      </c>
      <c r="B1181" t="s">
        <v>7146</v>
      </c>
      <c r="C1181" t="s">
        <v>953</v>
      </c>
      <c r="D1181">
        <v>20500840</v>
      </c>
      <c r="E1181" t="s">
        <v>1100</v>
      </c>
      <c r="F1181" t="s">
        <v>582</v>
      </c>
      <c r="G1181" t="s">
        <v>2250</v>
      </c>
      <c r="H1181" t="s">
        <v>588</v>
      </c>
      <c r="I1181" t="s">
        <v>2487</v>
      </c>
      <c r="J1181" s="519">
        <v>46130</v>
      </c>
      <c r="K1181" s="519">
        <v>46130</v>
      </c>
      <c r="U1181" s="519">
        <v>46174</v>
      </c>
    </row>
    <row r="1182" spans="1:21">
      <c r="A1182" t="s">
        <v>953</v>
      </c>
      <c r="B1182" t="s">
        <v>7146</v>
      </c>
      <c r="C1182" t="s">
        <v>953</v>
      </c>
      <c r="D1182">
        <v>20492326</v>
      </c>
      <c r="E1182" t="s">
        <v>2258</v>
      </c>
      <c r="F1182" t="s">
        <v>582</v>
      </c>
      <c r="G1182" t="s">
        <v>2248</v>
      </c>
      <c r="H1182" t="s">
        <v>588</v>
      </c>
      <c r="I1182" t="s">
        <v>1156</v>
      </c>
      <c r="J1182" s="519">
        <v>46123</v>
      </c>
      <c r="R1182" s="519">
        <v>46139</v>
      </c>
      <c r="U1182" s="519">
        <v>46178</v>
      </c>
    </row>
    <row r="1183" spans="1:21">
      <c r="A1183" t="s">
        <v>953</v>
      </c>
      <c r="B1183" t="s">
        <v>3606</v>
      </c>
      <c r="C1183" t="s">
        <v>953</v>
      </c>
      <c r="D1183">
        <v>20412357</v>
      </c>
      <c r="E1183" t="s">
        <v>2258</v>
      </c>
      <c r="F1183" t="s">
        <v>581</v>
      </c>
      <c r="G1183" t="s">
        <v>2246</v>
      </c>
      <c r="H1183" t="s">
        <v>593</v>
      </c>
      <c r="J1183" s="519">
        <v>46015</v>
      </c>
      <c r="R1183" s="519">
        <v>46114</v>
      </c>
      <c r="U1183" s="519">
        <v>46054</v>
      </c>
    </row>
    <row r="1184" spans="1:21">
      <c r="A1184" t="s">
        <v>953</v>
      </c>
      <c r="B1184" t="s">
        <v>2586</v>
      </c>
      <c r="C1184" t="s">
        <v>953</v>
      </c>
      <c r="D1184">
        <v>20450053</v>
      </c>
      <c r="E1184" t="s">
        <v>2258</v>
      </c>
      <c r="F1184" t="s">
        <v>984</v>
      </c>
      <c r="G1184" t="s">
        <v>2246</v>
      </c>
      <c r="H1184" t="s">
        <v>587</v>
      </c>
      <c r="J1184" s="519">
        <v>46069</v>
      </c>
      <c r="R1184" s="519">
        <v>46114</v>
      </c>
      <c r="U1184" s="519">
        <v>46120</v>
      </c>
    </row>
    <row r="1185" spans="1:21">
      <c r="A1185" t="s">
        <v>953</v>
      </c>
      <c r="B1185" t="s">
        <v>7147</v>
      </c>
      <c r="C1185" t="s">
        <v>953</v>
      </c>
      <c r="D1185">
        <v>20511007</v>
      </c>
      <c r="E1185" t="s">
        <v>2245</v>
      </c>
      <c r="F1185" t="s">
        <v>984</v>
      </c>
      <c r="G1185" t="s">
        <v>2259</v>
      </c>
      <c r="H1185" t="s">
        <v>593</v>
      </c>
      <c r="J1185" s="519">
        <v>46139</v>
      </c>
      <c r="U1185" s="519">
        <v>46139</v>
      </c>
    </row>
    <row r="1186" spans="1:21">
      <c r="A1186" t="s">
        <v>953</v>
      </c>
      <c r="B1186" t="s">
        <v>3607</v>
      </c>
      <c r="C1186" t="s">
        <v>953</v>
      </c>
      <c r="D1186">
        <v>20414673</v>
      </c>
      <c r="E1186" t="s">
        <v>2252</v>
      </c>
      <c r="F1186" t="s">
        <v>984</v>
      </c>
      <c r="G1186" t="s">
        <v>2250</v>
      </c>
      <c r="H1186" t="s">
        <v>587</v>
      </c>
      <c r="I1186" t="s">
        <v>2769</v>
      </c>
      <c r="J1186" s="519">
        <v>46020</v>
      </c>
      <c r="K1186" s="519">
        <v>46020</v>
      </c>
      <c r="L1186" s="519">
        <v>46020</v>
      </c>
      <c r="R1186" s="519">
        <v>46114</v>
      </c>
      <c r="U1186" s="519">
        <v>46063</v>
      </c>
    </row>
    <row r="1187" spans="1:21">
      <c r="A1187" t="s">
        <v>953</v>
      </c>
      <c r="B1187" t="s">
        <v>3090</v>
      </c>
      <c r="C1187" t="s">
        <v>953</v>
      </c>
      <c r="D1187">
        <v>20463624</v>
      </c>
      <c r="E1187" t="s">
        <v>2258</v>
      </c>
      <c r="F1187" t="s">
        <v>984</v>
      </c>
      <c r="G1187" t="s">
        <v>2290</v>
      </c>
      <c r="H1187" t="s">
        <v>591</v>
      </c>
      <c r="I1187" t="s">
        <v>1034</v>
      </c>
      <c r="J1187" s="519">
        <v>46087</v>
      </c>
      <c r="R1187" s="519">
        <v>46114</v>
      </c>
      <c r="U1187" s="519">
        <v>46087</v>
      </c>
    </row>
    <row r="1188" spans="1:21">
      <c r="A1188" t="s">
        <v>953</v>
      </c>
      <c r="B1188" t="s">
        <v>3608</v>
      </c>
      <c r="C1188" t="s">
        <v>953</v>
      </c>
      <c r="D1188">
        <v>20429377</v>
      </c>
      <c r="E1188" t="s">
        <v>2252</v>
      </c>
      <c r="F1188" t="s">
        <v>577</v>
      </c>
      <c r="G1188" t="s">
        <v>2250</v>
      </c>
      <c r="H1188" t="s">
        <v>587</v>
      </c>
      <c r="J1188" s="519">
        <v>46039</v>
      </c>
      <c r="K1188" s="519">
        <v>46039</v>
      </c>
      <c r="R1188" s="519">
        <v>46114</v>
      </c>
      <c r="U1188" s="519">
        <v>46039</v>
      </c>
    </row>
    <row r="1189" spans="1:21">
      <c r="A1189" t="s">
        <v>953</v>
      </c>
      <c r="B1189" t="s">
        <v>3091</v>
      </c>
      <c r="C1189" t="s">
        <v>953</v>
      </c>
      <c r="D1189">
        <v>20480160</v>
      </c>
      <c r="E1189" t="s">
        <v>2258</v>
      </c>
      <c r="F1189" t="s">
        <v>577</v>
      </c>
      <c r="G1189" t="s">
        <v>1213</v>
      </c>
      <c r="H1189" t="s">
        <v>588</v>
      </c>
      <c r="J1189" s="519">
        <v>46106</v>
      </c>
      <c r="R1189" s="519">
        <v>46114</v>
      </c>
      <c r="U1189" s="519">
        <v>46143</v>
      </c>
    </row>
    <row r="1190" spans="1:21">
      <c r="A1190" t="s">
        <v>953</v>
      </c>
      <c r="B1190" t="s">
        <v>7148</v>
      </c>
      <c r="C1190" t="s">
        <v>953</v>
      </c>
      <c r="D1190">
        <v>20502981</v>
      </c>
      <c r="E1190" t="s">
        <v>2245</v>
      </c>
      <c r="F1190" t="s">
        <v>581</v>
      </c>
      <c r="G1190" t="s">
        <v>2250</v>
      </c>
      <c r="H1190" t="s">
        <v>2361</v>
      </c>
      <c r="J1190" s="519">
        <v>46132</v>
      </c>
      <c r="U1190" s="519">
        <v>46133</v>
      </c>
    </row>
    <row r="1191" spans="1:21">
      <c r="A1191" t="s">
        <v>953</v>
      </c>
      <c r="B1191" t="s">
        <v>3609</v>
      </c>
      <c r="C1191" t="s">
        <v>953</v>
      </c>
      <c r="D1191">
        <v>20494178</v>
      </c>
      <c r="E1191" t="s">
        <v>2258</v>
      </c>
      <c r="F1191" t="s">
        <v>581</v>
      </c>
      <c r="G1191" t="s">
        <v>2250</v>
      </c>
      <c r="H1191" t="s">
        <v>2361</v>
      </c>
      <c r="J1191" s="519">
        <v>46126</v>
      </c>
      <c r="R1191" s="519">
        <v>46139</v>
      </c>
      <c r="U1191" s="519">
        <v>46261</v>
      </c>
    </row>
    <row r="1192" spans="1:21">
      <c r="A1192" t="s">
        <v>953</v>
      </c>
      <c r="B1192" t="s">
        <v>3610</v>
      </c>
      <c r="C1192" t="s">
        <v>953</v>
      </c>
      <c r="D1192">
        <v>20420718</v>
      </c>
      <c r="E1192" t="s">
        <v>2258</v>
      </c>
      <c r="F1192" t="s">
        <v>577</v>
      </c>
      <c r="G1192" t="s">
        <v>2248</v>
      </c>
      <c r="H1192" t="s">
        <v>588</v>
      </c>
      <c r="I1192" t="s">
        <v>3611</v>
      </c>
      <c r="J1192" s="519">
        <v>46030</v>
      </c>
      <c r="R1192" s="519">
        <v>46114</v>
      </c>
      <c r="U1192" s="519">
        <v>46030</v>
      </c>
    </row>
    <row r="1193" spans="1:21">
      <c r="A1193" t="s">
        <v>953</v>
      </c>
      <c r="B1193" t="s">
        <v>3093</v>
      </c>
      <c r="C1193" t="s">
        <v>953</v>
      </c>
      <c r="D1193">
        <v>20472871</v>
      </c>
      <c r="E1193" t="s">
        <v>2258</v>
      </c>
      <c r="F1193" t="s">
        <v>984</v>
      </c>
      <c r="G1193" t="s">
        <v>2250</v>
      </c>
      <c r="H1193" t="s">
        <v>592</v>
      </c>
      <c r="J1193" s="519">
        <v>46097</v>
      </c>
      <c r="R1193" s="519">
        <v>46114</v>
      </c>
      <c r="U1193" s="519">
        <v>46113</v>
      </c>
    </row>
    <row r="1194" spans="1:21">
      <c r="A1194" t="s">
        <v>953</v>
      </c>
      <c r="B1194" t="s">
        <v>3094</v>
      </c>
      <c r="C1194" t="s">
        <v>953</v>
      </c>
      <c r="D1194">
        <v>20483524</v>
      </c>
      <c r="E1194" t="s">
        <v>2258</v>
      </c>
      <c r="F1194" t="s">
        <v>583</v>
      </c>
      <c r="G1194" t="s">
        <v>2248</v>
      </c>
      <c r="H1194" t="s">
        <v>592</v>
      </c>
      <c r="J1194" s="519">
        <v>46111</v>
      </c>
      <c r="R1194" s="519">
        <v>46139</v>
      </c>
      <c r="U1194" s="519">
        <v>46111</v>
      </c>
    </row>
    <row r="1195" spans="1:21">
      <c r="A1195" t="s">
        <v>953</v>
      </c>
      <c r="B1195" t="s">
        <v>3612</v>
      </c>
      <c r="C1195" t="s">
        <v>953</v>
      </c>
      <c r="D1195">
        <v>20493156</v>
      </c>
      <c r="E1195" t="s">
        <v>2258</v>
      </c>
      <c r="F1195" t="s">
        <v>581</v>
      </c>
      <c r="G1195" t="s">
        <v>2259</v>
      </c>
      <c r="H1195" t="s">
        <v>587</v>
      </c>
      <c r="J1195" s="519">
        <v>46125</v>
      </c>
      <c r="R1195" s="519">
        <v>46125</v>
      </c>
      <c r="U1195" s="519">
        <v>46125</v>
      </c>
    </row>
    <row r="1196" spans="1:21">
      <c r="A1196" t="s">
        <v>953</v>
      </c>
      <c r="B1196" t="s">
        <v>3613</v>
      </c>
      <c r="C1196" t="s">
        <v>953</v>
      </c>
      <c r="D1196">
        <v>20420266</v>
      </c>
      <c r="E1196" t="s">
        <v>2258</v>
      </c>
      <c r="F1196" t="s">
        <v>578</v>
      </c>
      <c r="G1196" t="s">
        <v>2248</v>
      </c>
      <c r="H1196" t="s">
        <v>591</v>
      </c>
      <c r="J1196" s="519">
        <v>46029</v>
      </c>
      <c r="R1196" s="519">
        <v>46114</v>
      </c>
      <c r="U1196" s="519">
        <v>46029</v>
      </c>
    </row>
    <row r="1197" spans="1:21">
      <c r="A1197" t="s">
        <v>953</v>
      </c>
      <c r="B1197" t="s">
        <v>2587</v>
      </c>
      <c r="C1197" t="s">
        <v>953</v>
      </c>
      <c r="D1197">
        <v>20447821</v>
      </c>
      <c r="E1197" t="s">
        <v>2258</v>
      </c>
      <c r="F1197" t="s">
        <v>581</v>
      </c>
      <c r="G1197" t="s">
        <v>1213</v>
      </c>
      <c r="H1197" t="s">
        <v>591</v>
      </c>
      <c r="J1197" s="519">
        <v>46065</v>
      </c>
      <c r="R1197" s="519">
        <v>46114</v>
      </c>
      <c r="U1197" s="519">
        <v>46065</v>
      </c>
    </row>
    <row r="1198" spans="1:21">
      <c r="A1198" t="s">
        <v>953</v>
      </c>
      <c r="B1198" t="s">
        <v>3614</v>
      </c>
      <c r="C1198" t="s">
        <v>953</v>
      </c>
      <c r="D1198">
        <v>20492867</v>
      </c>
      <c r="E1198" t="s">
        <v>2258</v>
      </c>
      <c r="F1198" t="s">
        <v>581</v>
      </c>
      <c r="G1198" t="s">
        <v>2250</v>
      </c>
      <c r="H1198" t="s">
        <v>2361</v>
      </c>
      <c r="J1198" s="519">
        <v>46124</v>
      </c>
      <c r="R1198" s="519">
        <v>46139</v>
      </c>
      <c r="U1198" s="519">
        <v>46296</v>
      </c>
    </row>
    <row r="1199" spans="1:21">
      <c r="A1199" t="s">
        <v>953</v>
      </c>
      <c r="B1199" t="s">
        <v>7149</v>
      </c>
      <c r="C1199" t="s">
        <v>953</v>
      </c>
      <c r="D1199">
        <v>20495624</v>
      </c>
      <c r="E1199" t="s">
        <v>2258</v>
      </c>
      <c r="F1199" t="s">
        <v>581</v>
      </c>
      <c r="G1199" t="s">
        <v>2250</v>
      </c>
      <c r="H1199" t="s">
        <v>2361</v>
      </c>
      <c r="J1199" s="519">
        <v>46127</v>
      </c>
      <c r="R1199" s="519">
        <v>46139</v>
      </c>
      <c r="U1199" s="519">
        <v>46207</v>
      </c>
    </row>
    <row r="1200" spans="1:21">
      <c r="A1200" t="s">
        <v>953</v>
      </c>
      <c r="B1200" t="s">
        <v>3095</v>
      </c>
      <c r="C1200" t="s">
        <v>953</v>
      </c>
      <c r="D1200">
        <v>20471303</v>
      </c>
      <c r="E1200" t="s">
        <v>2258</v>
      </c>
      <c r="F1200" t="s">
        <v>984</v>
      </c>
      <c r="G1200" t="s">
        <v>2250</v>
      </c>
      <c r="H1200" t="s">
        <v>592</v>
      </c>
      <c r="J1200" s="519">
        <v>46095</v>
      </c>
      <c r="R1200" s="519">
        <v>46114</v>
      </c>
      <c r="U1200" s="519">
        <v>46101</v>
      </c>
    </row>
    <row r="1201" spans="1:21">
      <c r="A1201" t="s">
        <v>953</v>
      </c>
      <c r="B1201" t="s">
        <v>3096</v>
      </c>
      <c r="C1201" t="s">
        <v>953</v>
      </c>
      <c r="D1201">
        <v>20474668</v>
      </c>
      <c r="E1201" t="s">
        <v>2258</v>
      </c>
      <c r="F1201" t="s">
        <v>581</v>
      </c>
      <c r="G1201" t="s">
        <v>2250</v>
      </c>
      <c r="H1201" t="s">
        <v>592</v>
      </c>
      <c r="J1201" s="519">
        <v>46099</v>
      </c>
      <c r="R1201" s="519">
        <v>46114</v>
      </c>
      <c r="U1201" s="519">
        <v>46142</v>
      </c>
    </row>
    <row r="1202" spans="1:21">
      <c r="A1202" t="s">
        <v>953</v>
      </c>
      <c r="B1202" t="s">
        <v>3615</v>
      </c>
      <c r="C1202" t="s">
        <v>953</v>
      </c>
      <c r="D1202">
        <v>20487735</v>
      </c>
      <c r="E1202" t="s">
        <v>2258</v>
      </c>
      <c r="F1202" t="s">
        <v>984</v>
      </c>
      <c r="G1202" t="s">
        <v>2250</v>
      </c>
      <c r="H1202" t="s">
        <v>592</v>
      </c>
      <c r="J1202" s="519">
        <v>46117</v>
      </c>
      <c r="R1202" s="519">
        <v>46139</v>
      </c>
      <c r="U1202" s="519">
        <v>46173</v>
      </c>
    </row>
    <row r="1203" spans="1:21">
      <c r="A1203" t="s">
        <v>953</v>
      </c>
      <c r="B1203" t="s">
        <v>3097</v>
      </c>
      <c r="C1203" t="s">
        <v>953</v>
      </c>
      <c r="D1203">
        <v>20463010</v>
      </c>
      <c r="E1203" t="s">
        <v>2258</v>
      </c>
      <c r="F1203" t="s">
        <v>984</v>
      </c>
      <c r="G1203" t="s">
        <v>2259</v>
      </c>
      <c r="H1203" t="s">
        <v>2388</v>
      </c>
      <c r="J1203" s="519">
        <v>46086</v>
      </c>
      <c r="R1203" s="519">
        <v>46114</v>
      </c>
      <c r="U1203" s="519">
        <v>46147</v>
      </c>
    </row>
    <row r="1204" spans="1:21">
      <c r="A1204" t="s">
        <v>953</v>
      </c>
      <c r="B1204" t="s">
        <v>7150</v>
      </c>
      <c r="C1204" t="s">
        <v>953</v>
      </c>
      <c r="D1204">
        <v>20496096</v>
      </c>
      <c r="E1204" t="s">
        <v>2258</v>
      </c>
      <c r="F1204" t="s">
        <v>577</v>
      </c>
      <c r="G1204" t="s">
        <v>2248</v>
      </c>
      <c r="H1204" t="s">
        <v>588</v>
      </c>
      <c r="J1204" s="519">
        <v>46127</v>
      </c>
      <c r="R1204" s="519">
        <v>46139</v>
      </c>
      <c r="U1204" s="519">
        <v>46127</v>
      </c>
    </row>
    <row r="1205" spans="1:21">
      <c r="A1205" t="s">
        <v>953</v>
      </c>
      <c r="B1205" t="s">
        <v>2589</v>
      </c>
      <c r="C1205" t="s">
        <v>953</v>
      </c>
      <c r="D1205">
        <v>20439284</v>
      </c>
      <c r="E1205" t="s">
        <v>2258</v>
      </c>
      <c r="F1205" t="s">
        <v>581</v>
      </c>
      <c r="G1205" t="s">
        <v>2259</v>
      </c>
      <c r="H1205" t="s">
        <v>2388</v>
      </c>
      <c r="J1205" s="519">
        <v>46055</v>
      </c>
      <c r="R1205" s="519">
        <v>46114</v>
      </c>
      <c r="U1205" s="519">
        <v>46055</v>
      </c>
    </row>
    <row r="1206" spans="1:21">
      <c r="A1206" t="s">
        <v>953</v>
      </c>
      <c r="B1206" t="s">
        <v>7151</v>
      </c>
      <c r="C1206" t="s">
        <v>953</v>
      </c>
      <c r="D1206">
        <v>20497315</v>
      </c>
      <c r="E1206" t="s">
        <v>2258</v>
      </c>
      <c r="F1206" t="s">
        <v>581</v>
      </c>
      <c r="G1206" t="s">
        <v>2259</v>
      </c>
      <c r="H1206" t="s">
        <v>592</v>
      </c>
      <c r="J1206" s="519">
        <v>46128</v>
      </c>
      <c r="R1206" s="519">
        <v>46139</v>
      </c>
      <c r="U1206" s="519">
        <v>46128</v>
      </c>
    </row>
    <row r="1207" spans="1:21">
      <c r="A1207" t="s">
        <v>953</v>
      </c>
      <c r="B1207" t="s">
        <v>7152</v>
      </c>
      <c r="C1207" t="s">
        <v>953</v>
      </c>
      <c r="D1207">
        <v>20504120</v>
      </c>
      <c r="E1207" t="s">
        <v>1110</v>
      </c>
      <c r="F1207" t="s">
        <v>582</v>
      </c>
      <c r="G1207" t="s">
        <v>2248</v>
      </c>
      <c r="H1207" t="s">
        <v>589</v>
      </c>
      <c r="I1207" t="s">
        <v>5963</v>
      </c>
      <c r="J1207" s="519">
        <v>46132</v>
      </c>
      <c r="K1207" s="519">
        <v>46134</v>
      </c>
      <c r="L1207" s="519">
        <v>46134</v>
      </c>
      <c r="U1207" s="519">
        <v>46142</v>
      </c>
    </row>
    <row r="1208" spans="1:21">
      <c r="A1208" t="s">
        <v>953</v>
      </c>
      <c r="B1208" t="s">
        <v>2590</v>
      </c>
      <c r="C1208" t="s">
        <v>953</v>
      </c>
      <c r="D1208">
        <v>20439510</v>
      </c>
      <c r="E1208" t="s">
        <v>2258</v>
      </c>
      <c r="F1208" t="s">
        <v>579</v>
      </c>
      <c r="G1208" t="s">
        <v>2248</v>
      </c>
      <c r="H1208" t="s">
        <v>592</v>
      </c>
      <c r="J1208" s="519">
        <v>46055</v>
      </c>
      <c r="R1208" s="519">
        <v>46114</v>
      </c>
      <c r="U1208" s="519">
        <v>46055</v>
      </c>
    </row>
    <row r="1209" spans="1:21">
      <c r="A1209" t="s">
        <v>953</v>
      </c>
      <c r="B1209" t="s">
        <v>7153</v>
      </c>
      <c r="C1209" t="s">
        <v>953</v>
      </c>
      <c r="D1209">
        <v>20510514</v>
      </c>
      <c r="E1209" t="s">
        <v>1100</v>
      </c>
      <c r="F1209" t="s">
        <v>581</v>
      </c>
      <c r="G1209" t="s">
        <v>2250</v>
      </c>
      <c r="H1209" t="s">
        <v>587</v>
      </c>
      <c r="I1209" t="s">
        <v>1037</v>
      </c>
      <c r="J1209" s="519">
        <v>46138</v>
      </c>
      <c r="K1209" s="519">
        <v>46138</v>
      </c>
      <c r="U1209" s="519">
        <v>46160</v>
      </c>
    </row>
    <row r="1210" spans="1:21">
      <c r="A1210" t="s">
        <v>953</v>
      </c>
      <c r="B1210" t="s">
        <v>7154</v>
      </c>
      <c r="C1210" t="s">
        <v>953</v>
      </c>
      <c r="D1210">
        <v>20495394</v>
      </c>
      <c r="E1210" t="s">
        <v>2258</v>
      </c>
      <c r="F1210" t="s">
        <v>984</v>
      </c>
      <c r="G1210" t="s">
        <v>2250</v>
      </c>
      <c r="H1210" t="s">
        <v>592</v>
      </c>
      <c r="J1210" s="519">
        <v>46126</v>
      </c>
      <c r="R1210" s="519">
        <v>46139</v>
      </c>
      <c r="U1210" s="519">
        <v>46147</v>
      </c>
    </row>
    <row r="1211" spans="1:21">
      <c r="A1211" t="s">
        <v>953</v>
      </c>
      <c r="B1211" t="s">
        <v>2592</v>
      </c>
      <c r="C1211" t="s">
        <v>953</v>
      </c>
      <c r="D1211">
        <v>20452638</v>
      </c>
      <c r="E1211" t="s">
        <v>2252</v>
      </c>
      <c r="F1211" t="s">
        <v>984</v>
      </c>
      <c r="G1211" t="s">
        <v>2246</v>
      </c>
      <c r="H1211" t="s">
        <v>587</v>
      </c>
      <c r="J1211" s="519">
        <v>46071</v>
      </c>
      <c r="K1211" s="519">
        <v>46086</v>
      </c>
      <c r="R1211" s="519">
        <v>46114</v>
      </c>
      <c r="U1211" s="519">
        <v>46102</v>
      </c>
    </row>
    <row r="1212" spans="1:21">
      <c r="A1212" t="s">
        <v>953</v>
      </c>
      <c r="B1212" t="s">
        <v>3616</v>
      </c>
      <c r="C1212" t="s">
        <v>953</v>
      </c>
      <c r="D1212">
        <v>20490574</v>
      </c>
      <c r="E1212" t="s">
        <v>2252</v>
      </c>
      <c r="F1212" t="s">
        <v>6888</v>
      </c>
      <c r="G1212" t="s">
        <v>2250</v>
      </c>
      <c r="H1212" t="s">
        <v>587</v>
      </c>
      <c r="I1212" t="s">
        <v>1665</v>
      </c>
      <c r="J1212" s="519">
        <v>46121</v>
      </c>
      <c r="K1212" s="519">
        <v>46121</v>
      </c>
      <c r="R1212" s="519">
        <v>46136</v>
      </c>
      <c r="U1212" s="519">
        <v>46206</v>
      </c>
    </row>
    <row r="1213" spans="1:21">
      <c r="A1213" t="s">
        <v>953</v>
      </c>
      <c r="B1213" t="s">
        <v>3100</v>
      </c>
      <c r="C1213" t="s">
        <v>953</v>
      </c>
      <c r="D1213">
        <v>20482659</v>
      </c>
      <c r="E1213" t="s">
        <v>2252</v>
      </c>
      <c r="F1213" t="s">
        <v>583</v>
      </c>
      <c r="G1213" t="s">
        <v>2250</v>
      </c>
      <c r="H1213" t="s">
        <v>587</v>
      </c>
      <c r="I1213" t="s">
        <v>1037</v>
      </c>
      <c r="J1213" s="519">
        <v>46110</v>
      </c>
      <c r="K1213" s="519">
        <v>46110</v>
      </c>
      <c r="L1213" s="519">
        <v>46110</v>
      </c>
      <c r="R1213" s="519">
        <v>46113</v>
      </c>
      <c r="U1213" s="519">
        <v>46115</v>
      </c>
    </row>
    <row r="1214" spans="1:21">
      <c r="A1214" t="s">
        <v>953</v>
      </c>
      <c r="B1214" t="s">
        <v>2101</v>
      </c>
      <c r="C1214" t="s">
        <v>953</v>
      </c>
      <c r="D1214">
        <v>20493201</v>
      </c>
      <c r="E1214" t="s">
        <v>2324</v>
      </c>
      <c r="F1214" t="s">
        <v>583</v>
      </c>
      <c r="G1214" t="s">
        <v>2250</v>
      </c>
      <c r="H1214" t="s">
        <v>587</v>
      </c>
      <c r="I1214" t="s">
        <v>1171</v>
      </c>
      <c r="J1214" s="519">
        <v>46125</v>
      </c>
      <c r="K1214" s="519">
        <v>46125</v>
      </c>
      <c r="L1214" s="519">
        <v>46125</v>
      </c>
      <c r="M1214" s="519">
        <v>46129</v>
      </c>
      <c r="N1214" s="519">
        <v>46129</v>
      </c>
      <c r="P1214" s="519">
        <v>46130</v>
      </c>
      <c r="Q1214" s="519">
        <v>46131</v>
      </c>
      <c r="U1214" s="519">
        <v>46135</v>
      </c>
    </row>
    <row r="1215" spans="1:21">
      <c r="A1215" t="s">
        <v>953</v>
      </c>
      <c r="B1215" t="s">
        <v>3101</v>
      </c>
      <c r="C1215" t="s">
        <v>953</v>
      </c>
      <c r="D1215">
        <v>20479195</v>
      </c>
      <c r="E1215" t="s">
        <v>2258</v>
      </c>
      <c r="F1215" t="s">
        <v>581</v>
      </c>
      <c r="G1215" t="s">
        <v>2250</v>
      </c>
      <c r="H1215" t="s">
        <v>592</v>
      </c>
      <c r="J1215" s="519">
        <v>46105</v>
      </c>
      <c r="R1215" s="519">
        <v>46114</v>
      </c>
      <c r="U1215" s="519">
        <v>46117</v>
      </c>
    </row>
    <row r="1216" spans="1:21">
      <c r="A1216" t="s">
        <v>953</v>
      </c>
      <c r="B1216" t="s">
        <v>3617</v>
      </c>
      <c r="C1216" t="s">
        <v>953</v>
      </c>
      <c r="D1216">
        <v>20491459</v>
      </c>
      <c r="E1216" t="s">
        <v>1100</v>
      </c>
      <c r="F1216" t="s">
        <v>581</v>
      </c>
      <c r="G1216" t="s">
        <v>2250</v>
      </c>
      <c r="H1216" t="s">
        <v>587</v>
      </c>
      <c r="I1216" t="s">
        <v>3618</v>
      </c>
      <c r="J1216" s="519">
        <v>46122</v>
      </c>
      <c r="K1216" s="519">
        <v>46122</v>
      </c>
      <c r="U1216" s="519">
        <v>46225</v>
      </c>
    </row>
    <row r="1217" spans="1:21">
      <c r="A1217" t="s">
        <v>953</v>
      </c>
      <c r="B1217" t="s">
        <v>3102</v>
      </c>
      <c r="C1217" t="s">
        <v>953</v>
      </c>
      <c r="D1217">
        <v>20477313</v>
      </c>
      <c r="E1217" t="s">
        <v>2258</v>
      </c>
      <c r="F1217" t="s">
        <v>581</v>
      </c>
      <c r="G1217" t="s">
        <v>2250</v>
      </c>
      <c r="H1217" t="s">
        <v>592</v>
      </c>
      <c r="J1217" s="519">
        <v>46102</v>
      </c>
      <c r="R1217" s="519">
        <v>46114</v>
      </c>
      <c r="U1217" s="519">
        <v>46162</v>
      </c>
    </row>
    <row r="1218" spans="1:21">
      <c r="A1218" t="s">
        <v>953</v>
      </c>
      <c r="B1218" t="s">
        <v>3619</v>
      </c>
      <c r="C1218" t="s">
        <v>953</v>
      </c>
      <c r="D1218">
        <v>20441516</v>
      </c>
      <c r="E1218" t="s">
        <v>2252</v>
      </c>
      <c r="F1218" t="s">
        <v>579</v>
      </c>
      <c r="G1218" t="s">
        <v>2250</v>
      </c>
      <c r="H1218" t="s">
        <v>587</v>
      </c>
      <c r="J1218" s="519">
        <v>46058</v>
      </c>
      <c r="K1218" s="519">
        <v>46058</v>
      </c>
      <c r="R1218" s="519">
        <v>46114</v>
      </c>
      <c r="U1218" s="519">
        <v>46127</v>
      </c>
    </row>
    <row r="1219" spans="1:21">
      <c r="A1219" t="s">
        <v>953</v>
      </c>
      <c r="B1219" t="s">
        <v>3619</v>
      </c>
      <c r="C1219" t="s">
        <v>953</v>
      </c>
      <c r="D1219">
        <v>20490537</v>
      </c>
      <c r="E1219" t="s">
        <v>1100</v>
      </c>
      <c r="F1219" t="s">
        <v>6888</v>
      </c>
      <c r="G1219" t="s">
        <v>2250</v>
      </c>
      <c r="H1219" t="s">
        <v>587</v>
      </c>
      <c r="I1219" t="s">
        <v>867</v>
      </c>
      <c r="J1219" s="519">
        <v>46120</v>
      </c>
      <c r="K1219" s="519">
        <v>46120</v>
      </c>
      <c r="U1219" s="519">
        <v>46141</v>
      </c>
    </row>
    <row r="1220" spans="1:21">
      <c r="A1220" t="s">
        <v>953</v>
      </c>
      <c r="B1220" t="s">
        <v>7155</v>
      </c>
      <c r="C1220" t="s">
        <v>953</v>
      </c>
      <c r="D1220">
        <v>20507649</v>
      </c>
      <c r="E1220" t="s">
        <v>2245</v>
      </c>
      <c r="F1220" t="s">
        <v>984</v>
      </c>
      <c r="G1220" t="s">
        <v>2259</v>
      </c>
      <c r="H1220" t="s">
        <v>2388</v>
      </c>
      <c r="J1220" s="519">
        <v>46135</v>
      </c>
      <c r="U1220" s="519">
        <v>46135</v>
      </c>
    </row>
    <row r="1221" spans="1:21">
      <c r="A1221" t="s">
        <v>953</v>
      </c>
      <c r="B1221" t="s">
        <v>7156</v>
      </c>
      <c r="C1221" t="s">
        <v>953</v>
      </c>
      <c r="D1221">
        <v>20504367</v>
      </c>
      <c r="E1221" t="s">
        <v>1100</v>
      </c>
      <c r="F1221" t="s">
        <v>581</v>
      </c>
      <c r="G1221" t="s">
        <v>2250</v>
      </c>
      <c r="H1221" t="s">
        <v>587</v>
      </c>
      <c r="J1221" s="519">
        <v>46133</v>
      </c>
      <c r="K1221" s="519">
        <v>46133</v>
      </c>
      <c r="U1221" s="519">
        <v>46167</v>
      </c>
    </row>
    <row r="1222" spans="1:21">
      <c r="A1222" t="s">
        <v>953</v>
      </c>
      <c r="B1222" t="s">
        <v>3620</v>
      </c>
      <c r="C1222" t="s">
        <v>953</v>
      </c>
      <c r="D1222">
        <v>20435984</v>
      </c>
      <c r="E1222" t="s">
        <v>2258</v>
      </c>
      <c r="F1222" t="s">
        <v>984</v>
      </c>
      <c r="G1222" t="s">
        <v>1213</v>
      </c>
      <c r="H1222" t="s">
        <v>591</v>
      </c>
      <c r="J1222" s="519">
        <v>46050</v>
      </c>
      <c r="R1222" s="519">
        <v>46114</v>
      </c>
      <c r="U1222" s="519">
        <v>46050</v>
      </c>
    </row>
    <row r="1223" spans="1:21">
      <c r="A1223" t="s">
        <v>953</v>
      </c>
      <c r="B1223" t="s">
        <v>7157</v>
      </c>
      <c r="C1223" t="s">
        <v>953</v>
      </c>
      <c r="D1223">
        <v>20510028</v>
      </c>
      <c r="E1223" t="s">
        <v>2245</v>
      </c>
      <c r="F1223" t="s">
        <v>984</v>
      </c>
      <c r="G1223" t="s">
        <v>2250</v>
      </c>
      <c r="H1223" t="s">
        <v>592</v>
      </c>
      <c r="J1223" s="519">
        <v>46137</v>
      </c>
      <c r="U1223" s="519">
        <v>46206</v>
      </c>
    </row>
    <row r="1224" spans="1:21">
      <c r="A1224" t="s">
        <v>953</v>
      </c>
      <c r="B1224" t="s">
        <v>7157</v>
      </c>
      <c r="C1224" t="s">
        <v>953</v>
      </c>
      <c r="D1224">
        <v>20501846</v>
      </c>
      <c r="E1224" t="s">
        <v>2245</v>
      </c>
      <c r="F1224" t="s">
        <v>984</v>
      </c>
      <c r="G1224" t="s">
        <v>2250</v>
      </c>
      <c r="H1224" t="s">
        <v>592</v>
      </c>
      <c r="J1224" s="519">
        <v>46131</v>
      </c>
      <c r="U1224" s="519">
        <v>46206</v>
      </c>
    </row>
    <row r="1225" spans="1:21">
      <c r="A1225" t="s">
        <v>953</v>
      </c>
      <c r="B1225" t="s">
        <v>7157</v>
      </c>
      <c r="C1225" t="s">
        <v>953</v>
      </c>
      <c r="D1225">
        <v>20501845</v>
      </c>
      <c r="E1225" t="s">
        <v>2245</v>
      </c>
      <c r="F1225" t="s">
        <v>984</v>
      </c>
      <c r="G1225" t="s">
        <v>2290</v>
      </c>
      <c r="H1225" t="s">
        <v>592</v>
      </c>
      <c r="J1225" s="519">
        <v>46131</v>
      </c>
      <c r="U1225" s="519">
        <v>46206</v>
      </c>
    </row>
    <row r="1226" spans="1:21">
      <c r="A1226" t="s">
        <v>953</v>
      </c>
      <c r="B1226" t="s">
        <v>2596</v>
      </c>
      <c r="C1226" t="s">
        <v>953</v>
      </c>
      <c r="D1226">
        <v>20444573</v>
      </c>
      <c r="E1226" t="s">
        <v>2258</v>
      </c>
      <c r="F1226" t="s">
        <v>581</v>
      </c>
      <c r="G1226" t="s">
        <v>1213</v>
      </c>
      <c r="H1226" t="s">
        <v>587</v>
      </c>
      <c r="J1226" s="519">
        <v>46063</v>
      </c>
      <c r="R1226" s="519">
        <v>46114</v>
      </c>
      <c r="U1226" s="519">
        <v>46113</v>
      </c>
    </row>
    <row r="1227" spans="1:21">
      <c r="A1227" t="s">
        <v>953</v>
      </c>
      <c r="B1227" t="s">
        <v>3621</v>
      </c>
      <c r="C1227" t="s">
        <v>953</v>
      </c>
      <c r="D1227">
        <v>20484939</v>
      </c>
      <c r="E1227" t="s">
        <v>2258</v>
      </c>
      <c r="F1227" t="s">
        <v>984</v>
      </c>
      <c r="G1227" t="s">
        <v>2259</v>
      </c>
      <c r="H1227" t="s">
        <v>588</v>
      </c>
      <c r="I1227" t="s">
        <v>2818</v>
      </c>
      <c r="J1227" s="519">
        <v>46113</v>
      </c>
      <c r="R1227" s="519">
        <v>46114</v>
      </c>
      <c r="U1227" s="519">
        <v>46136</v>
      </c>
    </row>
    <row r="1228" spans="1:21">
      <c r="A1228" t="s">
        <v>953</v>
      </c>
      <c r="B1228" t="s">
        <v>3621</v>
      </c>
      <c r="C1228" t="s">
        <v>953</v>
      </c>
      <c r="D1228">
        <v>20488208</v>
      </c>
      <c r="E1228" t="s">
        <v>2324</v>
      </c>
      <c r="F1228" t="s">
        <v>1001</v>
      </c>
      <c r="G1228" t="s">
        <v>2250</v>
      </c>
      <c r="H1228" t="s">
        <v>592</v>
      </c>
      <c r="I1228" t="s">
        <v>2818</v>
      </c>
      <c r="J1228" s="519">
        <v>46118</v>
      </c>
      <c r="K1228" s="519">
        <v>46118</v>
      </c>
      <c r="L1228" s="519">
        <v>46126</v>
      </c>
      <c r="M1228" s="519">
        <v>46135</v>
      </c>
      <c r="N1228" s="519">
        <v>46135</v>
      </c>
      <c r="P1228" s="519">
        <v>46135</v>
      </c>
      <c r="Q1228" s="519">
        <v>46136</v>
      </c>
      <c r="U1228" s="519">
        <v>46139</v>
      </c>
    </row>
    <row r="1229" spans="1:21">
      <c r="A1229" t="s">
        <v>953</v>
      </c>
      <c r="B1229" t="s">
        <v>2598</v>
      </c>
      <c r="C1229" t="s">
        <v>953</v>
      </c>
      <c r="D1229">
        <v>20449470</v>
      </c>
      <c r="E1229" t="s">
        <v>2258</v>
      </c>
      <c r="F1229" t="s">
        <v>581</v>
      </c>
      <c r="G1229" t="s">
        <v>2290</v>
      </c>
      <c r="H1229" t="s">
        <v>587</v>
      </c>
      <c r="J1229" s="519">
        <v>46068</v>
      </c>
      <c r="R1229" s="519">
        <v>46114</v>
      </c>
      <c r="U1229" s="519">
        <v>46113</v>
      </c>
    </row>
    <row r="1230" spans="1:21">
      <c r="A1230" t="s">
        <v>953</v>
      </c>
      <c r="B1230" t="s">
        <v>3622</v>
      </c>
      <c r="C1230" t="s">
        <v>953</v>
      </c>
      <c r="D1230">
        <v>20412113</v>
      </c>
      <c r="E1230" t="s">
        <v>2252</v>
      </c>
      <c r="F1230" t="s">
        <v>579</v>
      </c>
      <c r="G1230" t="s">
        <v>2250</v>
      </c>
      <c r="H1230" t="s">
        <v>587</v>
      </c>
      <c r="I1230" t="s">
        <v>1402</v>
      </c>
      <c r="J1230" s="519">
        <v>46014</v>
      </c>
      <c r="K1230" s="519">
        <v>46014</v>
      </c>
      <c r="R1230" s="519">
        <v>46114</v>
      </c>
      <c r="U1230" s="519">
        <v>46063</v>
      </c>
    </row>
    <row r="1231" spans="1:21">
      <c r="A1231" t="s">
        <v>953</v>
      </c>
      <c r="B1231" t="s">
        <v>3623</v>
      </c>
      <c r="C1231" t="s">
        <v>953</v>
      </c>
      <c r="D1231">
        <v>20486770</v>
      </c>
      <c r="E1231" t="s">
        <v>2258</v>
      </c>
      <c r="F1231" t="s">
        <v>984</v>
      </c>
      <c r="G1231" t="s">
        <v>2250</v>
      </c>
      <c r="H1231" t="s">
        <v>592</v>
      </c>
      <c r="J1231" s="519">
        <v>46115</v>
      </c>
      <c r="R1231" s="519">
        <v>46139</v>
      </c>
      <c r="U1231" s="519">
        <v>46122</v>
      </c>
    </row>
    <row r="1232" spans="1:21">
      <c r="A1232" t="s">
        <v>953</v>
      </c>
      <c r="B1232" t="s">
        <v>2599</v>
      </c>
      <c r="C1232" t="s">
        <v>953</v>
      </c>
      <c r="D1232">
        <v>20441182</v>
      </c>
      <c r="E1232" t="s">
        <v>2258</v>
      </c>
      <c r="F1232" t="s">
        <v>581</v>
      </c>
      <c r="G1232" t="s">
        <v>2246</v>
      </c>
      <c r="H1232" t="s">
        <v>587</v>
      </c>
      <c r="J1232" s="519">
        <v>46057</v>
      </c>
      <c r="R1232" s="519">
        <v>46114</v>
      </c>
      <c r="U1232" s="519">
        <v>46174</v>
      </c>
    </row>
    <row r="1233" spans="1:21">
      <c r="A1233" t="s">
        <v>953</v>
      </c>
      <c r="B1233" t="s">
        <v>3624</v>
      </c>
      <c r="C1233" t="s">
        <v>953</v>
      </c>
      <c r="D1233">
        <v>20421887</v>
      </c>
      <c r="E1233" t="s">
        <v>2258</v>
      </c>
      <c r="F1233" t="s">
        <v>577</v>
      </c>
      <c r="G1233" t="s">
        <v>2246</v>
      </c>
      <c r="H1233" t="s">
        <v>592</v>
      </c>
      <c r="J1233" s="519">
        <v>46012</v>
      </c>
      <c r="R1233" s="519">
        <v>46114</v>
      </c>
      <c r="U1233" s="519">
        <v>46031</v>
      </c>
    </row>
    <row r="1234" spans="1:21">
      <c r="A1234" t="s">
        <v>953</v>
      </c>
      <c r="B1234" t="s">
        <v>3625</v>
      </c>
      <c r="C1234" t="s">
        <v>953</v>
      </c>
      <c r="D1234">
        <v>20424268</v>
      </c>
      <c r="E1234" t="s">
        <v>2258</v>
      </c>
      <c r="F1234" t="s">
        <v>579</v>
      </c>
      <c r="G1234" t="s">
        <v>2248</v>
      </c>
      <c r="H1234" t="s">
        <v>2361</v>
      </c>
      <c r="J1234" s="519">
        <v>46035</v>
      </c>
      <c r="R1234" s="519">
        <v>46114</v>
      </c>
      <c r="U1234" s="519">
        <v>46035</v>
      </c>
    </row>
    <row r="1235" spans="1:21">
      <c r="A1235" t="s">
        <v>953</v>
      </c>
      <c r="B1235" t="s">
        <v>2600</v>
      </c>
      <c r="C1235" t="s">
        <v>953</v>
      </c>
      <c r="D1235">
        <v>20441358</v>
      </c>
      <c r="E1235" t="s">
        <v>2258</v>
      </c>
      <c r="F1235" t="s">
        <v>984</v>
      </c>
      <c r="G1235" t="s">
        <v>2246</v>
      </c>
      <c r="H1235" t="s">
        <v>587</v>
      </c>
      <c r="J1235" s="519">
        <v>46058</v>
      </c>
      <c r="R1235" s="519">
        <v>46114</v>
      </c>
      <c r="U1235" s="519">
        <v>46155</v>
      </c>
    </row>
    <row r="1236" spans="1:21">
      <c r="A1236" t="s">
        <v>953</v>
      </c>
      <c r="B1236" t="s">
        <v>3626</v>
      </c>
      <c r="C1236" t="s">
        <v>953</v>
      </c>
      <c r="D1236">
        <v>20492639</v>
      </c>
      <c r="E1236" t="s">
        <v>2258</v>
      </c>
      <c r="F1236" t="s">
        <v>582</v>
      </c>
      <c r="G1236" t="s">
        <v>2248</v>
      </c>
      <c r="H1236" t="s">
        <v>588</v>
      </c>
      <c r="J1236" s="519">
        <v>46123</v>
      </c>
      <c r="R1236" s="519">
        <v>46139</v>
      </c>
      <c r="U1236" s="519">
        <v>46130</v>
      </c>
    </row>
    <row r="1237" spans="1:21">
      <c r="A1237" t="s">
        <v>953</v>
      </c>
      <c r="B1237" t="s">
        <v>7158</v>
      </c>
      <c r="C1237" t="s">
        <v>953</v>
      </c>
      <c r="D1237">
        <v>20500978</v>
      </c>
      <c r="E1237" t="s">
        <v>2258</v>
      </c>
      <c r="F1237" t="s">
        <v>581</v>
      </c>
      <c r="G1237" t="s">
        <v>2250</v>
      </c>
      <c r="H1237" t="s">
        <v>2361</v>
      </c>
      <c r="J1237" s="519">
        <v>46131</v>
      </c>
      <c r="R1237" s="519">
        <v>46139</v>
      </c>
      <c r="U1237" s="519">
        <v>46270</v>
      </c>
    </row>
    <row r="1238" spans="1:21">
      <c r="A1238" t="s">
        <v>953</v>
      </c>
      <c r="B1238" t="s">
        <v>3103</v>
      </c>
      <c r="C1238" t="s">
        <v>953</v>
      </c>
      <c r="D1238">
        <v>20475524</v>
      </c>
      <c r="E1238" t="s">
        <v>2258</v>
      </c>
      <c r="F1238" t="s">
        <v>581</v>
      </c>
      <c r="G1238" t="s">
        <v>2250</v>
      </c>
      <c r="H1238" t="s">
        <v>592</v>
      </c>
      <c r="J1238" s="519">
        <v>46099</v>
      </c>
      <c r="R1238" s="519">
        <v>46114</v>
      </c>
      <c r="U1238" s="519">
        <v>46160</v>
      </c>
    </row>
    <row r="1239" spans="1:21">
      <c r="A1239" t="s">
        <v>953</v>
      </c>
      <c r="B1239" t="s">
        <v>2601</v>
      </c>
      <c r="C1239" t="s">
        <v>953</v>
      </c>
      <c r="D1239">
        <v>20450443</v>
      </c>
      <c r="E1239" t="s">
        <v>2258</v>
      </c>
      <c r="F1239" t="s">
        <v>577</v>
      </c>
      <c r="G1239" t="s">
        <v>2290</v>
      </c>
      <c r="H1239" t="s">
        <v>587</v>
      </c>
      <c r="J1239" s="519">
        <v>46070</v>
      </c>
      <c r="R1239" s="519">
        <v>46114</v>
      </c>
      <c r="U1239" s="519">
        <v>46113</v>
      </c>
    </row>
    <row r="1240" spans="1:21">
      <c r="A1240" t="s">
        <v>953</v>
      </c>
      <c r="B1240" t="s">
        <v>7159</v>
      </c>
      <c r="C1240" t="s">
        <v>953</v>
      </c>
      <c r="D1240">
        <v>20495915</v>
      </c>
      <c r="E1240" t="s">
        <v>2258</v>
      </c>
      <c r="F1240" t="s">
        <v>581</v>
      </c>
      <c r="G1240" t="s">
        <v>2250</v>
      </c>
      <c r="H1240" t="s">
        <v>2361</v>
      </c>
      <c r="J1240" s="519">
        <v>46127</v>
      </c>
      <c r="R1240" s="519">
        <v>46139</v>
      </c>
      <c r="U1240" s="519">
        <v>46128</v>
      </c>
    </row>
    <row r="1241" spans="1:21">
      <c r="A1241" t="s">
        <v>953</v>
      </c>
      <c r="B1241" t="s">
        <v>2602</v>
      </c>
      <c r="C1241" t="s">
        <v>953</v>
      </c>
      <c r="D1241">
        <v>20456836</v>
      </c>
      <c r="E1241" t="s">
        <v>2258</v>
      </c>
      <c r="F1241" t="s">
        <v>579</v>
      </c>
      <c r="G1241" t="s">
        <v>2248</v>
      </c>
      <c r="H1241" t="s">
        <v>588</v>
      </c>
      <c r="J1241" s="519">
        <v>46077</v>
      </c>
      <c r="R1241" s="519">
        <v>46115</v>
      </c>
      <c r="U1241" s="519">
        <v>46077</v>
      </c>
    </row>
    <row r="1242" spans="1:21">
      <c r="A1242" t="s">
        <v>953</v>
      </c>
      <c r="B1242" t="s">
        <v>1004</v>
      </c>
      <c r="C1242" t="s">
        <v>953</v>
      </c>
      <c r="D1242">
        <v>20463160</v>
      </c>
      <c r="E1242" t="s">
        <v>2324</v>
      </c>
      <c r="F1242" t="s">
        <v>583</v>
      </c>
      <c r="G1242" t="s">
        <v>2248</v>
      </c>
      <c r="H1242" t="s">
        <v>588</v>
      </c>
      <c r="I1242" t="s">
        <v>2783</v>
      </c>
      <c r="J1242" s="519">
        <v>46086</v>
      </c>
      <c r="K1242" s="519">
        <v>46089</v>
      </c>
      <c r="L1242" s="519">
        <v>46089</v>
      </c>
      <c r="M1242" s="519">
        <v>46093</v>
      </c>
      <c r="N1242" s="519">
        <v>46093</v>
      </c>
      <c r="P1242" s="519">
        <v>46109</v>
      </c>
      <c r="Q1242" s="519">
        <v>46109</v>
      </c>
      <c r="U1242" s="519">
        <v>46137</v>
      </c>
    </row>
    <row r="1243" spans="1:21">
      <c r="A1243" t="s">
        <v>953</v>
      </c>
      <c r="B1243" t="s">
        <v>3627</v>
      </c>
      <c r="C1243" t="s">
        <v>953</v>
      </c>
      <c r="D1243">
        <v>20438514</v>
      </c>
      <c r="E1243" t="s">
        <v>2252</v>
      </c>
      <c r="F1243" t="s">
        <v>577</v>
      </c>
      <c r="G1243" t="s">
        <v>2250</v>
      </c>
      <c r="H1243" t="s">
        <v>587</v>
      </c>
      <c r="I1243" t="s">
        <v>3409</v>
      </c>
      <c r="J1243" s="519">
        <v>46053</v>
      </c>
      <c r="K1243" s="519">
        <v>46053</v>
      </c>
      <c r="R1243" s="519">
        <v>46114</v>
      </c>
      <c r="U1243" s="519">
        <v>46056</v>
      </c>
    </row>
    <row r="1244" spans="1:21">
      <c r="A1244" t="s">
        <v>953</v>
      </c>
      <c r="B1244" t="s">
        <v>7160</v>
      </c>
      <c r="C1244" t="s">
        <v>953</v>
      </c>
      <c r="D1244">
        <v>20497098</v>
      </c>
      <c r="E1244" t="s">
        <v>2258</v>
      </c>
      <c r="F1244" t="s">
        <v>581</v>
      </c>
      <c r="G1244" t="s">
        <v>2250</v>
      </c>
      <c r="H1244" t="s">
        <v>592</v>
      </c>
      <c r="J1244" s="519">
        <v>46127</v>
      </c>
      <c r="R1244" s="519">
        <v>46139</v>
      </c>
      <c r="U1244" s="519">
        <v>46184</v>
      </c>
    </row>
    <row r="1245" spans="1:21">
      <c r="A1245" t="s">
        <v>953</v>
      </c>
      <c r="B1245" t="s">
        <v>3105</v>
      </c>
      <c r="C1245" t="s">
        <v>953</v>
      </c>
      <c r="D1245">
        <v>20480105</v>
      </c>
      <c r="E1245" t="s">
        <v>2258</v>
      </c>
      <c r="F1245" t="s">
        <v>581</v>
      </c>
      <c r="G1245" t="s">
        <v>2290</v>
      </c>
      <c r="H1245" t="s">
        <v>591</v>
      </c>
      <c r="J1245" s="519">
        <v>46106</v>
      </c>
      <c r="R1245" s="519">
        <v>46114</v>
      </c>
      <c r="U1245" s="519">
        <v>46106</v>
      </c>
    </row>
    <row r="1246" spans="1:21">
      <c r="A1246" t="s">
        <v>953</v>
      </c>
      <c r="B1246" t="s">
        <v>3628</v>
      </c>
      <c r="C1246" t="s">
        <v>953</v>
      </c>
      <c r="D1246">
        <v>20417285</v>
      </c>
      <c r="E1246" t="s">
        <v>2258</v>
      </c>
      <c r="F1246" t="s">
        <v>581</v>
      </c>
      <c r="G1246" t="s">
        <v>1213</v>
      </c>
      <c r="H1246" t="s">
        <v>592</v>
      </c>
      <c r="J1246" s="519">
        <v>46025</v>
      </c>
      <c r="R1246" s="519">
        <v>46114</v>
      </c>
      <c r="U1246" s="519">
        <v>46025</v>
      </c>
    </row>
    <row r="1247" spans="1:21">
      <c r="A1247" t="s">
        <v>953</v>
      </c>
      <c r="B1247" t="s">
        <v>3629</v>
      </c>
      <c r="C1247" t="s">
        <v>953</v>
      </c>
      <c r="D1247">
        <v>20485806</v>
      </c>
      <c r="E1247" t="s">
        <v>2258</v>
      </c>
      <c r="F1247" t="s">
        <v>984</v>
      </c>
      <c r="G1247" t="s">
        <v>2250</v>
      </c>
      <c r="H1247" t="s">
        <v>592</v>
      </c>
      <c r="J1247" s="519">
        <v>46114</v>
      </c>
      <c r="R1247" s="519">
        <v>46115</v>
      </c>
      <c r="U1247" s="519">
        <v>46114</v>
      </c>
    </row>
    <row r="1248" spans="1:21">
      <c r="A1248" t="s">
        <v>953</v>
      </c>
      <c r="B1248" t="s">
        <v>3106</v>
      </c>
      <c r="C1248" t="s">
        <v>953</v>
      </c>
      <c r="D1248">
        <v>20483458</v>
      </c>
      <c r="E1248" t="s">
        <v>2258</v>
      </c>
      <c r="F1248" t="s">
        <v>581</v>
      </c>
      <c r="G1248" t="s">
        <v>2250</v>
      </c>
      <c r="H1248" t="s">
        <v>592</v>
      </c>
      <c r="J1248" s="519">
        <v>46111</v>
      </c>
      <c r="R1248" s="519">
        <v>46139</v>
      </c>
      <c r="U1248" s="519">
        <v>46263</v>
      </c>
    </row>
    <row r="1249" spans="1:21">
      <c r="A1249" t="s">
        <v>953</v>
      </c>
      <c r="B1249" t="s">
        <v>3630</v>
      </c>
      <c r="C1249" t="s">
        <v>953</v>
      </c>
      <c r="D1249">
        <v>20414571</v>
      </c>
      <c r="E1249" t="s">
        <v>2258</v>
      </c>
      <c r="F1249" t="s">
        <v>577</v>
      </c>
      <c r="G1249" t="s">
        <v>2259</v>
      </c>
      <c r="H1249" t="s">
        <v>587</v>
      </c>
      <c r="J1249" s="519">
        <v>46020</v>
      </c>
      <c r="R1249" s="519">
        <v>46114</v>
      </c>
      <c r="U1249" s="519">
        <v>46020</v>
      </c>
    </row>
    <row r="1250" spans="1:21">
      <c r="A1250" t="s">
        <v>953</v>
      </c>
      <c r="B1250" t="s">
        <v>3631</v>
      </c>
      <c r="C1250" t="s">
        <v>953</v>
      </c>
      <c r="D1250">
        <v>20414477</v>
      </c>
      <c r="E1250" t="s">
        <v>2252</v>
      </c>
      <c r="F1250" t="s">
        <v>579</v>
      </c>
      <c r="G1250" t="s">
        <v>2250</v>
      </c>
      <c r="H1250" t="s">
        <v>589</v>
      </c>
      <c r="I1250" t="s">
        <v>3632</v>
      </c>
      <c r="J1250" s="519">
        <v>46020</v>
      </c>
      <c r="K1250" s="519">
        <v>46020</v>
      </c>
      <c r="R1250" s="519">
        <v>46114</v>
      </c>
      <c r="U1250" s="519">
        <v>46052</v>
      </c>
    </row>
    <row r="1251" spans="1:21">
      <c r="A1251" t="s">
        <v>953</v>
      </c>
      <c r="B1251" t="s">
        <v>3107</v>
      </c>
      <c r="C1251" t="s">
        <v>953</v>
      </c>
      <c r="D1251">
        <v>20476851</v>
      </c>
      <c r="E1251" t="s">
        <v>2258</v>
      </c>
      <c r="F1251" t="s">
        <v>579</v>
      </c>
      <c r="G1251" t="s">
        <v>2248</v>
      </c>
      <c r="H1251" t="s">
        <v>588</v>
      </c>
      <c r="J1251" s="519">
        <v>46101</v>
      </c>
      <c r="R1251" s="519">
        <v>46114</v>
      </c>
      <c r="U1251" s="519">
        <v>46101</v>
      </c>
    </row>
    <row r="1252" spans="1:21">
      <c r="A1252" t="s">
        <v>953</v>
      </c>
      <c r="B1252" t="s">
        <v>7161</v>
      </c>
      <c r="C1252" t="s">
        <v>953</v>
      </c>
      <c r="D1252">
        <v>20509774</v>
      </c>
      <c r="E1252" t="s">
        <v>2245</v>
      </c>
      <c r="F1252" t="s">
        <v>581</v>
      </c>
      <c r="G1252" t="s">
        <v>1213</v>
      </c>
      <c r="H1252" t="s">
        <v>588</v>
      </c>
      <c r="J1252" s="519">
        <v>46137</v>
      </c>
      <c r="U1252" s="519">
        <v>46172</v>
      </c>
    </row>
    <row r="1253" spans="1:21">
      <c r="A1253" t="s">
        <v>953</v>
      </c>
      <c r="B1253" t="s">
        <v>7162</v>
      </c>
      <c r="C1253" t="s">
        <v>953</v>
      </c>
      <c r="D1253">
        <v>20503661</v>
      </c>
      <c r="E1253" t="s">
        <v>2258</v>
      </c>
      <c r="F1253" t="s">
        <v>581</v>
      </c>
      <c r="G1253" t="s">
        <v>2248</v>
      </c>
      <c r="H1253" t="s">
        <v>591</v>
      </c>
      <c r="J1253" s="519">
        <v>46132</v>
      </c>
      <c r="R1253" s="519">
        <v>46139</v>
      </c>
      <c r="U1253" s="519">
        <v>46142</v>
      </c>
    </row>
    <row r="1254" spans="1:21">
      <c r="A1254" t="s">
        <v>953</v>
      </c>
      <c r="B1254" t="s">
        <v>3108</v>
      </c>
      <c r="C1254" t="s">
        <v>953</v>
      </c>
      <c r="D1254">
        <v>20483672</v>
      </c>
      <c r="E1254" t="s">
        <v>2258</v>
      </c>
      <c r="F1254" t="s">
        <v>581</v>
      </c>
      <c r="G1254" t="s">
        <v>2250</v>
      </c>
      <c r="H1254" t="s">
        <v>592</v>
      </c>
      <c r="J1254" s="519">
        <v>46111</v>
      </c>
      <c r="R1254" s="519">
        <v>46139</v>
      </c>
      <c r="U1254" s="519">
        <v>46122</v>
      </c>
    </row>
    <row r="1255" spans="1:21">
      <c r="A1255" t="s">
        <v>953</v>
      </c>
      <c r="B1255" t="s">
        <v>2608</v>
      </c>
      <c r="C1255" t="s">
        <v>953</v>
      </c>
      <c r="D1255">
        <v>20442539</v>
      </c>
      <c r="E1255" t="s">
        <v>2258</v>
      </c>
      <c r="F1255" t="s">
        <v>581</v>
      </c>
      <c r="G1255" t="s">
        <v>2246</v>
      </c>
      <c r="H1255" t="s">
        <v>587</v>
      </c>
      <c r="J1255" s="519">
        <v>46059</v>
      </c>
      <c r="R1255" s="519">
        <v>46114</v>
      </c>
      <c r="U1255" s="519">
        <v>46160</v>
      </c>
    </row>
    <row r="1256" spans="1:21">
      <c r="A1256" t="s">
        <v>953</v>
      </c>
      <c r="B1256" t="s">
        <v>3109</v>
      </c>
      <c r="C1256" t="s">
        <v>953</v>
      </c>
      <c r="D1256">
        <v>20474170</v>
      </c>
      <c r="E1256" t="s">
        <v>2258</v>
      </c>
      <c r="F1256" t="s">
        <v>581</v>
      </c>
      <c r="G1256" t="s">
        <v>2250</v>
      </c>
      <c r="H1256" t="s">
        <v>592</v>
      </c>
      <c r="J1256" s="519">
        <v>46098</v>
      </c>
      <c r="R1256" s="519">
        <v>46114</v>
      </c>
      <c r="U1256" s="519">
        <v>46131</v>
      </c>
    </row>
    <row r="1257" spans="1:21">
      <c r="A1257" t="s">
        <v>953</v>
      </c>
      <c r="B1257" t="s">
        <v>7163</v>
      </c>
      <c r="C1257" t="s">
        <v>953</v>
      </c>
      <c r="D1257">
        <v>20509995</v>
      </c>
      <c r="E1257" t="s">
        <v>2245</v>
      </c>
      <c r="F1257" t="s">
        <v>581</v>
      </c>
      <c r="G1257" t="s">
        <v>1213</v>
      </c>
      <c r="H1257" t="s">
        <v>587</v>
      </c>
      <c r="J1257" s="519">
        <v>46137</v>
      </c>
      <c r="U1257" s="519">
        <v>46223</v>
      </c>
    </row>
    <row r="1258" spans="1:21">
      <c r="A1258" t="s">
        <v>953</v>
      </c>
      <c r="B1258" t="s">
        <v>3633</v>
      </c>
      <c r="C1258" t="s">
        <v>953</v>
      </c>
      <c r="D1258">
        <v>20415325</v>
      </c>
      <c r="E1258" t="s">
        <v>2258</v>
      </c>
      <c r="F1258" t="s">
        <v>1001</v>
      </c>
      <c r="G1258" t="s">
        <v>2248</v>
      </c>
      <c r="H1258" t="s">
        <v>588</v>
      </c>
      <c r="J1258" s="519">
        <v>46021</v>
      </c>
      <c r="R1258" s="519">
        <v>46114</v>
      </c>
      <c r="U1258" s="519">
        <v>46021</v>
      </c>
    </row>
    <row r="1259" spans="1:21">
      <c r="A1259" t="s">
        <v>953</v>
      </c>
      <c r="B1259" t="s">
        <v>7164</v>
      </c>
      <c r="C1259" t="s">
        <v>953</v>
      </c>
      <c r="D1259">
        <v>20496240</v>
      </c>
      <c r="E1259" t="s">
        <v>2258</v>
      </c>
      <c r="F1259" t="s">
        <v>984</v>
      </c>
      <c r="G1259" t="s">
        <v>2290</v>
      </c>
      <c r="H1259" t="s">
        <v>587</v>
      </c>
      <c r="J1259" s="519">
        <v>46127</v>
      </c>
      <c r="R1259" s="519">
        <v>46139</v>
      </c>
      <c r="U1259" s="519">
        <v>46127</v>
      </c>
    </row>
    <row r="1260" spans="1:21">
      <c r="A1260" t="s">
        <v>953</v>
      </c>
      <c r="B1260" t="s">
        <v>7165</v>
      </c>
      <c r="C1260" t="s">
        <v>953</v>
      </c>
      <c r="D1260">
        <v>20502862</v>
      </c>
      <c r="E1260" t="s">
        <v>1100</v>
      </c>
      <c r="F1260" t="s">
        <v>1001</v>
      </c>
      <c r="G1260" t="s">
        <v>2250</v>
      </c>
      <c r="H1260" t="s">
        <v>587</v>
      </c>
      <c r="J1260" s="519">
        <v>46132</v>
      </c>
      <c r="K1260" s="519">
        <v>46132</v>
      </c>
      <c r="U1260" s="519">
        <v>46188</v>
      </c>
    </row>
    <row r="1261" spans="1:21">
      <c r="A1261" t="s">
        <v>953</v>
      </c>
      <c r="B1261" t="s">
        <v>3634</v>
      </c>
      <c r="C1261" t="s">
        <v>953</v>
      </c>
      <c r="D1261">
        <v>20423433</v>
      </c>
      <c r="E1261" t="s">
        <v>2258</v>
      </c>
      <c r="F1261" t="s">
        <v>984</v>
      </c>
      <c r="G1261" t="s">
        <v>2259</v>
      </c>
      <c r="H1261" t="s">
        <v>2388</v>
      </c>
      <c r="J1261" s="519">
        <v>46034</v>
      </c>
      <c r="R1261" s="519">
        <v>46114</v>
      </c>
      <c r="U1261" s="519">
        <v>46035</v>
      </c>
    </row>
    <row r="1262" spans="1:21">
      <c r="A1262" t="s">
        <v>953</v>
      </c>
      <c r="B1262" t="s">
        <v>2610</v>
      </c>
      <c r="C1262" t="s">
        <v>953</v>
      </c>
      <c r="D1262">
        <v>20449462</v>
      </c>
      <c r="E1262" t="s">
        <v>2258</v>
      </c>
      <c r="F1262" t="s">
        <v>984</v>
      </c>
      <c r="G1262" t="s">
        <v>1213</v>
      </c>
      <c r="H1262" t="s">
        <v>587</v>
      </c>
      <c r="J1262" s="519">
        <v>46068</v>
      </c>
      <c r="R1262" s="519">
        <v>46114</v>
      </c>
      <c r="U1262" s="519">
        <v>46082</v>
      </c>
    </row>
    <row r="1263" spans="1:21">
      <c r="A1263" t="s">
        <v>953</v>
      </c>
      <c r="B1263" t="s">
        <v>3635</v>
      </c>
      <c r="C1263" t="s">
        <v>953</v>
      </c>
      <c r="D1263">
        <v>20424535</v>
      </c>
      <c r="E1263" t="s">
        <v>2258</v>
      </c>
      <c r="F1263" t="s">
        <v>2256</v>
      </c>
      <c r="G1263" t="s">
        <v>2248</v>
      </c>
      <c r="H1263" t="s">
        <v>591</v>
      </c>
      <c r="J1263" s="519">
        <v>46035</v>
      </c>
      <c r="R1263" s="519">
        <v>46114</v>
      </c>
      <c r="U1263" s="519">
        <v>46035</v>
      </c>
    </row>
    <row r="1264" spans="1:21">
      <c r="A1264" t="s">
        <v>953</v>
      </c>
      <c r="B1264" t="s">
        <v>7166</v>
      </c>
      <c r="C1264" t="s">
        <v>953</v>
      </c>
      <c r="D1264">
        <v>20496576</v>
      </c>
      <c r="E1264" t="s">
        <v>2258</v>
      </c>
      <c r="F1264" t="s">
        <v>581</v>
      </c>
      <c r="G1264" t="s">
        <v>2246</v>
      </c>
      <c r="H1264" t="s">
        <v>588</v>
      </c>
      <c r="J1264" s="519">
        <v>46127</v>
      </c>
      <c r="R1264" s="519">
        <v>46139</v>
      </c>
      <c r="U1264" s="519">
        <v>46134</v>
      </c>
    </row>
    <row r="1265" spans="1:21">
      <c r="A1265" t="s">
        <v>953</v>
      </c>
      <c r="B1265" t="s">
        <v>2612</v>
      </c>
      <c r="C1265" t="s">
        <v>953</v>
      </c>
      <c r="D1265">
        <v>20458834</v>
      </c>
      <c r="E1265" t="s">
        <v>2258</v>
      </c>
      <c r="F1265" t="s">
        <v>581</v>
      </c>
      <c r="G1265" t="s">
        <v>1213</v>
      </c>
      <c r="H1265" t="s">
        <v>591</v>
      </c>
      <c r="I1265" t="s">
        <v>1156</v>
      </c>
      <c r="J1265" s="519">
        <v>46080</v>
      </c>
      <c r="R1265" s="519">
        <v>46114</v>
      </c>
      <c r="U1265" s="519">
        <v>46080</v>
      </c>
    </row>
    <row r="1266" spans="1:21">
      <c r="A1266" t="s">
        <v>953</v>
      </c>
      <c r="B1266" t="s">
        <v>7167</v>
      </c>
      <c r="C1266" t="s">
        <v>953</v>
      </c>
      <c r="D1266">
        <v>20498522</v>
      </c>
      <c r="E1266" t="s">
        <v>1100</v>
      </c>
      <c r="F1266" t="s">
        <v>579</v>
      </c>
      <c r="G1266" t="s">
        <v>2250</v>
      </c>
      <c r="H1266" t="s">
        <v>2765</v>
      </c>
      <c r="I1266" t="s">
        <v>1739</v>
      </c>
      <c r="J1266" s="519">
        <v>46128</v>
      </c>
      <c r="K1266" s="519">
        <v>46128</v>
      </c>
      <c r="U1266" s="519">
        <v>46142</v>
      </c>
    </row>
    <row r="1267" spans="1:21">
      <c r="A1267" t="s">
        <v>953</v>
      </c>
      <c r="B1267" t="s">
        <v>7168</v>
      </c>
      <c r="C1267" t="s">
        <v>953</v>
      </c>
      <c r="D1267">
        <v>20500048</v>
      </c>
      <c r="E1267" t="s">
        <v>2258</v>
      </c>
      <c r="F1267" t="s">
        <v>984</v>
      </c>
      <c r="G1267" t="s">
        <v>2246</v>
      </c>
      <c r="H1267" t="s">
        <v>592</v>
      </c>
      <c r="J1267" s="519">
        <v>46129</v>
      </c>
      <c r="R1267" s="519">
        <v>46139</v>
      </c>
      <c r="U1267" s="519">
        <v>46171</v>
      </c>
    </row>
    <row r="1268" spans="1:21">
      <c r="A1268" t="s">
        <v>953</v>
      </c>
      <c r="B1268" t="s">
        <v>2613</v>
      </c>
      <c r="C1268" t="s">
        <v>953</v>
      </c>
      <c r="D1268">
        <v>20439638</v>
      </c>
      <c r="E1268" t="s">
        <v>2258</v>
      </c>
      <c r="F1268" t="s">
        <v>579</v>
      </c>
      <c r="G1268" t="s">
        <v>2248</v>
      </c>
      <c r="H1268" t="s">
        <v>588</v>
      </c>
      <c r="J1268" s="519">
        <v>46055</v>
      </c>
      <c r="R1268" s="519">
        <v>46114</v>
      </c>
      <c r="U1268" s="519">
        <v>46055</v>
      </c>
    </row>
    <row r="1269" spans="1:21">
      <c r="A1269" t="s">
        <v>953</v>
      </c>
      <c r="B1269" t="s">
        <v>3636</v>
      </c>
      <c r="C1269" t="s">
        <v>953</v>
      </c>
      <c r="D1269">
        <v>20480910</v>
      </c>
      <c r="E1269" t="s">
        <v>1100</v>
      </c>
      <c r="F1269" t="s">
        <v>582</v>
      </c>
      <c r="G1269" t="s">
        <v>2248</v>
      </c>
      <c r="H1269" t="s">
        <v>589</v>
      </c>
      <c r="I1269" t="s">
        <v>1120</v>
      </c>
      <c r="J1269" s="519">
        <v>46107</v>
      </c>
      <c r="K1269" s="519">
        <v>46119</v>
      </c>
      <c r="U1269" s="519">
        <v>46143</v>
      </c>
    </row>
    <row r="1270" spans="1:21">
      <c r="A1270" t="s">
        <v>953</v>
      </c>
      <c r="B1270" t="s">
        <v>3637</v>
      </c>
      <c r="C1270" t="s">
        <v>953</v>
      </c>
      <c r="D1270">
        <v>20487547</v>
      </c>
      <c r="E1270" t="s">
        <v>2258</v>
      </c>
      <c r="F1270" t="s">
        <v>984</v>
      </c>
      <c r="G1270" t="s">
        <v>2250</v>
      </c>
      <c r="H1270" t="s">
        <v>592</v>
      </c>
      <c r="J1270" s="519">
        <v>46117</v>
      </c>
      <c r="R1270" s="519">
        <v>46139</v>
      </c>
      <c r="U1270" s="519">
        <v>46123</v>
      </c>
    </row>
    <row r="1271" spans="1:21">
      <c r="A1271" t="s">
        <v>953</v>
      </c>
      <c r="B1271" t="s">
        <v>3638</v>
      </c>
      <c r="C1271" t="s">
        <v>953</v>
      </c>
      <c r="D1271">
        <v>20416774</v>
      </c>
      <c r="E1271" t="s">
        <v>2258</v>
      </c>
      <c r="F1271" t="s">
        <v>577</v>
      </c>
      <c r="G1271" t="s">
        <v>2248</v>
      </c>
      <c r="H1271" t="s">
        <v>592</v>
      </c>
      <c r="J1271" s="519">
        <v>46024</v>
      </c>
      <c r="R1271" s="519">
        <v>46114</v>
      </c>
      <c r="U1271" s="519">
        <v>46024</v>
      </c>
    </row>
    <row r="1272" spans="1:21">
      <c r="A1272" t="s">
        <v>953</v>
      </c>
      <c r="B1272" t="s">
        <v>3639</v>
      </c>
      <c r="C1272" t="s">
        <v>953</v>
      </c>
      <c r="D1272">
        <v>20417331</v>
      </c>
      <c r="E1272" t="s">
        <v>2258</v>
      </c>
      <c r="F1272" t="s">
        <v>581</v>
      </c>
      <c r="G1272" t="s">
        <v>2259</v>
      </c>
      <c r="H1272" t="s">
        <v>593</v>
      </c>
      <c r="J1272" s="519">
        <v>46025</v>
      </c>
      <c r="R1272" s="519">
        <v>46114</v>
      </c>
      <c r="U1272" s="519">
        <v>46025</v>
      </c>
    </row>
    <row r="1273" spans="1:21">
      <c r="A1273" t="s">
        <v>953</v>
      </c>
      <c r="B1273" t="s">
        <v>7169</v>
      </c>
      <c r="C1273" t="s">
        <v>953</v>
      </c>
      <c r="D1273">
        <v>20511376</v>
      </c>
      <c r="E1273" t="s">
        <v>2245</v>
      </c>
      <c r="F1273" t="s">
        <v>984</v>
      </c>
      <c r="G1273" t="s">
        <v>2250</v>
      </c>
      <c r="H1273" t="s">
        <v>592</v>
      </c>
      <c r="J1273" s="519">
        <v>46139</v>
      </c>
      <c r="U1273" s="519">
        <v>46235</v>
      </c>
    </row>
    <row r="1274" spans="1:21">
      <c r="A1274" t="s">
        <v>953</v>
      </c>
      <c r="B1274" t="s">
        <v>7170</v>
      </c>
      <c r="C1274" t="s">
        <v>953</v>
      </c>
      <c r="D1274">
        <v>20504617</v>
      </c>
      <c r="E1274" t="s">
        <v>2245</v>
      </c>
      <c r="F1274" t="s">
        <v>581</v>
      </c>
      <c r="G1274" t="s">
        <v>2259</v>
      </c>
      <c r="H1274" t="s">
        <v>592</v>
      </c>
      <c r="J1274" s="519">
        <v>46133</v>
      </c>
      <c r="U1274" s="519">
        <v>46133</v>
      </c>
    </row>
    <row r="1275" spans="1:21">
      <c r="A1275" t="s">
        <v>953</v>
      </c>
      <c r="B1275" t="s">
        <v>3640</v>
      </c>
      <c r="C1275" t="s">
        <v>953</v>
      </c>
      <c r="D1275">
        <v>20485940</v>
      </c>
      <c r="E1275" t="s">
        <v>2252</v>
      </c>
      <c r="F1275" t="s">
        <v>1001</v>
      </c>
      <c r="G1275" t="s">
        <v>2259</v>
      </c>
      <c r="H1275" t="s">
        <v>592</v>
      </c>
      <c r="I1275" t="s">
        <v>1151</v>
      </c>
      <c r="J1275" s="519">
        <v>46114</v>
      </c>
      <c r="K1275" s="519">
        <v>46115</v>
      </c>
      <c r="R1275" s="519">
        <v>46136</v>
      </c>
      <c r="U1275" s="519">
        <v>46130</v>
      </c>
    </row>
    <row r="1276" spans="1:21">
      <c r="A1276" t="s">
        <v>953</v>
      </c>
      <c r="B1276" t="s">
        <v>3112</v>
      </c>
      <c r="C1276" t="s">
        <v>953</v>
      </c>
      <c r="D1276">
        <v>20471352</v>
      </c>
      <c r="E1276" t="s">
        <v>2258</v>
      </c>
      <c r="F1276" t="s">
        <v>984</v>
      </c>
      <c r="G1276" t="s">
        <v>2250</v>
      </c>
      <c r="H1276" t="s">
        <v>592</v>
      </c>
      <c r="J1276" s="519">
        <v>46095</v>
      </c>
      <c r="R1276" s="519">
        <v>46114</v>
      </c>
      <c r="U1276" s="519">
        <v>46111</v>
      </c>
    </row>
    <row r="1277" spans="1:21">
      <c r="A1277" t="s">
        <v>953</v>
      </c>
      <c r="B1277" t="s">
        <v>7171</v>
      </c>
      <c r="C1277" t="s">
        <v>953</v>
      </c>
      <c r="D1277">
        <v>20487463</v>
      </c>
      <c r="E1277" t="s">
        <v>2245</v>
      </c>
      <c r="F1277" t="s">
        <v>984</v>
      </c>
      <c r="G1277" t="s">
        <v>1213</v>
      </c>
      <c r="H1277" t="s">
        <v>587</v>
      </c>
      <c r="I1277" t="s">
        <v>1156</v>
      </c>
      <c r="J1277" s="519">
        <v>46117</v>
      </c>
      <c r="U1277" s="519">
        <v>46220</v>
      </c>
    </row>
    <row r="1278" spans="1:21">
      <c r="A1278" t="s">
        <v>953</v>
      </c>
      <c r="B1278" t="s">
        <v>3641</v>
      </c>
      <c r="C1278" t="s">
        <v>953</v>
      </c>
      <c r="D1278">
        <v>20490378</v>
      </c>
      <c r="E1278" t="s">
        <v>2258</v>
      </c>
      <c r="F1278" t="s">
        <v>581</v>
      </c>
      <c r="G1278" t="s">
        <v>2250</v>
      </c>
      <c r="H1278" t="s">
        <v>592</v>
      </c>
      <c r="J1278" s="519">
        <v>46120</v>
      </c>
      <c r="R1278" s="519">
        <v>46139</v>
      </c>
      <c r="U1278" s="519">
        <v>46121</v>
      </c>
    </row>
    <row r="1279" spans="1:21">
      <c r="A1279" t="s">
        <v>953</v>
      </c>
      <c r="B1279" t="s">
        <v>3642</v>
      </c>
      <c r="C1279" t="s">
        <v>953</v>
      </c>
      <c r="D1279">
        <v>20430817</v>
      </c>
      <c r="E1279" t="s">
        <v>2258</v>
      </c>
      <c r="F1279" t="s">
        <v>2256</v>
      </c>
      <c r="G1279" t="s">
        <v>2259</v>
      </c>
      <c r="H1279" t="s">
        <v>592</v>
      </c>
      <c r="J1279" s="519">
        <v>46042</v>
      </c>
      <c r="R1279" s="519">
        <v>46114</v>
      </c>
      <c r="U1279" s="519">
        <v>46042</v>
      </c>
    </row>
    <row r="1280" spans="1:21">
      <c r="A1280" t="s">
        <v>953</v>
      </c>
      <c r="B1280" t="s">
        <v>2614</v>
      </c>
      <c r="C1280" t="s">
        <v>953</v>
      </c>
      <c r="D1280">
        <v>20448263</v>
      </c>
      <c r="E1280" t="s">
        <v>2258</v>
      </c>
      <c r="F1280" t="s">
        <v>581</v>
      </c>
      <c r="G1280" t="s">
        <v>2259</v>
      </c>
      <c r="H1280" t="s">
        <v>592</v>
      </c>
      <c r="J1280" s="519">
        <v>46066</v>
      </c>
      <c r="R1280" s="519">
        <v>46114</v>
      </c>
      <c r="U1280" s="519">
        <v>46068</v>
      </c>
    </row>
    <row r="1281" spans="1:21">
      <c r="A1281" t="s">
        <v>953</v>
      </c>
      <c r="B1281" t="s">
        <v>3643</v>
      </c>
      <c r="C1281" t="s">
        <v>953</v>
      </c>
      <c r="D1281">
        <v>20424700</v>
      </c>
      <c r="E1281" t="s">
        <v>2258</v>
      </c>
      <c r="F1281" t="s">
        <v>581</v>
      </c>
      <c r="G1281" t="s">
        <v>2246</v>
      </c>
      <c r="H1281" t="s">
        <v>593</v>
      </c>
      <c r="J1281" s="519">
        <v>46035</v>
      </c>
      <c r="R1281" s="519">
        <v>46114</v>
      </c>
      <c r="U1281" s="519">
        <v>46045</v>
      </c>
    </row>
    <row r="1282" spans="1:21">
      <c r="A1282" t="s">
        <v>953</v>
      </c>
      <c r="B1282" t="s">
        <v>3644</v>
      </c>
      <c r="C1282" t="s">
        <v>953</v>
      </c>
      <c r="D1282">
        <v>20434533</v>
      </c>
      <c r="E1282" t="s">
        <v>2252</v>
      </c>
      <c r="F1282" t="s">
        <v>577</v>
      </c>
      <c r="G1282" t="s">
        <v>2250</v>
      </c>
      <c r="H1282" t="s">
        <v>587</v>
      </c>
      <c r="J1282" s="519">
        <v>46047</v>
      </c>
      <c r="K1282" s="519">
        <v>46047</v>
      </c>
      <c r="R1282" s="519">
        <v>46114</v>
      </c>
      <c r="U1282" s="519">
        <v>46081</v>
      </c>
    </row>
    <row r="1283" spans="1:21">
      <c r="A1283" t="s">
        <v>953</v>
      </c>
      <c r="B1283" t="s">
        <v>7172</v>
      </c>
      <c r="C1283" t="s">
        <v>953</v>
      </c>
      <c r="D1283">
        <v>20418275</v>
      </c>
      <c r="E1283" t="s">
        <v>2258</v>
      </c>
      <c r="F1283" t="s">
        <v>581</v>
      </c>
      <c r="G1283" t="s">
        <v>2246</v>
      </c>
      <c r="H1283" t="s">
        <v>593</v>
      </c>
      <c r="J1283" s="519">
        <v>46027</v>
      </c>
      <c r="R1283" s="519">
        <v>46139</v>
      </c>
      <c r="U1283" s="519">
        <v>46143</v>
      </c>
    </row>
    <row r="1284" spans="1:21">
      <c r="A1284" t="s">
        <v>953</v>
      </c>
      <c r="B1284" t="s">
        <v>3645</v>
      </c>
      <c r="C1284" t="s">
        <v>953</v>
      </c>
      <c r="D1284">
        <v>20492896</v>
      </c>
      <c r="E1284" t="s">
        <v>2258</v>
      </c>
      <c r="F1284" t="s">
        <v>581</v>
      </c>
      <c r="G1284" t="s">
        <v>2250</v>
      </c>
      <c r="H1284" t="s">
        <v>592</v>
      </c>
      <c r="J1284" s="519">
        <v>46124</v>
      </c>
      <c r="R1284" s="519">
        <v>46139</v>
      </c>
      <c r="U1284" s="519">
        <v>46142</v>
      </c>
    </row>
    <row r="1285" spans="1:21">
      <c r="A1285" t="s">
        <v>953</v>
      </c>
      <c r="B1285" t="s">
        <v>7173</v>
      </c>
      <c r="C1285" t="s">
        <v>953</v>
      </c>
      <c r="D1285">
        <v>20505805</v>
      </c>
      <c r="E1285" t="s">
        <v>1100</v>
      </c>
      <c r="F1285" t="s">
        <v>581</v>
      </c>
      <c r="G1285" t="s">
        <v>1213</v>
      </c>
      <c r="H1285" t="s">
        <v>592</v>
      </c>
      <c r="J1285" s="519">
        <v>46134</v>
      </c>
      <c r="K1285" s="519">
        <v>46134</v>
      </c>
      <c r="U1285" s="519">
        <v>46188</v>
      </c>
    </row>
    <row r="1286" spans="1:21">
      <c r="A1286" t="s">
        <v>953</v>
      </c>
      <c r="B1286" t="s">
        <v>3113</v>
      </c>
      <c r="C1286" t="s">
        <v>953</v>
      </c>
      <c r="D1286">
        <v>20471990</v>
      </c>
      <c r="E1286" t="s">
        <v>2258</v>
      </c>
      <c r="F1286" t="s">
        <v>581</v>
      </c>
      <c r="G1286" t="s">
        <v>2250</v>
      </c>
      <c r="H1286" t="s">
        <v>592</v>
      </c>
      <c r="J1286" s="519">
        <v>46096</v>
      </c>
      <c r="R1286" s="519">
        <v>46114</v>
      </c>
      <c r="U1286" s="519">
        <v>46097</v>
      </c>
    </row>
    <row r="1287" spans="1:21">
      <c r="A1287" t="s">
        <v>953</v>
      </c>
      <c r="B1287" t="s">
        <v>3646</v>
      </c>
      <c r="C1287" t="s">
        <v>953</v>
      </c>
      <c r="D1287">
        <v>20436334</v>
      </c>
      <c r="E1287" t="s">
        <v>2258</v>
      </c>
      <c r="F1287" t="s">
        <v>984</v>
      </c>
      <c r="G1287" t="s">
        <v>2259</v>
      </c>
      <c r="H1287" t="s">
        <v>2388</v>
      </c>
      <c r="J1287" s="519">
        <v>46050</v>
      </c>
      <c r="R1287" s="519">
        <v>46114</v>
      </c>
      <c r="U1287" s="519">
        <v>46050</v>
      </c>
    </row>
    <row r="1288" spans="1:21">
      <c r="A1288" t="s">
        <v>953</v>
      </c>
      <c r="B1288" t="s">
        <v>7174</v>
      </c>
      <c r="C1288" t="s">
        <v>953</v>
      </c>
      <c r="D1288">
        <v>20500269</v>
      </c>
      <c r="E1288" t="s">
        <v>2258</v>
      </c>
      <c r="F1288" t="s">
        <v>984</v>
      </c>
      <c r="G1288" t="s">
        <v>2250</v>
      </c>
      <c r="H1288" t="s">
        <v>592</v>
      </c>
      <c r="J1288" s="519">
        <v>46129</v>
      </c>
      <c r="R1288" s="519">
        <v>46139</v>
      </c>
      <c r="U1288" s="519">
        <v>46143</v>
      </c>
    </row>
    <row r="1289" spans="1:21">
      <c r="A1289" t="s">
        <v>953</v>
      </c>
      <c r="B1289" t="s">
        <v>3647</v>
      </c>
      <c r="C1289" t="s">
        <v>953</v>
      </c>
      <c r="D1289">
        <v>20436953</v>
      </c>
      <c r="E1289" t="s">
        <v>2258</v>
      </c>
      <c r="F1289" t="s">
        <v>578</v>
      </c>
      <c r="G1289" t="s">
        <v>2246</v>
      </c>
      <c r="H1289" t="s">
        <v>593</v>
      </c>
      <c r="J1289" s="519">
        <v>46051</v>
      </c>
      <c r="R1289" s="519">
        <v>46114</v>
      </c>
      <c r="U1289" s="519">
        <v>46087</v>
      </c>
    </row>
    <row r="1290" spans="1:21">
      <c r="A1290" t="s">
        <v>953</v>
      </c>
      <c r="B1290" t="s">
        <v>3648</v>
      </c>
      <c r="C1290" t="s">
        <v>953</v>
      </c>
      <c r="D1290">
        <v>20424070</v>
      </c>
      <c r="E1290" t="s">
        <v>2258</v>
      </c>
      <c r="F1290" t="s">
        <v>2256</v>
      </c>
      <c r="G1290" t="s">
        <v>2248</v>
      </c>
      <c r="H1290" t="s">
        <v>588</v>
      </c>
      <c r="J1290" s="519">
        <v>46035</v>
      </c>
      <c r="R1290" s="519">
        <v>46114</v>
      </c>
      <c r="U1290" s="519">
        <v>46035</v>
      </c>
    </row>
    <row r="1291" spans="1:21">
      <c r="A1291" t="s">
        <v>953</v>
      </c>
      <c r="B1291" t="s">
        <v>7175</v>
      </c>
      <c r="C1291" t="s">
        <v>953</v>
      </c>
      <c r="D1291">
        <v>20510223</v>
      </c>
      <c r="E1291" t="s">
        <v>2245</v>
      </c>
      <c r="F1291" t="s">
        <v>581</v>
      </c>
      <c r="G1291" t="s">
        <v>2290</v>
      </c>
      <c r="H1291" t="s">
        <v>592</v>
      </c>
      <c r="J1291" s="519">
        <v>46138</v>
      </c>
      <c r="U1291" s="519">
        <v>46296</v>
      </c>
    </row>
    <row r="1292" spans="1:21">
      <c r="A1292" t="s">
        <v>953</v>
      </c>
      <c r="B1292" t="s">
        <v>7176</v>
      </c>
      <c r="C1292" t="s">
        <v>953</v>
      </c>
      <c r="D1292">
        <v>20504653</v>
      </c>
      <c r="E1292" t="s">
        <v>1100</v>
      </c>
      <c r="F1292" t="s">
        <v>578</v>
      </c>
      <c r="G1292" t="s">
        <v>2250</v>
      </c>
      <c r="H1292" t="s">
        <v>587</v>
      </c>
      <c r="J1292" s="519">
        <v>46133</v>
      </c>
      <c r="K1292" s="519">
        <v>46133</v>
      </c>
      <c r="U1292" s="519">
        <v>46133</v>
      </c>
    </row>
    <row r="1293" spans="1:21">
      <c r="A1293" t="s">
        <v>953</v>
      </c>
      <c r="B1293" t="s">
        <v>7177</v>
      </c>
      <c r="C1293" t="s">
        <v>953</v>
      </c>
      <c r="D1293">
        <v>20499930</v>
      </c>
      <c r="E1293" t="s">
        <v>2258</v>
      </c>
      <c r="F1293" t="s">
        <v>984</v>
      </c>
      <c r="G1293" t="s">
        <v>2259</v>
      </c>
      <c r="H1293" t="s">
        <v>592</v>
      </c>
      <c r="J1293" s="519">
        <v>46129</v>
      </c>
      <c r="R1293" s="519">
        <v>46139</v>
      </c>
      <c r="U1293" s="519">
        <v>46129</v>
      </c>
    </row>
    <row r="1294" spans="1:21">
      <c r="A1294" t="s">
        <v>953</v>
      </c>
      <c r="B1294" t="s">
        <v>2615</v>
      </c>
      <c r="C1294" t="s">
        <v>953</v>
      </c>
      <c r="D1294">
        <v>20458502</v>
      </c>
      <c r="E1294" t="s">
        <v>2258</v>
      </c>
      <c r="F1294" t="s">
        <v>581</v>
      </c>
      <c r="G1294" t="s">
        <v>2290</v>
      </c>
      <c r="H1294" t="s">
        <v>587</v>
      </c>
      <c r="J1294" s="519">
        <v>46079</v>
      </c>
      <c r="R1294" s="519">
        <v>46114</v>
      </c>
      <c r="U1294" s="519">
        <v>46110</v>
      </c>
    </row>
    <row r="1295" spans="1:21">
      <c r="A1295" t="s">
        <v>953</v>
      </c>
      <c r="B1295" t="s">
        <v>3649</v>
      </c>
      <c r="C1295" t="s">
        <v>953</v>
      </c>
      <c r="D1295">
        <v>20419133</v>
      </c>
      <c r="E1295" t="s">
        <v>2258</v>
      </c>
      <c r="F1295" t="s">
        <v>579</v>
      </c>
      <c r="G1295" t="s">
        <v>2259</v>
      </c>
      <c r="H1295" t="s">
        <v>588</v>
      </c>
      <c r="J1295" s="519">
        <v>46028</v>
      </c>
      <c r="R1295" s="519">
        <v>46114</v>
      </c>
      <c r="U1295" s="519">
        <v>46028</v>
      </c>
    </row>
    <row r="1296" spans="1:21">
      <c r="A1296" t="s">
        <v>953</v>
      </c>
      <c r="B1296" t="s">
        <v>3650</v>
      </c>
      <c r="C1296" t="s">
        <v>953</v>
      </c>
      <c r="D1296">
        <v>20486594</v>
      </c>
      <c r="E1296" t="s">
        <v>2258</v>
      </c>
      <c r="F1296" t="s">
        <v>581</v>
      </c>
      <c r="G1296" t="s">
        <v>2259</v>
      </c>
      <c r="H1296" t="s">
        <v>592</v>
      </c>
      <c r="I1296" t="s">
        <v>986</v>
      </c>
      <c r="J1296" s="519">
        <v>46115</v>
      </c>
      <c r="R1296" s="519">
        <v>46139</v>
      </c>
      <c r="U1296" s="519">
        <v>46115</v>
      </c>
    </row>
    <row r="1297" spans="1:21">
      <c r="A1297" t="s">
        <v>953</v>
      </c>
      <c r="B1297" t="s">
        <v>3651</v>
      </c>
      <c r="C1297" t="s">
        <v>953</v>
      </c>
      <c r="D1297">
        <v>20492782</v>
      </c>
      <c r="E1297" t="s">
        <v>2258</v>
      </c>
      <c r="F1297" t="s">
        <v>581</v>
      </c>
      <c r="G1297" t="s">
        <v>2250</v>
      </c>
      <c r="H1297" t="s">
        <v>2361</v>
      </c>
      <c r="J1297" s="519">
        <v>46124</v>
      </c>
      <c r="R1297" s="519">
        <v>46139</v>
      </c>
      <c r="U1297" s="519">
        <v>46188</v>
      </c>
    </row>
    <row r="1298" spans="1:21">
      <c r="A1298" t="s">
        <v>953</v>
      </c>
      <c r="B1298" t="s">
        <v>3114</v>
      </c>
      <c r="C1298" t="s">
        <v>953</v>
      </c>
      <c r="D1298">
        <v>20475942</v>
      </c>
      <c r="E1298" t="s">
        <v>2258</v>
      </c>
      <c r="F1298" t="s">
        <v>581</v>
      </c>
      <c r="G1298" t="s">
        <v>2248</v>
      </c>
      <c r="H1298" t="s">
        <v>588</v>
      </c>
      <c r="J1298" s="519">
        <v>46100</v>
      </c>
      <c r="R1298" s="519">
        <v>46114</v>
      </c>
      <c r="U1298" s="519">
        <v>46143</v>
      </c>
    </row>
    <row r="1299" spans="1:21">
      <c r="A1299" t="s">
        <v>953</v>
      </c>
      <c r="B1299" t="s">
        <v>3115</v>
      </c>
      <c r="C1299" t="s">
        <v>953</v>
      </c>
      <c r="D1299">
        <v>20471888</v>
      </c>
      <c r="E1299" t="s">
        <v>2258</v>
      </c>
      <c r="F1299" t="s">
        <v>581</v>
      </c>
      <c r="G1299" t="s">
        <v>2250</v>
      </c>
      <c r="H1299" t="s">
        <v>592</v>
      </c>
      <c r="J1299" s="519">
        <v>46096</v>
      </c>
      <c r="R1299" s="519">
        <v>46114</v>
      </c>
      <c r="U1299" s="519">
        <v>46128</v>
      </c>
    </row>
    <row r="1300" spans="1:21">
      <c r="A1300" t="s">
        <v>953</v>
      </c>
      <c r="B1300" t="s">
        <v>7178</v>
      </c>
      <c r="C1300" t="s">
        <v>953</v>
      </c>
      <c r="D1300">
        <v>20511134</v>
      </c>
      <c r="E1300" t="s">
        <v>2245</v>
      </c>
      <c r="F1300" t="s">
        <v>984</v>
      </c>
      <c r="G1300" t="s">
        <v>2250</v>
      </c>
      <c r="H1300" t="s">
        <v>592</v>
      </c>
      <c r="J1300" s="519">
        <v>46139</v>
      </c>
      <c r="U1300" s="519">
        <v>46171</v>
      </c>
    </row>
    <row r="1301" spans="1:21">
      <c r="A1301" t="s">
        <v>953</v>
      </c>
      <c r="B1301" t="s">
        <v>3652</v>
      </c>
      <c r="C1301" t="s">
        <v>953</v>
      </c>
      <c r="D1301">
        <v>20487294</v>
      </c>
      <c r="E1301" t="s">
        <v>2258</v>
      </c>
      <c r="F1301" t="s">
        <v>984</v>
      </c>
      <c r="G1301" t="s">
        <v>2250</v>
      </c>
      <c r="H1301" t="s">
        <v>592</v>
      </c>
      <c r="J1301" s="519">
        <v>46116</v>
      </c>
      <c r="R1301" s="519">
        <v>46139</v>
      </c>
      <c r="U1301" s="519">
        <v>46204</v>
      </c>
    </row>
    <row r="1302" spans="1:21">
      <c r="A1302" t="s">
        <v>953</v>
      </c>
      <c r="B1302" t="s">
        <v>3653</v>
      </c>
      <c r="C1302" t="s">
        <v>953</v>
      </c>
      <c r="D1302">
        <v>20491958</v>
      </c>
      <c r="E1302" t="s">
        <v>2252</v>
      </c>
      <c r="F1302" t="s">
        <v>582</v>
      </c>
      <c r="G1302" t="s">
        <v>2250</v>
      </c>
      <c r="H1302" t="s">
        <v>587</v>
      </c>
      <c r="I1302" t="s">
        <v>1030</v>
      </c>
      <c r="J1302" s="519">
        <v>46122</v>
      </c>
      <c r="K1302" s="519">
        <v>46122</v>
      </c>
      <c r="L1302" s="519">
        <v>46122</v>
      </c>
      <c r="R1302" s="519">
        <v>46128</v>
      </c>
      <c r="U1302" s="519">
        <v>46130</v>
      </c>
    </row>
    <row r="1303" spans="1:21">
      <c r="A1303" t="s">
        <v>953</v>
      </c>
      <c r="B1303" t="s">
        <v>3653</v>
      </c>
      <c r="C1303" t="s">
        <v>953</v>
      </c>
      <c r="D1303">
        <v>20489516</v>
      </c>
      <c r="E1303" t="s">
        <v>2258</v>
      </c>
      <c r="F1303" t="s">
        <v>582</v>
      </c>
      <c r="G1303" t="s">
        <v>2250</v>
      </c>
      <c r="H1303" t="s">
        <v>592</v>
      </c>
      <c r="I1303" t="s">
        <v>2818</v>
      </c>
      <c r="J1303" s="519">
        <v>46119</v>
      </c>
      <c r="R1303" s="519">
        <v>46123</v>
      </c>
      <c r="U1303" s="519">
        <v>46153</v>
      </c>
    </row>
    <row r="1304" spans="1:21">
      <c r="A1304" t="s">
        <v>953</v>
      </c>
      <c r="B1304" t="s">
        <v>3116</v>
      </c>
      <c r="C1304" t="s">
        <v>953</v>
      </c>
      <c r="D1304">
        <v>20478172</v>
      </c>
      <c r="E1304" t="s">
        <v>2252</v>
      </c>
      <c r="F1304" t="s">
        <v>984</v>
      </c>
      <c r="G1304" t="s">
        <v>2250</v>
      </c>
      <c r="H1304" t="s">
        <v>592</v>
      </c>
      <c r="I1304" t="s">
        <v>1120</v>
      </c>
      <c r="J1304" s="519">
        <v>46104</v>
      </c>
      <c r="K1304" s="519">
        <v>46105</v>
      </c>
      <c r="R1304" s="519">
        <v>46114</v>
      </c>
      <c r="U1304" s="519">
        <v>46134</v>
      </c>
    </row>
    <row r="1305" spans="1:21">
      <c r="A1305" t="s">
        <v>953</v>
      </c>
      <c r="B1305" t="s">
        <v>3654</v>
      </c>
      <c r="C1305" t="s">
        <v>953</v>
      </c>
      <c r="D1305">
        <v>20492833</v>
      </c>
      <c r="E1305" t="s">
        <v>2258</v>
      </c>
      <c r="F1305" t="s">
        <v>581</v>
      </c>
      <c r="G1305" t="s">
        <v>2250</v>
      </c>
      <c r="H1305" t="s">
        <v>2361</v>
      </c>
      <c r="J1305" s="519">
        <v>46124</v>
      </c>
      <c r="R1305" s="519">
        <v>46139</v>
      </c>
      <c r="U1305" s="519">
        <v>46142</v>
      </c>
    </row>
    <row r="1306" spans="1:21">
      <c r="A1306" t="s">
        <v>953</v>
      </c>
      <c r="B1306" t="s">
        <v>3655</v>
      </c>
      <c r="C1306" t="s">
        <v>953</v>
      </c>
      <c r="D1306">
        <v>20417632</v>
      </c>
      <c r="E1306" t="s">
        <v>2258</v>
      </c>
      <c r="F1306" t="s">
        <v>984</v>
      </c>
      <c r="G1306" t="s">
        <v>1213</v>
      </c>
      <c r="H1306" t="s">
        <v>591</v>
      </c>
      <c r="J1306" s="519">
        <v>46025</v>
      </c>
      <c r="R1306" s="519">
        <v>46114</v>
      </c>
      <c r="U1306" s="519">
        <v>46025</v>
      </c>
    </row>
    <row r="1307" spans="1:21">
      <c r="A1307" t="s">
        <v>953</v>
      </c>
      <c r="B1307" t="s">
        <v>3117</v>
      </c>
      <c r="C1307" t="s">
        <v>953</v>
      </c>
      <c r="D1307">
        <v>20483448</v>
      </c>
      <c r="E1307" t="s">
        <v>2252</v>
      </c>
      <c r="F1307" t="s">
        <v>1115</v>
      </c>
      <c r="G1307" t="s">
        <v>2250</v>
      </c>
      <c r="H1307" t="s">
        <v>587</v>
      </c>
      <c r="I1307" t="s">
        <v>3118</v>
      </c>
      <c r="J1307" s="519">
        <v>46111</v>
      </c>
      <c r="K1307" s="519">
        <v>46111</v>
      </c>
      <c r="R1307" s="519">
        <v>46116</v>
      </c>
      <c r="U1307" s="519">
        <v>46111</v>
      </c>
    </row>
    <row r="1308" spans="1:21">
      <c r="A1308" t="s">
        <v>953</v>
      </c>
      <c r="B1308" t="s">
        <v>7179</v>
      </c>
      <c r="C1308" t="s">
        <v>953</v>
      </c>
      <c r="D1308">
        <v>20512330</v>
      </c>
      <c r="E1308" t="s">
        <v>2245</v>
      </c>
      <c r="F1308" t="s">
        <v>581</v>
      </c>
      <c r="G1308" t="s">
        <v>1213</v>
      </c>
      <c r="H1308" t="s">
        <v>587</v>
      </c>
      <c r="J1308" s="519">
        <v>46140</v>
      </c>
      <c r="U1308" s="519">
        <v>46140</v>
      </c>
    </row>
    <row r="1309" spans="1:21">
      <c r="A1309" t="s">
        <v>953</v>
      </c>
      <c r="B1309" t="s">
        <v>3656</v>
      </c>
      <c r="C1309" t="s">
        <v>953</v>
      </c>
      <c r="D1309">
        <v>20491427</v>
      </c>
      <c r="E1309" t="s">
        <v>2258</v>
      </c>
      <c r="F1309" t="s">
        <v>581</v>
      </c>
      <c r="G1309" t="s">
        <v>2250</v>
      </c>
      <c r="H1309" t="s">
        <v>592</v>
      </c>
      <c r="J1309" s="519">
        <v>46122</v>
      </c>
      <c r="R1309" s="519">
        <v>46139</v>
      </c>
      <c r="U1309" s="519">
        <v>46204</v>
      </c>
    </row>
    <row r="1310" spans="1:21">
      <c r="A1310" t="s">
        <v>953</v>
      </c>
      <c r="B1310" t="s">
        <v>3120</v>
      </c>
      <c r="C1310" t="s">
        <v>953</v>
      </c>
      <c r="D1310">
        <v>20478278</v>
      </c>
      <c r="E1310" t="s">
        <v>2258</v>
      </c>
      <c r="F1310" t="s">
        <v>581</v>
      </c>
      <c r="G1310" t="s">
        <v>2246</v>
      </c>
      <c r="H1310" t="s">
        <v>588</v>
      </c>
      <c r="J1310" s="519">
        <v>46104</v>
      </c>
      <c r="R1310" s="519">
        <v>46114</v>
      </c>
      <c r="U1310" s="519">
        <v>46143</v>
      </c>
    </row>
    <row r="1311" spans="1:21">
      <c r="A1311" t="s">
        <v>953</v>
      </c>
      <c r="B1311" t="s">
        <v>3121</v>
      </c>
      <c r="C1311" t="s">
        <v>953</v>
      </c>
      <c r="D1311">
        <v>20476332</v>
      </c>
      <c r="E1311" t="s">
        <v>2258</v>
      </c>
      <c r="F1311" t="s">
        <v>581</v>
      </c>
      <c r="G1311" t="s">
        <v>2250</v>
      </c>
      <c r="H1311" t="s">
        <v>592</v>
      </c>
      <c r="J1311" s="519">
        <v>46100</v>
      </c>
      <c r="R1311" s="519">
        <v>46139</v>
      </c>
      <c r="U1311" s="519">
        <v>46144</v>
      </c>
    </row>
    <row r="1312" spans="1:21">
      <c r="A1312" t="s">
        <v>953</v>
      </c>
      <c r="B1312" t="s">
        <v>7180</v>
      </c>
      <c r="C1312" t="s">
        <v>953</v>
      </c>
      <c r="D1312">
        <v>20506133</v>
      </c>
      <c r="E1312" t="s">
        <v>2245</v>
      </c>
      <c r="F1312" t="s">
        <v>984</v>
      </c>
      <c r="G1312" t="s">
        <v>2259</v>
      </c>
      <c r="H1312" t="s">
        <v>2388</v>
      </c>
      <c r="J1312" s="519">
        <v>46134</v>
      </c>
      <c r="U1312" s="519">
        <v>46134</v>
      </c>
    </row>
    <row r="1313" spans="1:21">
      <c r="A1313" t="s">
        <v>953</v>
      </c>
      <c r="B1313" t="s">
        <v>3657</v>
      </c>
      <c r="C1313" t="s">
        <v>953</v>
      </c>
      <c r="D1313">
        <v>20432376</v>
      </c>
      <c r="E1313" t="s">
        <v>2258</v>
      </c>
      <c r="F1313" t="s">
        <v>579</v>
      </c>
      <c r="G1313" t="s">
        <v>2259</v>
      </c>
      <c r="H1313" t="s">
        <v>593</v>
      </c>
      <c r="J1313" s="519">
        <v>46044</v>
      </c>
      <c r="R1313" s="519">
        <v>46114</v>
      </c>
      <c r="U1313" s="519">
        <v>46053</v>
      </c>
    </row>
    <row r="1314" spans="1:21">
      <c r="A1314" t="s">
        <v>953</v>
      </c>
      <c r="B1314" t="s">
        <v>3122</v>
      </c>
      <c r="C1314" t="s">
        <v>953</v>
      </c>
      <c r="D1314">
        <v>20477535</v>
      </c>
      <c r="E1314" t="s">
        <v>2258</v>
      </c>
      <c r="F1314" t="s">
        <v>984</v>
      </c>
      <c r="G1314" t="s">
        <v>2246</v>
      </c>
      <c r="H1314" t="s">
        <v>591</v>
      </c>
      <c r="J1314" s="519">
        <v>46102</v>
      </c>
      <c r="R1314" s="519">
        <v>46114</v>
      </c>
      <c r="U1314" s="519">
        <v>46164</v>
      </c>
    </row>
    <row r="1315" spans="1:21">
      <c r="A1315" t="s">
        <v>953</v>
      </c>
      <c r="B1315" t="s">
        <v>3658</v>
      </c>
      <c r="C1315" t="s">
        <v>953</v>
      </c>
      <c r="D1315">
        <v>20435701</v>
      </c>
      <c r="E1315" t="s">
        <v>2258</v>
      </c>
      <c r="F1315" t="s">
        <v>984</v>
      </c>
      <c r="G1315" t="s">
        <v>2259</v>
      </c>
      <c r="H1315" t="s">
        <v>592</v>
      </c>
      <c r="J1315" s="519">
        <v>46049</v>
      </c>
      <c r="R1315" s="519">
        <v>46114</v>
      </c>
      <c r="U1315" s="519">
        <v>46049</v>
      </c>
    </row>
    <row r="1316" spans="1:21">
      <c r="A1316" t="s">
        <v>953</v>
      </c>
      <c r="B1316" t="s">
        <v>3659</v>
      </c>
      <c r="C1316" t="s">
        <v>953</v>
      </c>
      <c r="D1316">
        <v>20487636</v>
      </c>
      <c r="E1316" t="s">
        <v>2258</v>
      </c>
      <c r="F1316" t="s">
        <v>581</v>
      </c>
      <c r="G1316" t="s">
        <v>2250</v>
      </c>
      <c r="H1316" t="s">
        <v>592</v>
      </c>
      <c r="I1316" t="s">
        <v>986</v>
      </c>
      <c r="J1316" s="519">
        <v>46117</v>
      </c>
      <c r="R1316" s="519">
        <v>46139</v>
      </c>
      <c r="U1316" s="519">
        <v>46122</v>
      </c>
    </row>
    <row r="1317" spans="1:21">
      <c r="A1317" t="s">
        <v>953</v>
      </c>
      <c r="B1317" t="s">
        <v>3660</v>
      </c>
      <c r="C1317" t="s">
        <v>953</v>
      </c>
      <c r="D1317">
        <v>20486921</v>
      </c>
      <c r="E1317" t="s">
        <v>1100</v>
      </c>
      <c r="F1317" t="s">
        <v>984</v>
      </c>
      <c r="G1317" t="s">
        <v>2250</v>
      </c>
      <c r="H1317" t="s">
        <v>592</v>
      </c>
      <c r="J1317" s="519">
        <v>46116</v>
      </c>
      <c r="K1317" s="519">
        <v>46124</v>
      </c>
      <c r="U1317" s="519">
        <v>46143</v>
      </c>
    </row>
    <row r="1318" spans="1:21">
      <c r="A1318" t="s">
        <v>953</v>
      </c>
      <c r="B1318" t="s">
        <v>3660</v>
      </c>
      <c r="C1318" t="s">
        <v>953</v>
      </c>
      <c r="D1318">
        <v>20487829</v>
      </c>
      <c r="E1318" t="s">
        <v>1100</v>
      </c>
      <c r="F1318" t="s">
        <v>581</v>
      </c>
      <c r="G1318" t="s">
        <v>2250</v>
      </c>
      <c r="H1318" t="s">
        <v>587</v>
      </c>
      <c r="I1318" t="s">
        <v>986</v>
      </c>
      <c r="J1318" s="519">
        <v>46118</v>
      </c>
      <c r="K1318" s="519">
        <v>46118</v>
      </c>
      <c r="U1318" s="519">
        <v>46118</v>
      </c>
    </row>
    <row r="1319" spans="1:21">
      <c r="A1319" t="s">
        <v>953</v>
      </c>
      <c r="B1319" t="s">
        <v>3661</v>
      </c>
      <c r="C1319" t="s">
        <v>953</v>
      </c>
      <c r="D1319">
        <v>20488714</v>
      </c>
      <c r="E1319" t="s">
        <v>2258</v>
      </c>
      <c r="F1319" t="s">
        <v>984</v>
      </c>
      <c r="G1319" t="s">
        <v>2250</v>
      </c>
      <c r="H1319" t="s">
        <v>592</v>
      </c>
      <c r="J1319" s="519">
        <v>46118</v>
      </c>
      <c r="R1319" s="519">
        <v>46139</v>
      </c>
      <c r="U1319" s="519">
        <v>46162</v>
      </c>
    </row>
    <row r="1320" spans="1:21">
      <c r="A1320" t="s">
        <v>953</v>
      </c>
      <c r="B1320" t="s">
        <v>2616</v>
      </c>
      <c r="C1320" t="s">
        <v>953</v>
      </c>
      <c r="D1320">
        <v>20444577</v>
      </c>
      <c r="E1320" t="s">
        <v>2258</v>
      </c>
      <c r="F1320" t="s">
        <v>581</v>
      </c>
      <c r="G1320" t="s">
        <v>1213</v>
      </c>
      <c r="H1320" t="s">
        <v>587</v>
      </c>
      <c r="J1320" s="519">
        <v>46063</v>
      </c>
      <c r="R1320" s="519">
        <v>46114</v>
      </c>
      <c r="U1320" s="519">
        <v>46069</v>
      </c>
    </row>
    <row r="1321" spans="1:21">
      <c r="A1321" t="s">
        <v>953</v>
      </c>
      <c r="B1321" t="s">
        <v>3123</v>
      </c>
      <c r="C1321" t="s">
        <v>953</v>
      </c>
      <c r="D1321">
        <v>20463549</v>
      </c>
      <c r="E1321" t="s">
        <v>2258</v>
      </c>
      <c r="F1321" t="s">
        <v>984</v>
      </c>
      <c r="G1321" t="s">
        <v>2246</v>
      </c>
      <c r="H1321" t="s">
        <v>587</v>
      </c>
      <c r="J1321" s="519">
        <v>46087</v>
      </c>
      <c r="R1321" s="519">
        <v>46114</v>
      </c>
      <c r="U1321" s="519">
        <v>46107</v>
      </c>
    </row>
    <row r="1322" spans="1:21">
      <c r="A1322" t="s">
        <v>953</v>
      </c>
      <c r="B1322" t="s">
        <v>3662</v>
      </c>
      <c r="C1322" t="s">
        <v>953</v>
      </c>
      <c r="D1322">
        <v>20416368</v>
      </c>
      <c r="E1322" t="s">
        <v>2258</v>
      </c>
      <c r="F1322" t="s">
        <v>581</v>
      </c>
      <c r="G1322" t="s">
        <v>2246</v>
      </c>
      <c r="H1322" t="s">
        <v>592</v>
      </c>
      <c r="J1322" s="519">
        <v>46023</v>
      </c>
      <c r="R1322" s="519">
        <v>46114</v>
      </c>
      <c r="U1322" s="519">
        <v>46043</v>
      </c>
    </row>
    <row r="1323" spans="1:21">
      <c r="A1323" t="s">
        <v>953</v>
      </c>
      <c r="B1323" t="s">
        <v>7181</v>
      </c>
      <c r="C1323" t="s">
        <v>953</v>
      </c>
      <c r="D1323">
        <v>20496393</v>
      </c>
      <c r="E1323" t="s">
        <v>2258</v>
      </c>
      <c r="F1323" t="s">
        <v>577</v>
      </c>
      <c r="G1323" t="s">
        <v>2246</v>
      </c>
      <c r="H1323" t="s">
        <v>591</v>
      </c>
      <c r="I1323" t="s">
        <v>3618</v>
      </c>
      <c r="J1323" s="519">
        <v>46127</v>
      </c>
      <c r="R1323" s="519">
        <v>46139</v>
      </c>
      <c r="U1323" s="519">
        <v>46193</v>
      </c>
    </row>
    <row r="1324" spans="1:21">
      <c r="A1324" t="s">
        <v>953</v>
      </c>
      <c r="B1324" t="s">
        <v>2617</v>
      </c>
      <c r="C1324" t="s">
        <v>953</v>
      </c>
      <c r="D1324">
        <v>20442594</v>
      </c>
      <c r="E1324" t="s">
        <v>2258</v>
      </c>
      <c r="F1324" t="s">
        <v>581</v>
      </c>
      <c r="G1324" t="s">
        <v>2246</v>
      </c>
      <c r="H1324" t="s">
        <v>587</v>
      </c>
      <c r="J1324" s="519">
        <v>46060</v>
      </c>
      <c r="R1324" s="519">
        <v>46114</v>
      </c>
      <c r="U1324" s="519">
        <v>46191</v>
      </c>
    </row>
    <row r="1325" spans="1:21">
      <c r="A1325" t="s">
        <v>953</v>
      </c>
      <c r="B1325" t="s">
        <v>3663</v>
      </c>
      <c r="C1325" t="s">
        <v>953</v>
      </c>
      <c r="D1325">
        <v>20493404</v>
      </c>
      <c r="E1325" t="s">
        <v>2258</v>
      </c>
      <c r="F1325" t="s">
        <v>3440</v>
      </c>
      <c r="G1325" t="s">
        <v>2248</v>
      </c>
      <c r="H1325" t="s">
        <v>588</v>
      </c>
      <c r="J1325" s="519">
        <v>46125</v>
      </c>
      <c r="R1325" s="519">
        <v>46139</v>
      </c>
      <c r="U1325" s="519">
        <v>46125</v>
      </c>
    </row>
    <row r="1326" spans="1:21">
      <c r="A1326" t="s">
        <v>953</v>
      </c>
      <c r="B1326" t="s">
        <v>3124</v>
      </c>
      <c r="C1326" t="s">
        <v>953</v>
      </c>
      <c r="D1326">
        <v>20475849</v>
      </c>
      <c r="E1326" t="s">
        <v>2258</v>
      </c>
      <c r="F1326" t="s">
        <v>984</v>
      </c>
      <c r="G1326" t="s">
        <v>2259</v>
      </c>
      <c r="H1326" t="s">
        <v>2388</v>
      </c>
      <c r="I1326" t="s">
        <v>1034</v>
      </c>
      <c r="J1326" s="519">
        <v>46100</v>
      </c>
      <c r="R1326" s="519">
        <v>46115</v>
      </c>
      <c r="U1326" s="519">
        <v>46100</v>
      </c>
    </row>
    <row r="1327" spans="1:21">
      <c r="A1327" t="s">
        <v>953</v>
      </c>
      <c r="B1327" t="s">
        <v>3125</v>
      </c>
      <c r="C1327" t="s">
        <v>953</v>
      </c>
      <c r="D1327">
        <v>20478891</v>
      </c>
      <c r="E1327" t="s">
        <v>2258</v>
      </c>
      <c r="F1327" t="s">
        <v>577</v>
      </c>
      <c r="G1327" t="s">
        <v>2248</v>
      </c>
      <c r="H1327" t="s">
        <v>2428</v>
      </c>
      <c r="J1327" s="519">
        <v>46105</v>
      </c>
      <c r="R1327" s="519">
        <v>46114</v>
      </c>
      <c r="U1327" s="519">
        <v>46108</v>
      </c>
    </row>
    <row r="1328" spans="1:21">
      <c r="A1328" t="s">
        <v>953</v>
      </c>
      <c r="B1328" t="s">
        <v>3126</v>
      </c>
      <c r="C1328" t="s">
        <v>953</v>
      </c>
      <c r="D1328">
        <v>20477356</v>
      </c>
      <c r="E1328" t="s">
        <v>2258</v>
      </c>
      <c r="F1328" t="s">
        <v>984</v>
      </c>
      <c r="G1328" t="s">
        <v>2250</v>
      </c>
      <c r="H1328" t="s">
        <v>592</v>
      </c>
      <c r="J1328" s="519">
        <v>46102</v>
      </c>
      <c r="R1328" s="519">
        <v>46114</v>
      </c>
      <c r="U1328" s="519">
        <v>46112</v>
      </c>
    </row>
    <row r="1329" spans="1:21">
      <c r="A1329" t="s">
        <v>953</v>
      </c>
      <c r="B1329" t="s">
        <v>3127</v>
      </c>
      <c r="C1329" t="s">
        <v>953</v>
      </c>
      <c r="D1329">
        <v>20468519</v>
      </c>
      <c r="E1329" t="s">
        <v>2258</v>
      </c>
      <c r="F1329" t="s">
        <v>577</v>
      </c>
      <c r="G1329" t="s">
        <v>2290</v>
      </c>
      <c r="H1329" t="s">
        <v>591</v>
      </c>
      <c r="J1329" s="519">
        <v>46092</v>
      </c>
      <c r="R1329" s="519">
        <v>46139</v>
      </c>
      <c r="U1329" s="519">
        <v>46113</v>
      </c>
    </row>
    <row r="1330" spans="1:21">
      <c r="A1330" t="s">
        <v>953</v>
      </c>
      <c r="B1330" t="s">
        <v>3128</v>
      </c>
      <c r="C1330" t="s">
        <v>953</v>
      </c>
      <c r="D1330">
        <v>20471179</v>
      </c>
      <c r="E1330" t="s">
        <v>2258</v>
      </c>
      <c r="F1330" t="s">
        <v>984</v>
      </c>
      <c r="G1330" t="s">
        <v>2246</v>
      </c>
      <c r="H1330" t="s">
        <v>587</v>
      </c>
      <c r="J1330" s="519">
        <v>46094</v>
      </c>
      <c r="R1330" s="519">
        <v>46114</v>
      </c>
      <c r="U1330" s="519">
        <v>46094</v>
      </c>
    </row>
    <row r="1331" spans="1:21">
      <c r="A1331" t="s">
        <v>953</v>
      </c>
      <c r="B1331" t="s">
        <v>3664</v>
      </c>
      <c r="C1331" t="s">
        <v>953</v>
      </c>
      <c r="D1331">
        <v>20415041</v>
      </c>
      <c r="E1331" t="s">
        <v>2258</v>
      </c>
      <c r="F1331" t="s">
        <v>579</v>
      </c>
      <c r="G1331" t="s">
        <v>2259</v>
      </c>
      <c r="H1331" t="s">
        <v>587</v>
      </c>
      <c r="J1331" s="519">
        <v>46021</v>
      </c>
      <c r="R1331" s="519">
        <v>46114</v>
      </c>
      <c r="U1331" s="519">
        <v>46113</v>
      </c>
    </row>
    <row r="1332" spans="1:21">
      <c r="A1332" t="s">
        <v>953</v>
      </c>
      <c r="B1332" t="s">
        <v>3665</v>
      </c>
      <c r="C1332" t="s">
        <v>953</v>
      </c>
      <c r="D1332">
        <v>20491076</v>
      </c>
      <c r="E1332" t="s">
        <v>2258</v>
      </c>
      <c r="F1332" t="s">
        <v>577</v>
      </c>
      <c r="G1332" t="s">
        <v>2250</v>
      </c>
      <c r="H1332" t="s">
        <v>2361</v>
      </c>
      <c r="J1332" s="519">
        <v>46121</v>
      </c>
      <c r="R1332" s="519">
        <v>46139</v>
      </c>
      <c r="U1332" s="519">
        <v>46142</v>
      </c>
    </row>
    <row r="1333" spans="1:21">
      <c r="A1333" t="s">
        <v>953</v>
      </c>
      <c r="B1333" t="s">
        <v>7182</v>
      </c>
      <c r="C1333" t="s">
        <v>953</v>
      </c>
      <c r="D1333">
        <v>20510597</v>
      </c>
      <c r="E1333" t="s">
        <v>2245</v>
      </c>
      <c r="F1333" t="s">
        <v>577</v>
      </c>
      <c r="G1333" t="s">
        <v>2248</v>
      </c>
      <c r="H1333" t="s">
        <v>587</v>
      </c>
      <c r="I1333" t="s">
        <v>982</v>
      </c>
      <c r="J1333" s="519">
        <v>46139</v>
      </c>
      <c r="U1333" s="519">
        <v>46139</v>
      </c>
    </row>
    <row r="1334" spans="1:21">
      <c r="A1334" t="s">
        <v>953</v>
      </c>
      <c r="B1334" t="s">
        <v>7183</v>
      </c>
      <c r="C1334" t="s">
        <v>953</v>
      </c>
      <c r="D1334">
        <v>20500933</v>
      </c>
      <c r="E1334" t="s">
        <v>2258</v>
      </c>
      <c r="F1334" t="s">
        <v>984</v>
      </c>
      <c r="G1334" t="s">
        <v>2250</v>
      </c>
      <c r="H1334" t="s">
        <v>2361</v>
      </c>
      <c r="J1334" s="519">
        <v>46130</v>
      </c>
      <c r="R1334" s="519">
        <v>46139</v>
      </c>
      <c r="U1334" s="519">
        <v>46171</v>
      </c>
    </row>
    <row r="1335" spans="1:21">
      <c r="A1335" t="s">
        <v>953</v>
      </c>
      <c r="B1335" t="s">
        <v>3666</v>
      </c>
      <c r="C1335" t="s">
        <v>953</v>
      </c>
      <c r="D1335">
        <v>20505193</v>
      </c>
      <c r="E1335" t="s">
        <v>1100</v>
      </c>
      <c r="F1335" t="s">
        <v>578</v>
      </c>
      <c r="G1335" t="s">
        <v>2250</v>
      </c>
      <c r="H1335" t="s">
        <v>587</v>
      </c>
      <c r="J1335" s="519">
        <v>46133</v>
      </c>
      <c r="K1335" s="519">
        <v>46133</v>
      </c>
      <c r="U1335" s="519">
        <v>46133</v>
      </c>
    </row>
    <row r="1336" spans="1:21">
      <c r="A1336" t="s">
        <v>953</v>
      </c>
      <c r="B1336" t="s">
        <v>3666</v>
      </c>
      <c r="C1336" t="s">
        <v>953</v>
      </c>
      <c r="D1336">
        <v>20420989</v>
      </c>
      <c r="E1336" t="s">
        <v>2252</v>
      </c>
      <c r="F1336" t="s">
        <v>579</v>
      </c>
      <c r="G1336" t="s">
        <v>2250</v>
      </c>
      <c r="H1336" t="s">
        <v>587</v>
      </c>
      <c r="J1336" s="519">
        <v>46030</v>
      </c>
      <c r="K1336" s="519">
        <v>46030</v>
      </c>
      <c r="R1336" s="519">
        <v>46114</v>
      </c>
      <c r="U1336" s="519">
        <v>46081</v>
      </c>
    </row>
    <row r="1337" spans="1:21">
      <c r="A1337" t="s">
        <v>953</v>
      </c>
      <c r="B1337" t="s">
        <v>3666</v>
      </c>
      <c r="C1337" t="s">
        <v>953</v>
      </c>
      <c r="D1337">
        <v>20500380</v>
      </c>
      <c r="E1337" t="s">
        <v>2258</v>
      </c>
      <c r="F1337" t="s">
        <v>984</v>
      </c>
      <c r="G1337" t="s">
        <v>2246</v>
      </c>
      <c r="H1337" t="s">
        <v>587</v>
      </c>
      <c r="J1337" s="519">
        <v>46129</v>
      </c>
      <c r="R1337" s="519">
        <v>46139</v>
      </c>
      <c r="U1337" s="519">
        <v>46143</v>
      </c>
    </row>
    <row r="1338" spans="1:21">
      <c r="A1338" t="s">
        <v>953</v>
      </c>
      <c r="B1338" t="s">
        <v>3666</v>
      </c>
      <c r="C1338" t="s">
        <v>953</v>
      </c>
      <c r="D1338">
        <v>20509560</v>
      </c>
      <c r="E1338" t="s">
        <v>1104</v>
      </c>
      <c r="F1338" t="s">
        <v>577</v>
      </c>
      <c r="G1338" t="s">
        <v>2250</v>
      </c>
      <c r="H1338" t="s">
        <v>587</v>
      </c>
      <c r="I1338" t="s">
        <v>889</v>
      </c>
      <c r="J1338" s="519">
        <v>46137</v>
      </c>
      <c r="K1338" s="519">
        <v>46137</v>
      </c>
      <c r="L1338" s="519">
        <v>46139</v>
      </c>
      <c r="U1338" s="519">
        <v>46148</v>
      </c>
    </row>
    <row r="1339" spans="1:21">
      <c r="A1339" t="s">
        <v>953</v>
      </c>
      <c r="B1339" t="s">
        <v>3666</v>
      </c>
      <c r="C1339" t="s">
        <v>953</v>
      </c>
      <c r="D1339">
        <v>20510815</v>
      </c>
      <c r="E1339" t="s">
        <v>1100</v>
      </c>
      <c r="F1339" t="s">
        <v>581</v>
      </c>
      <c r="G1339" t="s">
        <v>2250</v>
      </c>
      <c r="H1339" t="s">
        <v>587</v>
      </c>
      <c r="I1339" t="s">
        <v>5502</v>
      </c>
      <c r="J1339" s="519">
        <v>46139</v>
      </c>
      <c r="K1339" s="519">
        <v>46139</v>
      </c>
      <c r="U1339" s="519">
        <v>46148</v>
      </c>
    </row>
    <row r="1340" spans="1:21">
      <c r="A1340" t="s">
        <v>953</v>
      </c>
      <c r="B1340" t="s">
        <v>3666</v>
      </c>
      <c r="C1340" t="s">
        <v>953</v>
      </c>
      <c r="D1340">
        <v>20508584</v>
      </c>
      <c r="E1340" t="s">
        <v>2252</v>
      </c>
      <c r="F1340" t="s">
        <v>577</v>
      </c>
      <c r="G1340" t="s">
        <v>2290</v>
      </c>
      <c r="H1340" t="s">
        <v>587</v>
      </c>
      <c r="I1340" t="s">
        <v>889</v>
      </c>
      <c r="J1340" s="519">
        <v>46135</v>
      </c>
      <c r="K1340" s="519">
        <v>46137</v>
      </c>
      <c r="R1340" s="519">
        <v>46137</v>
      </c>
      <c r="U1340" s="519">
        <v>46148</v>
      </c>
    </row>
    <row r="1341" spans="1:21">
      <c r="A1341" t="s">
        <v>953</v>
      </c>
      <c r="B1341" t="s">
        <v>3666</v>
      </c>
      <c r="C1341" t="s">
        <v>953</v>
      </c>
      <c r="D1341">
        <v>20508583</v>
      </c>
      <c r="E1341" t="s">
        <v>2245</v>
      </c>
      <c r="F1341" t="s">
        <v>577</v>
      </c>
      <c r="G1341" t="s">
        <v>2246</v>
      </c>
      <c r="H1341" t="s">
        <v>587</v>
      </c>
      <c r="J1341" s="519">
        <v>46135</v>
      </c>
      <c r="U1341" s="519">
        <v>46136</v>
      </c>
    </row>
    <row r="1342" spans="1:21">
      <c r="A1342" t="s">
        <v>953</v>
      </c>
      <c r="B1342" t="s">
        <v>2618</v>
      </c>
      <c r="C1342" t="s">
        <v>953</v>
      </c>
      <c r="D1342">
        <v>20455225</v>
      </c>
      <c r="E1342" t="s">
        <v>2258</v>
      </c>
      <c r="F1342" t="s">
        <v>581</v>
      </c>
      <c r="G1342" t="s">
        <v>2290</v>
      </c>
      <c r="H1342" t="s">
        <v>591</v>
      </c>
      <c r="J1342" s="519">
        <v>46075</v>
      </c>
      <c r="R1342" s="519">
        <v>46114</v>
      </c>
      <c r="U1342" s="519">
        <v>46075</v>
      </c>
    </row>
    <row r="1343" spans="1:21">
      <c r="A1343" t="s">
        <v>953</v>
      </c>
      <c r="B1343" t="s">
        <v>3129</v>
      </c>
      <c r="C1343" t="s">
        <v>953</v>
      </c>
      <c r="D1343">
        <v>20479832</v>
      </c>
      <c r="E1343" t="s">
        <v>2258</v>
      </c>
      <c r="F1343" t="s">
        <v>984</v>
      </c>
      <c r="G1343" t="s">
        <v>2246</v>
      </c>
      <c r="H1343" t="s">
        <v>588</v>
      </c>
      <c r="J1343" s="519">
        <v>46106</v>
      </c>
      <c r="R1343" s="519">
        <v>46114</v>
      </c>
      <c r="U1343" s="519">
        <v>46106</v>
      </c>
    </row>
    <row r="1344" spans="1:21">
      <c r="A1344" t="s">
        <v>953</v>
      </c>
      <c r="B1344" t="s">
        <v>3130</v>
      </c>
      <c r="C1344" t="s">
        <v>953</v>
      </c>
      <c r="D1344">
        <v>20477945</v>
      </c>
      <c r="E1344" t="s">
        <v>2258</v>
      </c>
      <c r="F1344" t="s">
        <v>577</v>
      </c>
      <c r="G1344" t="s">
        <v>2248</v>
      </c>
      <c r="H1344" t="s">
        <v>591</v>
      </c>
      <c r="I1344" t="s">
        <v>982</v>
      </c>
      <c r="J1344" s="519">
        <v>46103</v>
      </c>
      <c r="R1344" s="519">
        <v>46116</v>
      </c>
      <c r="U1344" s="519">
        <v>46103</v>
      </c>
    </row>
    <row r="1345" spans="1:21">
      <c r="A1345" t="s">
        <v>953</v>
      </c>
      <c r="B1345" t="s">
        <v>3667</v>
      </c>
      <c r="C1345" t="s">
        <v>953</v>
      </c>
      <c r="D1345">
        <v>20490949</v>
      </c>
      <c r="E1345" t="s">
        <v>2258</v>
      </c>
      <c r="F1345" t="s">
        <v>581</v>
      </c>
      <c r="G1345" t="s">
        <v>2250</v>
      </c>
      <c r="H1345" t="s">
        <v>592</v>
      </c>
      <c r="J1345" s="519">
        <v>46121</v>
      </c>
      <c r="R1345" s="519">
        <v>46139</v>
      </c>
      <c r="U1345" s="519">
        <v>46154</v>
      </c>
    </row>
    <row r="1346" spans="1:21">
      <c r="A1346" t="s">
        <v>953</v>
      </c>
      <c r="B1346" t="s">
        <v>7184</v>
      </c>
      <c r="C1346" t="s">
        <v>953</v>
      </c>
      <c r="D1346">
        <v>20504302</v>
      </c>
      <c r="E1346" t="s">
        <v>2245</v>
      </c>
      <c r="F1346" t="s">
        <v>581</v>
      </c>
      <c r="G1346" t="s">
        <v>2250</v>
      </c>
      <c r="H1346" t="s">
        <v>592</v>
      </c>
      <c r="J1346" s="519">
        <v>46132</v>
      </c>
      <c r="U1346" s="519">
        <v>46134</v>
      </c>
    </row>
    <row r="1347" spans="1:21">
      <c r="A1347" t="s">
        <v>953</v>
      </c>
      <c r="B1347" t="s">
        <v>2619</v>
      </c>
      <c r="C1347" t="s">
        <v>953</v>
      </c>
      <c r="D1347">
        <v>20439220</v>
      </c>
      <c r="E1347" t="s">
        <v>2258</v>
      </c>
      <c r="F1347" t="s">
        <v>578</v>
      </c>
      <c r="G1347" t="s">
        <v>2259</v>
      </c>
      <c r="H1347" t="s">
        <v>592</v>
      </c>
      <c r="J1347" s="519">
        <v>46055</v>
      </c>
      <c r="R1347" s="519">
        <v>46114</v>
      </c>
      <c r="U1347" s="519">
        <v>46060</v>
      </c>
    </row>
    <row r="1348" spans="1:21">
      <c r="A1348" t="s">
        <v>953</v>
      </c>
      <c r="B1348" t="s">
        <v>7185</v>
      </c>
      <c r="C1348" t="s">
        <v>953</v>
      </c>
      <c r="D1348">
        <v>20487991</v>
      </c>
      <c r="E1348" t="s">
        <v>2258</v>
      </c>
      <c r="F1348" t="s">
        <v>984</v>
      </c>
      <c r="G1348" t="s">
        <v>2250</v>
      </c>
      <c r="H1348" t="s">
        <v>592</v>
      </c>
      <c r="J1348" s="519">
        <v>46118</v>
      </c>
      <c r="R1348" s="519">
        <v>46139</v>
      </c>
      <c r="U1348" s="519">
        <v>46122</v>
      </c>
    </row>
    <row r="1349" spans="1:21">
      <c r="A1349" t="s">
        <v>953</v>
      </c>
      <c r="B1349" t="s">
        <v>3131</v>
      </c>
      <c r="C1349" t="s">
        <v>953</v>
      </c>
      <c r="D1349">
        <v>20470548</v>
      </c>
      <c r="E1349" t="s">
        <v>2258</v>
      </c>
      <c r="F1349" t="s">
        <v>984</v>
      </c>
      <c r="G1349" t="s">
        <v>2250</v>
      </c>
      <c r="H1349" t="s">
        <v>592</v>
      </c>
      <c r="J1349" s="519">
        <v>46093</v>
      </c>
      <c r="R1349" s="519">
        <v>46114</v>
      </c>
      <c r="U1349" s="519">
        <v>46119</v>
      </c>
    </row>
    <row r="1350" spans="1:21">
      <c r="A1350" t="s">
        <v>953</v>
      </c>
      <c r="B1350" t="s">
        <v>3132</v>
      </c>
      <c r="C1350" t="s">
        <v>953</v>
      </c>
      <c r="D1350">
        <v>20465440</v>
      </c>
      <c r="E1350" t="s">
        <v>2258</v>
      </c>
      <c r="F1350" t="s">
        <v>581</v>
      </c>
      <c r="G1350" t="s">
        <v>1213</v>
      </c>
      <c r="H1350" t="s">
        <v>591</v>
      </c>
      <c r="J1350" s="519">
        <v>46090</v>
      </c>
      <c r="R1350" s="519">
        <v>46114</v>
      </c>
      <c r="U1350" s="519">
        <v>46090</v>
      </c>
    </row>
    <row r="1351" spans="1:21">
      <c r="A1351" t="s">
        <v>953</v>
      </c>
      <c r="B1351" t="s">
        <v>3133</v>
      </c>
      <c r="C1351" t="s">
        <v>953</v>
      </c>
      <c r="D1351">
        <v>20464008</v>
      </c>
      <c r="E1351" t="s">
        <v>2258</v>
      </c>
      <c r="F1351" t="s">
        <v>984</v>
      </c>
      <c r="G1351" t="s">
        <v>2246</v>
      </c>
      <c r="H1351" t="s">
        <v>591</v>
      </c>
      <c r="J1351" s="519">
        <v>46087</v>
      </c>
      <c r="R1351" s="519">
        <v>46114</v>
      </c>
      <c r="U1351" s="519">
        <v>46088</v>
      </c>
    </row>
    <row r="1352" spans="1:21">
      <c r="A1352" t="s">
        <v>953</v>
      </c>
      <c r="B1352" t="s">
        <v>3668</v>
      </c>
      <c r="C1352" t="s">
        <v>953</v>
      </c>
      <c r="D1352">
        <v>20494175</v>
      </c>
      <c r="E1352" t="s">
        <v>2258</v>
      </c>
      <c r="F1352" t="s">
        <v>984</v>
      </c>
      <c r="G1352" t="s">
        <v>2250</v>
      </c>
      <c r="H1352" t="s">
        <v>592</v>
      </c>
      <c r="J1352" s="519">
        <v>46126</v>
      </c>
      <c r="R1352" s="519">
        <v>46139</v>
      </c>
      <c r="U1352" s="519">
        <v>46174</v>
      </c>
    </row>
    <row r="1353" spans="1:21">
      <c r="A1353" t="s">
        <v>953</v>
      </c>
      <c r="B1353" t="s">
        <v>7186</v>
      </c>
      <c r="C1353" t="s">
        <v>953</v>
      </c>
      <c r="D1353">
        <v>20511983</v>
      </c>
      <c r="E1353" t="s">
        <v>2245</v>
      </c>
      <c r="F1353" t="s">
        <v>582</v>
      </c>
      <c r="G1353" t="s">
        <v>1213</v>
      </c>
      <c r="H1353" t="s">
        <v>591</v>
      </c>
      <c r="J1353" s="519">
        <v>46140</v>
      </c>
      <c r="U1353" s="519">
        <v>46179</v>
      </c>
    </row>
    <row r="1354" spans="1:21">
      <c r="A1354" t="s">
        <v>953</v>
      </c>
      <c r="B1354" t="s">
        <v>7187</v>
      </c>
      <c r="C1354" t="s">
        <v>953</v>
      </c>
      <c r="D1354">
        <v>20499566</v>
      </c>
      <c r="E1354" t="s">
        <v>1100</v>
      </c>
      <c r="F1354" t="s">
        <v>581</v>
      </c>
      <c r="G1354" t="s">
        <v>2250</v>
      </c>
      <c r="H1354" t="s">
        <v>587</v>
      </c>
      <c r="I1354" t="s">
        <v>867</v>
      </c>
      <c r="J1354" s="519">
        <v>46129</v>
      </c>
      <c r="K1354" s="519">
        <v>46129</v>
      </c>
      <c r="U1354" s="519">
        <v>46129</v>
      </c>
    </row>
    <row r="1355" spans="1:21">
      <c r="A1355" t="s">
        <v>953</v>
      </c>
      <c r="B1355" t="s">
        <v>7188</v>
      </c>
      <c r="C1355" t="s">
        <v>953</v>
      </c>
      <c r="D1355">
        <v>20500928</v>
      </c>
      <c r="E1355" t="s">
        <v>2258</v>
      </c>
      <c r="F1355" t="s">
        <v>984</v>
      </c>
      <c r="G1355" t="s">
        <v>2250</v>
      </c>
      <c r="H1355" t="s">
        <v>2361</v>
      </c>
      <c r="J1355" s="519">
        <v>46130</v>
      </c>
      <c r="R1355" s="519">
        <v>46139</v>
      </c>
      <c r="U1355" s="519">
        <v>46172</v>
      </c>
    </row>
    <row r="1356" spans="1:21">
      <c r="A1356" t="s">
        <v>953</v>
      </c>
      <c r="B1356" t="s">
        <v>2621</v>
      </c>
      <c r="C1356" t="s">
        <v>953</v>
      </c>
      <c r="D1356">
        <v>20456299</v>
      </c>
      <c r="E1356" t="s">
        <v>2258</v>
      </c>
      <c r="F1356" t="s">
        <v>984</v>
      </c>
      <c r="G1356" t="s">
        <v>2246</v>
      </c>
      <c r="H1356" t="s">
        <v>587</v>
      </c>
      <c r="J1356" s="519">
        <v>46077</v>
      </c>
      <c r="R1356" s="519">
        <v>46114</v>
      </c>
      <c r="U1356" s="519">
        <v>46113</v>
      </c>
    </row>
    <row r="1357" spans="1:21">
      <c r="A1357" t="s">
        <v>953</v>
      </c>
      <c r="B1357" t="s">
        <v>7189</v>
      </c>
      <c r="C1357" t="s">
        <v>953</v>
      </c>
      <c r="D1357">
        <v>20500576</v>
      </c>
      <c r="E1357" t="s">
        <v>1100</v>
      </c>
      <c r="F1357" t="s">
        <v>581</v>
      </c>
      <c r="G1357" t="s">
        <v>2250</v>
      </c>
      <c r="H1357" t="s">
        <v>587</v>
      </c>
      <c r="I1357" t="s">
        <v>1332</v>
      </c>
      <c r="J1357" s="519">
        <v>46130</v>
      </c>
      <c r="K1357" s="519">
        <v>46130</v>
      </c>
      <c r="U1357" s="519">
        <v>46130</v>
      </c>
    </row>
    <row r="1358" spans="1:21">
      <c r="A1358" t="s">
        <v>953</v>
      </c>
      <c r="B1358" t="s">
        <v>7190</v>
      </c>
      <c r="C1358" t="s">
        <v>953</v>
      </c>
      <c r="D1358">
        <v>20501714</v>
      </c>
      <c r="E1358" t="s">
        <v>2258</v>
      </c>
      <c r="F1358" t="s">
        <v>984</v>
      </c>
      <c r="G1358" t="s">
        <v>2250</v>
      </c>
      <c r="H1358" t="s">
        <v>2361</v>
      </c>
      <c r="J1358" s="519">
        <v>46131</v>
      </c>
      <c r="R1358" s="519">
        <v>46139</v>
      </c>
      <c r="U1358" s="519">
        <v>46143</v>
      </c>
    </row>
    <row r="1359" spans="1:21">
      <c r="A1359" t="s">
        <v>953</v>
      </c>
      <c r="B1359" t="s">
        <v>7191</v>
      </c>
      <c r="C1359" t="s">
        <v>953</v>
      </c>
      <c r="D1359">
        <v>20510625</v>
      </c>
      <c r="E1359" t="s">
        <v>2245</v>
      </c>
      <c r="F1359" t="s">
        <v>984</v>
      </c>
      <c r="G1359" t="s">
        <v>2259</v>
      </c>
      <c r="H1359" t="s">
        <v>593</v>
      </c>
      <c r="J1359" s="519">
        <v>46139</v>
      </c>
      <c r="U1359" s="519">
        <v>46139</v>
      </c>
    </row>
    <row r="1360" spans="1:21">
      <c r="A1360" t="s">
        <v>953</v>
      </c>
      <c r="B1360" t="s">
        <v>3137</v>
      </c>
      <c r="C1360" t="s">
        <v>953</v>
      </c>
      <c r="D1360">
        <v>20482139</v>
      </c>
      <c r="E1360" t="s">
        <v>2258</v>
      </c>
      <c r="F1360" t="s">
        <v>984</v>
      </c>
      <c r="G1360" t="s">
        <v>2250</v>
      </c>
      <c r="H1360" t="s">
        <v>592</v>
      </c>
      <c r="J1360" s="519">
        <v>46109</v>
      </c>
      <c r="R1360" s="519">
        <v>46139</v>
      </c>
      <c r="U1360" s="519">
        <v>46110</v>
      </c>
    </row>
    <row r="1361" spans="1:21">
      <c r="A1361" t="s">
        <v>953</v>
      </c>
      <c r="B1361" t="s">
        <v>3669</v>
      </c>
      <c r="C1361" t="s">
        <v>953</v>
      </c>
      <c r="D1361">
        <v>20437928</v>
      </c>
      <c r="E1361" t="s">
        <v>2258</v>
      </c>
      <c r="F1361" t="s">
        <v>578</v>
      </c>
      <c r="G1361" t="s">
        <v>2246</v>
      </c>
      <c r="H1361" t="s">
        <v>588</v>
      </c>
      <c r="J1361" s="519">
        <v>46052</v>
      </c>
      <c r="R1361" s="519">
        <v>46114</v>
      </c>
      <c r="U1361" s="519">
        <v>46076</v>
      </c>
    </row>
    <row r="1362" spans="1:21">
      <c r="A1362" t="s">
        <v>953</v>
      </c>
      <c r="B1362" t="s">
        <v>7192</v>
      </c>
      <c r="C1362" t="s">
        <v>953</v>
      </c>
      <c r="D1362">
        <v>20498173</v>
      </c>
      <c r="E1362" t="s">
        <v>1100</v>
      </c>
      <c r="F1362" t="s">
        <v>582</v>
      </c>
      <c r="G1362" t="s">
        <v>2250</v>
      </c>
      <c r="H1362" t="s">
        <v>587</v>
      </c>
      <c r="I1362" t="s">
        <v>887</v>
      </c>
      <c r="J1362" s="519">
        <v>46128</v>
      </c>
      <c r="K1362" s="519">
        <v>46128</v>
      </c>
      <c r="U1362" s="519">
        <v>46134</v>
      </c>
    </row>
    <row r="1363" spans="1:21">
      <c r="A1363" t="s">
        <v>953</v>
      </c>
      <c r="B1363" t="s">
        <v>2623</v>
      </c>
      <c r="C1363" t="s">
        <v>953</v>
      </c>
      <c r="D1363">
        <v>20443286</v>
      </c>
      <c r="E1363" t="s">
        <v>2258</v>
      </c>
      <c r="F1363" t="s">
        <v>984</v>
      </c>
      <c r="G1363" t="s">
        <v>2290</v>
      </c>
      <c r="H1363" t="s">
        <v>587</v>
      </c>
      <c r="J1363" s="519">
        <v>46061</v>
      </c>
      <c r="R1363" s="519">
        <v>46114</v>
      </c>
      <c r="U1363" s="519">
        <v>46082</v>
      </c>
    </row>
    <row r="1364" spans="1:21">
      <c r="A1364" t="s">
        <v>953</v>
      </c>
      <c r="B1364" t="s">
        <v>3670</v>
      </c>
      <c r="C1364" t="s">
        <v>953</v>
      </c>
      <c r="D1364">
        <v>20420846</v>
      </c>
      <c r="E1364" t="s">
        <v>2252</v>
      </c>
      <c r="F1364" t="s">
        <v>579</v>
      </c>
      <c r="G1364" t="s">
        <v>2250</v>
      </c>
      <c r="H1364" t="s">
        <v>587</v>
      </c>
      <c r="I1364" t="s">
        <v>3046</v>
      </c>
      <c r="J1364" s="519">
        <v>46030</v>
      </c>
      <c r="K1364" s="519">
        <v>46030</v>
      </c>
      <c r="R1364" s="519">
        <v>46114</v>
      </c>
      <c r="U1364" s="519">
        <v>46030</v>
      </c>
    </row>
    <row r="1365" spans="1:21">
      <c r="A1365" t="s">
        <v>953</v>
      </c>
      <c r="B1365" t="s">
        <v>7193</v>
      </c>
      <c r="C1365" t="s">
        <v>953</v>
      </c>
      <c r="D1365">
        <v>20508447</v>
      </c>
      <c r="E1365" t="s">
        <v>2245</v>
      </c>
      <c r="F1365" t="s">
        <v>984</v>
      </c>
      <c r="G1365" t="s">
        <v>2246</v>
      </c>
      <c r="H1365" t="s">
        <v>592</v>
      </c>
      <c r="J1365" s="519">
        <v>46135</v>
      </c>
      <c r="U1365" s="519">
        <v>46234</v>
      </c>
    </row>
    <row r="1366" spans="1:21">
      <c r="A1366" t="s">
        <v>953</v>
      </c>
      <c r="B1366" t="s">
        <v>999</v>
      </c>
      <c r="C1366" t="s">
        <v>953</v>
      </c>
      <c r="D1366">
        <v>20465210</v>
      </c>
      <c r="E1366" t="s">
        <v>2324</v>
      </c>
      <c r="F1366" t="s">
        <v>1001</v>
      </c>
      <c r="G1366" t="s">
        <v>2259</v>
      </c>
      <c r="H1366" t="s">
        <v>3138</v>
      </c>
      <c r="I1366" t="s">
        <v>998</v>
      </c>
      <c r="J1366" s="519">
        <v>46090</v>
      </c>
      <c r="K1366" s="519">
        <v>46090</v>
      </c>
      <c r="L1366" s="519">
        <v>46090</v>
      </c>
      <c r="M1366" s="519">
        <v>46112</v>
      </c>
      <c r="N1366" s="519">
        <v>46113</v>
      </c>
      <c r="O1366" s="519">
        <v>46113</v>
      </c>
      <c r="P1366" s="519">
        <v>46113</v>
      </c>
      <c r="Q1366" s="519">
        <v>46113</v>
      </c>
      <c r="U1366" s="519">
        <v>46120</v>
      </c>
    </row>
    <row r="1367" spans="1:21">
      <c r="A1367" t="s">
        <v>953</v>
      </c>
      <c r="B1367" t="s">
        <v>2624</v>
      </c>
      <c r="C1367" t="s">
        <v>953</v>
      </c>
      <c r="D1367">
        <v>20443131</v>
      </c>
      <c r="E1367" t="s">
        <v>2258</v>
      </c>
      <c r="F1367" t="s">
        <v>984</v>
      </c>
      <c r="G1367" t="s">
        <v>2246</v>
      </c>
      <c r="H1367" t="s">
        <v>587</v>
      </c>
      <c r="J1367" s="519">
        <v>46061</v>
      </c>
      <c r="R1367" s="519">
        <v>46114</v>
      </c>
      <c r="U1367" s="519">
        <v>46112</v>
      </c>
    </row>
    <row r="1368" spans="1:21">
      <c r="A1368" t="s">
        <v>953</v>
      </c>
      <c r="B1368" t="s">
        <v>3139</v>
      </c>
      <c r="C1368" t="s">
        <v>953</v>
      </c>
      <c r="D1368">
        <v>20464729</v>
      </c>
      <c r="E1368" t="s">
        <v>2252</v>
      </c>
      <c r="F1368" t="s">
        <v>1115</v>
      </c>
      <c r="G1368" t="s">
        <v>2250</v>
      </c>
      <c r="H1368" t="s">
        <v>587</v>
      </c>
      <c r="J1368" s="519">
        <v>46089</v>
      </c>
      <c r="K1368" s="519">
        <v>46089</v>
      </c>
      <c r="R1368" s="519">
        <v>46114</v>
      </c>
      <c r="U1368" s="519">
        <v>46089</v>
      </c>
    </row>
    <row r="1369" spans="1:21">
      <c r="A1369" t="s">
        <v>953</v>
      </c>
      <c r="B1369" t="s">
        <v>7194</v>
      </c>
      <c r="C1369" t="s">
        <v>953</v>
      </c>
      <c r="D1369">
        <v>20509686</v>
      </c>
      <c r="E1369" t="s">
        <v>1100</v>
      </c>
      <c r="F1369" t="s">
        <v>582</v>
      </c>
      <c r="G1369" t="s">
        <v>2250</v>
      </c>
      <c r="H1369" t="s">
        <v>587</v>
      </c>
      <c r="J1369" s="519">
        <v>46137</v>
      </c>
      <c r="K1369" s="519">
        <v>46137</v>
      </c>
      <c r="U1369" s="519">
        <v>46142</v>
      </c>
    </row>
    <row r="1370" spans="1:21">
      <c r="A1370" t="s">
        <v>953</v>
      </c>
      <c r="B1370" t="s">
        <v>7195</v>
      </c>
      <c r="C1370" t="s">
        <v>953</v>
      </c>
      <c r="D1370">
        <v>20507908</v>
      </c>
      <c r="E1370" t="s">
        <v>2245</v>
      </c>
      <c r="F1370" t="s">
        <v>577</v>
      </c>
      <c r="G1370" t="s">
        <v>2248</v>
      </c>
      <c r="H1370" t="s">
        <v>591</v>
      </c>
      <c r="I1370" t="s">
        <v>2818</v>
      </c>
      <c r="J1370" s="519">
        <v>46135</v>
      </c>
      <c r="U1370" s="519">
        <v>46157</v>
      </c>
    </row>
    <row r="1371" spans="1:21">
      <c r="A1371" t="s">
        <v>953</v>
      </c>
      <c r="B1371" t="s">
        <v>7196</v>
      </c>
      <c r="C1371" t="s">
        <v>953</v>
      </c>
      <c r="D1371">
        <v>20500570</v>
      </c>
      <c r="E1371" t="s">
        <v>2258</v>
      </c>
      <c r="F1371" t="s">
        <v>984</v>
      </c>
      <c r="G1371" t="s">
        <v>2259</v>
      </c>
      <c r="H1371" t="s">
        <v>3138</v>
      </c>
      <c r="J1371" s="519">
        <v>46130</v>
      </c>
      <c r="R1371" s="519">
        <v>46139</v>
      </c>
      <c r="U1371" s="519">
        <v>46130</v>
      </c>
    </row>
    <row r="1372" spans="1:21">
      <c r="A1372" t="s">
        <v>953</v>
      </c>
      <c r="B1372" t="s">
        <v>3141</v>
      </c>
      <c r="C1372" t="s">
        <v>953</v>
      </c>
      <c r="D1372">
        <v>20462271</v>
      </c>
      <c r="E1372" t="s">
        <v>2252</v>
      </c>
      <c r="F1372" t="s">
        <v>578</v>
      </c>
      <c r="G1372" t="s">
        <v>2250</v>
      </c>
      <c r="H1372" t="s">
        <v>591</v>
      </c>
      <c r="J1372" s="519">
        <v>46085</v>
      </c>
      <c r="K1372" s="519">
        <v>46085</v>
      </c>
      <c r="R1372" s="519">
        <v>46114</v>
      </c>
      <c r="U1372" s="519">
        <v>46125</v>
      </c>
    </row>
    <row r="1373" spans="1:21">
      <c r="A1373" t="s">
        <v>953</v>
      </c>
      <c r="B1373" t="s">
        <v>2625</v>
      </c>
      <c r="C1373" t="s">
        <v>953</v>
      </c>
      <c r="D1373">
        <v>20446496</v>
      </c>
      <c r="E1373" t="s">
        <v>2258</v>
      </c>
      <c r="F1373" t="s">
        <v>581</v>
      </c>
      <c r="G1373" t="s">
        <v>2259</v>
      </c>
      <c r="H1373" t="s">
        <v>587</v>
      </c>
      <c r="J1373" s="519">
        <v>46064</v>
      </c>
      <c r="R1373" s="519">
        <v>46114</v>
      </c>
      <c r="U1373" s="519">
        <v>46069</v>
      </c>
    </row>
    <row r="1374" spans="1:21">
      <c r="A1374" t="s">
        <v>953</v>
      </c>
      <c r="B1374" t="s">
        <v>3671</v>
      </c>
      <c r="C1374" t="s">
        <v>953</v>
      </c>
      <c r="D1374">
        <v>20485570</v>
      </c>
      <c r="E1374" t="s">
        <v>2258</v>
      </c>
      <c r="F1374" t="s">
        <v>984</v>
      </c>
      <c r="G1374" t="s">
        <v>2250</v>
      </c>
      <c r="H1374" t="s">
        <v>592</v>
      </c>
      <c r="J1374" s="519">
        <v>46114</v>
      </c>
      <c r="R1374" s="519">
        <v>46139</v>
      </c>
      <c r="U1374" s="519">
        <v>46203</v>
      </c>
    </row>
    <row r="1375" spans="1:21">
      <c r="A1375" t="s">
        <v>953</v>
      </c>
      <c r="B1375" t="s">
        <v>3142</v>
      </c>
      <c r="C1375" t="s">
        <v>953</v>
      </c>
      <c r="D1375">
        <v>20509117</v>
      </c>
      <c r="E1375" t="s">
        <v>1110</v>
      </c>
      <c r="F1375" t="s">
        <v>582</v>
      </c>
      <c r="G1375" t="s">
        <v>2248</v>
      </c>
      <c r="H1375" t="s">
        <v>592</v>
      </c>
      <c r="I1375" t="s">
        <v>2266</v>
      </c>
      <c r="J1375" s="519">
        <v>46136</v>
      </c>
      <c r="K1375" s="519">
        <v>46137</v>
      </c>
      <c r="L1375" s="519">
        <v>46137</v>
      </c>
      <c r="U1375" s="519">
        <v>46142</v>
      </c>
    </row>
    <row r="1376" spans="1:21">
      <c r="A1376" t="s">
        <v>953</v>
      </c>
      <c r="B1376" t="s">
        <v>3142</v>
      </c>
      <c r="C1376" t="s">
        <v>953</v>
      </c>
      <c r="D1376">
        <v>20509562</v>
      </c>
      <c r="E1376" t="s">
        <v>2252</v>
      </c>
      <c r="F1376" t="s">
        <v>1115</v>
      </c>
      <c r="G1376" t="s">
        <v>2250</v>
      </c>
      <c r="H1376" t="s">
        <v>587</v>
      </c>
      <c r="I1376" t="s">
        <v>2266</v>
      </c>
      <c r="J1376" s="519">
        <v>46137</v>
      </c>
      <c r="K1376" s="519">
        <v>46137</v>
      </c>
      <c r="R1376" s="519">
        <v>46137</v>
      </c>
      <c r="U1376" s="519">
        <v>46137</v>
      </c>
    </row>
    <row r="1377" spans="1:21">
      <c r="A1377" t="s">
        <v>953</v>
      </c>
      <c r="B1377" t="s">
        <v>3142</v>
      </c>
      <c r="C1377" t="s">
        <v>953</v>
      </c>
      <c r="D1377">
        <v>20475075</v>
      </c>
      <c r="E1377" t="s">
        <v>2258</v>
      </c>
      <c r="F1377" t="s">
        <v>581</v>
      </c>
      <c r="G1377" t="s">
        <v>2250</v>
      </c>
      <c r="H1377" t="s">
        <v>592</v>
      </c>
      <c r="J1377" s="519">
        <v>46099</v>
      </c>
      <c r="R1377" s="519">
        <v>46114</v>
      </c>
      <c r="U1377" s="519">
        <v>46113</v>
      </c>
    </row>
    <row r="1378" spans="1:21">
      <c r="A1378" t="s">
        <v>953</v>
      </c>
      <c r="B1378" t="s">
        <v>3143</v>
      </c>
      <c r="C1378" t="s">
        <v>953</v>
      </c>
      <c r="D1378">
        <v>20476402</v>
      </c>
      <c r="E1378" t="s">
        <v>2258</v>
      </c>
      <c r="F1378" t="s">
        <v>984</v>
      </c>
      <c r="G1378" t="s">
        <v>2250</v>
      </c>
      <c r="H1378" t="s">
        <v>592</v>
      </c>
      <c r="J1378" s="519">
        <v>46100</v>
      </c>
      <c r="R1378" s="519">
        <v>46114</v>
      </c>
      <c r="U1378" s="519">
        <v>46199</v>
      </c>
    </row>
    <row r="1379" spans="1:21">
      <c r="A1379" t="s">
        <v>953</v>
      </c>
      <c r="B1379" t="s">
        <v>2626</v>
      </c>
      <c r="C1379" t="s">
        <v>953</v>
      </c>
      <c r="D1379">
        <v>20451683</v>
      </c>
      <c r="E1379" t="s">
        <v>2258</v>
      </c>
      <c r="F1379" t="s">
        <v>984</v>
      </c>
      <c r="G1379" t="s">
        <v>2246</v>
      </c>
      <c r="H1379" t="s">
        <v>587</v>
      </c>
      <c r="J1379" s="519">
        <v>46071</v>
      </c>
      <c r="R1379" s="519">
        <v>46114</v>
      </c>
      <c r="U1379" s="519">
        <v>46073</v>
      </c>
    </row>
    <row r="1380" spans="1:21">
      <c r="A1380" t="s">
        <v>953</v>
      </c>
      <c r="B1380" t="s">
        <v>3672</v>
      </c>
      <c r="C1380" t="s">
        <v>953</v>
      </c>
      <c r="D1380">
        <v>20488733</v>
      </c>
      <c r="E1380" t="s">
        <v>2258</v>
      </c>
      <c r="F1380" t="s">
        <v>581</v>
      </c>
      <c r="G1380" t="s">
        <v>2250</v>
      </c>
      <c r="H1380" t="s">
        <v>592</v>
      </c>
      <c r="J1380" s="519">
        <v>46118</v>
      </c>
      <c r="R1380" s="519">
        <v>46139</v>
      </c>
      <c r="U1380" s="519">
        <v>46143</v>
      </c>
    </row>
    <row r="1381" spans="1:21">
      <c r="A1381" t="s">
        <v>953</v>
      </c>
      <c r="B1381" t="s">
        <v>3673</v>
      </c>
      <c r="C1381" t="s">
        <v>953</v>
      </c>
      <c r="D1381">
        <v>20429666</v>
      </c>
      <c r="E1381" t="s">
        <v>2252</v>
      </c>
      <c r="F1381" t="s">
        <v>577</v>
      </c>
      <c r="G1381" t="s">
        <v>2250</v>
      </c>
      <c r="H1381" t="s">
        <v>587</v>
      </c>
      <c r="I1381" t="s">
        <v>2337</v>
      </c>
      <c r="J1381" s="519">
        <v>46039</v>
      </c>
      <c r="K1381" s="519">
        <v>46039</v>
      </c>
      <c r="R1381" s="519">
        <v>46114</v>
      </c>
      <c r="U1381" s="519">
        <v>46039</v>
      </c>
    </row>
    <row r="1382" spans="1:21">
      <c r="A1382" t="s">
        <v>953</v>
      </c>
      <c r="B1382" t="s">
        <v>3674</v>
      </c>
      <c r="C1382" t="s">
        <v>953</v>
      </c>
      <c r="D1382">
        <v>20486390</v>
      </c>
      <c r="E1382" t="s">
        <v>2258</v>
      </c>
      <c r="F1382" t="s">
        <v>984</v>
      </c>
      <c r="G1382" t="s">
        <v>2250</v>
      </c>
      <c r="H1382" t="s">
        <v>592</v>
      </c>
      <c r="J1382" s="519">
        <v>46115</v>
      </c>
      <c r="R1382" s="519">
        <v>46139</v>
      </c>
      <c r="U1382" s="519">
        <v>46175</v>
      </c>
    </row>
    <row r="1383" spans="1:21">
      <c r="A1383" t="s">
        <v>953</v>
      </c>
      <c r="B1383" t="s">
        <v>2627</v>
      </c>
      <c r="C1383" t="s">
        <v>953</v>
      </c>
      <c r="D1383">
        <v>20441455</v>
      </c>
      <c r="E1383" t="s">
        <v>2258</v>
      </c>
      <c r="F1383" t="s">
        <v>581</v>
      </c>
      <c r="G1383" t="s">
        <v>2246</v>
      </c>
      <c r="H1383" t="s">
        <v>587</v>
      </c>
      <c r="J1383" s="519">
        <v>46058</v>
      </c>
      <c r="R1383" s="519">
        <v>46114</v>
      </c>
      <c r="U1383" s="519">
        <v>46058</v>
      </c>
    </row>
    <row r="1384" spans="1:21">
      <c r="A1384" t="s">
        <v>953</v>
      </c>
      <c r="B1384" t="s">
        <v>7197</v>
      </c>
      <c r="C1384" t="s">
        <v>953</v>
      </c>
      <c r="D1384">
        <v>20495797</v>
      </c>
      <c r="E1384" t="s">
        <v>2258</v>
      </c>
      <c r="F1384" t="s">
        <v>581</v>
      </c>
      <c r="G1384" t="s">
        <v>1213</v>
      </c>
      <c r="H1384" t="s">
        <v>588</v>
      </c>
      <c r="J1384" s="519">
        <v>46127</v>
      </c>
      <c r="R1384" s="519">
        <v>46139</v>
      </c>
      <c r="U1384" s="519">
        <v>46127</v>
      </c>
    </row>
    <row r="1385" spans="1:21">
      <c r="A1385" t="s">
        <v>953</v>
      </c>
      <c r="B1385" t="s">
        <v>3675</v>
      </c>
      <c r="C1385" t="s">
        <v>953</v>
      </c>
      <c r="D1385">
        <v>20430895</v>
      </c>
      <c r="E1385" t="s">
        <v>2258</v>
      </c>
      <c r="F1385" t="s">
        <v>579</v>
      </c>
      <c r="G1385" t="s">
        <v>2259</v>
      </c>
      <c r="H1385" t="s">
        <v>588</v>
      </c>
      <c r="J1385" s="519">
        <v>46042</v>
      </c>
      <c r="R1385" s="519">
        <v>46114</v>
      </c>
      <c r="U1385" s="519">
        <v>46042</v>
      </c>
    </row>
    <row r="1386" spans="1:21">
      <c r="A1386" t="s">
        <v>953</v>
      </c>
      <c r="B1386" t="s">
        <v>3676</v>
      </c>
      <c r="C1386" t="s">
        <v>953</v>
      </c>
      <c r="D1386">
        <v>20497684</v>
      </c>
      <c r="E1386" t="s">
        <v>1100</v>
      </c>
      <c r="F1386" t="s">
        <v>3440</v>
      </c>
      <c r="G1386" t="s">
        <v>2250</v>
      </c>
      <c r="H1386" t="s">
        <v>587</v>
      </c>
      <c r="I1386" t="s">
        <v>1173</v>
      </c>
      <c r="J1386" s="519">
        <v>46128</v>
      </c>
      <c r="K1386" s="519">
        <v>46128</v>
      </c>
      <c r="U1386" s="519">
        <v>46172</v>
      </c>
    </row>
    <row r="1387" spans="1:21">
      <c r="A1387" t="s">
        <v>953</v>
      </c>
      <c r="B1387" t="s">
        <v>3676</v>
      </c>
      <c r="C1387" t="s">
        <v>953</v>
      </c>
      <c r="D1387">
        <v>20493027</v>
      </c>
      <c r="E1387" t="s">
        <v>1110</v>
      </c>
      <c r="F1387" t="s">
        <v>3440</v>
      </c>
      <c r="G1387" t="s">
        <v>2290</v>
      </c>
      <c r="H1387" t="s">
        <v>587</v>
      </c>
      <c r="I1387" t="s">
        <v>854</v>
      </c>
      <c r="J1387" s="519">
        <v>46124</v>
      </c>
      <c r="K1387" s="519">
        <v>46128</v>
      </c>
      <c r="L1387" s="519">
        <v>46128</v>
      </c>
      <c r="U1387" s="519">
        <v>46162</v>
      </c>
    </row>
    <row r="1388" spans="1:21">
      <c r="A1388" t="s">
        <v>953</v>
      </c>
      <c r="B1388" t="s">
        <v>7198</v>
      </c>
      <c r="C1388" t="s">
        <v>953</v>
      </c>
      <c r="D1388">
        <v>20501757</v>
      </c>
      <c r="E1388" t="s">
        <v>2258</v>
      </c>
      <c r="F1388" t="s">
        <v>984</v>
      </c>
      <c r="G1388" t="s">
        <v>2246</v>
      </c>
      <c r="H1388" t="s">
        <v>592</v>
      </c>
      <c r="J1388" s="519">
        <v>46131</v>
      </c>
      <c r="R1388" s="519">
        <v>46139</v>
      </c>
      <c r="U1388" s="519">
        <v>46163</v>
      </c>
    </row>
    <row r="1389" spans="1:21">
      <c r="A1389" t="s">
        <v>953</v>
      </c>
      <c r="B1389" t="s">
        <v>2628</v>
      </c>
      <c r="C1389" t="s">
        <v>953</v>
      </c>
      <c r="D1389">
        <v>20441640</v>
      </c>
      <c r="E1389" t="s">
        <v>2258</v>
      </c>
      <c r="F1389" t="s">
        <v>581</v>
      </c>
      <c r="G1389" t="s">
        <v>2290</v>
      </c>
      <c r="H1389" t="s">
        <v>591</v>
      </c>
      <c r="J1389" s="519">
        <v>46058</v>
      </c>
      <c r="R1389" s="519">
        <v>46114</v>
      </c>
      <c r="U1389" s="519">
        <v>46082</v>
      </c>
    </row>
    <row r="1390" spans="1:21">
      <c r="A1390" t="s">
        <v>953</v>
      </c>
      <c r="B1390" t="s">
        <v>7199</v>
      </c>
      <c r="C1390" t="s">
        <v>953</v>
      </c>
      <c r="D1390">
        <v>20510601</v>
      </c>
      <c r="E1390" t="s">
        <v>2245</v>
      </c>
      <c r="F1390" t="s">
        <v>984</v>
      </c>
      <c r="G1390" t="s">
        <v>2250</v>
      </c>
      <c r="H1390" t="s">
        <v>2361</v>
      </c>
      <c r="J1390" s="519">
        <v>46139</v>
      </c>
      <c r="U1390" s="519">
        <v>46179</v>
      </c>
    </row>
    <row r="1391" spans="1:21">
      <c r="A1391" t="s">
        <v>953</v>
      </c>
      <c r="B1391" t="s">
        <v>3677</v>
      </c>
      <c r="C1391" t="s">
        <v>953</v>
      </c>
      <c r="D1391">
        <v>20421792</v>
      </c>
      <c r="E1391" t="s">
        <v>2252</v>
      </c>
      <c r="F1391" t="s">
        <v>578</v>
      </c>
      <c r="G1391" t="s">
        <v>2250</v>
      </c>
      <c r="H1391" t="s">
        <v>592</v>
      </c>
      <c r="J1391" s="519">
        <v>46031</v>
      </c>
      <c r="K1391" s="519">
        <v>46031</v>
      </c>
      <c r="R1391" s="519">
        <v>46114</v>
      </c>
      <c r="U1391" s="519">
        <v>46088</v>
      </c>
    </row>
    <row r="1392" spans="1:21">
      <c r="A1392" t="s">
        <v>953</v>
      </c>
      <c r="B1392" t="s">
        <v>2629</v>
      </c>
      <c r="C1392" t="s">
        <v>953</v>
      </c>
      <c r="D1392">
        <v>20456041</v>
      </c>
      <c r="E1392" t="s">
        <v>2258</v>
      </c>
      <c r="F1392" t="s">
        <v>581</v>
      </c>
      <c r="G1392" t="s">
        <v>2246</v>
      </c>
      <c r="H1392" t="s">
        <v>588</v>
      </c>
      <c r="J1392" s="519">
        <v>46076</v>
      </c>
      <c r="R1392" s="519">
        <v>46114</v>
      </c>
      <c r="U1392" s="519">
        <v>46146</v>
      </c>
    </row>
    <row r="1393" spans="1:21">
      <c r="A1393" t="s">
        <v>953</v>
      </c>
      <c r="B1393" t="s">
        <v>3678</v>
      </c>
      <c r="C1393" t="s">
        <v>953</v>
      </c>
      <c r="D1393">
        <v>20419128</v>
      </c>
      <c r="E1393" t="s">
        <v>2258</v>
      </c>
      <c r="F1393" t="s">
        <v>578</v>
      </c>
      <c r="G1393" t="s">
        <v>2259</v>
      </c>
      <c r="H1393" t="s">
        <v>592</v>
      </c>
      <c r="J1393" s="519">
        <v>46028</v>
      </c>
      <c r="R1393" s="519">
        <v>46114</v>
      </c>
      <c r="U1393" s="519">
        <v>46028</v>
      </c>
    </row>
    <row r="1394" spans="1:21">
      <c r="A1394" t="s">
        <v>953</v>
      </c>
      <c r="B1394" t="s">
        <v>2630</v>
      </c>
      <c r="C1394" t="s">
        <v>953</v>
      </c>
      <c r="D1394">
        <v>20449315</v>
      </c>
      <c r="E1394" t="s">
        <v>2258</v>
      </c>
      <c r="F1394" t="s">
        <v>984</v>
      </c>
      <c r="G1394" t="s">
        <v>1213</v>
      </c>
      <c r="H1394" t="s">
        <v>587</v>
      </c>
      <c r="J1394" s="519">
        <v>46068</v>
      </c>
      <c r="R1394" s="519">
        <v>46114</v>
      </c>
      <c r="U1394" s="519">
        <v>46143</v>
      </c>
    </row>
    <row r="1395" spans="1:21">
      <c r="A1395" t="s">
        <v>953</v>
      </c>
      <c r="B1395" t="s">
        <v>7200</v>
      </c>
      <c r="C1395" t="s">
        <v>953</v>
      </c>
      <c r="D1395">
        <v>20495481</v>
      </c>
      <c r="E1395" t="s">
        <v>2258</v>
      </c>
      <c r="F1395" t="s">
        <v>577</v>
      </c>
      <c r="G1395" t="s">
        <v>2250</v>
      </c>
      <c r="H1395" t="s">
        <v>592</v>
      </c>
      <c r="J1395" s="519">
        <v>46127</v>
      </c>
      <c r="R1395" s="519">
        <v>46139</v>
      </c>
      <c r="U1395" s="519">
        <v>46139</v>
      </c>
    </row>
    <row r="1396" spans="1:21">
      <c r="A1396" t="s">
        <v>953</v>
      </c>
      <c r="B1396" t="s">
        <v>3144</v>
      </c>
      <c r="C1396" t="s">
        <v>953</v>
      </c>
      <c r="D1396">
        <v>20466181</v>
      </c>
      <c r="E1396" t="s">
        <v>2258</v>
      </c>
      <c r="F1396" t="s">
        <v>984</v>
      </c>
      <c r="G1396" t="s">
        <v>2259</v>
      </c>
      <c r="H1396" t="s">
        <v>592</v>
      </c>
      <c r="J1396" s="519">
        <v>46091</v>
      </c>
      <c r="R1396" s="519">
        <v>46114</v>
      </c>
      <c r="U1396" s="519">
        <v>46091</v>
      </c>
    </row>
    <row r="1397" spans="1:21">
      <c r="A1397" t="s">
        <v>953</v>
      </c>
      <c r="B1397" t="s">
        <v>2631</v>
      </c>
      <c r="C1397" t="s">
        <v>953</v>
      </c>
      <c r="D1397">
        <v>20453911</v>
      </c>
      <c r="E1397" t="s">
        <v>2258</v>
      </c>
      <c r="F1397" t="s">
        <v>579</v>
      </c>
      <c r="G1397" t="s">
        <v>2259</v>
      </c>
      <c r="H1397" t="s">
        <v>593</v>
      </c>
      <c r="J1397" s="519">
        <v>46073</v>
      </c>
      <c r="R1397" s="519">
        <v>46114</v>
      </c>
      <c r="U1397" s="519">
        <v>46096</v>
      </c>
    </row>
    <row r="1398" spans="1:21">
      <c r="A1398" t="s">
        <v>953</v>
      </c>
      <c r="B1398" t="s">
        <v>2632</v>
      </c>
      <c r="C1398" t="s">
        <v>953</v>
      </c>
      <c r="D1398">
        <v>20444539</v>
      </c>
      <c r="E1398" t="s">
        <v>2258</v>
      </c>
      <c r="F1398" t="s">
        <v>581</v>
      </c>
      <c r="G1398" t="s">
        <v>1213</v>
      </c>
      <c r="H1398" t="s">
        <v>587</v>
      </c>
      <c r="J1398" s="519">
        <v>46063</v>
      </c>
      <c r="R1398" s="519">
        <v>46114</v>
      </c>
      <c r="U1398" s="519">
        <v>46113</v>
      </c>
    </row>
    <row r="1399" spans="1:21">
      <c r="A1399" t="s">
        <v>953</v>
      </c>
      <c r="B1399" t="s">
        <v>7201</v>
      </c>
      <c r="C1399" t="s">
        <v>953</v>
      </c>
      <c r="D1399">
        <v>20507080</v>
      </c>
      <c r="E1399" t="s">
        <v>2245</v>
      </c>
      <c r="F1399" t="s">
        <v>984</v>
      </c>
      <c r="G1399" t="s">
        <v>2290</v>
      </c>
      <c r="H1399" t="s">
        <v>592</v>
      </c>
      <c r="J1399" s="519">
        <v>46134</v>
      </c>
      <c r="U1399" s="519">
        <v>46143</v>
      </c>
    </row>
    <row r="1400" spans="1:21">
      <c r="A1400" t="s">
        <v>953</v>
      </c>
      <c r="B1400" t="s">
        <v>2633</v>
      </c>
      <c r="C1400" t="s">
        <v>953</v>
      </c>
      <c r="D1400">
        <v>20495122</v>
      </c>
      <c r="E1400" t="s">
        <v>2258</v>
      </c>
      <c r="F1400" t="s">
        <v>1115</v>
      </c>
      <c r="G1400" t="s">
        <v>1213</v>
      </c>
      <c r="H1400" t="s">
        <v>591</v>
      </c>
      <c r="J1400" s="519">
        <v>46126</v>
      </c>
      <c r="R1400" s="519">
        <v>46139</v>
      </c>
      <c r="U1400" s="519">
        <v>46126</v>
      </c>
    </row>
    <row r="1401" spans="1:21">
      <c r="A1401" t="s">
        <v>953</v>
      </c>
      <c r="B1401" t="s">
        <v>2633</v>
      </c>
      <c r="C1401" t="s">
        <v>953</v>
      </c>
      <c r="D1401">
        <v>20447638</v>
      </c>
      <c r="E1401" t="s">
        <v>2258</v>
      </c>
      <c r="F1401" t="s">
        <v>581</v>
      </c>
      <c r="G1401" t="s">
        <v>1213</v>
      </c>
      <c r="H1401" t="s">
        <v>591</v>
      </c>
      <c r="J1401" s="519">
        <v>46065</v>
      </c>
      <c r="R1401" s="519">
        <v>46114</v>
      </c>
      <c r="U1401" s="519">
        <v>46174</v>
      </c>
    </row>
    <row r="1402" spans="1:21">
      <c r="A1402" t="s">
        <v>953</v>
      </c>
      <c r="B1402" t="s">
        <v>3679</v>
      </c>
      <c r="C1402" t="s">
        <v>953</v>
      </c>
      <c r="D1402">
        <v>20490630</v>
      </c>
      <c r="E1402" t="s">
        <v>2258</v>
      </c>
      <c r="F1402" t="s">
        <v>581</v>
      </c>
      <c r="G1402" t="s">
        <v>2250</v>
      </c>
      <c r="H1402" t="s">
        <v>592</v>
      </c>
      <c r="J1402" s="519">
        <v>46121</v>
      </c>
      <c r="R1402" s="519">
        <v>46139</v>
      </c>
      <c r="U1402" s="519">
        <v>46143</v>
      </c>
    </row>
    <row r="1403" spans="1:21">
      <c r="A1403" t="s">
        <v>953</v>
      </c>
      <c r="B1403" t="s">
        <v>2635</v>
      </c>
      <c r="C1403" t="s">
        <v>953</v>
      </c>
      <c r="D1403">
        <v>20455996</v>
      </c>
      <c r="E1403" t="s">
        <v>2258</v>
      </c>
      <c r="F1403" t="s">
        <v>577</v>
      </c>
      <c r="G1403" t="s">
        <v>2248</v>
      </c>
      <c r="H1403" t="s">
        <v>587</v>
      </c>
      <c r="J1403" s="519">
        <v>46076</v>
      </c>
      <c r="R1403" s="519">
        <v>46114</v>
      </c>
      <c r="U1403" s="519">
        <v>46076</v>
      </c>
    </row>
    <row r="1404" spans="1:21">
      <c r="A1404" t="s">
        <v>953</v>
      </c>
      <c r="B1404" t="s">
        <v>3680</v>
      </c>
      <c r="C1404" t="s">
        <v>953</v>
      </c>
      <c r="D1404">
        <v>20485427</v>
      </c>
      <c r="E1404" t="s">
        <v>2258</v>
      </c>
      <c r="F1404" t="s">
        <v>581</v>
      </c>
      <c r="G1404" t="s">
        <v>2250</v>
      </c>
      <c r="H1404" t="s">
        <v>592</v>
      </c>
      <c r="J1404" s="519">
        <v>46113</v>
      </c>
      <c r="R1404" s="519">
        <v>46139</v>
      </c>
      <c r="U1404" s="519">
        <v>46208</v>
      </c>
    </row>
    <row r="1405" spans="1:21">
      <c r="A1405" t="s">
        <v>953</v>
      </c>
      <c r="B1405" t="s">
        <v>7202</v>
      </c>
      <c r="C1405" t="s">
        <v>953</v>
      </c>
      <c r="D1405">
        <v>20508344</v>
      </c>
      <c r="E1405" t="s">
        <v>2245</v>
      </c>
      <c r="F1405" t="s">
        <v>579</v>
      </c>
      <c r="G1405" t="s">
        <v>2248</v>
      </c>
      <c r="H1405" t="s">
        <v>588</v>
      </c>
      <c r="I1405" t="s">
        <v>1156</v>
      </c>
      <c r="J1405" s="519">
        <v>46135</v>
      </c>
      <c r="U1405" s="519">
        <v>46135</v>
      </c>
    </row>
    <row r="1406" spans="1:21">
      <c r="A1406" t="s">
        <v>953</v>
      </c>
      <c r="B1406" t="s">
        <v>2637</v>
      </c>
      <c r="C1406" t="s">
        <v>953</v>
      </c>
      <c r="D1406">
        <v>20443308</v>
      </c>
      <c r="E1406" t="s">
        <v>2258</v>
      </c>
      <c r="F1406" t="s">
        <v>581</v>
      </c>
      <c r="G1406" t="s">
        <v>2246</v>
      </c>
      <c r="H1406" t="s">
        <v>587</v>
      </c>
      <c r="J1406" s="519">
        <v>46061</v>
      </c>
      <c r="R1406" s="519">
        <v>46114</v>
      </c>
      <c r="U1406" s="519">
        <v>46153</v>
      </c>
    </row>
    <row r="1407" spans="1:21">
      <c r="A1407" t="s">
        <v>953</v>
      </c>
      <c r="B1407" t="s">
        <v>7203</v>
      </c>
      <c r="C1407" t="s">
        <v>953</v>
      </c>
      <c r="D1407">
        <v>20499641</v>
      </c>
      <c r="E1407" t="s">
        <v>2258</v>
      </c>
      <c r="F1407" t="s">
        <v>581</v>
      </c>
      <c r="G1407" t="s">
        <v>2250</v>
      </c>
      <c r="H1407" t="s">
        <v>592</v>
      </c>
      <c r="J1407" s="519">
        <v>46129</v>
      </c>
      <c r="R1407" s="519">
        <v>46132</v>
      </c>
      <c r="U1407" s="519">
        <v>46200</v>
      </c>
    </row>
    <row r="1408" spans="1:21">
      <c r="A1408" t="s">
        <v>953</v>
      </c>
      <c r="B1408" t="s">
        <v>1123</v>
      </c>
      <c r="C1408" t="s">
        <v>953</v>
      </c>
      <c r="D1408">
        <v>20448815</v>
      </c>
      <c r="E1408" t="s">
        <v>2252</v>
      </c>
      <c r="F1408" t="s">
        <v>1001</v>
      </c>
      <c r="G1408" t="s">
        <v>1213</v>
      </c>
      <c r="H1408" t="s">
        <v>587</v>
      </c>
      <c r="I1408" t="s">
        <v>859</v>
      </c>
      <c r="J1408" s="519">
        <v>46066</v>
      </c>
      <c r="K1408" s="519">
        <v>46072</v>
      </c>
      <c r="R1408" s="519">
        <v>46114</v>
      </c>
      <c r="U1408" s="519">
        <v>46097</v>
      </c>
    </row>
    <row r="1409" spans="1:21">
      <c r="A1409" t="s">
        <v>953</v>
      </c>
      <c r="B1409" t="s">
        <v>2639</v>
      </c>
      <c r="C1409" t="s">
        <v>953</v>
      </c>
      <c r="D1409">
        <v>20443300</v>
      </c>
      <c r="E1409" t="s">
        <v>2258</v>
      </c>
      <c r="F1409" t="s">
        <v>581</v>
      </c>
      <c r="G1409" t="s">
        <v>2290</v>
      </c>
      <c r="H1409" t="s">
        <v>587</v>
      </c>
      <c r="J1409" s="519">
        <v>46061</v>
      </c>
      <c r="R1409" s="519">
        <v>46114</v>
      </c>
      <c r="U1409" s="519">
        <v>46082</v>
      </c>
    </row>
    <row r="1410" spans="1:21">
      <c r="A1410" t="s">
        <v>953</v>
      </c>
      <c r="B1410" t="s">
        <v>7204</v>
      </c>
      <c r="C1410" t="s">
        <v>953</v>
      </c>
      <c r="D1410">
        <v>20509393</v>
      </c>
      <c r="E1410" t="s">
        <v>2245</v>
      </c>
      <c r="F1410" t="s">
        <v>984</v>
      </c>
      <c r="G1410" t="s">
        <v>2246</v>
      </c>
      <c r="H1410" t="s">
        <v>592</v>
      </c>
      <c r="J1410" s="519">
        <v>46136</v>
      </c>
      <c r="U1410" s="519">
        <v>46143</v>
      </c>
    </row>
    <row r="1411" spans="1:21">
      <c r="A1411" t="s">
        <v>953</v>
      </c>
      <c r="B1411" t="s">
        <v>3681</v>
      </c>
      <c r="C1411" t="s">
        <v>953</v>
      </c>
      <c r="D1411">
        <v>20492072</v>
      </c>
      <c r="E1411" t="s">
        <v>2258</v>
      </c>
      <c r="F1411" t="s">
        <v>984</v>
      </c>
      <c r="G1411" t="s">
        <v>2250</v>
      </c>
      <c r="H1411" t="s">
        <v>592</v>
      </c>
      <c r="J1411" s="519">
        <v>46122</v>
      </c>
      <c r="R1411" s="519">
        <v>46139</v>
      </c>
      <c r="U1411" s="519">
        <v>46143</v>
      </c>
    </row>
    <row r="1412" spans="1:21">
      <c r="A1412" t="s">
        <v>953</v>
      </c>
      <c r="B1412" t="s">
        <v>3150</v>
      </c>
      <c r="C1412" t="s">
        <v>953</v>
      </c>
      <c r="D1412">
        <v>20470445</v>
      </c>
      <c r="E1412" t="s">
        <v>2252</v>
      </c>
      <c r="F1412" t="s">
        <v>1115</v>
      </c>
      <c r="G1412" t="s">
        <v>2250</v>
      </c>
      <c r="H1412" t="s">
        <v>587</v>
      </c>
      <c r="I1412" t="s">
        <v>1336</v>
      </c>
      <c r="J1412" s="519">
        <v>46093</v>
      </c>
      <c r="K1412" s="519">
        <v>46093</v>
      </c>
      <c r="R1412" s="519">
        <v>46114</v>
      </c>
      <c r="U1412" s="519">
        <v>46093</v>
      </c>
    </row>
    <row r="1413" spans="1:21">
      <c r="A1413" t="s">
        <v>953</v>
      </c>
      <c r="B1413" t="s">
        <v>7205</v>
      </c>
      <c r="C1413" t="s">
        <v>953</v>
      </c>
      <c r="D1413">
        <v>20509077</v>
      </c>
      <c r="E1413" t="s">
        <v>2245</v>
      </c>
      <c r="F1413" t="s">
        <v>581</v>
      </c>
      <c r="G1413" t="s">
        <v>2259</v>
      </c>
      <c r="H1413" t="s">
        <v>2388</v>
      </c>
      <c r="J1413" s="519">
        <v>46136</v>
      </c>
      <c r="U1413" s="519">
        <v>46136</v>
      </c>
    </row>
    <row r="1414" spans="1:21">
      <c r="A1414" t="s">
        <v>953</v>
      </c>
      <c r="B1414" t="s">
        <v>7206</v>
      </c>
      <c r="C1414" t="s">
        <v>953</v>
      </c>
      <c r="D1414">
        <v>20504053</v>
      </c>
      <c r="E1414" t="s">
        <v>2245</v>
      </c>
      <c r="F1414" t="s">
        <v>577</v>
      </c>
      <c r="G1414" t="s">
        <v>2246</v>
      </c>
      <c r="H1414" t="s">
        <v>592</v>
      </c>
      <c r="J1414" s="519">
        <v>46132</v>
      </c>
      <c r="U1414" s="519">
        <v>46143</v>
      </c>
    </row>
    <row r="1415" spans="1:21">
      <c r="A1415" t="s">
        <v>953</v>
      </c>
      <c r="B1415" t="s">
        <v>3151</v>
      </c>
      <c r="C1415" t="s">
        <v>953</v>
      </c>
      <c r="D1415">
        <v>20482556</v>
      </c>
      <c r="E1415" t="s">
        <v>2258</v>
      </c>
      <c r="F1415" t="s">
        <v>581</v>
      </c>
      <c r="G1415" t="s">
        <v>2246</v>
      </c>
      <c r="H1415" t="s">
        <v>592</v>
      </c>
      <c r="J1415" s="519">
        <v>46110</v>
      </c>
      <c r="R1415" s="519">
        <v>46139</v>
      </c>
      <c r="U1415" s="519">
        <v>46143</v>
      </c>
    </row>
    <row r="1416" spans="1:21">
      <c r="A1416" t="s">
        <v>953</v>
      </c>
      <c r="B1416" t="s">
        <v>3152</v>
      </c>
      <c r="C1416" t="s">
        <v>953</v>
      </c>
      <c r="D1416">
        <v>20483482</v>
      </c>
      <c r="E1416" t="s">
        <v>2258</v>
      </c>
      <c r="F1416" t="s">
        <v>581</v>
      </c>
      <c r="G1416" t="s">
        <v>2248</v>
      </c>
      <c r="H1416" t="s">
        <v>588</v>
      </c>
      <c r="J1416" s="519">
        <v>46111</v>
      </c>
      <c r="R1416" s="519">
        <v>46114</v>
      </c>
      <c r="U1416" s="519">
        <v>46147</v>
      </c>
    </row>
    <row r="1417" spans="1:21">
      <c r="A1417" t="s">
        <v>953</v>
      </c>
      <c r="B1417" t="s">
        <v>7207</v>
      </c>
      <c r="C1417" t="s">
        <v>953</v>
      </c>
      <c r="D1417">
        <v>20512160</v>
      </c>
      <c r="E1417" t="s">
        <v>2245</v>
      </c>
      <c r="F1417" t="s">
        <v>577</v>
      </c>
      <c r="G1417" t="s">
        <v>2246</v>
      </c>
      <c r="H1417" t="s">
        <v>1144</v>
      </c>
      <c r="J1417" s="519">
        <v>46140</v>
      </c>
      <c r="U1417" s="519">
        <v>46151</v>
      </c>
    </row>
    <row r="1418" spans="1:21">
      <c r="A1418" t="s">
        <v>953</v>
      </c>
      <c r="B1418" t="s">
        <v>7208</v>
      </c>
      <c r="C1418" t="s">
        <v>953</v>
      </c>
      <c r="D1418">
        <v>20510990</v>
      </c>
      <c r="E1418" t="s">
        <v>2258</v>
      </c>
      <c r="F1418" t="s">
        <v>581</v>
      </c>
      <c r="G1418" t="s">
        <v>2250</v>
      </c>
      <c r="H1418" t="s">
        <v>592</v>
      </c>
      <c r="J1418" s="519">
        <v>46139</v>
      </c>
      <c r="R1418" s="519">
        <v>46139</v>
      </c>
      <c r="U1418" s="519">
        <v>46149</v>
      </c>
    </row>
    <row r="1419" spans="1:21">
      <c r="A1419" t="s">
        <v>953</v>
      </c>
      <c r="B1419" t="s">
        <v>7208</v>
      </c>
      <c r="C1419" t="s">
        <v>953</v>
      </c>
      <c r="D1419">
        <v>20510980</v>
      </c>
      <c r="E1419" t="s">
        <v>2245</v>
      </c>
      <c r="F1419" t="s">
        <v>984</v>
      </c>
      <c r="G1419" t="s">
        <v>2259</v>
      </c>
      <c r="H1419" t="s">
        <v>592</v>
      </c>
      <c r="J1419" s="519">
        <v>46139</v>
      </c>
      <c r="U1419" s="519">
        <v>46153</v>
      </c>
    </row>
    <row r="1420" spans="1:21">
      <c r="A1420" t="s">
        <v>953</v>
      </c>
      <c r="B1420" t="s">
        <v>2641</v>
      </c>
      <c r="C1420" t="s">
        <v>953</v>
      </c>
      <c r="D1420">
        <v>20442460</v>
      </c>
      <c r="E1420" t="s">
        <v>2258</v>
      </c>
      <c r="F1420" t="s">
        <v>581</v>
      </c>
      <c r="G1420" t="s">
        <v>2246</v>
      </c>
      <c r="H1420" t="s">
        <v>587</v>
      </c>
      <c r="J1420" s="519">
        <v>46059</v>
      </c>
      <c r="R1420" s="519">
        <v>46114</v>
      </c>
      <c r="U1420" s="519">
        <v>46061</v>
      </c>
    </row>
    <row r="1421" spans="1:21">
      <c r="A1421" t="s">
        <v>953</v>
      </c>
      <c r="B1421" t="s">
        <v>3153</v>
      </c>
      <c r="C1421" t="s">
        <v>953</v>
      </c>
      <c r="D1421">
        <v>20471945</v>
      </c>
      <c r="E1421" t="s">
        <v>2258</v>
      </c>
      <c r="F1421" t="s">
        <v>984</v>
      </c>
      <c r="G1421" t="s">
        <v>2250</v>
      </c>
      <c r="H1421" t="s">
        <v>592</v>
      </c>
      <c r="J1421" s="519">
        <v>46096</v>
      </c>
      <c r="R1421" s="519">
        <v>46114</v>
      </c>
      <c r="U1421" s="519">
        <v>46097</v>
      </c>
    </row>
    <row r="1422" spans="1:21">
      <c r="A1422" t="s">
        <v>953</v>
      </c>
      <c r="B1422" t="s">
        <v>7209</v>
      </c>
      <c r="C1422" t="s">
        <v>953</v>
      </c>
      <c r="D1422">
        <v>20508469</v>
      </c>
      <c r="E1422" t="s">
        <v>2245</v>
      </c>
      <c r="F1422" t="s">
        <v>581</v>
      </c>
      <c r="G1422" t="s">
        <v>2250</v>
      </c>
      <c r="H1422" t="s">
        <v>2361</v>
      </c>
      <c r="J1422" s="519">
        <v>46135</v>
      </c>
      <c r="U1422" s="519">
        <v>46174</v>
      </c>
    </row>
    <row r="1423" spans="1:21">
      <c r="A1423" t="s">
        <v>953</v>
      </c>
      <c r="B1423" t="s">
        <v>3154</v>
      </c>
      <c r="C1423" t="s">
        <v>953</v>
      </c>
      <c r="D1423">
        <v>20483283</v>
      </c>
      <c r="E1423" t="s">
        <v>2258</v>
      </c>
      <c r="F1423" t="s">
        <v>581</v>
      </c>
      <c r="G1423" t="s">
        <v>2259</v>
      </c>
      <c r="H1423" t="s">
        <v>2388</v>
      </c>
      <c r="J1423" s="519">
        <v>46111</v>
      </c>
      <c r="R1423" s="519">
        <v>46116</v>
      </c>
      <c r="U1423" s="519">
        <v>46112</v>
      </c>
    </row>
    <row r="1424" spans="1:21">
      <c r="A1424" t="s">
        <v>953</v>
      </c>
      <c r="B1424" t="s">
        <v>3682</v>
      </c>
      <c r="C1424" t="s">
        <v>953</v>
      </c>
      <c r="D1424">
        <v>20411977</v>
      </c>
      <c r="E1424" t="s">
        <v>2258</v>
      </c>
      <c r="F1424" t="s">
        <v>581</v>
      </c>
      <c r="G1424" t="s">
        <v>2259</v>
      </c>
      <c r="H1424" t="s">
        <v>587</v>
      </c>
      <c r="J1424" s="519">
        <v>46014</v>
      </c>
      <c r="R1424" s="519">
        <v>46114</v>
      </c>
      <c r="U1424" s="519">
        <v>46014</v>
      </c>
    </row>
    <row r="1425" spans="1:21">
      <c r="A1425" t="s">
        <v>953</v>
      </c>
      <c r="B1425" t="s">
        <v>3155</v>
      </c>
      <c r="C1425" t="s">
        <v>953</v>
      </c>
      <c r="D1425">
        <v>20477378</v>
      </c>
      <c r="E1425" t="s">
        <v>2258</v>
      </c>
      <c r="F1425" t="s">
        <v>984</v>
      </c>
      <c r="G1425" t="s">
        <v>2250</v>
      </c>
      <c r="H1425" t="s">
        <v>592</v>
      </c>
      <c r="I1425" t="s">
        <v>1156</v>
      </c>
      <c r="J1425" s="519">
        <v>46102</v>
      </c>
      <c r="R1425" s="519">
        <v>46116</v>
      </c>
      <c r="U1425" s="519">
        <v>46183</v>
      </c>
    </row>
    <row r="1426" spans="1:21">
      <c r="A1426" t="s">
        <v>953</v>
      </c>
      <c r="B1426" t="s">
        <v>2642</v>
      </c>
      <c r="C1426" t="s">
        <v>953</v>
      </c>
      <c r="D1426">
        <v>20448322</v>
      </c>
      <c r="E1426" t="s">
        <v>2258</v>
      </c>
      <c r="F1426" t="s">
        <v>581</v>
      </c>
      <c r="G1426" t="s">
        <v>2259</v>
      </c>
      <c r="H1426" t="s">
        <v>2388</v>
      </c>
      <c r="J1426" s="519">
        <v>46066</v>
      </c>
      <c r="R1426" s="519">
        <v>46114</v>
      </c>
      <c r="U1426" s="519">
        <v>46066</v>
      </c>
    </row>
    <row r="1427" spans="1:21">
      <c r="A1427" t="s">
        <v>953</v>
      </c>
      <c r="B1427" t="s">
        <v>3683</v>
      </c>
      <c r="C1427" t="s">
        <v>953</v>
      </c>
      <c r="D1427">
        <v>20420573</v>
      </c>
      <c r="E1427" t="s">
        <v>2252</v>
      </c>
      <c r="F1427" t="s">
        <v>579</v>
      </c>
      <c r="G1427" t="s">
        <v>2250</v>
      </c>
      <c r="H1427" t="s">
        <v>587</v>
      </c>
      <c r="I1427" t="s">
        <v>3684</v>
      </c>
      <c r="J1427" s="519">
        <v>46029</v>
      </c>
      <c r="K1427" s="519">
        <v>46029</v>
      </c>
      <c r="R1427" s="519">
        <v>46114</v>
      </c>
      <c r="U1427" s="519">
        <v>46055</v>
      </c>
    </row>
    <row r="1428" spans="1:21">
      <c r="A1428" t="s">
        <v>953</v>
      </c>
      <c r="B1428" t="s">
        <v>7210</v>
      </c>
      <c r="C1428" t="s">
        <v>953</v>
      </c>
      <c r="D1428">
        <v>20504263</v>
      </c>
      <c r="E1428" t="s">
        <v>2252</v>
      </c>
      <c r="F1428" t="s">
        <v>581</v>
      </c>
      <c r="G1428" t="s">
        <v>2250</v>
      </c>
      <c r="H1428" t="s">
        <v>587</v>
      </c>
      <c r="I1428" t="s">
        <v>1118</v>
      </c>
      <c r="J1428" s="519">
        <v>46132</v>
      </c>
      <c r="K1428" s="519">
        <v>46132</v>
      </c>
      <c r="R1428" s="519">
        <v>46135</v>
      </c>
      <c r="U1428" s="519">
        <v>46142</v>
      </c>
    </row>
    <row r="1429" spans="1:21">
      <c r="A1429" t="s">
        <v>953</v>
      </c>
      <c r="B1429" t="s">
        <v>2643</v>
      </c>
      <c r="C1429" t="s">
        <v>953</v>
      </c>
      <c r="D1429">
        <v>20459091</v>
      </c>
      <c r="E1429" t="s">
        <v>2258</v>
      </c>
      <c r="F1429" t="s">
        <v>984</v>
      </c>
      <c r="G1429" t="s">
        <v>2248</v>
      </c>
      <c r="H1429" t="s">
        <v>588</v>
      </c>
      <c r="J1429" s="519">
        <v>46080</v>
      </c>
      <c r="R1429" s="519">
        <v>46114</v>
      </c>
      <c r="U1429" s="519">
        <v>46080</v>
      </c>
    </row>
    <row r="1430" spans="1:21">
      <c r="A1430" t="s">
        <v>953</v>
      </c>
      <c r="B1430" t="s">
        <v>2644</v>
      </c>
      <c r="C1430" t="s">
        <v>953</v>
      </c>
      <c r="D1430">
        <v>20446038</v>
      </c>
      <c r="E1430" t="s">
        <v>2258</v>
      </c>
      <c r="F1430" t="s">
        <v>581</v>
      </c>
      <c r="G1430" t="s">
        <v>1213</v>
      </c>
      <c r="H1430" t="s">
        <v>587</v>
      </c>
      <c r="J1430" s="519">
        <v>46064</v>
      </c>
      <c r="R1430" s="519">
        <v>46114</v>
      </c>
      <c r="U1430" s="519">
        <v>46082</v>
      </c>
    </row>
    <row r="1431" spans="1:21">
      <c r="A1431" t="s">
        <v>953</v>
      </c>
      <c r="B1431" t="s">
        <v>3156</v>
      </c>
      <c r="C1431" t="s">
        <v>953</v>
      </c>
      <c r="D1431">
        <v>20462252</v>
      </c>
      <c r="E1431" t="s">
        <v>2258</v>
      </c>
      <c r="F1431" t="s">
        <v>581</v>
      </c>
      <c r="G1431" t="s">
        <v>2290</v>
      </c>
      <c r="H1431" t="s">
        <v>587</v>
      </c>
      <c r="J1431" s="519">
        <v>46085</v>
      </c>
      <c r="R1431" s="519">
        <v>46114</v>
      </c>
      <c r="U1431" s="519">
        <v>46095</v>
      </c>
    </row>
    <row r="1432" spans="1:21">
      <c r="A1432" t="s">
        <v>953</v>
      </c>
      <c r="B1432" t="s">
        <v>3157</v>
      </c>
      <c r="C1432" t="s">
        <v>953</v>
      </c>
      <c r="D1432">
        <v>20461036</v>
      </c>
      <c r="E1432" t="s">
        <v>2252</v>
      </c>
      <c r="F1432" t="s">
        <v>1115</v>
      </c>
      <c r="G1432" t="s">
        <v>2250</v>
      </c>
      <c r="H1432" t="s">
        <v>587</v>
      </c>
      <c r="J1432" s="519">
        <v>46083</v>
      </c>
      <c r="K1432" s="519">
        <v>46083</v>
      </c>
      <c r="R1432" s="519">
        <v>46115</v>
      </c>
      <c r="U1432" s="519">
        <v>46083</v>
      </c>
    </row>
    <row r="1433" spans="1:21">
      <c r="A1433" t="s">
        <v>953</v>
      </c>
      <c r="B1433" t="s">
        <v>3685</v>
      </c>
      <c r="C1433" t="s">
        <v>953</v>
      </c>
      <c r="D1433">
        <v>20492770</v>
      </c>
      <c r="E1433" t="s">
        <v>2258</v>
      </c>
      <c r="F1433" t="s">
        <v>581</v>
      </c>
      <c r="G1433" t="s">
        <v>2250</v>
      </c>
      <c r="H1433" t="s">
        <v>2361</v>
      </c>
      <c r="J1433" s="519">
        <v>46123</v>
      </c>
      <c r="R1433" s="519">
        <v>46139</v>
      </c>
      <c r="U1433" s="519">
        <v>46266</v>
      </c>
    </row>
    <row r="1434" spans="1:21">
      <c r="A1434" t="s">
        <v>953</v>
      </c>
      <c r="B1434" t="s">
        <v>3686</v>
      </c>
      <c r="C1434" t="s">
        <v>953</v>
      </c>
      <c r="D1434">
        <v>20493031</v>
      </c>
      <c r="E1434" t="s">
        <v>1100</v>
      </c>
      <c r="F1434" t="s">
        <v>1115</v>
      </c>
      <c r="G1434" t="s">
        <v>2250</v>
      </c>
      <c r="H1434" t="s">
        <v>587</v>
      </c>
      <c r="J1434" s="519">
        <v>46124</v>
      </c>
      <c r="K1434" s="519">
        <v>46124</v>
      </c>
      <c r="U1434" s="519">
        <v>46125</v>
      </c>
    </row>
    <row r="1435" spans="1:21">
      <c r="A1435" t="s">
        <v>953</v>
      </c>
      <c r="B1435" t="s">
        <v>7211</v>
      </c>
      <c r="C1435" t="s">
        <v>953</v>
      </c>
      <c r="D1435">
        <v>20483721</v>
      </c>
      <c r="E1435" t="s">
        <v>1100</v>
      </c>
      <c r="F1435" t="s">
        <v>578</v>
      </c>
      <c r="G1435" t="s">
        <v>2250</v>
      </c>
      <c r="H1435" t="s">
        <v>592</v>
      </c>
      <c r="I1435" t="s">
        <v>2935</v>
      </c>
      <c r="J1435" s="519">
        <v>46111</v>
      </c>
      <c r="K1435" s="519">
        <v>46134</v>
      </c>
      <c r="U1435" s="519">
        <v>46165</v>
      </c>
    </row>
    <row r="1436" spans="1:21">
      <c r="A1436" t="s">
        <v>953</v>
      </c>
      <c r="B1436" t="s">
        <v>7211</v>
      </c>
      <c r="C1436" t="s">
        <v>953</v>
      </c>
      <c r="D1436">
        <v>20507077</v>
      </c>
      <c r="E1436" t="s">
        <v>1110</v>
      </c>
      <c r="F1436" t="s">
        <v>578</v>
      </c>
      <c r="G1436" t="s">
        <v>2250</v>
      </c>
      <c r="H1436" t="s">
        <v>591</v>
      </c>
      <c r="I1436" t="s">
        <v>2935</v>
      </c>
      <c r="J1436" s="519">
        <v>46134</v>
      </c>
      <c r="K1436" s="519">
        <v>46134</v>
      </c>
      <c r="L1436" s="519">
        <v>46136</v>
      </c>
      <c r="U1436" s="519">
        <v>46140</v>
      </c>
    </row>
    <row r="1437" spans="1:21">
      <c r="A1437" t="s">
        <v>953</v>
      </c>
      <c r="B1437" t="s">
        <v>2647</v>
      </c>
      <c r="C1437" t="s">
        <v>953</v>
      </c>
      <c r="D1437">
        <v>20449671</v>
      </c>
      <c r="E1437" t="s">
        <v>2252</v>
      </c>
      <c r="F1437" t="s">
        <v>581</v>
      </c>
      <c r="G1437" t="s">
        <v>2250</v>
      </c>
      <c r="H1437" t="s">
        <v>589</v>
      </c>
      <c r="I1437" t="s">
        <v>1397</v>
      </c>
      <c r="J1437" s="519">
        <v>46069</v>
      </c>
      <c r="K1437" s="519">
        <v>46069</v>
      </c>
      <c r="R1437" s="519">
        <v>46114</v>
      </c>
      <c r="U1437" s="519">
        <v>46077</v>
      </c>
    </row>
    <row r="1438" spans="1:21">
      <c r="A1438" t="s">
        <v>953</v>
      </c>
      <c r="B1438" t="s">
        <v>3687</v>
      </c>
      <c r="C1438" t="s">
        <v>953</v>
      </c>
      <c r="D1438">
        <v>20491002</v>
      </c>
      <c r="E1438" t="s">
        <v>2245</v>
      </c>
      <c r="F1438" t="s">
        <v>579</v>
      </c>
      <c r="G1438" t="s">
        <v>2248</v>
      </c>
      <c r="H1438" t="s">
        <v>2564</v>
      </c>
      <c r="J1438" s="519">
        <v>46121</v>
      </c>
      <c r="U1438" s="519">
        <v>46121</v>
      </c>
    </row>
    <row r="1439" spans="1:21">
      <c r="A1439" t="s">
        <v>953</v>
      </c>
      <c r="B1439" t="s">
        <v>3688</v>
      </c>
      <c r="C1439" t="s">
        <v>953</v>
      </c>
      <c r="D1439">
        <v>20419435</v>
      </c>
      <c r="E1439" t="s">
        <v>2258</v>
      </c>
      <c r="F1439" t="s">
        <v>579</v>
      </c>
      <c r="G1439" t="s">
        <v>2259</v>
      </c>
      <c r="H1439" t="s">
        <v>592</v>
      </c>
      <c r="J1439" s="519">
        <v>46028</v>
      </c>
      <c r="R1439" s="519">
        <v>46114</v>
      </c>
      <c r="U1439" s="519">
        <v>46028</v>
      </c>
    </row>
    <row r="1440" spans="1:21">
      <c r="A1440" t="s">
        <v>953</v>
      </c>
      <c r="B1440" t="s">
        <v>3689</v>
      </c>
      <c r="C1440" t="s">
        <v>953</v>
      </c>
      <c r="D1440">
        <v>20431814</v>
      </c>
      <c r="E1440" t="s">
        <v>2258</v>
      </c>
      <c r="F1440" t="s">
        <v>578</v>
      </c>
      <c r="G1440" t="s">
        <v>2248</v>
      </c>
      <c r="H1440" t="s">
        <v>588</v>
      </c>
      <c r="J1440" s="519">
        <v>46043</v>
      </c>
      <c r="R1440" s="519">
        <v>46114</v>
      </c>
      <c r="U1440" s="519">
        <v>46043</v>
      </c>
    </row>
    <row r="1441" spans="1:21">
      <c r="A1441" t="s">
        <v>953</v>
      </c>
      <c r="B1441" t="s">
        <v>3690</v>
      </c>
      <c r="C1441" t="s">
        <v>953</v>
      </c>
      <c r="D1441">
        <v>20485830</v>
      </c>
      <c r="E1441" t="s">
        <v>2258</v>
      </c>
      <c r="F1441" t="s">
        <v>3691</v>
      </c>
      <c r="G1441" t="s">
        <v>2259</v>
      </c>
      <c r="H1441" t="s">
        <v>591</v>
      </c>
      <c r="J1441" s="519">
        <v>46114</v>
      </c>
      <c r="R1441" s="519">
        <v>46129</v>
      </c>
      <c r="U1441" s="519">
        <v>46114</v>
      </c>
    </row>
    <row r="1442" spans="1:21">
      <c r="A1442" t="s">
        <v>953</v>
      </c>
      <c r="B1442" t="s">
        <v>2649</v>
      </c>
      <c r="C1442" t="s">
        <v>953</v>
      </c>
      <c r="D1442">
        <v>20442136</v>
      </c>
      <c r="E1442" t="s">
        <v>2258</v>
      </c>
      <c r="F1442" t="s">
        <v>984</v>
      </c>
      <c r="G1442" t="s">
        <v>2248</v>
      </c>
      <c r="H1442" t="s">
        <v>2453</v>
      </c>
      <c r="I1442" t="s">
        <v>1034</v>
      </c>
      <c r="J1442" s="519">
        <v>46059</v>
      </c>
      <c r="R1442" s="519">
        <v>46114</v>
      </c>
      <c r="U1442" s="519">
        <v>46059</v>
      </c>
    </row>
    <row r="1443" spans="1:21">
      <c r="A1443" t="s">
        <v>953</v>
      </c>
      <c r="B1443" t="s">
        <v>3160</v>
      </c>
      <c r="C1443" t="s">
        <v>953</v>
      </c>
      <c r="D1443">
        <v>20478283</v>
      </c>
      <c r="E1443" t="s">
        <v>2258</v>
      </c>
      <c r="F1443" t="s">
        <v>984</v>
      </c>
      <c r="G1443" t="s">
        <v>3161</v>
      </c>
      <c r="H1443" t="s">
        <v>587</v>
      </c>
      <c r="J1443" s="519">
        <v>46104</v>
      </c>
      <c r="R1443" s="519">
        <v>46114</v>
      </c>
      <c r="U1443" s="519">
        <v>46104</v>
      </c>
    </row>
    <row r="1444" spans="1:21">
      <c r="A1444" t="s">
        <v>953</v>
      </c>
      <c r="B1444" t="s">
        <v>3162</v>
      </c>
      <c r="C1444" t="s">
        <v>953</v>
      </c>
      <c r="D1444">
        <v>20484147</v>
      </c>
      <c r="E1444" t="s">
        <v>2258</v>
      </c>
      <c r="F1444" t="s">
        <v>581</v>
      </c>
      <c r="G1444" t="s">
        <v>1213</v>
      </c>
      <c r="H1444" t="s">
        <v>2361</v>
      </c>
      <c r="J1444" s="519">
        <v>46112</v>
      </c>
      <c r="R1444" s="519">
        <v>46139</v>
      </c>
      <c r="U1444" s="519">
        <v>46112</v>
      </c>
    </row>
    <row r="1445" spans="1:21">
      <c r="A1445" t="s">
        <v>953</v>
      </c>
      <c r="B1445" t="s">
        <v>7212</v>
      </c>
      <c r="C1445" t="s">
        <v>953</v>
      </c>
      <c r="D1445">
        <v>20506239</v>
      </c>
      <c r="E1445" t="s">
        <v>2245</v>
      </c>
      <c r="F1445" t="s">
        <v>581</v>
      </c>
      <c r="G1445" t="s">
        <v>2250</v>
      </c>
      <c r="H1445" t="s">
        <v>2361</v>
      </c>
      <c r="J1445" s="519">
        <v>46134</v>
      </c>
      <c r="U1445" s="519">
        <v>46164</v>
      </c>
    </row>
    <row r="1446" spans="1:21">
      <c r="A1446" t="s">
        <v>953</v>
      </c>
      <c r="B1446" t="s">
        <v>7213</v>
      </c>
      <c r="C1446" t="s">
        <v>953</v>
      </c>
      <c r="D1446">
        <v>20506235</v>
      </c>
      <c r="E1446" t="s">
        <v>2245</v>
      </c>
      <c r="F1446" t="s">
        <v>984</v>
      </c>
      <c r="G1446" t="s">
        <v>2246</v>
      </c>
      <c r="H1446" t="s">
        <v>592</v>
      </c>
      <c r="J1446" s="519">
        <v>46134</v>
      </c>
      <c r="U1446" s="519">
        <v>46157</v>
      </c>
    </row>
    <row r="1447" spans="1:21">
      <c r="A1447" t="s">
        <v>953</v>
      </c>
      <c r="B1447" t="s">
        <v>7214</v>
      </c>
      <c r="C1447" t="s">
        <v>953</v>
      </c>
      <c r="D1447">
        <v>20506252</v>
      </c>
      <c r="E1447" t="s">
        <v>2245</v>
      </c>
      <c r="F1447" t="s">
        <v>984</v>
      </c>
      <c r="G1447" t="s">
        <v>2250</v>
      </c>
      <c r="H1447" t="s">
        <v>6960</v>
      </c>
      <c r="J1447" s="519">
        <v>46134</v>
      </c>
      <c r="U1447" s="519">
        <v>46139</v>
      </c>
    </row>
    <row r="1448" spans="1:21">
      <c r="A1448" t="s">
        <v>953</v>
      </c>
      <c r="B1448" t="s">
        <v>7215</v>
      </c>
      <c r="C1448" t="s">
        <v>953</v>
      </c>
      <c r="D1448">
        <v>20506250</v>
      </c>
      <c r="E1448" t="s">
        <v>2245</v>
      </c>
      <c r="F1448" t="s">
        <v>581</v>
      </c>
      <c r="G1448" t="s">
        <v>1213</v>
      </c>
      <c r="H1448" t="s">
        <v>2361</v>
      </c>
      <c r="J1448" s="519">
        <v>46134</v>
      </c>
      <c r="U1448" s="519">
        <v>46134</v>
      </c>
    </row>
    <row r="1449" spans="1:21">
      <c r="A1449" t="s">
        <v>953</v>
      </c>
      <c r="B1449" t="s">
        <v>7216</v>
      </c>
      <c r="C1449" t="s">
        <v>953</v>
      </c>
      <c r="D1449">
        <v>20506238</v>
      </c>
      <c r="E1449" t="s">
        <v>2245</v>
      </c>
      <c r="F1449" t="s">
        <v>984</v>
      </c>
      <c r="G1449" t="s">
        <v>2246</v>
      </c>
      <c r="H1449" t="s">
        <v>592</v>
      </c>
      <c r="J1449" s="519">
        <v>46134</v>
      </c>
      <c r="U1449" s="519">
        <v>46147</v>
      </c>
    </row>
    <row r="1450" spans="1:21">
      <c r="A1450" t="s">
        <v>953</v>
      </c>
      <c r="B1450" t="s">
        <v>3163</v>
      </c>
      <c r="C1450" t="s">
        <v>953</v>
      </c>
      <c r="D1450">
        <v>20468654</v>
      </c>
      <c r="E1450" t="s">
        <v>2258</v>
      </c>
      <c r="F1450" t="s">
        <v>984</v>
      </c>
      <c r="G1450" t="s">
        <v>2246</v>
      </c>
      <c r="H1450" t="s">
        <v>587</v>
      </c>
      <c r="J1450" s="519">
        <v>46092</v>
      </c>
      <c r="R1450" s="519">
        <v>46114</v>
      </c>
      <c r="U1450" s="519">
        <v>46152</v>
      </c>
    </row>
    <row r="1451" spans="1:21">
      <c r="A1451" t="s">
        <v>953</v>
      </c>
      <c r="B1451" t="s">
        <v>3164</v>
      </c>
      <c r="C1451" t="s">
        <v>953</v>
      </c>
      <c r="D1451">
        <v>20464926</v>
      </c>
      <c r="E1451" t="s">
        <v>2258</v>
      </c>
      <c r="F1451" t="s">
        <v>984</v>
      </c>
      <c r="G1451" t="s">
        <v>2248</v>
      </c>
      <c r="H1451" t="s">
        <v>1526</v>
      </c>
      <c r="I1451" t="s">
        <v>1034</v>
      </c>
      <c r="J1451" s="519">
        <v>46089</v>
      </c>
      <c r="R1451" s="519">
        <v>46114</v>
      </c>
      <c r="U1451" s="519">
        <v>46089</v>
      </c>
    </row>
    <row r="1452" spans="1:21">
      <c r="A1452" t="s">
        <v>953</v>
      </c>
      <c r="B1452" t="s">
        <v>3692</v>
      </c>
      <c r="C1452" t="s">
        <v>953</v>
      </c>
      <c r="D1452">
        <v>20485054</v>
      </c>
      <c r="E1452" t="s">
        <v>1100</v>
      </c>
      <c r="F1452" t="s">
        <v>583</v>
      </c>
      <c r="G1452" t="s">
        <v>2250</v>
      </c>
      <c r="H1452" t="s">
        <v>587</v>
      </c>
      <c r="I1452" t="s">
        <v>3337</v>
      </c>
      <c r="J1452" s="519">
        <v>46113</v>
      </c>
      <c r="K1452" s="519">
        <v>46113</v>
      </c>
      <c r="U1452" s="519">
        <v>46143</v>
      </c>
    </row>
    <row r="1453" spans="1:21">
      <c r="A1453" t="s">
        <v>953</v>
      </c>
      <c r="B1453" t="s">
        <v>3692</v>
      </c>
      <c r="C1453" t="s">
        <v>953</v>
      </c>
      <c r="D1453">
        <v>20484213</v>
      </c>
      <c r="E1453" t="s">
        <v>2252</v>
      </c>
      <c r="F1453" t="s">
        <v>583</v>
      </c>
      <c r="G1453" t="s">
        <v>2250</v>
      </c>
      <c r="H1453" t="s">
        <v>587</v>
      </c>
      <c r="I1453" t="s">
        <v>1160</v>
      </c>
      <c r="J1453" s="519">
        <v>46112</v>
      </c>
      <c r="K1453" s="519">
        <v>46112</v>
      </c>
      <c r="L1453" s="519">
        <v>46113</v>
      </c>
      <c r="R1453" s="519">
        <v>46120</v>
      </c>
      <c r="U1453" s="519">
        <v>46142</v>
      </c>
    </row>
    <row r="1454" spans="1:21">
      <c r="A1454" t="s">
        <v>953</v>
      </c>
      <c r="B1454" t="s">
        <v>3693</v>
      </c>
      <c r="C1454" t="s">
        <v>953</v>
      </c>
      <c r="D1454">
        <v>20434933</v>
      </c>
      <c r="E1454" t="s">
        <v>2258</v>
      </c>
      <c r="F1454" t="s">
        <v>581</v>
      </c>
      <c r="G1454" t="s">
        <v>2259</v>
      </c>
      <c r="H1454" t="s">
        <v>593</v>
      </c>
      <c r="J1454" s="519">
        <v>46048</v>
      </c>
      <c r="R1454" s="519">
        <v>46114</v>
      </c>
      <c r="U1454" s="519">
        <v>46062</v>
      </c>
    </row>
    <row r="1455" spans="1:21">
      <c r="A1455" t="s">
        <v>953</v>
      </c>
      <c r="B1455" t="s">
        <v>3165</v>
      </c>
      <c r="C1455" t="s">
        <v>953</v>
      </c>
      <c r="D1455">
        <v>20479466</v>
      </c>
      <c r="E1455" t="s">
        <v>2258</v>
      </c>
      <c r="F1455" t="s">
        <v>581</v>
      </c>
      <c r="G1455" t="s">
        <v>1213</v>
      </c>
      <c r="H1455" t="s">
        <v>2361</v>
      </c>
      <c r="J1455" s="519">
        <v>46105</v>
      </c>
      <c r="R1455" s="519">
        <v>46139</v>
      </c>
      <c r="U1455" s="519">
        <v>46105</v>
      </c>
    </row>
    <row r="1456" spans="1:21">
      <c r="A1456" t="s">
        <v>953</v>
      </c>
      <c r="B1456" t="s">
        <v>3694</v>
      </c>
      <c r="C1456" t="s">
        <v>953</v>
      </c>
      <c r="D1456">
        <v>20488467</v>
      </c>
      <c r="E1456" t="s">
        <v>2258</v>
      </c>
      <c r="F1456" t="s">
        <v>984</v>
      </c>
      <c r="G1456" t="s">
        <v>2259</v>
      </c>
      <c r="H1456" t="s">
        <v>2388</v>
      </c>
      <c r="J1456" s="519">
        <v>46118</v>
      </c>
      <c r="R1456" s="519">
        <v>46139</v>
      </c>
      <c r="U1456" s="519">
        <v>46118</v>
      </c>
    </row>
    <row r="1457" spans="1:21">
      <c r="A1457" t="s">
        <v>953</v>
      </c>
      <c r="B1457" t="s">
        <v>3694</v>
      </c>
      <c r="C1457" t="s">
        <v>953</v>
      </c>
      <c r="D1457">
        <v>20488952</v>
      </c>
      <c r="E1457" t="s">
        <v>1100</v>
      </c>
      <c r="F1457" t="s">
        <v>581</v>
      </c>
      <c r="G1457" t="s">
        <v>2250</v>
      </c>
      <c r="H1457" t="s">
        <v>587</v>
      </c>
      <c r="J1457" s="519">
        <v>46119</v>
      </c>
      <c r="K1457" s="519">
        <v>46119</v>
      </c>
      <c r="U1457" s="519">
        <v>46119</v>
      </c>
    </row>
    <row r="1458" spans="1:21">
      <c r="A1458" t="s">
        <v>953</v>
      </c>
      <c r="B1458" t="s">
        <v>3695</v>
      </c>
      <c r="C1458" t="s">
        <v>953</v>
      </c>
      <c r="D1458">
        <v>20410496</v>
      </c>
      <c r="E1458" t="s">
        <v>2258</v>
      </c>
      <c r="F1458" t="s">
        <v>581</v>
      </c>
      <c r="G1458" t="s">
        <v>2259</v>
      </c>
      <c r="H1458" t="s">
        <v>593</v>
      </c>
      <c r="J1458" s="519">
        <v>46011</v>
      </c>
      <c r="R1458" s="519">
        <v>46114</v>
      </c>
      <c r="U1458" s="519">
        <v>46011</v>
      </c>
    </row>
    <row r="1459" spans="1:21">
      <c r="A1459" t="s">
        <v>953</v>
      </c>
      <c r="B1459" t="s">
        <v>3166</v>
      </c>
      <c r="C1459" t="s">
        <v>953</v>
      </c>
      <c r="D1459">
        <v>20482687</v>
      </c>
      <c r="E1459" t="s">
        <v>2258</v>
      </c>
      <c r="F1459" t="s">
        <v>581</v>
      </c>
      <c r="G1459" t="s">
        <v>2250</v>
      </c>
      <c r="H1459" t="s">
        <v>592</v>
      </c>
      <c r="J1459" s="519">
        <v>46110</v>
      </c>
      <c r="R1459" s="519">
        <v>46139</v>
      </c>
      <c r="U1459" s="519">
        <v>46119</v>
      </c>
    </row>
    <row r="1460" spans="1:21">
      <c r="A1460" t="s">
        <v>953</v>
      </c>
      <c r="B1460" t="s">
        <v>3696</v>
      </c>
      <c r="C1460" t="s">
        <v>953</v>
      </c>
      <c r="D1460">
        <v>20436079</v>
      </c>
      <c r="E1460" t="s">
        <v>2258</v>
      </c>
      <c r="F1460" t="s">
        <v>577</v>
      </c>
      <c r="G1460" t="s">
        <v>2248</v>
      </c>
      <c r="H1460" t="s">
        <v>592</v>
      </c>
      <c r="J1460" s="519">
        <v>46050</v>
      </c>
      <c r="R1460" s="519">
        <v>46114</v>
      </c>
      <c r="U1460" s="519">
        <v>46050</v>
      </c>
    </row>
    <row r="1461" spans="1:21">
      <c r="A1461" t="s">
        <v>953</v>
      </c>
      <c r="B1461" t="s">
        <v>3696</v>
      </c>
      <c r="C1461" t="s">
        <v>953</v>
      </c>
      <c r="D1461">
        <v>20438682</v>
      </c>
      <c r="E1461" t="s">
        <v>2252</v>
      </c>
      <c r="F1461" t="s">
        <v>577</v>
      </c>
      <c r="G1461" t="s">
        <v>2250</v>
      </c>
      <c r="H1461" t="s">
        <v>587</v>
      </c>
      <c r="J1461" s="519">
        <v>46053</v>
      </c>
      <c r="K1461" s="519">
        <v>46053</v>
      </c>
      <c r="R1461" s="519">
        <v>46114</v>
      </c>
      <c r="U1461" s="519">
        <v>46053</v>
      </c>
    </row>
    <row r="1462" spans="1:21">
      <c r="A1462" t="s">
        <v>953</v>
      </c>
      <c r="B1462" t="s">
        <v>2650</v>
      </c>
      <c r="C1462" t="s">
        <v>953</v>
      </c>
      <c r="D1462">
        <v>20441280</v>
      </c>
      <c r="E1462" t="s">
        <v>2258</v>
      </c>
      <c r="F1462" t="s">
        <v>581</v>
      </c>
      <c r="G1462" t="s">
        <v>2246</v>
      </c>
      <c r="H1462" t="s">
        <v>587</v>
      </c>
      <c r="J1462" s="519">
        <v>46057</v>
      </c>
      <c r="R1462" s="519">
        <v>46114</v>
      </c>
      <c r="U1462" s="519">
        <v>46061</v>
      </c>
    </row>
    <row r="1463" spans="1:21">
      <c r="A1463" t="s">
        <v>953</v>
      </c>
      <c r="B1463" t="s">
        <v>2097</v>
      </c>
      <c r="C1463" t="s">
        <v>953</v>
      </c>
      <c r="D1463">
        <v>20491572</v>
      </c>
      <c r="E1463" t="s">
        <v>2324</v>
      </c>
      <c r="F1463" t="s">
        <v>581</v>
      </c>
      <c r="G1463" t="s">
        <v>2250</v>
      </c>
      <c r="H1463" t="s">
        <v>587</v>
      </c>
      <c r="I1463" t="s">
        <v>895</v>
      </c>
      <c r="J1463" s="519">
        <v>46122</v>
      </c>
      <c r="K1463" s="519">
        <v>46122</v>
      </c>
      <c r="L1463" s="519">
        <v>46122</v>
      </c>
      <c r="M1463" s="519">
        <v>46122</v>
      </c>
      <c r="N1463" s="519">
        <v>46122</v>
      </c>
      <c r="P1463" s="519">
        <v>46122</v>
      </c>
      <c r="Q1463" s="519">
        <v>46122</v>
      </c>
      <c r="U1463" s="519">
        <v>46136</v>
      </c>
    </row>
    <row r="1464" spans="1:21">
      <c r="A1464" t="s">
        <v>953</v>
      </c>
      <c r="B1464" t="s">
        <v>2097</v>
      </c>
      <c r="C1464" t="s">
        <v>953</v>
      </c>
      <c r="D1464">
        <v>20491508</v>
      </c>
      <c r="E1464" t="s">
        <v>2252</v>
      </c>
      <c r="F1464" t="s">
        <v>1115</v>
      </c>
      <c r="G1464" t="s">
        <v>2250</v>
      </c>
      <c r="H1464" t="s">
        <v>591</v>
      </c>
      <c r="I1464" t="s">
        <v>895</v>
      </c>
      <c r="J1464" s="519">
        <v>46122</v>
      </c>
      <c r="K1464" s="519">
        <v>46122</v>
      </c>
      <c r="L1464" s="519">
        <v>46122</v>
      </c>
      <c r="R1464" s="519">
        <v>46122</v>
      </c>
      <c r="U1464" s="519">
        <v>46136</v>
      </c>
    </row>
    <row r="1465" spans="1:21">
      <c r="A1465" t="s">
        <v>953</v>
      </c>
      <c r="B1465" t="s">
        <v>3167</v>
      </c>
      <c r="C1465" t="s">
        <v>953</v>
      </c>
      <c r="D1465">
        <v>20493515</v>
      </c>
      <c r="E1465" t="s">
        <v>2258</v>
      </c>
      <c r="F1465" t="s">
        <v>1115</v>
      </c>
      <c r="G1465" t="s">
        <v>1213</v>
      </c>
      <c r="H1465" t="s">
        <v>592</v>
      </c>
      <c r="J1465" s="519">
        <v>46125</v>
      </c>
      <c r="R1465" s="519">
        <v>46139</v>
      </c>
      <c r="U1465" s="519">
        <v>46125</v>
      </c>
    </row>
    <row r="1466" spans="1:21">
      <c r="A1466" t="s">
        <v>953</v>
      </c>
      <c r="B1466" t="s">
        <v>3167</v>
      </c>
      <c r="C1466" t="s">
        <v>953</v>
      </c>
      <c r="D1466">
        <v>20482090</v>
      </c>
      <c r="E1466" t="s">
        <v>2258</v>
      </c>
      <c r="F1466" t="s">
        <v>581</v>
      </c>
      <c r="G1466" t="s">
        <v>2248</v>
      </c>
      <c r="H1466" t="s">
        <v>592</v>
      </c>
      <c r="J1466" s="519">
        <v>46109</v>
      </c>
      <c r="R1466" s="519">
        <v>46116</v>
      </c>
      <c r="U1466" s="519">
        <v>46109</v>
      </c>
    </row>
    <row r="1467" spans="1:21">
      <c r="A1467" t="s">
        <v>953</v>
      </c>
      <c r="B1467" t="s">
        <v>3168</v>
      </c>
      <c r="C1467" t="s">
        <v>953</v>
      </c>
      <c r="D1467">
        <v>20471294</v>
      </c>
      <c r="E1467" t="s">
        <v>2258</v>
      </c>
      <c r="F1467" t="s">
        <v>984</v>
      </c>
      <c r="G1467" t="s">
        <v>2250</v>
      </c>
      <c r="H1467" t="s">
        <v>592</v>
      </c>
      <c r="J1467" s="519">
        <v>46095</v>
      </c>
      <c r="R1467" s="519">
        <v>46114</v>
      </c>
      <c r="U1467" s="519">
        <v>46113</v>
      </c>
    </row>
    <row r="1468" spans="1:21">
      <c r="A1468" t="s">
        <v>953</v>
      </c>
      <c r="B1468" t="s">
        <v>2651</v>
      </c>
      <c r="C1468" t="s">
        <v>953</v>
      </c>
      <c r="D1468">
        <v>20444526</v>
      </c>
      <c r="E1468" t="s">
        <v>2258</v>
      </c>
      <c r="F1468" t="s">
        <v>984</v>
      </c>
      <c r="G1468" t="s">
        <v>2290</v>
      </c>
      <c r="H1468" t="s">
        <v>591</v>
      </c>
      <c r="J1468" s="519">
        <v>46063</v>
      </c>
      <c r="R1468" s="519">
        <v>46114</v>
      </c>
      <c r="U1468" s="519">
        <v>46063</v>
      </c>
    </row>
    <row r="1469" spans="1:21">
      <c r="A1469" t="s">
        <v>953</v>
      </c>
      <c r="B1469" t="s">
        <v>3697</v>
      </c>
      <c r="C1469" t="s">
        <v>953</v>
      </c>
      <c r="D1469">
        <v>20488972</v>
      </c>
      <c r="E1469" t="s">
        <v>2258</v>
      </c>
      <c r="F1469" t="s">
        <v>579</v>
      </c>
      <c r="G1469" t="s">
        <v>2248</v>
      </c>
      <c r="H1469" t="s">
        <v>592</v>
      </c>
      <c r="I1469" t="s">
        <v>1156</v>
      </c>
      <c r="J1469" s="519">
        <v>46119</v>
      </c>
      <c r="R1469" s="519">
        <v>46139</v>
      </c>
      <c r="U1469" s="519">
        <v>46119</v>
      </c>
    </row>
    <row r="1470" spans="1:21">
      <c r="A1470" t="s">
        <v>953</v>
      </c>
      <c r="B1470" t="s">
        <v>7217</v>
      </c>
      <c r="C1470" t="s">
        <v>953</v>
      </c>
      <c r="D1470">
        <v>20509414</v>
      </c>
      <c r="E1470" t="s">
        <v>2245</v>
      </c>
      <c r="F1470" t="s">
        <v>984</v>
      </c>
      <c r="G1470" t="s">
        <v>2246</v>
      </c>
      <c r="H1470" t="s">
        <v>592</v>
      </c>
      <c r="J1470" s="519">
        <v>46136</v>
      </c>
      <c r="U1470" s="519">
        <v>46142</v>
      </c>
    </row>
    <row r="1471" spans="1:21">
      <c r="A1471" t="s">
        <v>953</v>
      </c>
      <c r="B1471" t="s">
        <v>2652</v>
      </c>
      <c r="C1471" t="s">
        <v>953</v>
      </c>
      <c r="D1471">
        <v>20442643</v>
      </c>
      <c r="E1471" t="s">
        <v>2258</v>
      </c>
      <c r="F1471" t="s">
        <v>984</v>
      </c>
      <c r="G1471" t="s">
        <v>2290</v>
      </c>
      <c r="H1471" t="s">
        <v>587</v>
      </c>
      <c r="J1471" s="519">
        <v>46060</v>
      </c>
      <c r="R1471" s="519">
        <v>46114</v>
      </c>
      <c r="U1471" s="519">
        <v>46114</v>
      </c>
    </row>
    <row r="1472" spans="1:21">
      <c r="A1472" t="s">
        <v>953</v>
      </c>
      <c r="B1472" t="s">
        <v>3698</v>
      </c>
      <c r="C1472" t="s">
        <v>953</v>
      </c>
      <c r="D1472">
        <v>20429065</v>
      </c>
      <c r="E1472" t="s">
        <v>2258</v>
      </c>
      <c r="F1472" t="s">
        <v>577</v>
      </c>
      <c r="G1472" t="s">
        <v>2248</v>
      </c>
      <c r="H1472" t="s">
        <v>592</v>
      </c>
      <c r="J1472" s="519">
        <v>46038</v>
      </c>
      <c r="R1472" s="519">
        <v>46114</v>
      </c>
      <c r="U1472" s="519">
        <v>46038</v>
      </c>
    </row>
    <row r="1473" spans="1:21">
      <c r="A1473" t="s">
        <v>953</v>
      </c>
      <c r="B1473" t="s">
        <v>7218</v>
      </c>
      <c r="C1473" t="s">
        <v>953</v>
      </c>
      <c r="D1473">
        <v>20507563</v>
      </c>
      <c r="E1473" t="s">
        <v>2245</v>
      </c>
      <c r="F1473" t="s">
        <v>581</v>
      </c>
      <c r="G1473" t="s">
        <v>2259</v>
      </c>
      <c r="H1473" t="s">
        <v>592</v>
      </c>
      <c r="J1473" s="519">
        <v>46135</v>
      </c>
      <c r="U1473" s="519">
        <v>46138</v>
      </c>
    </row>
    <row r="1474" spans="1:21">
      <c r="A1474" t="s">
        <v>953</v>
      </c>
      <c r="B1474" t="s">
        <v>7219</v>
      </c>
      <c r="C1474" t="s">
        <v>953</v>
      </c>
      <c r="D1474">
        <v>20503976</v>
      </c>
      <c r="E1474" t="s">
        <v>2245</v>
      </c>
      <c r="F1474" t="s">
        <v>984</v>
      </c>
      <c r="G1474" t="s">
        <v>2246</v>
      </c>
      <c r="H1474" t="s">
        <v>592</v>
      </c>
      <c r="J1474" s="519">
        <v>46132</v>
      </c>
      <c r="U1474" s="519">
        <v>46143</v>
      </c>
    </row>
    <row r="1475" spans="1:21">
      <c r="A1475" t="s">
        <v>953</v>
      </c>
      <c r="B1475" t="s">
        <v>2653</v>
      </c>
      <c r="C1475" t="s">
        <v>953</v>
      </c>
      <c r="D1475">
        <v>20453904</v>
      </c>
      <c r="E1475" t="s">
        <v>2252</v>
      </c>
      <c r="F1475" t="s">
        <v>582</v>
      </c>
      <c r="G1475" t="s">
        <v>2250</v>
      </c>
      <c r="H1475" t="s">
        <v>591</v>
      </c>
      <c r="J1475" s="519">
        <v>46073</v>
      </c>
      <c r="K1475" s="519">
        <v>46073</v>
      </c>
      <c r="R1475" s="519">
        <v>46114</v>
      </c>
      <c r="U1475" s="519">
        <v>46081</v>
      </c>
    </row>
    <row r="1476" spans="1:21">
      <c r="A1476" t="s">
        <v>953</v>
      </c>
      <c r="B1476" t="s">
        <v>3699</v>
      </c>
      <c r="C1476" t="s">
        <v>953</v>
      </c>
      <c r="D1476">
        <v>20428511</v>
      </c>
      <c r="E1476" t="s">
        <v>2252</v>
      </c>
      <c r="F1476" t="s">
        <v>577</v>
      </c>
      <c r="G1476" t="s">
        <v>2250</v>
      </c>
      <c r="H1476" t="s">
        <v>592</v>
      </c>
      <c r="I1476" t="s">
        <v>1010</v>
      </c>
      <c r="J1476" s="519">
        <v>46038</v>
      </c>
      <c r="K1476" s="519">
        <v>46038</v>
      </c>
      <c r="R1476" s="519">
        <v>46114</v>
      </c>
      <c r="U1476" s="519">
        <v>46038</v>
      </c>
    </row>
    <row r="1477" spans="1:21">
      <c r="A1477" t="s">
        <v>953</v>
      </c>
      <c r="B1477" t="s">
        <v>3700</v>
      </c>
      <c r="C1477" t="s">
        <v>953</v>
      </c>
      <c r="D1477">
        <v>20434035</v>
      </c>
      <c r="E1477" t="s">
        <v>2258</v>
      </c>
      <c r="F1477" t="s">
        <v>581</v>
      </c>
      <c r="G1477" t="s">
        <v>1213</v>
      </c>
      <c r="H1477" t="s">
        <v>591</v>
      </c>
      <c r="J1477" s="519">
        <v>46046</v>
      </c>
      <c r="R1477" s="519">
        <v>46114</v>
      </c>
      <c r="U1477" s="519">
        <v>46174</v>
      </c>
    </row>
    <row r="1478" spans="1:21">
      <c r="A1478" t="s">
        <v>953</v>
      </c>
      <c r="B1478" t="s">
        <v>6372</v>
      </c>
      <c r="C1478" t="s">
        <v>953</v>
      </c>
      <c r="D1478">
        <v>20495707</v>
      </c>
      <c r="E1478" t="s">
        <v>1110</v>
      </c>
      <c r="F1478" t="s">
        <v>583</v>
      </c>
      <c r="G1478" t="s">
        <v>2250</v>
      </c>
      <c r="H1478" t="s">
        <v>587</v>
      </c>
      <c r="I1478" t="s">
        <v>5388</v>
      </c>
      <c r="J1478" s="519">
        <v>46127</v>
      </c>
      <c r="K1478" s="519">
        <v>46127</v>
      </c>
      <c r="L1478" s="519">
        <v>46134</v>
      </c>
      <c r="T1478" s="519">
        <v>46139</v>
      </c>
      <c r="U1478" s="519">
        <v>46142</v>
      </c>
    </row>
    <row r="1479" spans="1:21">
      <c r="A1479" t="s">
        <v>953</v>
      </c>
      <c r="B1479" t="s">
        <v>3169</v>
      </c>
      <c r="C1479" t="s">
        <v>953</v>
      </c>
      <c r="D1479">
        <v>20483943</v>
      </c>
      <c r="E1479" t="s">
        <v>2258</v>
      </c>
      <c r="F1479" t="s">
        <v>577</v>
      </c>
      <c r="G1479" t="s">
        <v>2248</v>
      </c>
      <c r="H1479" t="s">
        <v>588</v>
      </c>
      <c r="I1479" t="s">
        <v>2463</v>
      </c>
      <c r="J1479" s="519">
        <v>46112</v>
      </c>
      <c r="R1479" s="519">
        <v>46116</v>
      </c>
      <c r="U1479" s="519">
        <v>46123</v>
      </c>
    </row>
    <row r="1480" spans="1:21">
      <c r="A1480" t="s">
        <v>953</v>
      </c>
      <c r="B1480" t="s">
        <v>3170</v>
      </c>
      <c r="C1480" t="s">
        <v>953</v>
      </c>
      <c r="D1480">
        <v>20482511</v>
      </c>
      <c r="E1480" t="s">
        <v>2258</v>
      </c>
      <c r="F1480" t="s">
        <v>984</v>
      </c>
      <c r="G1480" t="s">
        <v>2250</v>
      </c>
      <c r="H1480" t="s">
        <v>592</v>
      </c>
      <c r="J1480" s="519">
        <v>46110</v>
      </c>
      <c r="R1480" s="519">
        <v>46139</v>
      </c>
      <c r="U1480" s="519">
        <v>46111</v>
      </c>
    </row>
    <row r="1481" spans="1:21">
      <c r="A1481" t="s">
        <v>953</v>
      </c>
      <c r="B1481" t="s">
        <v>3171</v>
      </c>
      <c r="C1481" t="s">
        <v>953</v>
      </c>
      <c r="D1481">
        <v>20462471</v>
      </c>
      <c r="E1481" t="s">
        <v>2258</v>
      </c>
      <c r="F1481" t="s">
        <v>984</v>
      </c>
      <c r="G1481" t="s">
        <v>2246</v>
      </c>
      <c r="H1481" t="s">
        <v>588</v>
      </c>
      <c r="J1481" s="519">
        <v>46085</v>
      </c>
      <c r="R1481" s="519">
        <v>46114</v>
      </c>
      <c r="U1481" s="519">
        <v>46095</v>
      </c>
    </row>
    <row r="1482" spans="1:21">
      <c r="A1482" t="s">
        <v>953</v>
      </c>
      <c r="B1482" t="s">
        <v>2654</v>
      </c>
      <c r="C1482" t="s">
        <v>953</v>
      </c>
      <c r="D1482">
        <v>20455603</v>
      </c>
      <c r="E1482" t="s">
        <v>2258</v>
      </c>
      <c r="F1482" t="s">
        <v>581</v>
      </c>
      <c r="G1482" t="s">
        <v>2259</v>
      </c>
      <c r="H1482" t="s">
        <v>2388</v>
      </c>
      <c r="J1482" s="519">
        <v>46076</v>
      </c>
      <c r="R1482" s="519">
        <v>46114</v>
      </c>
      <c r="U1482" s="519">
        <v>46167</v>
      </c>
    </row>
    <row r="1483" spans="1:21">
      <c r="A1483" t="s">
        <v>953</v>
      </c>
      <c r="B1483" t="s">
        <v>3701</v>
      </c>
      <c r="C1483" t="s">
        <v>953</v>
      </c>
      <c r="D1483">
        <v>20490291</v>
      </c>
      <c r="E1483" t="s">
        <v>2258</v>
      </c>
      <c r="F1483" t="s">
        <v>984</v>
      </c>
      <c r="G1483" t="s">
        <v>2248</v>
      </c>
      <c r="H1483" t="s">
        <v>589</v>
      </c>
      <c r="J1483" s="519">
        <v>46120</v>
      </c>
      <c r="R1483" s="519">
        <v>46139</v>
      </c>
      <c r="U1483" s="519">
        <v>46157</v>
      </c>
    </row>
    <row r="1484" spans="1:21">
      <c r="A1484" t="s">
        <v>953</v>
      </c>
      <c r="B1484" t="s">
        <v>7220</v>
      </c>
      <c r="C1484" t="s">
        <v>953</v>
      </c>
      <c r="D1484">
        <v>20508717</v>
      </c>
      <c r="E1484" t="s">
        <v>2245</v>
      </c>
      <c r="F1484" t="s">
        <v>984</v>
      </c>
      <c r="G1484" t="s">
        <v>2246</v>
      </c>
      <c r="H1484" t="s">
        <v>592</v>
      </c>
      <c r="J1484" s="519">
        <v>46136</v>
      </c>
      <c r="U1484" s="519">
        <v>46223</v>
      </c>
    </row>
    <row r="1485" spans="1:21">
      <c r="A1485" t="s">
        <v>953</v>
      </c>
      <c r="B1485" t="s">
        <v>7220</v>
      </c>
      <c r="C1485" t="s">
        <v>953</v>
      </c>
      <c r="D1485">
        <v>20508718</v>
      </c>
      <c r="E1485" t="s">
        <v>2245</v>
      </c>
      <c r="F1485" t="s">
        <v>984</v>
      </c>
      <c r="G1485" t="s">
        <v>2250</v>
      </c>
      <c r="H1485" t="s">
        <v>592</v>
      </c>
      <c r="J1485" s="519">
        <v>46136</v>
      </c>
      <c r="U1485" s="519">
        <v>46223</v>
      </c>
    </row>
    <row r="1486" spans="1:21">
      <c r="A1486" t="s">
        <v>953</v>
      </c>
      <c r="B1486" t="s">
        <v>7221</v>
      </c>
      <c r="C1486" t="s">
        <v>953</v>
      </c>
      <c r="D1486">
        <v>20500201</v>
      </c>
      <c r="E1486" t="s">
        <v>2258</v>
      </c>
      <c r="F1486" t="s">
        <v>984</v>
      </c>
      <c r="G1486" t="s">
        <v>2259</v>
      </c>
      <c r="H1486" t="s">
        <v>2388</v>
      </c>
      <c r="J1486" s="519">
        <v>46129</v>
      </c>
      <c r="R1486" s="519">
        <v>46139</v>
      </c>
      <c r="U1486" s="519">
        <v>46129</v>
      </c>
    </row>
    <row r="1487" spans="1:21">
      <c r="A1487" t="s">
        <v>953</v>
      </c>
      <c r="B1487" t="s">
        <v>1703</v>
      </c>
      <c r="C1487" t="s">
        <v>953</v>
      </c>
      <c r="D1487">
        <v>20474192</v>
      </c>
      <c r="E1487" t="s">
        <v>2324</v>
      </c>
      <c r="F1487" t="s">
        <v>578</v>
      </c>
      <c r="G1487" t="s">
        <v>2250</v>
      </c>
      <c r="H1487" t="s">
        <v>592</v>
      </c>
      <c r="I1487" t="s">
        <v>1142</v>
      </c>
      <c r="J1487" s="519">
        <v>46098</v>
      </c>
      <c r="K1487" s="519">
        <v>46107</v>
      </c>
      <c r="L1487" s="519">
        <v>46107</v>
      </c>
      <c r="M1487" s="519">
        <v>46126</v>
      </c>
      <c r="N1487" s="519">
        <v>46126</v>
      </c>
      <c r="P1487" s="519">
        <v>46127</v>
      </c>
      <c r="Q1487" s="519">
        <v>46128</v>
      </c>
      <c r="U1487" s="519">
        <v>46130</v>
      </c>
    </row>
    <row r="1488" spans="1:21">
      <c r="A1488" t="s">
        <v>953</v>
      </c>
      <c r="B1488" t="s">
        <v>1703</v>
      </c>
      <c r="C1488" t="s">
        <v>953</v>
      </c>
      <c r="D1488">
        <v>20412706</v>
      </c>
      <c r="E1488" t="s">
        <v>2258</v>
      </c>
      <c r="F1488" t="s">
        <v>581</v>
      </c>
      <c r="G1488" t="s">
        <v>2259</v>
      </c>
      <c r="H1488" t="s">
        <v>593</v>
      </c>
      <c r="J1488" s="519">
        <v>46017</v>
      </c>
      <c r="R1488" s="519">
        <v>46114</v>
      </c>
      <c r="U1488" s="519">
        <v>46017</v>
      </c>
    </row>
    <row r="1489" spans="1:21">
      <c r="A1489" t="s">
        <v>953</v>
      </c>
      <c r="B1489" t="s">
        <v>3172</v>
      </c>
      <c r="C1489" t="s">
        <v>953</v>
      </c>
      <c r="D1489">
        <v>20480956</v>
      </c>
      <c r="E1489" t="s">
        <v>2258</v>
      </c>
      <c r="F1489" t="s">
        <v>984</v>
      </c>
      <c r="G1489" t="s">
        <v>2250</v>
      </c>
      <c r="H1489" t="s">
        <v>592</v>
      </c>
      <c r="J1489" s="519">
        <v>46107</v>
      </c>
      <c r="R1489" s="519">
        <v>46115</v>
      </c>
      <c r="U1489" s="519">
        <v>46111</v>
      </c>
    </row>
    <row r="1490" spans="1:21">
      <c r="A1490" t="s">
        <v>953</v>
      </c>
      <c r="B1490" t="s">
        <v>3173</v>
      </c>
      <c r="C1490" t="s">
        <v>953</v>
      </c>
      <c r="D1490">
        <v>20477151</v>
      </c>
      <c r="E1490" t="s">
        <v>2258</v>
      </c>
      <c r="F1490" t="s">
        <v>581</v>
      </c>
      <c r="G1490" t="s">
        <v>2250</v>
      </c>
      <c r="H1490" t="s">
        <v>592</v>
      </c>
      <c r="I1490" t="s">
        <v>1034</v>
      </c>
      <c r="J1490" s="519">
        <v>46102</v>
      </c>
      <c r="R1490" s="519">
        <v>46139</v>
      </c>
      <c r="U1490" s="519">
        <v>46232</v>
      </c>
    </row>
    <row r="1491" spans="1:21">
      <c r="A1491" t="s">
        <v>953</v>
      </c>
      <c r="B1491" t="s">
        <v>7222</v>
      </c>
      <c r="C1491" t="s">
        <v>953</v>
      </c>
      <c r="D1491">
        <v>20498609</v>
      </c>
      <c r="E1491" t="s">
        <v>2258</v>
      </c>
      <c r="F1491" t="s">
        <v>581</v>
      </c>
      <c r="G1491" t="s">
        <v>2250</v>
      </c>
      <c r="H1491" t="s">
        <v>592</v>
      </c>
      <c r="J1491" s="519">
        <v>46128</v>
      </c>
      <c r="R1491" s="519">
        <v>46139</v>
      </c>
      <c r="U1491" s="519">
        <v>46128</v>
      </c>
    </row>
    <row r="1492" spans="1:21">
      <c r="A1492" t="s">
        <v>953</v>
      </c>
      <c r="B1492" t="s">
        <v>3174</v>
      </c>
      <c r="C1492" t="s">
        <v>953</v>
      </c>
      <c r="D1492">
        <v>20478998</v>
      </c>
      <c r="E1492" t="s">
        <v>2258</v>
      </c>
      <c r="F1492" t="s">
        <v>581</v>
      </c>
      <c r="G1492" t="s">
        <v>2250</v>
      </c>
      <c r="H1492" t="s">
        <v>592</v>
      </c>
      <c r="J1492" s="519">
        <v>46105</v>
      </c>
      <c r="R1492" s="519">
        <v>46114</v>
      </c>
      <c r="U1492" s="519">
        <v>46113</v>
      </c>
    </row>
    <row r="1493" spans="1:21">
      <c r="A1493" t="s">
        <v>953</v>
      </c>
      <c r="B1493" t="s">
        <v>3702</v>
      </c>
      <c r="C1493" t="s">
        <v>953</v>
      </c>
      <c r="D1493">
        <v>20421532</v>
      </c>
      <c r="E1493" t="s">
        <v>2258</v>
      </c>
      <c r="F1493" t="s">
        <v>984</v>
      </c>
      <c r="G1493" t="s">
        <v>2246</v>
      </c>
      <c r="H1493" t="s">
        <v>591</v>
      </c>
      <c r="J1493" s="519">
        <v>46031</v>
      </c>
      <c r="R1493" s="519">
        <v>46114</v>
      </c>
      <c r="U1493" s="519">
        <v>46031</v>
      </c>
    </row>
    <row r="1494" spans="1:21">
      <c r="A1494" t="s">
        <v>953</v>
      </c>
      <c r="B1494" t="s">
        <v>2657</v>
      </c>
      <c r="C1494" t="s">
        <v>953</v>
      </c>
      <c r="D1494">
        <v>20455558</v>
      </c>
      <c r="E1494" t="s">
        <v>2258</v>
      </c>
      <c r="F1494" t="s">
        <v>579</v>
      </c>
      <c r="G1494" t="s">
        <v>2259</v>
      </c>
      <c r="H1494" t="s">
        <v>593</v>
      </c>
      <c r="J1494" s="519">
        <v>46076</v>
      </c>
      <c r="R1494" s="519">
        <v>46114</v>
      </c>
      <c r="U1494" s="519">
        <v>46143</v>
      </c>
    </row>
    <row r="1495" spans="1:21">
      <c r="A1495" t="s">
        <v>953</v>
      </c>
      <c r="B1495" t="s">
        <v>3703</v>
      </c>
      <c r="C1495" t="s">
        <v>953</v>
      </c>
      <c r="D1495">
        <v>20448070</v>
      </c>
      <c r="E1495" t="s">
        <v>2258</v>
      </c>
      <c r="F1495" t="s">
        <v>581</v>
      </c>
      <c r="G1495" t="s">
        <v>2290</v>
      </c>
      <c r="H1495" t="s">
        <v>587</v>
      </c>
      <c r="J1495" s="519">
        <v>46065</v>
      </c>
      <c r="R1495" s="519">
        <v>46114</v>
      </c>
      <c r="U1495" s="519">
        <v>46132</v>
      </c>
    </row>
    <row r="1496" spans="1:21">
      <c r="A1496" t="s">
        <v>953</v>
      </c>
      <c r="B1496" t="s">
        <v>3175</v>
      </c>
      <c r="C1496" t="s">
        <v>953</v>
      </c>
      <c r="D1496">
        <v>20480668</v>
      </c>
      <c r="E1496" t="s">
        <v>2258</v>
      </c>
      <c r="F1496" t="s">
        <v>577</v>
      </c>
      <c r="G1496" t="s">
        <v>2248</v>
      </c>
      <c r="H1496" t="s">
        <v>588</v>
      </c>
      <c r="I1496" t="s">
        <v>3081</v>
      </c>
      <c r="J1496" s="519">
        <v>46107</v>
      </c>
      <c r="R1496" s="519">
        <v>46116</v>
      </c>
      <c r="U1496" s="519">
        <v>46113</v>
      </c>
    </row>
    <row r="1497" spans="1:21">
      <c r="A1497" t="s">
        <v>953</v>
      </c>
      <c r="B1497" t="s">
        <v>3176</v>
      </c>
      <c r="C1497" t="s">
        <v>953</v>
      </c>
      <c r="D1497">
        <v>20479369</v>
      </c>
      <c r="E1497" t="s">
        <v>2258</v>
      </c>
      <c r="F1497" t="s">
        <v>581</v>
      </c>
      <c r="G1497" t="s">
        <v>2250</v>
      </c>
      <c r="H1497" t="s">
        <v>592</v>
      </c>
      <c r="J1497" s="519">
        <v>46105</v>
      </c>
      <c r="R1497" s="519">
        <v>46114</v>
      </c>
      <c r="U1497" s="519">
        <v>46127</v>
      </c>
    </row>
    <row r="1498" spans="1:21">
      <c r="A1498" t="s">
        <v>953</v>
      </c>
      <c r="B1498" t="s">
        <v>2658</v>
      </c>
      <c r="C1498" t="s">
        <v>953</v>
      </c>
      <c r="D1498">
        <v>20452708</v>
      </c>
      <c r="E1498" t="s">
        <v>2252</v>
      </c>
      <c r="F1498" t="s">
        <v>1001</v>
      </c>
      <c r="G1498" t="s">
        <v>2250</v>
      </c>
      <c r="H1498" t="s">
        <v>587</v>
      </c>
      <c r="J1498" s="519">
        <v>46071</v>
      </c>
      <c r="K1498" s="519">
        <v>46071</v>
      </c>
      <c r="R1498" s="519">
        <v>46114</v>
      </c>
      <c r="U1498" s="519">
        <v>46071</v>
      </c>
    </row>
    <row r="1499" spans="1:21">
      <c r="A1499" t="s">
        <v>953</v>
      </c>
      <c r="B1499" t="s">
        <v>2659</v>
      </c>
      <c r="C1499" t="s">
        <v>953</v>
      </c>
      <c r="D1499">
        <v>20440228</v>
      </c>
      <c r="E1499" t="s">
        <v>2258</v>
      </c>
      <c r="F1499" t="s">
        <v>578</v>
      </c>
      <c r="G1499" t="s">
        <v>1213</v>
      </c>
      <c r="H1499" t="s">
        <v>591</v>
      </c>
      <c r="J1499" s="519">
        <v>46056</v>
      </c>
      <c r="R1499" s="519">
        <v>46114</v>
      </c>
      <c r="U1499" s="519">
        <v>46090</v>
      </c>
    </row>
    <row r="1500" spans="1:21">
      <c r="A1500" t="s">
        <v>953</v>
      </c>
      <c r="B1500" t="s">
        <v>3704</v>
      </c>
      <c r="C1500" t="s">
        <v>953</v>
      </c>
      <c r="D1500">
        <v>20493111</v>
      </c>
      <c r="E1500" t="s">
        <v>2245</v>
      </c>
      <c r="F1500" t="s">
        <v>581</v>
      </c>
      <c r="G1500" t="s">
        <v>2250</v>
      </c>
      <c r="H1500" t="s">
        <v>592</v>
      </c>
      <c r="J1500" s="519">
        <v>46124</v>
      </c>
      <c r="U1500" s="519">
        <v>46156</v>
      </c>
    </row>
    <row r="1501" spans="1:21">
      <c r="A1501" t="s">
        <v>953</v>
      </c>
      <c r="B1501" t="s">
        <v>7223</v>
      </c>
      <c r="C1501" t="s">
        <v>953</v>
      </c>
      <c r="D1501">
        <v>20496846</v>
      </c>
      <c r="E1501" t="s">
        <v>2258</v>
      </c>
      <c r="F1501" t="s">
        <v>984</v>
      </c>
      <c r="G1501" t="s">
        <v>2259</v>
      </c>
      <c r="H1501" t="s">
        <v>592</v>
      </c>
      <c r="J1501" s="519">
        <v>46127</v>
      </c>
      <c r="R1501" s="519">
        <v>46139</v>
      </c>
      <c r="U1501" s="519">
        <v>46127</v>
      </c>
    </row>
    <row r="1502" spans="1:21">
      <c r="A1502" t="s">
        <v>953</v>
      </c>
      <c r="B1502" t="s">
        <v>3705</v>
      </c>
      <c r="C1502" t="s">
        <v>953</v>
      </c>
      <c r="D1502">
        <v>20491751</v>
      </c>
      <c r="E1502" t="s">
        <v>2258</v>
      </c>
      <c r="F1502" t="s">
        <v>984</v>
      </c>
      <c r="G1502" t="s">
        <v>2259</v>
      </c>
      <c r="H1502" t="s">
        <v>593</v>
      </c>
      <c r="J1502" s="519">
        <v>46122</v>
      </c>
      <c r="R1502" s="519">
        <v>46123</v>
      </c>
      <c r="U1502" s="519">
        <v>46122</v>
      </c>
    </row>
    <row r="1503" spans="1:21">
      <c r="A1503" t="s">
        <v>953</v>
      </c>
      <c r="B1503" t="s">
        <v>3706</v>
      </c>
      <c r="C1503" t="s">
        <v>953</v>
      </c>
      <c r="D1503">
        <v>20486436</v>
      </c>
      <c r="E1503" t="s">
        <v>2258</v>
      </c>
      <c r="F1503" t="s">
        <v>984</v>
      </c>
      <c r="G1503" t="s">
        <v>2259</v>
      </c>
      <c r="H1503" t="s">
        <v>2388</v>
      </c>
      <c r="J1503" s="519">
        <v>46115</v>
      </c>
      <c r="R1503" s="519">
        <v>46115</v>
      </c>
      <c r="U1503" s="519">
        <v>46115</v>
      </c>
    </row>
    <row r="1504" spans="1:21">
      <c r="A1504" t="s">
        <v>953</v>
      </c>
      <c r="B1504" t="s">
        <v>3177</v>
      </c>
      <c r="C1504" t="s">
        <v>953</v>
      </c>
      <c r="D1504">
        <v>20463689</v>
      </c>
      <c r="E1504" t="s">
        <v>2258</v>
      </c>
      <c r="F1504" t="s">
        <v>984</v>
      </c>
      <c r="G1504" t="s">
        <v>2259</v>
      </c>
      <c r="H1504" t="s">
        <v>2388</v>
      </c>
      <c r="J1504" s="519">
        <v>46087</v>
      </c>
      <c r="R1504" s="519">
        <v>46114</v>
      </c>
      <c r="U1504" s="519">
        <v>46087</v>
      </c>
    </row>
    <row r="1505" spans="1:21">
      <c r="A1505" t="s">
        <v>953</v>
      </c>
      <c r="B1505" t="s">
        <v>3178</v>
      </c>
      <c r="C1505" t="s">
        <v>953</v>
      </c>
      <c r="D1505">
        <v>20471544</v>
      </c>
      <c r="E1505" t="s">
        <v>2258</v>
      </c>
      <c r="F1505" t="s">
        <v>581</v>
      </c>
      <c r="G1505" t="s">
        <v>2259</v>
      </c>
      <c r="H1505" t="s">
        <v>592</v>
      </c>
      <c r="J1505" s="519">
        <v>46095</v>
      </c>
      <c r="R1505" s="519">
        <v>46114</v>
      </c>
      <c r="U1505" s="519">
        <v>46157</v>
      </c>
    </row>
    <row r="1506" spans="1:21">
      <c r="A1506" t="s">
        <v>953</v>
      </c>
      <c r="B1506" t="s">
        <v>3178</v>
      </c>
      <c r="C1506" t="s">
        <v>953</v>
      </c>
      <c r="D1506">
        <v>20414608</v>
      </c>
      <c r="E1506" t="s">
        <v>2258</v>
      </c>
      <c r="F1506" t="s">
        <v>581</v>
      </c>
      <c r="G1506" t="s">
        <v>2259</v>
      </c>
      <c r="H1506" t="s">
        <v>592</v>
      </c>
      <c r="J1506" s="519">
        <v>46020</v>
      </c>
      <c r="R1506" s="519">
        <v>46114</v>
      </c>
      <c r="U1506" s="519">
        <v>46020</v>
      </c>
    </row>
    <row r="1507" spans="1:21">
      <c r="A1507" t="s">
        <v>953</v>
      </c>
      <c r="B1507" t="s">
        <v>2660</v>
      </c>
      <c r="C1507" t="s">
        <v>953</v>
      </c>
      <c r="D1507">
        <v>20444241</v>
      </c>
      <c r="E1507" t="s">
        <v>2258</v>
      </c>
      <c r="F1507" t="s">
        <v>984</v>
      </c>
      <c r="G1507" t="s">
        <v>2259</v>
      </c>
      <c r="H1507" t="s">
        <v>592</v>
      </c>
      <c r="J1507" s="519">
        <v>46063</v>
      </c>
      <c r="R1507" s="519">
        <v>46114</v>
      </c>
      <c r="U1507" s="519">
        <v>46073</v>
      </c>
    </row>
    <row r="1508" spans="1:21">
      <c r="A1508" t="s">
        <v>953</v>
      </c>
      <c r="B1508" t="s">
        <v>7224</v>
      </c>
      <c r="C1508" t="s">
        <v>953</v>
      </c>
      <c r="D1508">
        <v>20511030</v>
      </c>
      <c r="E1508" t="s">
        <v>2245</v>
      </c>
      <c r="F1508" t="s">
        <v>984</v>
      </c>
      <c r="G1508" t="s">
        <v>2259</v>
      </c>
      <c r="H1508" t="s">
        <v>593</v>
      </c>
      <c r="J1508" s="519">
        <v>46139</v>
      </c>
      <c r="U1508" s="519">
        <v>46139</v>
      </c>
    </row>
    <row r="1509" spans="1:21">
      <c r="A1509" t="s">
        <v>953</v>
      </c>
      <c r="B1509" t="s">
        <v>3707</v>
      </c>
      <c r="C1509" t="s">
        <v>953</v>
      </c>
      <c r="D1509">
        <v>20436441</v>
      </c>
      <c r="E1509" t="s">
        <v>2258</v>
      </c>
      <c r="F1509" t="s">
        <v>984</v>
      </c>
      <c r="G1509" t="s">
        <v>2259</v>
      </c>
      <c r="H1509" t="s">
        <v>2388</v>
      </c>
      <c r="J1509" s="519">
        <v>46050</v>
      </c>
      <c r="R1509" s="519">
        <v>46114</v>
      </c>
      <c r="U1509" s="519">
        <v>46050</v>
      </c>
    </row>
    <row r="1510" spans="1:21">
      <c r="A1510" t="s">
        <v>953</v>
      </c>
      <c r="B1510" t="s">
        <v>7225</v>
      </c>
      <c r="C1510" t="s">
        <v>953</v>
      </c>
      <c r="D1510">
        <v>20511925</v>
      </c>
      <c r="E1510" t="s">
        <v>2245</v>
      </c>
      <c r="F1510" t="s">
        <v>984</v>
      </c>
      <c r="G1510" t="s">
        <v>2259</v>
      </c>
      <c r="H1510" t="s">
        <v>593</v>
      </c>
      <c r="J1510" s="519">
        <v>46140</v>
      </c>
      <c r="U1510" s="519">
        <v>46140</v>
      </c>
    </row>
    <row r="1511" spans="1:21">
      <c r="A1511" t="s">
        <v>953</v>
      </c>
      <c r="B1511" t="s">
        <v>7226</v>
      </c>
      <c r="C1511" t="s">
        <v>953</v>
      </c>
      <c r="D1511">
        <v>20510505</v>
      </c>
      <c r="E1511" t="s">
        <v>2245</v>
      </c>
      <c r="F1511" t="s">
        <v>984</v>
      </c>
      <c r="G1511" t="s">
        <v>2259</v>
      </c>
      <c r="H1511" t="s">
        <v>592</v>
      </c>
      <c r="J1511" s="519">
        <v>46138</v>
      </c>
      <c r="U1511" s="519">
        <v>46138</v>
      </c>
    </row>
    <row r="1512" spans="1:21">
      <c r="A1512" t="s">
        <v>953</v>
      </c>
      <c r="B1512" t="s">
        <v>2661</v>
      </c>
      <c r="C1512" t="s">
        <v>953</v>
      </c>
      <c r="D1512">
        <v>20503960</v>
      </c>
      <c r="E1512" t="s">
        <v>2245</v>
      </c>
      <c r="F1512" t="s">
        <v>581</v>
      </c>
      <c r="G1512" t="s">
        <v>2259</v>
      </c>
      <c r="H1512" t="s">
        <v>3138</v>
      </c>
      <c r="J1512" s="519">
        <v>46132</v>
      </c>
      <c r="U1512" s="519">
        <v>46132</v>
      </c>
    </row>
    <row r="1513" spans="1:21">
      <c r="A1513" t="s">
        <v>953</v>
      </c>
      <c r="B1513" t="s">
        <v>2661</v>
      </c>
      <c r="C1513" t="s">
        <v>953</v>
      </c>
      <c r="D1513">
        <v>20503824</v>
      </c>
      <c r="E1513" t="s">
        <v>2245</v>
      </c>
      <c r="F1513" t="s">
        <v>984</v>
      </c>
      <c r="G1513" t="s">
        <v>2259</v>
      </c>
      <c r="H1513" t="s">
        <v>3138</v>
      </c>
      <c r="J1513" s="519">
        <v>46132</v>
      </c>
      <c r="U1513" s="519">
        <v>46132</v>
      </c>
    </row>
    <row r="1514" spans="1:21">
      <c r="A1514" t="s">
        <v>953</v>
      </c>
      <c r="B1514" t="s">
        <v>2661</v>
      </c>
      <c r="C1514" t="s">
        <v>953</v>
      </c>
      <c r="D1514">
        <v>20450683</v>
      </c>
      <c r="E1514" t="s">
        <v>2258</v>
      </c>
      <c r="F1514" t="s">
        <v>984</v>
      </c>
      <c r="G1514" t="s">
        <v>2259</v>
      </c>
      <c r="H1514" t="s">
        <v>2388</v>
      </c>
      <c r="J1514" s="519">
        <v>46070</v>
      </c>
      <c r="R1514" s="519">
        <v>46114</v>
      </c>
      <c r="U1514" s="519">
        <v>46070</v>
      </c>
    </row>
    <row r="1515" spans="1:21">
      <c r="A1515" t="s">
        <v>953</v>
      </c>
      <c r="B1515" t="s">
        <v>2661</v>
      </c>
      <c r="C1515" t="s">
        <v>953</v>
      </c>
      <c r="D1515">
        <v>20441394</v>
      </c>
      <c r="E1515" t="s">
        <v>2258</v>
      </c>
      <c r="F1515" t="s">
        <v>984</v>
      </c>
      <c r="G1515" t="s">
        <v>2259</v>
      </c>
      <c r="H1515" t="s">
        <v>592</v>
      </c>
      <c r="J1515" s="519">
        <v>46058</v>
      </c>
      <c r="R1515" s="519">
        <v>46114</v>
      </c>
      <c r="U1515" s="519">
        <v>46082</v>
      </c>
    </row>
    <row r="1516" spans="1:21">
      <c r="A1516" t="s">
        <v>953</v>
      </c>
      <c r="B1516" t="s">
        <v>3179</v>
      </c>
      <c r="C1516" t="s">
        <v>953</v>
      </c>
      <c r="D1516">
        <v>20480695</v>
      </c>
      <c r="E1516" t="s">
        <v>2258</v>
      </c>
      <c r="F1516" t="s">
        <v>581</v>
      </c>
      <c r="G1516" t="s">
        <v>2259</v>
      </c>
      <c r="H1516" t="s">
        <v>592</v>
      </c>
      <c r="J1516" s="519">
        <v>46107</v>
      </c>
      <c r="R1516" s="519">
        <v>46115</v>
      </c>
      <c r="U1516" s="519">
        <v>46111</v>
      </c>
    </row>
    <row r="1517" spans="1:21">
      <c r="A1517" t="s">
        <v>953</v>
      </c>
      <c r="B1517" t="s">
        <v>3180</v>
      </c>
      <c r="C1517" t="s">
        <v>953</v>
      </c>
      <c r="D1517">
        <v>20478229</v>
      </c>
      <c r="E1517" t="s">
        <v>2258</v>
      </c>
      <c r="F1517" t="s">
        <v>984</v>
      </c>
      <c r="G1517" t="s">
        <v>2259</v>
      </c>
      <c r="H1517" t="s">
        <v>2388</v>
      </c>
      <c r="J1517" s="519">
        <v>46104</v>
      </c>
      <c r="R1517" s="519">
        <v>46114</v>
      </c>
      <c r="U1517" s="519">
        <v>46120</v>
      </c>
    </row>
    <row r="1518" spans="1:21">
      <c r="A1518" t="s">
        <v>953</v>
      </c>
      <c r="B1518" t="s">
        <v>3708</v>
      </c>
      <c r="C1518" t="s">
        <v>953</v>
      </c>
      <c r="D1518">
        <v>20415938</v>
      </c>
      <c r="E1518" t="s">
        <v>2258</v>
      </c>
      <c r="F1518" t="s">
        <v>984</v>
      </c>
      <c r="G1518" t="s">
        <v>2259</v>
      </c>
      <c r="H1518" t="s">
        <v>587</v>
      </c>
      <c r="J1518" s="519">
        <v>46022</v>
      </c>
      <c r="R1518" s="519">
        <v>46114</v>
      </c>
      <c r="U1518" s="519">
        <v>46022</v>
      </c>
    </row>
    <row r="1519" spans="1:21">
      <c r="A1519" t="s">
        <v>953</v>
      </c>
      <c r="B1519" t="s">
        <v>2662</v>
      </c>
      <c r="C1519" t="s">
        <v>953</v>
      </c>
      <c r="D1519">
        <v>20445944</v>
      </c>
      <c r="E1519" t="s">
        <v>2258</v>
      </c>
      <c r="F1519" t="s">
        <v>581</v>
      </c>
      <c r="G1519" t="s">
        <v>2259</v>
      </c>
      <c r="H1519" t="s">
        <v>2388</v>
      </c>
      <c r="J1519" s="519">
        <v>46064</v>
      </c>
      <c r="R1519" s="519">
        <v>46114</v>
      </c>
      <c r="U1519" s="519">
        <v>46064</v>
      </c>
    </row>
    <row r="1520" spans="1:21">
      <c r="A1520" t="s">
        <v>953</v>
      </c>
      <c r="B1520" t="s">
        <v>2662</v>
      </c>
      <c r="C1520" t="s">
        <v>953</v>
      </c>
      <c r="D1520">
        <v>20430429</v>
      </c>
      <c r="E1520" t="s">
        <v>2258</v>
      </c>
      <c r="F1520" t="s">
        <v>984</v>
      </c>
      <c r="G1520" t="s">
        <v>2259</v>
      </c>
      <c r="H1520" t="s">
        <v>592</v>
      </c>
      <c r="J1520" s="519">
        <v>46041</v>
      </c>
      <c r="R1520" s="519">
        <v>46114</v>
      </c>
      <c r="U1520" s="519">
        <v>46054</v>
      </c>
    </row>
    <row r="1521" spans="1:21">
      <c r="A1521" t="s">
        <v>953</v>
      </c>
      <c r="B1521" t="s">
        <v>2663</v>
      </c>
      <c r="C1521" t="s">
        <v>953</v>
      </c>
      <c r="D1521">
        <v>20447991</v>
      </c>
      <c r="E1521" t="s">
        <v>2258</v>
      </c>
      <c r="F1521" t="s">
        <v>984</v>
      </c>
      <c r="G1521" t="s">
        <v>2259</v>
      </c>
      <c r="H1521" t="s">
        <v>2388</v>
      </c>
      <c r="J1521" s="519">
        <v>46065</v>
      </c>
      <c r="R1521" s="519">
        <v>46114</v>
      </c>
      <c r="U1521" s="519">
        <v>46065</v>
      </c>
    </row>
    <row r="1522" spans="1:21">
      <c r="A1522" t="s">
        <v>953</v>
      </c>
      <c r="B1522" t="s">
        <v>2663</v>
      </c>
      <c r="C1522" t="s">
        <v>953</v>
      </c>
      <c r="D1522">
        <v>20447693</v>
      </c>
      <c r="E1522" t="s">
        <v>2258</v>
      </c>
      <c r="F1522" t="s">
        <v>581</v>
      </c>
      <c r="G1522" t="s">
        <v>2259</v>
      </c>
      <c r="H1522" t="s">
        <v>593</v>
      </c>
      <c r="J1522" s="519">
        <v>46065</v>
      </c>
      <c r="R1522" s="519">
        <v>46114</v>
      </c>
      <c r="U1522" s="519">
        <v>46065</v>
      </c>
    </row>
    <row r="1523" spans="1:21">
      <c r="A1523" t="s">
        <v>953</v>
      </c>
      <c r="B1523" t="s">
        <v>2663</v>
      </c>
      <c r="C1523" t="s">
        <v>953</v>
      </c>
      <c r="D1523">
        <v>20508292</v>
      </c>
      <c r="E1523" t="s">
        <v>2245</v>
      </c>
      <c r="F1523" t="s">
        <v>984</v>
      </c>
      <c r="G1523" t="s">
        <v>2259</v>
      </c>
      <c r="H1523" t="s">
        <v>3138</v>
      </c>
      <c r="J1523" s="519">
        <v>46135</v>
      </c>
      <c r="U1523" s="519">
        <v>46135</v>
      </c>
    </row>
    <row r="1524" spans="1:21">
      <c r="A1524" t="s">
        <v>953</v>
      </c>
      <c r="B1524" t="s">
        <v>2664</v>
      </c>
      <c r="C1524" t="s">
        <v>953</v>
      </c>
      <c r="D1524">
        <v>20450302</v>
      </c>
      <c r="E1524" t="s">
        <v>2258</v>
      </c>
      <c r="F1524" t="s">
        <v>581</v>
      </c>
      <c r="G1524" t="s">
        <v>2259</v>
      </c>
      <c r="H1524" t="s">
        <v>593</v>
      </c>
      <c r="J1524" s="519">
        <v>46070</v>
      </c>
      <c r="R1524" s="519">
        <v>46114</v>
      </c>
      <c r="U1524" s="519">
        <v>46070</v>
      </c>
    </row>
    <row r="1525" spans="1:21">
      <c r="A1525" t="s">
        <v>953</v>
      </c>
      <c r="B1525" t="s">
        <v>2665</v>
      </c>
      <c r="C1525" t="s">
        <v>953</v>
      </c>
      <c r="D1525">
        <v>20457134</v>
      </c>
      <c r="E1525" t="s">
        <v>2258</v>
      </c>
      <c r="F1525" t="s">
        <v>984</v>
      </c>
      <c r="G1525" t="s">
        <v>2259</v>
      </c>
      <c r="H1525" t="s">
        <v>592</v>
      </c>
      <c r="J1525" s="519">
        <v>46078</v>
      </c>
      <c r="R1525" s="519">
        <v>46114</v>
      </c>
      <c r="U1525" s="519">
        <v>46081</v>
      </c>
    </row>
    <row r="1526" spans="1:21">
      <c r="A1526" t="s">
        <v>953</v>
      </c>
      <c r="B1526" t="s">
        <v>2666</v>
      </c>
      <c r="C1526" t="s">
        <v>953</v>
      </c>
      <c r="D1526">
        <v>20458732</v>
      </c>
      <c r="E1526" t="s">
        <v>2258</v>
      </c>
      <c r="F1526" t="s">
        <v>581</v>
      </c>
      <c r="G1526" t="s">
        <v>2259</v>
      </c>
      <c r="H1526" t="s">
        <v>593</v>
      </c>
      <c r="J1526" s="519">
        <v>46080</v>
      </c>
      <c r="R1526" s="519">
        <v>46116</v>
      </c>
      <c r="U1526" s="519">
        <v>46113</v>
      </c>
    </row>
    <row r="1527" spans="1:21">
      <c r="A1527" t="s">
        <v>953</v>
      </c>
      <c r="B1527" t="s">
        <v>2667</v>
      </c>
      <c r="C1527" t="s">
        <v>953</v>
      </c>
      <c r="D1527">
        <v>20444631</v>
      </c>
      <c r="E1527" t="s">
        <v>2258</v>
      </c>
      <c r="F1527" t="s">
        <v>581</v>
      </c>
      <c r="G1527" t="s">
        <v>2259</v>
      </c>
      <c r="H1527" t="s">
        <v>2388</v>
      </c>
      <c r="J1527" s="519">
        <v>46063</v>
      </c>
      <c r="R1527" s="519">
        <v>46114</v>
      </c>
      <c r="U1527" s="519">
        <v>46063</v>
      </c>
    </row>
    <row r="1528" spans="1:21">
      <c r="A1528" t="s">
        <v>953</v>
      </c>
      <c r="B1528" t="s">
        <v>3709</v>
      </c>
      <c r="C1528" t="s">
        <v>953</v>
      </c>
      <c r="D1528">
        <v>20490734</v>
      </c>
      <c r="E1528" t="s">
        <v>2258</v>
      </c>
      <c r="F1528" t="s">
        <v>984</v>
      </c>
      <c r="G1528" t="s">
        <v>2259</v>
      </c>
      <c r="H1528" t="s">
        <v>593</v>
      </c>
      <c r="J1528" s="519">
        <v>46121</v>
      </c>
      <c r="R1528" s="519">
        <v>46139</v>
      </c>
      <c r="U1528" s="519">
        <v>46121</v>
      </c>
    </row>
    <row r="1529" spans="1:21">
      <c r="A1529" t="s">
        <v>953</v>
      </c>
      <c r="B1529" t="s">
        <v>3710</v>
      </c>
      <c r="C1529" t="s">
        <v>953</v>
      </c>
      <c r="D1529">
        <v>20423696</v>
      </c>
      <c r="E1529" t="s">
        <v>2258</v>
      </c>
      <c r="F1529" t="s">
        <v>984</v>
      </c>
      <c r="G1529" t="s">
        <v>2246</v>
      </c>
      <c r="H1529" t="s">
        <v>591</v>
      </c>
      <c r="J1529" s="519">
        <v>46034</v>
      </c>
      <c r="R1529" s="519">
        <v>46114</v>
      </c>
      <c r="U1529" s="519">
        <v>46034</v>
      </c>
    </row>
    <row r="1530" spans="1:21">
      <c r="A1530" t="s">
        <v>953</v>
      </c>
      <c r="B1530" t="s">
        <v>7227</v>
      </c>
      <c r="C1530" t="s">
        <v>953</v>
      </c>
      <c r="D1530">
        <v>20507609</v>
      </c>
      <c r="E1530" t="s">
        <v>2245</v>
      </c>
      <c r="F1530" t="s">
        <v>984</v>
      </c>
      <c r="G1530" t="s">
        <v>2259</v>
      </c>
      <c r="H1530" t="s">
        <v>2388</v>
      </c>
      <c r="J1530" s="519">
        <v>46135</v>
      </c>
      <c r="U1530" s="519">
        <v>46135</v>
      </c>
    </row>
    <row r="1531" spans="1:21">
      <c r="A1531" t="s">
        <v>953</v>
      </c>
      <c r="B1531" t="s">
        <v>3711</v>
      </c>
      <c r="C1531" t="s">
        <v>953</v>
      </c>
      <c r="D1531">
        <v>20415964</v>
      </c>
      <c r="E1531" t="s">
        <v>2258</v>
      </c>
      <c r="F1531" t="s">
        <v>581</v>
      </c>
      <c r="G1531" t="s">
        <v>2259</v>
      </c>
      <c r="H1531" t="s">
        <v>587</v>
      </c>
      <c r="J1531" s="519">
        <v>46022</v>
      </c>
      <c r="R1531" s="519">
        <v>46114</v>
      </c>
      <c r="U1531" s="519">
        <v>46022</v>
      </c>
    </row>
    <row r="1532" spans="1:21">
      <c r="A1532" t="s">
        <v>953</v>
      </c>
      <c r="B1532" t="s">
        <v>2668</v>
      </c>
      <c r="C1532" t="s">
        <v>953</v>
      </c>
      <c r="D1532">
        <v>20450223</v>
      </c>
      <c r="E1532" t="s">
        <v>2258</v>
      </c>
      <c r="F1532" t="s">
        <v>581</v>
      </c>
      <c r="G1532" t="s">
        <v>2259</v>
      </c>
      <c r="H1532" t="s">
        <v>2388</v>
      </c>
      <c r="J1532" s="519">
        <v>46070</v>
      </c>
      <c r="R1532" s="519">
        <v>46114</v>
      </c>
      <c r="U1532" s="519">
        <v>46070</v>
      </c>
    </row>
    <row r="1533" spans="1:21">
      <c r="A1533" t="s">
        <v>953</v>
      </c>
      <c r="B1533" t="s">
        <v>2669</v>
      </c>
      <c r="C1533" t="s">
        <v>953</v>
      </c>
      <c r="D1533">
        <v>20440025</v>
      </c>
      <c r="E1533" t="s">
        <v>2258</v>
      </c>
      <c r="F1533" t="s">
        <v>984</v>
      </c>
      <c r="G1533" t="s">
        <v>2259</v>
      </c>
      <c r="H1533" t="s">
        <v>2388</v>
      </c>
      <c r="J1533" s="519">
        <v>46056</v>
      </c>
      <c r="R1533" s="519">
        <v>46114</v>
      </c>
      <c r="U1533" s="519">
        <v>46058</v>
      </c>
    </row>
    <row r="1534" spans="1:21">
      <c r="A1534" t="s">
        <v>953</v>
      </c>
      <c r="B1534" t="s">
        <v>2670</v>
      </c>
      <c r="C1534" t="s">
        <v>953</v>
      </c>
      <c r="D1534">
        <v>20456554</v>
      </c>
      <c r="E1534" t="s">
        <v>2258</v>
      </c>
      <c r="F1534" t="s">
        <v>984</v>
      </c>
      <c r="G1534" t="s">
        <v>2259</v>
      </c>
      <c r="H1534" t="s">
        <v>593</v>
      </c>
      <c r="J1534" s="519">
        <v>46077</v>
      </c>
      <c r="R1534" s="519">
        <v>46114</v>
      </c>
      <c r="U1534" s="519">
        <v>46077</v>
      </c>
    </row>
    <row r="1535" spans="1:21">
      <c r="A1535" t="s">
        <v>953</v>
      </c>
      <c r="B1535" t="s">
        <v>7228</v>
      </c>
      <c r="C1535" t="s">
        <v>953</v>
      </c>
      <c r="D1535">
        <v>20499154</v>
      </c>
      <c r="E1535" t="s">
        <v>2258</v>
      </c>
      <c r="F1535" t="s">
        <v>984</v>
      </c>
      <c r="G1535" t="s">
        <v>2259</v>
      </c>
      <c r="H1535" t="s">
        <v>2388</v>
      </c>
      <c r="J1535" s="519">
        <v>46129</v>
      </c>
      <c r="R1535" s="519">
        <v>46139</v>
      </c>
      <c r="U1535" s="519">
        <v>46129</v>
      </c>
    </row>
    <row r="1536" spans="1:21">
      <c r="A1536" t="s">
        <v>953</v>
      </c>
      <c r="B1536" t="s">
        <v>2671</v>
      </c>
      <c r="C1536" t="s">
        <v>953</v>
      </c>
      <c r="D1536">
        <v>20450194</v>
      </c>
      <c r="E1536" t="s">
        <v>2258</v>
      </c>
      <c r="F1536" t="s">
        <v>581</v>
      </c>
      <c r="G1536" t="s">
        <v>2259</v>
      </c>
      <c r="H1536" t="s">
        <v>2388</v>
      </c>
      <c r="J1536" s="519">
        <v>46070</v>
      </c>
      <c r="R1536" s="519">
        <v>46114</v>
      </c>
      <c r="U1536" s="519">
        <v>46070</v>
      </c>
    </row>
    <row r="1537" spans="1:21">
      <c r="A1537" t="s">
        <v>953</v>
      </c>
      <c r="B1537" t="s">
        <v>2672</v>
      </c>
      <c r="C1537" t="s">
        <v>953</v>
      </c>
      <c r="D1537">
        <v>20454854</v>
      </c>
      <c r="E1537" t="s">
        <v>2258</v>
      </c>
      <c r="F1537" t="s">
        <v>581</v>
      </c>
      <c r="G1537" t="s">
        <v>2259</v>
      </c>
      <c r="H1537" t="s">
        <v>593</v>
      </c>
      <c r="J1537" s="519">
        <v>46074</v>
      </c>
      <c r="R1537" s="519">
        <v>46114</v>
      </c>
      <c r="U1537" s="519">
        <v>46074</v>
      </c>
    </row>
    <row r="1538" spans="1:21">
      <c r="A1538" t="s">
        <v>953</v>
      </c>
      <c r="B1538" t="s">
        <v>3712</v>
      </c>
      <c r="C1538" t="s">
        <v>953</v>
      </c>
      <c r="D1538">
        <v>20491789</v>
      </c>
      <c r="E1538" t="s">
        <v>2258</v>
      </c>
      <c r="F1538" t="s">
        <v>984</v>
      </c>
      <c r="G1538" t="s">
        <v>2259</v>
      </c>
      <c r="H1538" t="s">
        <v>2388</v>
      </c>
      <c r="J1538" s="519">
        <v>46122</v>
      </c>
      <c r="R1538" s="519">
        <v>46139</v>
      </c>
      <c r="U1538" s="519">
        <v>46122</v>
      </c>
    </row>
    <row r="1539" spans="1:21">
      <c r="A1539" t="s">
        <v>953</v>
      </c>
      <c r="B1539" t="s">
        <v>3713</v>
      </c>
      <c r="C1539" t="s">
        <v>953</v>
      </c>
      <c r="D1539">
        <v>20435560</v>
      </c>
      <c r="E1539" t="s">
        <v>2258</v>
      </c>
      <c r="F1539" t="s">
        <v>984</v>
      </c>
      <c r="G1539" t="s">
        <v>2259</v>
      </c>
      <c r="H1539" t="s">
        <v>593</v>
      </c>
      <c r="J1539" s="519">
        <v>46049</v>
      </c>
      <c r="R1539" s="519">
        <v>46114</v>
      </c>
      <c r="U1539" s="519">
        <v>46049</v>
      </c>
    </row>
    <row r="1540" spans="1:21">
      <c r="A1540" t="s">
        <v>953</v>
      </c>
      <c r="B1540" t="s">
        <v>3714</v>
      </c>
      <c r="C1540" t="s">
        <v>953</v>
      </c>
      <c r="D1540">
        <v>20494399</v>
      </c>
      <c r="E1540" t="s">
        <v>2258</v>
      </c>
      <c r="F1540" t="s">
        <v>984</v>
      </c>
      <c r="G1540" t="s">
        <v>2259</v>
      </c>
      <c r="H1540" t="s">
        <v>592</v>
      </c>
      <c r="J1540" s="519">
        <v>46126</v>
      </c>
      <c r="R1540" s="519">
        <v>46139</v>
      </c>
      <c r="U1540" s="519">
        <v>46126</v>
      </c>
    </row>
    <row r="1541" spans="1:21">
      <c r="A1541" t="s">
        <v>953</v>
      </c>
      <c r="B1541" t="s">
        <v>3181</v>
      </c>
      <c r="C1541" t="s">
        <v>953</v>
      </c>
      <c r="D1541">
        <v>20478216</v>
      </c>
      <c r="E1541" t="s">
        <v>2258</v>
      </c>
      <c r="F1541" t="s">
        <v>581</v>
      </c>
      <c r="G1541" t="s">
        <v>2259</v>
      </c>
      <c r="H1541" t="s">
        <v>592</v>
      </c>
      <c r="J1541" s="519">
        <v>46104</v>
      </c>
      <c r="R1541" s="519">
        <v>46114</v>
      </c>
      <c r="U1541" s="519">
        <v>46172</v>
      </c>
    </row>
    <row r="1542" spans="1:21">
      <c r="A1542" t="s">
        <v>953</v>
      </c>
      <c r="B1542" t="s">
        <v>7229</v>
      </c>
      <c r="C1542" t="s">
        <v>953</v>
      </c>
      <c r="D1542">
        <v>20511413</v>
      </c>
      <c r="E1542" t="s">
        <v>2245</v>
      </c>
      <c r="F1542" t="s">
        <v>581</v>
      </c>
      <c r="G1542" t="s">
        <v>2290</v>
      </c>
      <c r="H1542" t="s">
        <v>587</v>
      </c>
      <c r="J1542" s="519">
        <v>46139</v>
      </c>
      <c r="U1542" s="519">
        <v>46157</v>
      </c>
    </row>
    <row r="1543" spans="1:21">
      <c r="A1543" t="s">
        <v>953</v>
      </c>
      <c r="B1543" t="s">
        <v>7230</v>
      </c>
      <c r="C1543" t="s">
        <v>953</v>
      </c>
      <c r="D1543">
        <v>20502942</v>
      </c>
      <c r="E1543" t="s">
        <v>2245</v>
      </c>
      <c r="F1543" t="s">
        <v>984</v>
      </c>
      <c r="G1543" t="s">
        <v>2259</v>
      </c>
      <c r="H1543" t="s">
        <v>592</v>
      </c>
      <c r="J1543" s="519">
        <v>46132</v>
      </c>
      <c r="U1543" s="519">
        <v>46132</v>
      </c>
    </row>
    <row r="1544" spans="1:21">
      <c r="A1544" t="s">
        <v>953</v>
      </c>
      <c r="B1544" t="s">
        <v>2674</v>
      </c>
      <c r="C1544" t="s">
        <v>953</v>
      </c>
      <c r="D1544">
        <v>20438887</v>
      </c>
      <c r="E1544" t="s">
        <v>2258</v>
      </c>
      <c r="F1544" t="s">
        <v>984</v>
      </c>
      <c r="G1544" t="s">
        <v>2259</v>
      </c>
      <c r="H1544" t="s">
        <v>2388</v>
      </c>
      <c r="J1544" s="519">
        <v>46054</v>
      </c>
      <c r="R1544" s="519">
        <v>46114</v>
      </c>
      <c r="U1544" s="519">
        <v>46113</v>
      </c>
    </row>
    <row r="1545" spans="1:21">
      <c r="A1545" t="s">
        <v>953</v>
      </c>
      <c r="B1545" t="s">
        <v>2675</v>
      </c>
      <c r="C1545" t="s">
        <v>953</v>
      </c>
      <c r="D1545">
        <v>20452023</v>
      </c>
      <c r="E1545" t="s">
        <v>2258</v>
      </c>
      <c r="F1545" t="s">
        <v>581</v>
      </c>
      <c r="G1545" t="s">
        <v>2259</v>
      </c>
      <c r="H1545" t="s">
        <v>592</v>
      </c>
      <c r="J1545" s="519">
        <v>46071</v>
      </c>
      <c r="R1545" s="519">
        <v>46114</v>
      </c>
      <c r="U1545" s="519">
        <v>46082</v>
      </c>
    </row>
    <row r="1546" spans="1:21">
      <c r="A1546" t="s">
        <v>953</v>
      </c>
      <c r="B1546" t="s">
        <v>3715</v>
      </c>
      <c r="C1546" t="s">
        <v>953</v>
      </c>
      <c r="D1546">
        <v>20419209</v>
      </c>
      <c r="E1546" t="s">
        <v>2258</v>
      </c>
      <c r="F1546" t="s">
        <v>577</v>
      </c>
      <c r="G1546" t="s">
        <v>2259</v>
      </c>
      <c r="H1546" t="s">
        <v>592</v>
      </c>
      <c r="J1546" s="519">
        <v>46028</v>
      </c>
      <c r="R1546" s="519">
        <v>46114</v>
      </c>
      <c r="U1546" s="519">
        <v>46387</v>
      </c>
    </row>
    <row r="1547" spans="1:21">
      <c r="A1547" t="s">
        <v>953</v>
      </c>
      <c r="B1547" t="s">
        <v>7231</v>
      </c>
      <c r="C1547" t="s">
        <v>953</v>
      </c>
      <c r="D1547">
        <v>20498505</v>
      </c>
      <c r="E1547" t="s">
        <v>2258</v>
      </c>
      <c r="F1547" t="s">
        <v>581</v>
      </c>
      <c r="G1547" t="s">
        <v>2259</v>
      </c>
      <c r="H1547" t="s">
        <v>592</v>
      </c>
      <c r="J1547" s="519">
        <v>46128</v>
      </c>
      <c r="R1547" s="519">
        <v>46139</v>
      </c>
      <c r="U1547" s="519">
        <v>46128</v>
      </c>
    </row>
    <row r="1548" spans="1:21">
      <c r="A1548" t="s">
        <v>953</v>
      </c>
      <c r="B1548" t="s">
        <v>2676</v>
      </c>
      <c r="C1548" t="s">
        <v>953</v>
      </c>
      <c r="D1548">
        <v>20444389</v>
      </c>
      <c r="E1548" t="s">
        <v>2258</v>
      </c>
      <c r="F1548" t="s">
        <v>581</v>
      </c>
      <c r="G1548" t="s">
        <v>2259</v>
      </c>
      <c r="H1548" t="s">
        <v>593</v>
      </c>
      <c r="J1548" s="519">
        <v>46063</v>
      </c>
      <c r="R1548" s="519">
        <v>46114</v>
      </c>
      <c r="U1548" s="519">
        <v>46063</v>
      </c>
    </row>
    <row r="1549" spans="1:21">
      <c r="A1549" t="s">
        <v>953</v>
      </c>
      <c r="B1549" t="s">
        <v>2676</v>
      </c>
      <c r="C1549" t="s">
        <v>953</v>
      </c>
      <c r="D1549">
        <v>20501644</v>
      </c>
      <c r="E1549" t="s">
        <v>2258</v>
      </c>
      <c r="F1549" t="s">
        <v>984</v>
      </c>
      <c r="G1549" t="s">
        <v>2259</v>
      </c>
      <c r="H1549" t="s">
        <v>592</v>
      </c>
      <c r="J1549" s="519">
        <v>46131</v>
      </c>
      <c r="R1549" s="519">
        <v>46139</v>
      </c>
      <c r="U1549" s="519">
        <v>46131</v>
      </c>
    </row>
    <row r="1550" spans="1:21">
      <c r="A1550" t="s">
        <v>953</v>
      </c>
      <c r="B1550" t="s">
        <v>3716</v>
      </c>
      <c r="C1550" t="s">
        <v>953</v>
      </c>
      <c r="D1550">
        <v>20438608</v>
      </c>
      <c r="E1550" t="s">
        <v>2258</v>
      </c>
      <c r="F1550" t="s">
        <v>984</v>
      </c>
      <c r="G1550" t="s">
        <v>2259</v>
      </c>
      <c r="H1550" t="s">
        <v>592</v>
      </c>
      <c r="J1550" s="519">
        <v>46053</v>
      </c>
      <c r="R1550" s="519">
        <v>46114</v>
      </c>
      <c r="U1550" s="519">
        <v>46060</v>
      </c>
    </row>
    <row r="1551" spans="1:21">
      <c r="A1551" t="s">
        <v>953</v>
      </c>
      <c r="B1551" t="s">
        <v>7232</v>
      </c>
      <c r="C1551" t="s">
        <v>953</v>
      </c>
      <c r="D1551">
        <v>20507685</v>
      </c>
      <c r="E1551" t="s">
        <v>2258</v>
      </c>
      <c r="F1551" t="s">
        <v>581</v>
      </c>
      <c r="G1551" t="s">
        <v>2259</v>
      </c>
      <c r="H1551" t="s">
        <v>2388</v>
      </c>
      <c r="J1551" s="519">
        <v>46135</v>
      </c>
      <c r="R1551" s="519">
        <v>46135</v>
      </c>
      <c r="U1551" s="519">
        <v>46135</v>
      </c>
    </row>
    <row r="1552" spans="1:21">
      <c r="A1552" t="s">
        <v>953</v>
      </c>
      <c r="B1552" t="s">
        <v>3717</v>
      </c>
      <c r="C1552" t="s">
        <v>953</v>
      </c>
      <c r="D1552">
        <v>20490657</v>
      </c>
      <c r="E1552" t="s">
        <v>2258</v>
      </c>
      <c r="F1552" t="s">
        <v>984</v>
      </c>
      <c r="G1552" t="s">
        <v>2259</v>
      </c>
      <c r="H1552" t="s">
        <v>2388</v>
      </c>
      <c r="J1552" s="519">
        <v>46121</v>
      </c>
      <c r="R1552" s="519">
        <v>46139</v>
      </c>
      <c r="U1552" s="519">
        <v>46121</v>
      </c>
    </row>
    <row r="1553" spans="1:21">
      <c r="A1553" t="s">
        <v>953</v>
      </c>
      <c r="B1553" t="s">
        <v>3718</v>
      </c>
      <c r="C1553" t="s">
        <v>953</v>
      </c>
      <c r="D1553">
        <v>20437578</v>
      </c>
      <c r="E1553" t="s">
        <v>2258</v>
      </c>
      <c r="F1553" t="s">
        <v>581</v>
      </c>
      <c r="G1553" t="s">
        <v>2259</v>
      </c>
      <c r="H1553" t="s">
        <v>2388</v>
      </c>
      <c r="J1553" s="519">
        <v>46052</v>
      </c>
      <c r="R1553" s="519">
        <v>46114</v>
      </c>
      <c r="U1553" s="519">
        <v>46052</v>
      </c>
    </row>
    <row r="1554" spans="1:21">
      <c r="A1554" t="s">
        <v>953</v>
      </c>
      <c r="B1554" t="s">
        <v>3719</v>
      </c>
      <c r="C1554" t="s">
        <v>953</v>
      </c>
      <c r="D1554">
        <v>20429989</v>
      </c>
      <c r="E1554" t="s">
        <v>2258</v>
      </c>
      <c r="F1554" t="s">
        <v>581</v>
      </c>
      <c r="G1554" t="s">
        <v>2259</v>
      </c>
      <c r="H1554" t="s">
        <v>592</v>
      </c>
      <c r="J1554" s="519">
        <v>46040</v>
      </c>
      <c r="R1554" s="519">
        <v>46114</v>
      </c>
      <c r="U1554" s="519">
        <v>46048</v>
      </c>
    </row>
    <row r="1555" spans="1:21">
      <c r="A1555" t="s">
        <v>953</v>
      </c>
      <c r="B1555" t="s">
        <v>2677</v>
      </c>
      <c r="C1555" t="s">
        <v>953</v>
      </c>
      <c r="D1555">
        <v>20444338</v>
      </c>
      <c r="E1555" t="s">
        <v>2258</v>
      </c>
      <c r="F1555" t="s">
        <v>581</v>
      </c>
      <c r="G1555" t="s">
        <v>2259</v>
      </c>
      <c r="H1555" t="s">
        <v>2388</v>
      </c>
      <c r="J1555" s="519">
        <v>46063</v>
      </c>
      <c r="R1555" s="519">
        <v>46114</v>
      </c>
      <c r="U1555" s="519">
        <v>46063</v>
      </c>
    </row>
    <row r="1556" spans="1:21">
      <c r="A1556" t="s">
        <v>953</v>
      </c>
      <c r="B1556" t="s">
        <v>2677</v>
      </c>
      <c r="C1556" t="s">
        <v>953</v>
      </c>
      <c r="D1556">
        <v>20420976</v>
      </c>
      <c r="E1556" t="s">
        <v>2258</v>
      </c>
      <c r="F1556" t="s">
        <v>578</v>
      </c>
      <c r="G1556" t="s">
        <v>2259</v>
      </c>
      <c r="H1556" t="s">
        <v>593</v>
      </c>
      <c r="J1556" s="519">
        <v>46030</v>
      </c>
      <c r="R1556" s="519">
        <v>46114</v>
      </c>
      <c r="U1556" s="519">
        <v>46044</v>
      </c>
    </row>
    <row r="1557" spans="1:21">
      <c r="A1557" t="s">
        <v>953</v>
      </c>
      <c r="B1557" t="s">
        <v>7233</v>
      </c>
      <c r="C1557" t="s">
        <v>953</v>
      </c>
      <c r="D1557">
        <v>20511056</v>
      </c>
      <c r="E1557" t="s">
        <v>2245</v>
      </c>
      <c r="F1557" t="s">
        <v>984</v>
      </c>
      <c r="G1557" t="s">
        <v>2259</v>
      </c>
      <c r="H1557" t="s">
        <v>592</v>
      </c>
      <c r="J1557" s="519">
        <v>46139</v>
      </c>
      <c r="U1557" s="519">
        <v>46139</v>
      </c>
    </row>
    <row r="1558" spans="1:21">
      <c r="A1558" t="s">
        <v>953</v>
      </c>
      <c r="B1558" t="s">
        <v>2678</v>
      </c>
      <c r="C1558" t="s">
        <v>953</v>
      </c>
      <c r="D1558">
        <v>20443578</v>
      </c>
      <c r="E1558" t="s">
        <v>2258</v>
      </c>
      <c r="F1558" t="s">
        <v>984</v>
      </c>
      <c r="G1558" t="s">
        <v>2259</v>
      </c>
      <c r="H1558" t="s">
        <v>2388</v>
      </c>
      <c r="J1558" s="519">
        <v>46062</v>
      </c>
      <c r="R1558" s="519">
        <v>46114</v>
      </c>
      <c r="U1558" s="519">
        <v>46062</v>
      </c>
    </row>
    <row r="1559" spans="1:21">
      <c r="A1559" t="s">
        <v>953</v>
      </c>
      <c r="B1559" t="s">
        <v>2679</v>
      </c>
      <c r="C1559" t="s">
        <v>953</v>
      </c>
      <c r="D1559">
        <v>20455951</v>
      </c>
      <c r="E1559" t="s">
        <v>2258</v>
      </c>
      <c r="F1559" t="s">
        <v>984</v>
      </c>
      <c r="G1559" t="s">
        <v>2259</v>
      </c>
      <c r="H1559" t="s">
        <v>2388</v>
      </c>
      <c r="J1559" s="519">
        <v>46076</v>
      </c>
      <c r="R1559" s="519">
        <v>46114</v>
      </c>
      <c r="U1559" s="519">
        <v>46076</v>
      </c>
    </row>
    <row r="1560" spans="1:21">
      <c r="A1560" t="s">
        <v>953</v>
      </c>
      <c r="B1560" t="s">
        <v>7234</v>
      </c>
      <c r="C1560" t="s">
        <v>953</v>
      </c>
      <c r="D1560">
        <v>20510780</v>
      </c>
      <c r="E1560" t="s">
        <v>2245</v>
      </c>
      <c r="F1560" t="s">
        <v>984</v>
      </c>
      <c r="G1560" t="s">
        <v>2259</v>
      </c>
      <c r="H1560" t="s">
        <v>593</v>
      </c>
      <c r="J1560" s="519">
        <v>46139</v>
      </c>
      <c r="U1560" s="519">
        <v>46139</v>
      </c>
    </row>
    <row r="1561" spans="1:21">
      <c r="A1561" t="s">
        <v>953</v>
      </c>
      <c r="B1561" t="s">
        <v>7234</v>
      </c>
      <c r="C1561" t="s">
        <v>953</v>
      </c>
      <c r="D1561">
        <v>20512118</v>
      </c>
      <c r="E1561" t="s">
        <v>2245</v>
      </c>
      <c r="F1561" t="s">
        <v>984</v>
      </c>
      <c r="G1561" t="s">
        <v>2259</v>
      </c>
      <c r="H1561" t="s">
        <v>592</v>
      </c>
      <c r="J1561" s="519">
        <v>46140</v>
      </c>
      <c r="U1561" s="519">
        <v>46140</v>
      </c>
    </row>
    <row r="1562" spans="1:21">
      <c r="A1562" t="s">
        <v>953</v>
      </c>
      <c r="B1562" t="s">
        <v>7235</v>
      </c>
      <c r="C1562" t="s">
        <v>953</v>
      </c>
      <c r="D1562">
        <v>20511722</v>
      </c>
      <c r="E1562" t="s">
        <v>2245</v>
      </c>
      <c r="F1562" t="s">
        <v>984</v>
      </c>
      <c r="G1562" t="s">
        <v>2259</v>
      </c>
      <c r="H1562" t="s">
        <v>592</v>
      </c>
      <c r="J1562" s="519">
        <v>46140</v>
      </c>
      <c r="U1562" s="519">
        <v>46140</v>
      </c>
    </row>
    <row r="1563" spans="1:21">
      <c r="A1563" t="s">
        <v>953</v>
      </c>
      <c r="B1563" t="s">
        <v>2680</v>
      </c>
      <c r="C1563" t="s">
        <v>953</v>
      </c>
      <c r="D1563">
        <v>20453023</v>
      </c>
      <c r="E1563" t="s">
        <v>2258</v>
      </c>
      <c r="F1563" t="s">
        <v>581</v>
      </c>
      <c r="G1563" t="s">
        <v>2259</v>
      </c>
      <c r="H1563" t="s">
        <v>2388</v>
      </c>
      <c r="J1563" s="519">
        <v>46072</v>
      </c>
      <c r="R1563" s="519">
        <v>46114</v>
      </c>
      <c r="U1563" s="519">
        <v>46072</v>
      </c>
    </row>
    <row r="1564" spans="1:21">
      <c r="A1564" t="s">
        <v>953</v>
      </c>
      <c r="B1564" t="s">
        <v>3720</v>
      </c>
      <c r="C1564" t="s">
        <v>953</v>
      </c>
      <c r="D1564">
        <v>20487896</v>
      </c>
      <c r="E1564" t="s">
        <v>2258</v>
      </c>
      <c r="F1564" t="s">
        <v>984</v>
      </c>
      <c r="G1564" t="s">
        <v>2259</v>
      </c>
      <c r="H1564" t="s">
        <v>593</v>
      </c>
      <c r="J1564" s="519">
        <v>46118</v>
      </c>
      <c r="R1564" s="519">
        <v>46139</v>
      </c>
      <c r="U1564" s="519">
        <v>46118</v>
      </c>
    </row>
    <row r="1565" spans="1:21">
      <c r="A1565" t="s">
        <v>953</v>
      </c>
      <c r="B1565" t="s">
        <v>3721</v>
      </c>
      <c r="C1565" t="s">
        <v>953</v>
      </c>
      <c r="D1565">
        <v>20414452</v>
      </c>
      <c r="E1565" t="s">
        <v>2258</v>
      </c>
      <c r="F1565" t="s">
        <v>581</v>
      </c>
      <c r="G1565" t="s">
        <v>2259</v>
      </c>
      <c r="H1565" t="s">
        <v>587</v>
      </c>
      <c r="J1565" s="519">
        <v>46020</v>
      </c>
      <c r="R1565" s="519">
        <v>46114</v>
      </c>
      <c r="U1565" s="519">
        <v>46020</v>
      </c>
    </row>
    <row r="1566" spans="1:21">
      <c r="A1566" t="s">
        <v>953</v>
      </c>
      <c r="B1566" t="s">
        <v>7236</v>
      </c>
      <c r="C1566" t="s">
        <v>953</v>
      </c>
      <c r="D1566">
        <v>20510767</v>
      </c>
      <c r="E1566" t="s">
        <v>2245</v>
      </c>
      <c r="F1566" t="s">
        <v>984</v>
      </c>
      <c r="G1566" t="s">
        <v>2259</v>
      </c>
      <c r="H1566" t="s">
        <v>3138</v>
      </c>
      <c r="J1566" s="519">
        <v>46139</v>
      </c>
      <c r="U1566" s="519">
        <v>46139</v>
      </c>
    </row>
    <row r="1567" spans="1:21">
      <c r="A1567" t="s">
        <v>953</v>
      </c>
      <c r="B1567" t="s">
        <v>3722</v>
      </c>
      <c r="C1567" t="s">
        <v>953</v>
      </c>
      <c r="D1567">
        <v>20435875</v>
      </c>
      <c r="E1567" t="s">
        <v>2258</v>
      </c>
      <c r="F1567" t="s">
        <v>984</v>
      </c>
      <c r="G1567" t="s">
        <v>2259</v>
      </c>
      <c r="H1567" t="s">
        <v>592</v>
      </c>
      <c r="J1567" s="519">
        <v>46049</v>
      </c>
      <c r="R1567" s="519">
        <v>46114</v>
      </c>
      <c r="U1567" s="519">
        <v>46049</v>
      </c>
    </row>
    <row r="1568" spans="1:21">
      <c r="A1568" t="s">
        <v>953</v>
      </c>
      <c r="B1568" t="s">
        <v>7237</v>
      </c>
      <c r="C1568" t="s">
        <v>953</v>
      </c>
      <c r="D1568">
        <v>20508891</v>
      </c>
      <c r="E1568" t="s">
        <v>2245</v>
      </c>
      <c r="F1568" t="s">
        <v>581</v>
      </c>
      <c r="G1568" t="s">
        <v>2259</v>
      </c>
      <c r="H1568" t="s">
        <v>593</v>
      </c>
      <c r="J1568" s="519">
        <v>46136</v>
      </c>
      <c r="U1568" s="519">
        <v>46136</v>
      </c>
    </row>
    <row r="1569" spans="1:21">
      <c r="A1569" t="s">
        <v>953</v>
      </c>
      <c r="B1569" t="s">
        <v>3723</v>
      </c>
      <c r="C1569" t="s">
        <v>953</v>
      </c>
      <c r="D1569">
        <v>20418293</v>
      </c>
      <c r="E1569" t="s">
        <v>2258</v>
      </c>
      <c r="F1569" t="s">
        <v>581</v>
      </c>
      <c r="G1569" t="s">
        <v>2259</v>
      </c>
      <c r="H1569" t="s">
        <v>592</v>
      </c>
      <c r="J1569" s="519">
        <v>46027</v>
      </c>
      <c r="R1569" s="519">
        <v>46114</v>
      </c>
      <c r="U1569" s="519">
        <v>46027</v>
      </c>
    </row>
    <row r="1570" spans="1:21">
      <c r="A1570" t="s">
        <v>953</v>
      </c>
      <c r="B1570" t="s">
        <v>2681</v>
      </c>
      <c r="C1570" t="s">
        <v>953</v>
      </c>
      <c r="D1570">
        <v>20453025</v>
      </c>
      <c r="E1570" t="s">
        <v>2258</v>
      </c>
      <c r="F1570" t="s">
        <v>581</v>
      </c>
      <c r="G1570" t="s">
        <v>2259</v>
      </c>
      <c r="H1570" t="s">
        <v>592</v>
      </c>
      <c r="J1570" s="519">
        <v>46072</v>
      </c>
      <c r="R1570" s="519">
        <v>46114</v>
      </c>
      <c r="U1570" s="519">
        <v>46082</v>
      </c>
    </row>
    <row r="1571" spans="1:21">
      <c r="A1571" t="s">
        <v>953</v>
      </c>
      <c r="B1571" t="s">
        <v>3724</v>
      </c>
      <c r="C1571" t="s">
        <v>953</v>
      </c>
      <c r="D1571">
        <v>20438331</v>
      </c>
      <c r="E1571" t="s">
        <v>2258</v>
      </c>
      <c r="F1571" t="s">
        <v>984</v>
      </c>
      <c r="G1571" t="s">
        <v>2259</v>
      </c>
      <c r="H1571" t="s">
        <v>593</v>
      </c>
      <c r="J1571" s="519">
        <v>46053</v>
      </c>
      <c r="R1571" s="519">
        <v>46114</v>
      </c>
      <c r="U1571" s="519">
        <v>46082</v>
      </c>
    </row>
    <row r="1572" spans="1:21">
      <c r="A1572" t="s">
        <v>953</v>
      </c>
      <c r="B1572" t="s">
        <v>2682</v>
      </c>
      <c r="C1572" t="s">
        <v>953</v>
      </c>
      <c r="D1572">
        <v>20450578</v>
      </c>
      <c r="E1572" t="s">
        <v>2258</v>
      </c>
      <c r="F1572" t="s">
        <v>984</v>
      </c>
      <c r="G1572" t="s">
        <v>2259</v>
      </c>
      <c r="H1572" t="s">
        <v>2388</v>
      </c>
      <c r="J1572" s="519">
        <v>46070</v>
      </c>
      <c r="R1572" s="519">
        <v>46114</v>
      </c>
      <c r="U1572" s="519">
        <v>46173</v>
      </c>
    </row>
    <row r="1573" spans="1:21">
      <c r="A1573" t="s">
        <v>953</v>
      </c>
      <c r="B1573" t="s">
        <v>3725</v>
      </c>
      <c r="C1573" t="s">
        <v>953</v>
      </c>
      <c r="D1573">
        <v>20412289</v>
      </c>
      <c r="E1573" t="s">
        <v>2258</v>
      </c>
      <c r="F1573" t="s">
        <v>581</v>
      </c>
      <c r="G1573" t="s">
        <v>2259</v>
      </c>
      <c r="H1573" t="s">
        <v>592</v>
      </c>
      <c r="J1573" s="519">
        <v>46015</v>
      </c>
      <c r="R1573" s="519">
        <v>46114</v>
      </c>
      <c r="U1573" s="519">
        <v>46015</v>
      </c>
    </row>
    <row r="1574" spans="1:21">
      <c r="A1574" t="s">
        <v>953</v>
      </c>
      <c r="B1574" t="s">
        <v>2683</v>
      </c>
      <c r="C1574" t="s">
        <v>953</v>
      </c>
      <c r="D1574">
        <v>20451966</v>
      </c>
      <c r="E1574" t="s">
        <v>2258</v>
      </c>
      <c r="F1574" t="s">
        <v>577</v>
      </c>
      <c r="G1574" t="s">
        <v>2259</v>
      </c>
      <c r="H1574" t="s">
        <v>2388</v>
      </c>
      <c r="J1574" s="519">
        <v>46071</v>
      </c>
      <c r="R1574" s="519">
        <v>46114</v>
      </c>
      <c r="U1574" s="519">
        <v>46071</v>
      </c>
    </row>
    <row r="1575" spans="1:21">
      <c r="A1575" t="s">
        <v>953</v>
      </c>
      <c r="B1575" t="s">
        <v>3182</v>
      </c>
      <c r="C1575" t="s">
        <v>953</v>
      </c>
      <c r="D1575">
        <v>20465252</v>
      </c>
      <c r="E1575" t="s">
        <v>2258</v>
      </c>
      <c r="F1575" t="s">
        <v>581</v>
      </c>
      <c r="G1575" t="s">
        <v>2259</v>
      </c>
      <c r="H1575" t="s">
        <v>593</v>
      </c>
      <c r="I1575" t="s">
        <v>1798</v>
      </c>
      <c r="J1575" s="519">
        <v>46090</v>
      </c>
      <c r="R1575" s="519">
        <v>46114</v>
      </c>
      <c r="U1575" s="519">
        <v>46115</v>
      </c>
    </row>
    <row r="1576" spans="1:21">
      <c r="A1576" t="s">
        <v>953</v>
      </c>
      <c r="B1576" t="s">
        <v>3726</v>
      </c>
      <c r="C1576" t="s">
        <v>953</v>
      </c>
      <c r="D1576">
        <v>20486520</v>
      </c>
      <c r="E1576" t="s">
        <v>2258</v>
      </c>
      <c r="F1576" t="s">
        <v>984</v>
      </c>
      <c r="G1576" t="s">
        <v>2259</v>
      </c>
      <c r="H1576" t="s">
        <v>3138</v>
      </c>
      <c r="J1576" s="519">
        <v>46115</v>
      </c>
      <c r="R1576" s="519">
        <v>46115</v>
      </c>
      <c r="U1576" s="519">
        <v>46115</v>
      </c>
    </row>
    <row r="1577" spans="1:21">
      <c r="A1577" t="s">
        <v>953</v>
      </c>
      <c r="B1577" t="s">
        <v>3727</v>
      </c>
      <c r="C1577" t="s">
        <v>953</v>
      </c>
      <c r="D1577">
        <v>20435291</v>
      </c>
      <c r="E1577" t="s">
        <v>2258</v>
      </c>
      <c r="F1577" t="s">
        <v>578</v>
      </c>
      <c r="G1577" t="s">
        <v>2259</v>
      </c>
      <c r="H1577" t="s">
        <v>593</v>
      </c>
      <c r="J1577" s="519">
        <v>46048</v>
      </c>
      <c r="R1577" s="519">
        <v>46114</v>
      </c>
      <c r="U1577" s="519">
        <v>46048</v>
      </c>
    </row>
    <row r="1578" spans="1:21">
      <c r="A1578" t="s">
        <v>953</v>
      </c>
      <c r="B1578" t="s">
        <v>3728</v>
      </c>
      <c r="C1578" t="s">
        <v>953</v>
      </c>
      <c r="D1578">
        <v>20437863</v>
      </c>
      <c r="E1578" t="s">
        <v>2258</v>
      </c>
      <c r="F1578" t="s">
        <v>984</v>
      </c>
      <c r="G1578" t="s">
        <v>2259</v>
      </c>
      <c r="H1578" t="s">
        <v>593</v>
      </c>
      <c r="J1578" s="519">
        <v>46052</v>
      </c>
      <c r="R1578" s="519">
        <v>46114</v>
      </c>
      <c r="U1578" s="519">
        <v>46052</v>
      </c>
    </row>
    <row r="1579" spans="1:21">
      <c r="A1579" t="s">
        <v>953</v>
      </c>
      <c r="B1579" t="s">
        <v>2685</v>
      </c>
      <c r="C1579" t="s">
        <v>953</v>
      </c>
      <c r="D1579">
        <v>20454892</v>
      </c>
      <c r="E1579" t="s">
        <v>2258</v>
      </c>
      <c r="F1579" t="s">
        <v>581</v>
      </c>
      <c r="G1579" t="s">
        <v>2259</v>
      </c>
      <c r="H1579" t="s">
        <v>2388</v>
      </c>
      <c r="J1579" s="519">
        <v>46074</v>
      </c>
      <c r="R1579" s="519">
        <v>46114</v>
      </c>
      <c r="U1579" s="519">
        <v>46157</v>
      </c>
    </row>
    <row r="1580" spans="1:21">
      <c r="A1580" t="s">
        <v>953</v>
      </c>
      <c r="B1580" t="s">
        <v>7238</v>
      </c>
      <c r="C1580" t="s">
        <v>953</v>
      </c>
      <c r="D1580">
        <v>20496409</v>
      </c>
      <c r="E1580" t="s">
        <v>2245</v>
      </c>
      <c r="F1580" t="s">
        <v>581</v>
      </c>
      <c r="G1580" t="s">
        <v>2259</v>
      </c>
      <c r="H1580" t="s">
        <v>2388</v>
      </c>
      <c r="J1580" s="519">
        <v>46127</v>
      </c>
      <c r="U1580" s="519">
        <v>46127</v>
      </c>
    </row>
    <row r="1581" spans="1:21">
      <c r="A1581" t="s">
        <v>953</v>
      </c>
      <c r="B1581" t="s">
        <v>7239</v>
      </c>
      <c r="C1581" t="s">
        <v>953</v>
      </c>
      <c r="D1581">
        <v>20494764</v>
      </c>
      <c r="E1581" t="s">
        <v>2258</v>
      </c>
      <c r="F1581" t="s">
        <v>984</v>
      </c>
      <c r="G1581" t="s">
        <v>2259</v>
      </c>
      <c r="H1581" t="s">
        <v>2388</v>
      </c>
      <c r="J1581" s="519">
        <v>46126</v>
      </c>
      <c r="R1581" s="519">
        <v>46139</v>
      </c>
      <c r="U1581" s="519">
        <v>46126</v>
      </c>
    </row>
    <row r="1582" spans="1:21">
      <c r="A1582" t="s">
        <v>953</v>
      </c>
      <c r="B1582" t="s">
        <v>3729</v>
      </c>
      <c r="C1582" t="s">
        <v>953</v>
      </c>
      <c r="D1582">
        <v>20420811</v>
      </c>
      <c r="E1582" t="s">
        <v>2258</v>
      </c>
      <c r="F1582" t="s">
        <v>581</v>
      </c>
      <c r="G1582" t="s">
        <v>2259</v>
      </c>
      <c r="H1582" t="s">
        <v>2388</v>
      </c>
      <c r="J1582" s="519">
        <v>46030</v>
      </c>
      <c r="R1582" s="519">
        <v>46115</v>
      </c>
      <c r="U1582" s="519">
        <v>46030</v>
      </c>
    </row>
    <row r="1583" spans="1:21">
      <c r="A1583" t="s">
        <v>953</v>
      </c>
      <c r="B1583" t="s">
        <v>7240</v>
      </c>
      <c r="C1583" t="s">
        <v>953</v>
      </c>
      <c r="D1583">
        <v>20504719</v>
      </c>
      <c r="E1583" t="s">
        <v>2245</v>
      </c>
      <c r="F1583" t="s">
        <v>984</v>
      </c>
      <c r="G1583" t="s">
        <v>2259</v>
      </c>
      <c r="H1583" t="s">
        <v>587</v>
      </c>
      <c r="J1583" s="519">
        <v>46133</v>
      </c>
      <c r="U1583" s="519">
        <v>46133</v>
      </c>
    </row>
    <row r="1584" spans="1:21">
      <c r="A1584" t="s">
        <v>953</v>
      </c>
      <c r="B1584" t="s">
        <v>3183</v>
      </c>
      <c r="C1584" t="s">
        <v>953</v>
      </c>
      <c r="D1584">
        <v>20476117</v>
      </c>
      <c r="E1584" t="s">
        <v>2258</v>
      </c>
      <c r="F1584" t="s">
        <v>581</v>
      </c>
      <c r="G1584" t="s">
        <v>2259</v>
      </c>
      <c r="H1584" t="s">
        <v>593</v>
      </c>
      <c r="I1584" t="s">
        <v>1156</v>
      </c>
      <c r="J1584" s="519">
        <v>46100</v>
      </c>
      <c r="R1584" s="519">
        <v>46139</v>
      </c>
      <c r="U1584" s="519">
        <v>46100</v>
      </c>
    </row>
    <row r="1585" spans="1:21">
      <c r="A1585" t="s">
        <v>953</v>
      </c>
      <c r="B1585" t="s">
        <v>3183</v>
      </c>
      <c r="C1585" t="s">
        <v>953</v>
      </c>
      <c r="D1585">
        <v>20503968</v>
      </c>
      <c r="E1585" t="s">
        <v>2245</v>
      </c>
      <c r="F1585" t="s">
        <v>581</v>
      </c>
      <c r="G1585" t="s">
        <v>2259</v>
      </c>
      <c r="H1585" t="s">
        <v>593</v>
      </c>
      <c r="J1585" s="519">
        <v>46132</v>
      </c>
      <c r="U1585" s="519">
        <v>46132</v>
      </c>
    </row>
    <row r="1586" spans="1:21">
      <c r="A1586" t="s">
        <v>953</v>
      </c>
      <c r="B1586" t="s">
        <v>2686</v>
      </c>
      <c r="C1586" t="s">
        <v>953</v>
      </c>
      <c r="D1586">
        <v>20453026</v>
      </c>
      <c r="E1586" t="s">
        <v>2258</v>
      </c>
      <c r="F1586" t="s">
        <v>581</v>
      </c>
      <c r="G1586" t="s">
        <v>2259</v>
      </c>
      <c r="H1586" t="s">
        <v>593</v>
      </c>
      <c r="J1586" s="519">
        <v>46072</v>
      </c>
      <c r="R1586" s="519">
        <v>46114</v>
      </c>
      <c r="U1586" s="519">
        <v>46094</v>
      </c>
    </row>
    <row r="1587" spans="1:21">
      <c r="A1587" t="s">
        <v>953</v>
      </c>
      <c r="B1587" t="s">
        <v>3730</v>
      </c>
      <c r="C1587" t="s">
        <v>953</v>
      </c>
      <c r="D1587">
        <v>20486702</v>
      </c>
      <c r="E1587" t="s">
        <v>2258</v>
      </c>
      <c r="F1587" t="s">
        <v>581</v>
      </c>
      <c r="G1587" t="s">
        <v>2259</v>
      </c>
      <c r="H1587" t="s">
        <v>592</v>
      </c>
      <c r="I1587" t="s">
        <v>1156</v>
      </c>
      <c r="J1587" s="519">
        <v>46115</v>
      </c>
      <c r="R1587" s="519">
        <v>46139</v>
      </c>
      <c r="U1587" s="519">
        <v>46115</v>
      </c>
    </row>
    <row r="1588" spans="1:21">
      <c r="A1588" t="s">
        <v>953</v>
      </c>
      <c r="B1588" t="s">
        <v>3731</v>
      </c>
      <c r="C1588" t="s">
        <v>953</v>
      </c>
      <c r="D1588">
        <v>20437599</v>
      </c>
      <c r="E1588" t="s">
        <v>2258</v>
      </c>
      <c r="F1588" t="s">
        <v>578</v>
      </c>
      <c r="G1588" t="s">
        <v>2259</v>
      </c>
      <c r="H1588" t="s">
        <v>2388</v>
      </c>
      <c r="J1588" s="519">
        <v>46052</v>
      </c>
      <c r="R1588" s="519">
        <v>46114</v>
      </c>
      <c r="U1588" s="519">
        <v>46052</v>
      </c>
    </row>
    <row r="1589" spans="1:21">
      <c r="A1589" t="s">
        <v>953</v>
      </c>
      <c r="B1589" t="s">
        <v>3731</v>
      </c>
      <c r="C1589" t="s">
        <v>953</v>
      </c>
      <c r="D1589">
        <v>20488306</v>
      </c>
      <c r="E1589" t="s">
        <v>2258</v>
      </c>
      <c r="F1589" t="s">
        <v>581</v>
      </c>
      <c r="G1589" t="s">
        <v>2246</v>
      </c>
      <c r="H1589" t="s">
        <v>591</v>
      </c>
      <c r="J1589" s="519">
        <v>46118</v>
      </c>
      <c r="R1589" s="519">
        <v>46139</v>
      </c>
      <c r="U1589" s="519">
        <v>46118</v>
      </c>
    </row>
    <row r="1590" spans="1:21">
      <c r="A1590" t="s">
        <v>953</v>
      </c>
      <c r="B1590" t="s">
        <v>3184</v>
      </c>
      <c r="C1590" t="s">
        <v>953</v>
      </c>
      <c r="D1590">
        <v>20461132</v>
      </c>
      <c r="E1590" t="s">
        <v>2258</v>
      </c>
      <c r="F1590" t="s">
        <v>984</v>
      </c>
      <c r="G1590" t="s">
        <v>2259</v>
      </c>
      <c r="H1590" t="s">
        <v>2388</v>
      </c>
      <c r="J1590" s="519">
        <v>46084</v>
      </c>
      <c r="R1590" s="519">
        <v>46114</v>
      </c>
      <c r="U1590" s="519">
        <v>46084</v>
      </c>
    </row>
    <row r="1591" spans="1:21">
      <c r="A1591" t="s">
        <v>953</v>
      </c>
      <c r="B1591" t="s">
        <v>3185</v>
      </c>
      <c r="C1591" t="s">
        <v>953</v>
      </c>
      <c r="D1591">
        <v>20462200</v>
      </c>
      <c r="E1591" t="s">
        <v>2258</v>
      </c>
      <c r="F1591" t="s">
        <v>984</v>
      </c>
      <c r="G1591" t="s">
        <v>2259</v>
      </c>
      <c r="H1591" t="s">
        <v>592</v>
      </c>
      <c r="J1591" s="519">
        <v>46085</v>
      </c>
      <c r="R1591" s="519">
        <v>46114</v>
      </c>
      <c r="U1591" s="519">
        <v>46099</v>
      </c>
    </row>
    <row r="1592" spans="1:21">
      <c r="A1592" t="s">
        <v>953</v>
      </c>
      <c r="B1592" t="s">
        <v>3186</v>
      </c>
      <c r="C1592" t="s">
        <v>953</v>
      </c>
      <c r="D1592">
        <v>20463777</v>
      </c>
      <c r="E1592" t="s">
        <v>2258</v>
      </c>
      <c r="F1592" t="s">
        <v>984</v>
      </c>
      <c r="G1592" t="s">
        <v>2259</v>
      </c>
      <c r="H1592" t="s">
        <v>3138</v>
      </c>
      <c r="J1592" s="519">
        <v>46087</v>
      </c>
      <c r="R1592" s="519">
        <v>46114</v>
      </c>
      <c r="U1592" s="519">
        <v>46087</v>
      </c>
    </row>
    <row r="1593" spans="1:21">
      <c r="A1593" t="s">
        <v>953</v>
      </c>
      <c r="B1593" t="s">
        <v>7241</v>
      </c>
      <c r="C1593" t="s">
        <v>953</v>
      </c>
      <c r="D1593">
        <v>20498645</v>
      </c>
      <c r="E1593" t="s">
        <v>2258</v>
      </c>
      <c r="F1593" t="s">
        <v>581</v>
      </c>
      <c r="G1593" t="s">
        <v>1213</v>
      </c>
      <c r="H1593" t="s">
        <v>587</v>
      </c>
      <c r="J1593" s="519">
        <v>46128</v>
      </c>
      <c r="R1593" s="519">
        <v>46139</v>
      </c>
      <c r="U1593" s="519">
        <v>46162</v>
      </c>
    </row>
    <row r="1594" spans="1:21">
      <c r="A1594" t="s">
        <v>953</v>
      </c>
      <c r="B1594" t="s">
        <v>3732</v>
      </c>
      <c r="C1594" t="s">
        <v>953</v>
      </c>
      <c r="D1594">
        <v>20421141</v>
      </c>
      <c r="E1594" t="s">
        <v>2258</v>
      </c>
      <c r="F1594" t="s">
        <v>578</v>
      </c>
      <c r="G1594" t="s">
        <v>2259</v>
      </c>
      <c r="H1594" t="s">
        <v>593</v>
      </c>
      <c r="J1594" s="519">
        <v>46030</v>
      </c>
      <c r="R1594" s="519">
        <v>46114</v>
      </c>
      <c r="U1594" s="519">
        <v>46053</v>
      </c>
    </row>
    <row r="1595" spans="1:21">
      <c r="A1595" t="s">
        <v>953</v>
      </c>
      <c r="B1595" t="s">
        <v>3733</v>
      </c>
      <c r="C1595" t="s">
        <v>953</v>
      </c>
      <c r="D1595">
        <v>20430442</v>
      </c>
      <c r="E1595" t="s">
        <v>2258</v>
      </c>
      <c r="F1595" t="s">
        <v>984</v>
      </c>
      <c r="G1595" t="s">
        <v>2259</v>
      </c>
      <c r="H1595" t="s">
        <v>593</v>
      </c>
      <c r="J1595" s="519">
        <v>46041</v>
      </c>
      <c r="R1595" s="519">
        <v>46114</v>
      </c>
      <c r="U1595" s="519">
        <v>46082</v>
      </c>
    </row>
    <row r="1596" spans="1:21">
      <c r="A1596" t="s">
        <v>953</v>
      </c>
      <c r="B1596" t="s">
        <v>3734</v>
      </c>
      <c r="C1596" t="s">
        <v>953</v>
      </c>
      <c r="D1596">
        <v>20490846</v>
      </c>
      <c r="E1596" t="s">
        <v>2258</v>
      </c>
      <c r="F1596" t="s">
        <v>581</v>
      </c>
      <c r="G1596" t="s">
        <v>2259</v>
      </c>
      <c r="H1596" t="s">
        <v>593</v>
      </c>
      <c r="J1596" s="519">
        <v>46121</v>
      </c>
      <c r="R1596" s="519">
        <v>46139</v>
      </c>
      <c r="U1596" s="519">
        <v>46121</v>
      </c>
    </row>
    <row r="1597" spans="1:21">
      <c r="A1597" t="s">
        <v>953</v>
      </c>
      <c r="B1597" t="s">
        <v>3735</v>
      </c>
      <c r="C1597" t="s">
        <v>953</v>
      </c>
      <c r="D1597">
        <v>20437831</v>
      </c>
      <c r="E1597" t="s">
        <v>2258</v>
      </c>
      <c r="F1597" t="s">
        <v>578</v>
      </c>
      <c r="G1597" t="s">
        <v>2259</v>
      </c>
      <c r="H1597" t="s">
        <v>593</v>
      </c>
      <c r="J1597" s="519">
        <v>46052</v>
      </c>
      <c r="R1597" s="519">
        <v>46114</v>
      </c>
      <c r="U1597" s="519">
        <v>46052</v>
      </c>
    </row>
    <row r="1598" spans="1:21">
      <c r="A1598" t="s">
        <v>953</v>
      </c>
      <c r="B1598" t="s">
        <v>3187</v>
      </c>
      <c r="C1598" t="s">
        <v>953</v>
      </c>
      <c r="D1598">
        <v>20464182</v>
      </c>
      <c r="E1598" t="s">
        <v>2258</v>
      </c>
      <c r="F1598" t="s">
        <v>984</v>
      </c>
      <c r="G1598" t="s">
        <v>2259</v>
      </c>
      <c r="H1598" t="s">
        <v>593</v>
      </c>
      <c r="J1598" s="519">
        <v>46088</v>
      </c>
      <c r="R1598" s="519">
        <v>46114</v>
      </c>
      <c r="U1598" s="519">
        <v>46088</v>
      </c>
    </row>
    <row r="1599" spans="1:21">
      <c r="A1599" t="s">
        <v>953</v>
      </c>
      <c r="B1599" t="s">
        <v>7242</v>
      </c>
      <c r="C1599" t="s">
        <v>953</v>
      </c>
      <c r="D1599">
        <v>20509047</v>
      </c>
      <c r="E1599" t="s">
        <v>2245</v>
      </c>
      <c r="F1599" t="s">
        <v>581</v>
      </c>
      <c r="G1599" t="s">
        <v>2259</v>
      </c>
      <c r="H1599" t="s">
        <v>2388</v>
      </c>
      <c r="J1599" s="519">
        <v>46136</v>
      </c>
      <c r="U1599" s="519">
        <v>46136</v>
      </c>
    </row>
    <row r="1600" spans="1:21">
      <c r="A1600" t="s">
        <v>953</v>
      </c>
      <c r="B1600" t="s">
        <v>3188</v>
      </c>
      <c r="C1600" t="s">
        <v>953</v>
      </c>
      <c r="D1600">
        <v>20461471</v>
      </c>
      <c r="E1600" t="s">
        <v>2258</v>
      </c>
      <c r="F1600" t="s">
        <v>984</v>
      </c>
      <c r="G1600" t="s">
        <v>2259</v>
      </c>
      <c r="H1600" t="s">
        <v>592</v>
      </c>
      <c r="J1600" s="519">
        <v>46084</v>
      </c>
      <c r="R1600" s="519">
        <v>46114</v>
      </c>
      <c r="U1600" s="519">
        <v>46174</v>
      </c>
    </row>
    <row r="1601" spans="1:21">
      <c r="A1601" t="s">
        <v>953</v>
      </c>
      <c r="B1601" t="s">
        <v>2687</v>
      </c>
      <c r="C1601" t="s">
        <v>953</v>
      </c>
      <c r="D1601">
        <v>20439505</v>
      </c>
      <c r="E1601" t="s">
        <v>2258</v>
      </c>
      <c r="F1601" t="s">
        <v>984</v>
      </c>
      <c r="G1601" t="s">
        <v>2259</v>
      </c>
      <c r="H1601" t="s">
        <v>2388</v>
      </c>
      <c r="J1601" s="519">
        <v>46055</v>
      </c>
      <c r="R1601" s="519">
        <v>46114</v>
      </c>
      <c r="U1601" s="519">
        <v>46063</v>
      </c>
    </row>
    <row r="1602" spans="1:21">
      <c r="A1602" t="s">
        <v>953</v>
      </c>
      <c r="B1602" t="s">
        <v>7243</v>
      </c>
      <c r="C1602" t="s">
        <v>953</v>
      </c>
      <c r="D1602">
        <v>20504457</v>
      </c>
      <c r="E1602" t="s">
        <v>2245</v>
      </c>
      <c r="F1602" t="s">
        <v>984</v>
      </c>
      <c r="G1602" t="s">
        <v>2259</v>
      </c>
      <c r="H1602" t="s">
        <v>592</v>
      </c>
      <c r="J1602" s="519">
        <v>46133</v>
      </c>
      <c r="U1602" s="519">
        <v>46133</v>
      </c>
    </row>
    <row r="1603" spans="1:21">
      <c r="A1603" t="s">
        <v>953</v>
      </c>
      <c r="B1603" t="s">
        <v>7244</v>
      </c>
      <c r="C1603" t="s">
        <v>953</v>
      </c>
      <c r="D1603">
        <v>20507586</v>
      </c>
      <c r="E1603" t="s">
        <v>2245</v>
      </c>
      <c r="F1603" t="s">
        <v>984</v>
      </c>
      <c r="G1603" t="s">
        <v>2259</v>
      </c>
      <c r="H1603" t="s">
        <v>592</v>
      </c>
      <c r="J1603" s="519">
        <v>46135</v>
      </c>
      <c r="U1603" s="519">
        <v>46135</v>
      </c>
    </row>
    <row r="1604" spans="1:21">
      <c r="A1604" t="s">
        <v>953</v>
      </c>
      <c r="B1604" t="s">
        <v>7245</v>
      </c>
      <c r="C1604" t="s">
        <v>953</v>
      </c>
      <c r="D1604">
        <v>20495544</v>
      </c>
      <c r="E1604" t="s">
        <v>2258</v>
      </c>
      <c r="F1604" t="s">
        <v>581</v>
      </c>
      <c r="G1604" t="s">
        <v>2259</v>
      </c>
      <c r="H1604" t="s">
        <v>2388</v>
      </c>
      <c r="I1604" t="s">
        <v>2445</v>
      </c>
      <c r="J1604" s="519">
        <v>46127</v>
      </c>
      <c r="R1604" s="519">
        <v>46139</v>
      </c>
      <c r="U1604" s="519">
        <v>46127</v>
      </c>
    </row>
    <row r="1605" spans="1:21">
      <c r="A1605" t="s">
        <v>953</v>
      </c>
      <c r="B1605" t="s">
        <v>3736</v>
      </c>
      <c r="C1605" t="s">
        <v>953</v>
      </c>
      <c r="D1605">
        <v>20438631</v>
      </c>
      <c r="E1605" t="s">
        <v>2258</v>
      </c>
      <c r="F1605" t="s">
        <v>984</v>
      </c>
      <c r="G1605" t="s">
        <v>2259</v>
      </c>
      <c r="H1605" t="s">
        <v>2388</v>
      </c>
      <c r="J1605" s="519">
        <v>46053</v>
      </c>
      <c r="R1605" s="519">
        <v>46114</v>
      </c>
      <c r="U1605" s="519">
        <v>46143</v>
      </c>
    </row>
    <row r="1606" spans="1:21">
      <c r="A1606" t="s">
        <v>953</v>
      </c>
      <c r="B1606" t="s">
        <v>3736</v>
      </c>
      <c r="C1606" t="s">
        <v>953</v>
      </c>
      <c r="D1606">
        <v>20438120</v>
      </c>
      <c r="E1606" t="s">
        <v>2258</v>
      </c>
      <c r="F1606" t="s">
        <v>984</v>
      </c>
      <c r="G1606" t="s">
        <v>2259</v>
      </c>
      <c r="H1606" t="s">
        <v>593</v>
      </c>
      <c r="J1606" s="519">
        <v>46052</v>
      </c>
      <c r="R1606" s="519">
        <v>46114</v>
      </c>
      <c r="U1606" s="519">
        <v>46052</v>
      </c>
    </row>
    <row r="1607" spans="1:21">
      <c r="A1607" t="s">
        <v>953</v>
      </c>
      <c r="B1607" t="s">
        <v>3737</v>
      </c>
      <c r="C1607" t="s">
        <v>953</v>
      </c>
      <c r="D1607">
        <v>20493541</v>
      </c>
      <c r="E1607" t="s">
        <v>2258</v>
      </c>
      <c r="F1607" t="s">
        <v>984</v>
      </c>
      <c r="G1607" t="s">
        <v>2259</v>
      </c>
      <c r="H1607" t="s">
        <v>592</v>
      </c>
      <c r="J1607" s="519">
        <v>46125</v>
      </c>
      <c r="R1607" s="519">
        <v>46139</v>
      </c>
      <c r="U1607" s="519">
        <v>46125</v>
      </c>
    </row>
    <row r="1608" spans="1:21">
      <c r="A1608" t="s">
        <v>953</v>
      </c>
      <c r="B1608" t="s">
        <v>2689</v>
      </c>
      <c r="C1608" t="s">
        <v>953</v>
      </c>
      <c r="D1608">
        <v>20459657</v>
      </c>
      <c r="E1608" t="s">
        <v>2258</v>
      </c>
      <c r="F1608" t="s">
        <v>984</v>
      </c>
      <c r="G1608" t="s">
        <v>2259</v>
      </c>
      <c r="H1608" t="s">
        <v>593</v>
      </c>
      <c r="J1608" s="519">
        <v>46081</v>
      </c>
      <c r="R1608" s="519">
        <v>46114</v>
      </c>
      <c r="U1608" s="519">
        <v>46113</v>
      </c>
    </row>
    <row r="1609" spans="1:21">
      <c r="A1609" t="s">
        <v>953</v>
      </c>
      <c r="B1609" t="s">
        <v>2690</v>
      </c>
      <c r="C1609" t="s">
        <v>953</v>
      </c>
      <c r="D1609">
        <v>20441105</v>
      </c>
      <c r="E1609" t="s">
        <v>2258</v>
      </c>
      <c r="F1609" t="s">
        <v>984</v>
      </c>
      <c r="G1609" t="s">
        <v>2259</v>
      </c>
      <c r="H1609" t="s">
        <v>2388</v>
      </c>
      <c r="J1609" s="519">
        <v>46057</v>
      </c>
      <c r="R1609" s="519">
        <v>46114</v>
      </c>
      <c r="U1609" s="519">
        <v>46057</v>
      </c>
    </row>
    <row r="1610" spans="1:21">
      <c r="A1610" t="s">
        <v>953</v>
      </c>
      <c r="B1610" t="s">
        <v>2691</v>
      </c>
      <c r="C1610" t="s">
        <v>953</v>
      </c>
      <c r="D1610">
        <v>20457414</v>
      </c>
      <c r="E1610" t="s">
        <v>2258</v>
      </c>
      <c r="F1610" t="s">
        <v>984</v>
      </c>
      <c r="G1610" t="s">
        <v>2259</v>
      </c>
      <c r="H1610" t="s">
        <v>593</v>
      </c>
      <c r="J1610" s="519">
        <v>46078</v>
      </c>
      <c r="R1610" s="519">
        <v>46114</v>
      </c>
      <c r="U1610" s="519">
        <v>46078</v>
      </c>
    </row>
    <row r="1611" spans="1:21">
      <c r="A1611" t="s">
        <v>953</v>
      </c>
      <c r="B1611" t="s">
        <v>3738</v>
      </c>
      <c r="C1611" t="s">
        <v>953</v>
      </c>
      <c r="D1611">
        <v>20424570</v>
      </c>
      <c r="E1611" t="s">
        <v>2258</v>
      </c>
      <c r="F1611" t="s">
        <v>581</v>
      </c>
      <c r="G1611" t="s">
        <v>2259</v>
      </c>
      <c r="H1611" t="s">
        <v>593</v>
      </c>
      <c r="J1611" s="519">
        <v>46035</v>
      </c>
      <c r="R1611" s="519">
        <v>46114</v>
      </c>
      <c r="U1611" s="519">
        <v>46035</v>
      </c>
    </row>
    <row r="1612" spans="1:21">
      <c r="A1612" t="s">
        <v>953</v>
      </c>
      <c r="B1612" t="s">
        <v>3739</v>
      </c>
      <c r="C1612" t="s">
        <v>953</v>
      </c>
      <c r="D1612">
        <v>20506980</v>
      </c>
      <c r="E1612" t="s">
        <v>2245</v>
      </c>
      <c r="F1612" t="s">
        <v>984</v>
      </c>
      <c r="G1612" t="s">
        <v>2259</v>
      </c>
      <c r="H1612" t="s">
        <v>593</v>
      </c>
      <c r="J1612" s="519">
        <v>46134</v>
      </c>
      <c r="U1612" s="519">
        <v>46134</v>
      </c>
    </row>
    <row r="1613" spans="1:21">
      <c r="A1613" t="s">
        <v>953</v>
      </c>
      <c r="B1613" t="s">
        <v>3739</v>
      </c>
      <c r="C1613" t="s">
        <v>953</v>
      </c>
      <c r="D1613">
        <v>20417254</v>
      </c>
      <c r="E1613" t="s">
        <v>2258</v>
      </c>
      <c r="F1613" t="s">
        <v>581</v>
      </c>
      <c r="G1613" t="s">
        <v>2259</v>
      </c>
      <c r="H1613" t="s">
        <v>587</v>
      </c>
      <c r="J1613" s="519">
        <v>46025</v>
      </c>
      <c r="R1613" s="519">
        <v>46114</v>
      </c>
      <c r="U1613" s="519">
        <v>46025</v>
      </c>
    </row>
    <row r="1614" spans="1:21">
      <c r="A1614" t="s">
        <v>953</v>
      </c>
      <c r="B1614" t="s">
        <v>3739</v>
      </c>
      <c r="C1614" t="s">
        <v>953</v>
      </c>
      <c r="D1614">
        <v>20497924</v>
      </c>
      <c r="E1614" t="s">
        <v>2258</v>
      </c>
      <c r="F1614" t="s">
        <v>581</v>
      </c>
      <c r="G1614" t="s">
        <v>2259</v>
      </c>
      <c r="H1614" t="s">
        <v>593</v>
      </c>
      <c r="J1614" s="519">
        <v>46128</v>
      </c>
      <c r="R1614" s="519">
        <v>46139</v>
      </c>
      <c r="U1614" s="519">
        <v>46128</v>
      </c>
    </row>
    <row r="1615" spans="1:21">
      <c r="A1615" t="s">
        <v>953</v>
      </c>
      <c r="B1615" t="s">
        <v>2692</v>
      </c>
      <c r="C1615" t="s">
        <v>953</v>
      </c>
      <c r="D1615">
        <v>20497374</v>
      </c>
      <c r="E1615" t="s">
        <v>2258</v>
      </c>
      <c r="F1615" t="s">
        <v>984</v>
      </c>
      <c r="G1615" t="s">
        <v>2259</v>
      </c>
      <c r="H1615" t="s">
        <v>2428</v>
      </c>
      <c r="J1615" s="519">
        <v>46128</v>
      </c>
      <c r="R1615" s="519">
        <v>46139</v>
      </c>
      <c r="U1615" s="519">
        <v>46128</v>
      </c>
    </row>
    <row r="1616" spans="1:21">
      <c r="A1616" t="s">
        <v>953</v>
      </c>
      <c r="B1616" t="s">
        <v>2692</v>
      </c>
      <c r="C1616" t="s">
        <v>953</v>
      </c>
      <c r="D1616">
        <v>20454149</v>
      </c>
      <c r="E1616" t="s">
        <v>2258</v>
      </c>
      <c r="F1616" t="s">
        <v>581</v>
      </c>
      <c r="G1616" t="s">
        <v>2259</v>
      </c>
      <c r="H1616" t="s">
        <v>592</v>
      </c>
      <c r="I1616" t="s">
        <v>1034</v>
      </c>
      <c r="J1616" s="519">
        <v>46073</v>
      </c>
      <c r="R1616" s="519">
        <v>46114</v>
      </c>
      <c r="U1616" s="519">
        <v>46082</v>
      </c>
    </row>
    <row r="1617" spans="1:21">
      <c r="A1617" t="s">
        <v>953</v>
      </c>
      <c r="B1617" t="s">
        <v>2692</v>
      </c>
      <c r="C1617" t="s">
        <v>953</v>
      </c>
      <c r="D1617">
        <v>20417531</v>
      </c>
      <c r="E1617" t="s">
        <v>2258</v>
      </c>
      <c r="F1617" t="s">
        <v>581</v>
      </c>
      <c r="G1617" t="s">
        <v>2259</v>
      </c>
      <c r="H1617" t="s">
        <v>587</v>
      </c>
      <c r="J1617" s="519">
        <v>46025</v>
      </c>
      <c r="R1617" s="519">
        <v>46114</v>
      </c>
      <c r="U1617" s="519">
        <v>46025</v>
      </c>
    </row>
    <row r="1618" spans="1:21">
      <c r="A1618" t="s">
        <v>953</v>
      </c>
      <c r="B1618" t="s">
        <v>2692</v>
      </c>
      <c r="C1618" t="s">
        <v>953</v>
      </c>
      <c r="D1618">
        <v>20507985</v>
      </c>
      <c r="E1618" t="s">
        <v>2245</v>
      </c>
      <c r="F1618" t="s">
        <v>984</v>
      </c>
      <c r="G1618" t="s">
        <v>2259</v>
      </c>
      <c r="H1618" t="s">
        <v>593</v>
      </c>
      <c r="J1618" s="519">
        <v>46135</v>
      </c>
      <c r="U1618" s="519">
        <v>46135</v>
      </c>
    </row>
    <row r="1619" spans="1:21">
      <c r="A1619" t="s">
        <v>953</v>
      </c>
      <c r="B1619" t="s">
        <v>2693</v>
      </c>
      <c r="C1619" t="s">
        <v>953</v>
      </c>
      <c r="D1619">
        <v>20454419</v>
      </c>
      <c r="E1619" t="s">
        <v>2258</v>
      </c>
      <c r="F1619" t="s">
        <v>581</v>
      </c>
      <c r="G1619" t="s">
        <v>2259</v>
      </c>
      <c r="H1619" t="s">
        <v>2388</v>
      </c>
      <c r="J1619" s="519">
        <v>46073</v>
      </c>
      <c r="R1619" s="519">
        <v>46114</v>
      </c>
      <c r="U1619" s="519">
        <v>46086</v>
      </c>
    </row>
    <row r="1620" spans="1:21">
      <c r="A1620" t="s">
        <v>953</v>
      </c>
      <c r="B1620" t="s">
        <v>2693</v>
      </c>
      <c r="C1620" t="s">
        <v>953</v>
      </c>
      <c r="D1620">
        <v>20431615</v>
      </c>
      <c r="E1620" t="s">
        <v>2258</v>
      </c>
      <c r="F1620" t="s">
        <v>581</v>
      </c>
      <c r="G1620" t="s">
        <v>2259</v>
      </c>
      <c r="H1620" t="s">
        <v>2388</v>
      </c>
      <c r="J1620" s="519">
        <v>46043</v>
      </c>
      <c r="R1620" s="519">
        <v>46114</v>
      </c>
      <c r="U1620" s="519">
        <v>46054</v>
      </c>
    </row>
    <row r="1621" spans="1:21">
      <c r="A1621" t="s">
        <v>953</v>
      </c>
      <c r="B1621" t="s">
        <v>2694</v>
      </c>
      <c r="C1621" t="s">
        <v>953</v>
      </c>
      <c r="D1621">
        <v>20442293</v>
      </c>
      <c r="E1621" t="s">
        <v>2258</v>
      </c>
      <c r="F1621" t="s">
        <v>581</v>
      </c>
      <c r="G1621" t="s">
        <v>2259</v>
      </c>
      <c r="H1621" t="s">
        <v>2388</v>
      </c>
      <c r="J1621" s="519">
        <v>46059</v>
      </c>
      <c r="R1621" s="519">
        <v>46114</v>
      </c>
      <c r="U1621" s="519">
        <v>46088</v>
      </c>
    </row>
    <row r="1622" spans="1:21">
      <c r="A1622" t="s">
        <v>953</v>
      </c>
      <c r="B1622" t="s">
        <v>2695</v>
      </c>
      <c r="C1622" t="s">
        <v>953</v>
      </c>
      <c r="D1622">
        <v>20459139</v>
      </c>
      <c r="E1622" t="s">
        <v>2258</v>
      </c>
      <c r="F1622" t="s">
        <v>984</v>
      </c>
      <c r="G1622" t="s">
        <v>2259</v>
      </c>
      <c r="H1622" t="s">
        <v>587</v>
      </c>
      <c r="J1622" s="519">
        <v>46080</v>
      </c>
      <c r="R1622" s="519">
        <v>46114</v>
      </c>
      <c r="U1622" s="519">
        <v>46080</v>
      </c>
    </row>
    <row r="1623" spans="1:21">
      <c r="A1623" t="s">
        <v>953</v>
      </c>
      <c r="B1623" t="s">
        <v>2696</v>
      </c>
      <c r="C1623" t="s">
        <v>953</v>
      </c>
      <c r="D1623">
        <v>20444303</v>
      </c>
      <c r="E1623" t="s">
        <v>2258</v>
      </c>
      <c r="F1623" t="s">
        <v>984</v>
      </c>
      <c r="G1623" t="s">
        <v>2259</v>
      </c>
      <c r="H1623" t="s">
        <v>2388</v>
      </c>
      <c r="J1623" s="519">
        <v>46063</v>
      </c>
      <c r="R1623" s="519">
        <v>46114</v>
      </c>
      <c r="U1623" s="519">
        <v>46063</v>
      </c>
    </row>
    <row r="1624" spans="1:21">
      <c r="A1624" t="s">
        <v>953</v>
      </c>
      <c r="B1624" t="s">
        <v>3740</v>
      </c>
      <c r="C1624" t="s">
        <v>953</v>
      </c>
      <c r="D1624">
        <v>20486673</v>
      </c>
      <c r="E1624" t="s">
        <v>2258</v>
      </c>
      <c r="F1624" t="s">
        <v>984</v>
      </c>
      <c r="G1624" t="s">
        <v>2259</v>
      </c>
      <c r="H1624" t="s">
        <v>2388</v>
      </c>
      <c r="J1624" s="519">
        <v>46115</v>
      </c>
      <c r="R1624" s="519">
        <v>46139</v>
      </c>
      <c r="U1624" s="519">
        <v>46115</v>
      </c>
    </row>
    <row r="1625" spans="1:21">
      <c r="A1625" t="s">
        <v>953</v>
      </c>
      <c r="B1625" t="s">
        <v>2697</v>
      </c>
      <c r="C1625" t="s">
        <v>953</v>
      </c>
      <c r="D1625">
        <v>20450558</v>
      </c>
      <c r="E1625" t="s">
        <v>2258</v>
      </c>
      <c r="F1625" t="s">
        <v>581</v>
      </c>
      <c r="G1625" t="s">
        <v>2259</v>
      </c>
      <c r="H1625" t="s">
        <v>592</v>
      </c>
      <c r="J1625" s="519">
        <v>46070</v>
      </c>
      <c r="R1625" s="519">
        <v>46114</v>
      </c>
      <c r="U1625" s="519">
        <v>46070</v>
      </c>
    </row>
    <row r="1626" spans="1:21">
      <c r="A1626" t="s">
        <v>953</v>
      </c>
      <c r="B1626" t="s">
        <v>2698</v>
      </c>
      <c r="C1626" t="s">
        <v>953</v>
      </c>
      <c r="D1626">
        <v>20454081</v>
      </c>
      <c r="E1626" t="s">
        <v>2258</v>
      </c>
      <c r="F1626" t="s">
        <v>581</v>
      </c>
      <c r="G1626" t="s">
        <v>2259</v>
      </c>
      <c r="H1626" t="s">
        <v>592</v>
      </c>
      <c r="J1626" s="519">
        <v>46073</v>
      </c>
      <c r="R1626" s="519">
        <v>46114</v>
      </c>
      <c r="U1626" s="519">
        <v>46094</v>
      </c>
    </row>
    <row r="1627" spans="1:21">
      <c r="A1627" t="s">
        <v>953</v>
      </c>
      <c r="B1627" t="s">
        <v>3189</v>
      </c>
      <c r="C1627" t="s">
        <v>953</v>
      </c>
      <c r="D1627">
        <v>20462146</v>
      </c>
      <c r="E1627" t="s">
        <v>2258</v>
      </c>
      <c r="F1627" t="s">
        <v>984</v>
      </c>
      <c r="G1627" t="s">
        <v>2259</v>
      </c>
      <c r="H1627" t="s">
        <v>593</v>
      </c>
      <c r="J1627" s="519">
        <v>46085</v>
      </c>
      <c r="R1627" s="519">
        <v>46114</v>
      </c>
      <c r="U1627" s="519">
        <v>46113</v>
      </c>
    </row>
    <row r="1628" spans="1:21">
      <c r="A1628" t="s">
        <v>953</v>
      </c>
      <c r="B1628" t="s">
        <v>7246</v>
      </c>
      <c r="C1628" t="s">
        <v>953</v>
      </c>
      <c r="D1628">
        <v>20503669</v>
      </c>
      <c r="E1628" t="s">
        <v>2245</v>
      </c>
      <c r="F1628" t="s">
        <v>984</v>
      </c>
      <c r="G1628" t="s">
        <v>2259</v>
      </c>
      <c r="H1628" t="s">
        <v>3138</v>
      </c>
      <c r="J1628" s="519">
        <v>46132</v>
      </c>
      <c r="U1628" s="519">
        <v>46132</v>
      </c>
    </row>
    <row r="1629" spans="1:21">
      <c r="A1629" t="s">
        <v>953</v>
      </c>
      <c r="B1629" t="s">
        <v>3741</v>
      </c>
      <c r="C1629" t="s">
        <v>953</v>
      </c>
      <c r="D1629">
        <v>20430938</v>
      </c>
      <c r="E1629" t="s">
        <v>2258</v>
      </c>
      <c r="F1629" t="s">
        <v>577</v>
      </c>
      <c r="G1629" t="s">
        <v>2259</v>
      </c>
      <c r="H1629" t="s">
        <v>2388</v>
      </c>
      <c r="J1629" s="519">
        <v>46042</v>
      </c>
      <c r="R1629" s="519">
        <v>46114</v>
      </c>
      <c r="U1629" s="519">
        <v>46042</v>
      </c>
    </row>
    <row r="1630" spans="1:21">
      <c r="A1630" t="s">
        <v>953</v>
      </c>
      <c r="B1630" t="s">
        <v>3190</v>
      </c>
      <c r="C1630" t="s">
        <v>953</v>
      </c>
      <c r="D1630">
        <v>20466417</v>
      </c>
      <c r="E1630" t="s">
        <v>2258</v>
      </c>
      <c r="F1630" t="s">
        <v>581</v>
      </c>
      <c r="G1630" t="s">
        <v>2248</v>
      </c>
      <c r="H1630" t="s">
        <v>587</v>
      </c>
      <c r="J1630" s="519">
        <v>46091</v>
      </c>
      <c r="R1630" s="519">
        <v>46114</v>
      </c>
      <c r="U1630" s="519">
        <v>46091</v>
      </c>
    </row>
    <row r="1631" spans="1:21">
      <c r="A1631" t="s">
        <v>953</v>
      </c>
      <c r="B1631" t="s">
        <v>7247</v>
      </c>
      <c r="C1631" t="s">
        <v>953</v>
      </c>
      <c r="D1631">
        <v>20511784</v>
      </c>
      <c r="E1631" t="s">
        <v>2245</v>
      </c>
      <c r="F1631" t="s">
        <v>581</v>
      </c>
      <c r="G1631" t="s">
        <v>2259</v>
      </c>
      <c r="H1631" t="s">
        <v>593</v>
      </c>
      <c r="J1631" s="519">
        <v>46140</v>
      </c>
      <c r="U1631" s="519">
        <v>46140</v>
      </c>
    </row>
    <row r="1632" spans="1:21">
      <c r="A1632" t="s">
        <v>953</v>
      </c>
      <c r="B1632" t="s">
        <v>3742</v>
      </c>
      <c r="C1632" t="s">
        <v>953</v>
      </c>
      <c r="D1632">
        <v>20486035</v>
      </c>
      <c r="E1632" t="s">
        <v>2258</v>
      </c>
      <c r="F1632" t="s">
        <v>984</v>
      </c>
      <c r="G1632" t="s">
        <v>2259</v>
      </c>
      <c r="H1632" t="s">
        <v>2388</v>
      </c>
      <c r="J1632" s="519">
        <v>46114</v>
      </c>
      <c r="R1632" s="519">
        <v>46114</v>
      </c>
      <c r="U1632" s="519">
        <v>46114</v>
      </c>
    </row>
    <row r="1633" spans="1:21">
      <c r="A1633" t="s">
        <v>953</v>
      </c>
      <c r="B1633" t="s">
        <v>3191</v>
      </c>
      <c r="C1633" t="s">
        <v>953</v>
      </c>
      <c r="D1633">
        <v>20465526</v>
      </c>
      <c r="E1633" t="s">
        <v>2258</v>
      </c>
      <c r="F1633" t="s">
        <v>984</v>
      </c>
      <c r="G1633" t="s">
        <v>2259</v>
      </c>
      <c r="H1633" t="s">
        <v>592</v>
      </c>
      <c r="J1633" s="519">
        <v>46090</v>
      </c>
      <c r="R1633" s="519">
        <v>46114</v>
      </c>
      <c r="U1633" s="519">
        <v>46113</v>
      </c>
    </row>
    <row r="1634" spans="1:21">
      <c r="A1634" t="s">
        <v>953</v>
      </c>
      <c r="B1634" t="s">
        <v>3192</v>
      </c>
      <c r="C1634" t="s">
        <v>953</v>
      </c>
      <c r="D1634">
        <v>20462888</v>
      </c>
      <c r="E1634" t="s">
        <v>2258</v>
      </c>
      <c r="F1634" t="s">
        <v>581</v>
      </c>
      <c r="G1634" t="s">
        <v>2259</v>
      </c>
      <c r="H1634" t="s">
        <v>592</v>
      </c>
      <c r="J1634" s="519">
        <v>46086</v>
      </c>
      <c r="R1634" s="519">
        <v>46114</v>
      </c>
      <c r="U1634" s="519">
        <v>46096</v>
      </c>
    </row>
    <row r="1635" spans="1:21">
      <c r="A1635" t="s">
        <v>953</v>
      </c>
      <c r="B1635" t="s">
        <v>3193</v>
      </c>
      <c r="C1635" t="s">
        <v>953</v>
      </c>
      <c r="D1635">
        <v>20471508</v>
      </c>
      <c r="E1635" t="s">
        <v>2258</v>
      </c>
      <c r="F1635" t="s">
        <v>581</v>
      </c>
      <c r="G1635" t="s">
        <v>2259</v>
      </c>
      <c r="H1635" t="s">
        <v>2388</v>
      </c>
      <c r="J1635" s="519">
        <v>46095</v>
      </c>
      <c r="R1635" s="519">
        <v>46114</v>
      </c>
      <c r="U1635" s="519">
        <v>46095</v>
      </c>
    </row>
    <row r="1636" spans="1:21">
      <c r="A1636" t="s">
        <v>953</v>
      </c>
      <c r="B1636" t="s">
        <v>3743</v>
      </c>
      <c r="C1636" t="s">
        <v>953</v>
      </c>
      <c r="D1636">
        <v>20416764</v>
      </c>
      <c r="E1636" t="s">
        <v>2258</v>
      </c>
      <c r="F1636" t="s">
        <v>581</v>
      </c>
      <c r="G1636" t="s">
        <v>2259</v>
      </c>
      <c r="H1636" t="s">
        <v>593</v>
      </c>
      <c r="J1636" s="519">
        <v>46024</v>
      </c>
      <c r="R1636" s="519">
        <v>46114</v>
      </c>
      <c r="U1636" s="519">
        <v>46082</v>
      </c>
    </row>
    <row r="1637" spans="1:21">
      <c r="A1637" t="s">
        <v>953</v>
      </c>
      <c r="B1637" t="s">
        <v>3194</v>
      </c>
      <c r="C1637" t="s">
        <v>953</v>
      </c>
      <c r="D1637">
        <v>20481265</v>
      </c>
      <c r="E1637" t="s">
        <v>2258</v>
      </c>
      <c r="F1637" t="s">
        <v>984</v>
      </c>
      <c r="G1637" t="s">
        <v>2259</v>
      </c>
      <c r="H1637" t="s">
        <v>592</v>
      </c>
      <c r="J1637" s="519">
        <v>46108</v>
      </c>
      <c r="R1637" s="519">
        <v>46116</v>
      </c>
      <c r="U1637" s="519">
        <v>46108</v>
      </c>
    </row>
    <row r="1638" spans="1:21">
      <c r="A1638" t="s">
        <v>953</v>
      </c>
      <c r="B1638" t="s">
        <v>2699</v>
      </c>
      <c r="C1638" t="s">
        <v>953</v>
      </c>
      <c r="D1638">
        <v>20454107</v>
      </c>
      <c r="E1638" t="s">
        <v>2258</v>
      </c>
      <c r="F1638" t="s">
        <v>581</v>
      </c>
      <c r="G1638" t="s">
        <v>2259</v>
      </c>
      <c r="H1638" t="s">
        <v>2428</v>
      </c>
      <c r="J1638" s="519">
        <v>46073</v>
      </c>
      <c r="R1638" s="519">
        <v>46114</v>
      </c>
      <c r="U1638" s="519">
        <v>46073</v>
      </c>
    </row>
    <row r="1639" spans="1:21">
      <c r="A1639" t="s">
        <v>953</v>
      </c>
      <c r="B1639" t="s">
        <v>3195</v>
      </c>
      <c r="C1639" t="s">
        <v>953</v>
      </c>
      <c r="D1639">
        <v>20474053</v>
      </c>
      <c r="E1639" t="s">
        <v>2258</v>
      </c>
      <c r="F1639" t="s">
        <v>581</v>
      </c>
      <c r="G1639" t="s">
        <v>2259</v>
      </c>
      <c r="H1639" t="s">
        <v>593</v>
      </c>
      <c r="J1639" s="519">
        <v>46098</v>
      </c>
      <c r="R1639" s="519">
        <v>46114</v>
      </c>
      <c r="U1639" s="519">
        <v>46098</v>
      </c>
    </row>
    <row r="1640" spans="1:21">
      <c r="A1640" t="s">
        <v>953</v>
      </c>
      <c r="B1640" t="s">
        <v>7248</v>
      </c>
      <c r="C1640" t="s">
        <v>953</v>
      </c>
      <c r="D1640">
        <v>20497888</v>
      </c>
      <c r="E1640" t="s">
        <v>2258</v>
      </c>
      <c r="F1640" t="s">
        <v>581</v>
      </c>
      <c r="G1640" t="s">
        <v>2259</v>
      </c>
      <c r="H1640" t="s">
        <v>2388</v>
      </c>
      <c r="J1640" s="519">
        <v>46128</v>
      </c>
      <c r="R1640" s="519">
        <v>46139</v>
      </c>
      <c r="U1640" s="519">
        <v>46128</v>
      </c>
    </row>
    <row r="1641" spans="1:21">
      <c r="A1641" t="s">
        <v>953</v>
      </c>
      <c r="B1641" t="s">
        <v>3196</v>
      </c>
      <c r="C1641" t="s">
        <v>953</v>
      </c>
      <c r="D1641">
        <v>20499020</v>
      </c>
      <c r="E1641" t="s">
        <v>2258</v>
      </c>
      <c r="F1641" t="s">
        <v>581</v>
      </c>
      <c r="G1641" t="s">
        <v>2259</v>
      </c>
      <c r="H1641" t="s">
        <v>592</v>
      </c>
      <c r="J1641" s="519">
        <v>46129</v>
      </c>
      <c r="R1641" s="519">
        <v>46139</v>
      </c>
      <c r="U1641" s="519">
        <v>46129</v>
      </c>
    </row>
    <row r="1642" spans="1:21">
      <c r="A1642" t="s">
        <v>953</v>
      </c>
      <c r="B1642" t="s">
        <v>2700</v>
      </c>
      <c r="C1642" t="s">
        <v>953</v>
      </c>
      <c r="D1642">
        <v>20442856</v>
      </c>
      <c r="E1642" t="s">
        <v>2258</v>
      </c>
      <c r="F1642" t="s">
        <v>581</v>
      </c>
      <c r="G1642" t="s">
        <v>2259</v>
      </c>
      <c r="H1642" t="s">
        <v>593</v>
      </c>
      <c r="J1642" s="519">
        <v>46060</v>
      </c>
      <c r="R1642" s="519">
        <v>46114</v>
      </c>
      <c r="U1642" s="519">
        <v>46082</v>
      </c>
    </row>
    <row r="1643" spans="1:21">
      <c r="A1643" t="s">
        <v>953</v>
      </c>
      <c r="B1643" t="s">
        <v>2701</v>
      </c>
      <c r="C1643" t="s">
        <v>953</v>
      </c>
      <c r="D1643">
        <v>20443769</v>
      </c>
      <c r="E1643" t="s">
        <v>2258</v>
      </c>
      <c r="F1643" t="s">
        <v>581</v>
      </c>
      <c r="G1643" t="s">
        <v>2259</v>
      </c>
      <c r="H1643" t="s">
        <v>592</v>
      </c>
      <c r="J1643" s="519">
        <v>46062</v>
      </c>
      <c r="R1643" s="519">
        <v>46114</v>
      </c>
      <c r="U1643" s="519">
        <v>46062</v>
      </c>
    </row>
    <row r="1644" spans="1:21">
      <c r="A1644" t="s">
        <v>953</v>
      </c>
      <c r="B1644" t="s">
        <v>2701</v>
      </c>
      <c r="C1644" t="s">
        <v>953</v>
      </c>
      <c r="D1644">
        <v>20502905</v>
      </c>
      <c r="E1644" t="s">
        <v>2245</v>
      </c>
      <c r="F1644" t="s">
        <v>984</v>
      </c>
      <c r="G1644" t="s">
        <v>2259</v>
      </c>
      <c r="H1644" t="s">
        <v>592</v>
      </c>
      <c r="J1644" s="519">
        <v>46132</v>
      </c>
      <c r="U1644" s="519">
        <v>46132</v>
      </c>
    </row>
    <row r="1645" spans="1:21">
      <c r="A1645" t="s">
        <v>953</v>
      </c>
      <c r="B1645" t="s">
        <v>3744</v>
      </c>
      <c r="C1645" t="s">
        <v>953</v>
      </c>
      <c r="D1645">
        <v>20486173</v>
      </c>
      <c r="E1645" t="s">
        <v>2258</v>
      </c>
      <c r="F1645" t="s">
        <v>984</v>
      </c>
      <c r="G1645" t="s">
        <v>2259</v>
      </c>
      <c r="H1645" t="s">
        <v>592</v>
      </c>
      <c r="J1645" s="519">
        <v>46114</v>
      </c>
      <c r="R1645" s="519">
        <v>46115</v>
      </c>
      <c r="U1645" s="519">
        <v>46114</v>
      </c>
    </row>
    <row r="1646" spans="1:21">
      <c r="A1646" t="s">
        <v>953</v>
      </c>
      <c r="B1646" t="s">
        <v>3197</v>
      </c>
      <c r="C1646" t="s">
        <v>953</v>
      </c>
      <c r="D1646">
        <v>20462849</v>
      </c>
      <c r="E1646" t="s">
        <v>2258</v>
      </c>
      <c r="F1646" t="s">
        <v>984</v>
      </c>
      <c r="G1646" t="s">
        <v>2259</v>
      </c>
      <c r="H1646" t="s">
        <v>3138</v>
      </c>
      <c r="J1646" s="519">
        <v>46086</v>
      </c>
      <c r="R1646" s="519">
        <v>46114</v>
      </c>
      <c r="U1646" s="519">
        <v>46086</v>
      </c>
    </row>
    <row r="1647" spans="1:21">
      <c r="A1647" t="s">
        <v>953</v>
      </c>
      <c r="B1647" t="s">
        <v>3745</v>
      </c>
      <c r="C1647" t="s">
        <v>953</v>
      </c>
      <c r="D1647">
        <v>20414782</v>
      </c>
      <c r="E1647" t="s">
        <v>2258</v>
      </c>
      <c r="F1647" t="s">
        <v>581</v>
      </c>
      <c r="G1647" t="s">
        <v>2259</v>
      </c>
      <c r="H1647" t="s">
        <v>592</v>
      </c>
      <c r="J1647" s="519">
        <v>46020</v>
      </c>
      <c r="R1647" s="519">
        <v>46114</v>
      </c>
      <c r="U1647" s="519">
        <v>46020</v>
      </c>
    </row>
    <row r="1648" spans="1:21">
      <c r="A1648" t="s">
        <v>953</v>
      </c>
      <c r="B1648" t="s">
        <v>3198</v>
      </c>
      <c r="C1648" t="s">
        <v>953</v>
      </c>
      <c r="D1648">
        <v>20469399</v>
      </c>
      <c r="E1648" t="s">
        <v>2258</v>
      </c>
      <c r="F1648" t="s">
        <v>579</v>
      </c>
      <c r="G1648" t="s">
        <v>2259</v>
      </c>
      <c r="H1648" t="s">
        <v>593</v>
      </c>
      <c r="J1648" s="519">
        <v>46093</v>
      </c>
      <c r="R1648" s="519">
        <v>46114</v>
      </c>
      <c r="U1648" s="519">
        <v>46082</v>
      </c>
    </row>
    <row r="1649" spans="1:21">
      <c r="A1649" t="s">
        <v>953</v>
      </c>
      <c r="B1649" t="s">
        <v>3746</v>
      </c>
      <c r="C1649" t="s">
        <v>953</v>
      </c>
      <c r="D1649">
        <v>20486706</v>
      </c>
      <c r="E1649" t="s">
        <v>2258</v>
      </c>
      <c r="F1649" t="s">
        <v>984</v>
      </c>
      <c r="G1649" t="s">
        <v>2259</v>
      </c>
      <c r="H1649" t="s">
        <v>2388</v>
      </c>
      <c r="J1649" s="519">
        <v>46115</v>
      </c>
      <c r="R1649" s="519">
        <v>46139</v>
      </c>
      <c r="U1649" s="519">
        <v>46115</v>
      </c>
    </row>
    <row r="1650" spans="1:21">
      <c r="A1650" t="s">
        <v>953</v>
      </c>
      <c r="B1650" t="s">
        <v>3746</v>
      </c>
      <c r="C1650" t="s">
        <v>953</v>
      </c>
      <c r="D1650">
        <v>20436009</v>
      </c>
      <c r="E1650" t="s">
        <v>2258</v>
      </c>
      <c r="F1650" t="s">
        <v>984</v>
      </c>
      <c r="G1650" t="s">
        <v>2259</v>
      </c>
      <c r="H1650" t="s">
        <v>592</v>
      </c>
      <c r="J1650" s="519">
        <v>46050</v>
      </c>
      <c r="R1650" s="519">
        <v>46114</v>
      </c>
      <c r="U1650" s="519">
        <v>46050</v>
      </c>
    </row>
    <row r="1651" spans="1:21">
      <c r="A1651" t="s">
        <v>953</v>
      </c>
      <c r="B1651" t="s">
        <v>3199</v>
      </c>
      <c r="C1651" t="s">
        <v>953</v>
      </c>
      <c r="D1651">
        <v>20461472</v>
      </c>
      <c r="E1651" t="s">
        <v>2258</v>
      </c>
      <c r="F1651" t="s">
        <v>581</v>
      </c>
      <c r="G1651" t="s">
        <v>2259</v>
      </c>
      <c r="H1651" t="s">
        <v>2388</v>
      </c>
      <c r="J1651" s="519">
        <v>46084</v>
      </c>
      <c r="R1651" s="519">
        <v>46114</v>
      </c>
      <c r="U1651" s="519">
        <v>46084</v>
      </c>
    </row>
    <row r="1652" spans="1:21">
      <c r="A1652" t="s">
        <v>953</v>
      </c>
      <c r="B1652" t="s">
        <v>3199</v>
      </c>
      <c r="C1652" t="s">
        <v>953</v>
      </c>
      <c r="D1652">
        <v>20436694</v>
      </c>
      <c r="E1652" t="s">
        <v>2258</v>
      </c>
      <c r="F1652" t="s">
        <v>984</v>
      </c>
      <c r="G1652" t="s">
        <v>2259</v>
      </c>
      <c r="H1652" t="s">
        <v>593</v>
      </c>
      <c r="J1652" s="519">
        <v>46051</v>
      </c>
      <c r="R1652" s="519">
        <v>46114</v>
      </c>
      <c r="U1652" s="519">
        <v>46051</v>
      </c>
    </row>
    <row r="1653" spans="1:21">
      <c r="A1653" t="s">
        <v>953</v>
      </c>
      <c r="B1653" t="s">
        <v>3747</v>
      </c>
      <c r="C1653" t="s">
        <v>953</v>
      </c>
      <c r="D1653">
        <v>20435176</v>
      </c>
      <c r="E1653" t="s">
        <v>2258</v>
      </c>
      <c r="F1653" t="s">
        <v>984</v>
      </c>
      <c r="G1653" t="s">
        <v>2259</v>
      </c>
      <c r="H1653" t="s">
        <v>2388</v>
      </c>
      <c r="J1653" s="519">
        <v>46048</v>
      </c>
      <c r="R1653" s="519">
        <v>46114</v>
      </c>
      <c r="U1653" s="519">
        <v>46048</v>
      </c>
    </row>
    <row r="1654" spans="1:21">
      <c r="A1654" t="s">
        <v>953</v>
      </c>
      <c r="B1654" t="s">
        <v>3748</v>
      </c>
      <c r="C1654" t="s">
        <v>953</v>
      </c>
      <c r="D1654">
        <v>20430861</v>
      </c>
      <c r="E1654" t="s">
        <v>2258</v>
      </c>
      <c r="F1654" t="s">
        <v>984</v>
      </c>
      <c r="G1654" t="s">
        <v>2259</v>
      </c>
      <c r="H1654" t="s">
        <v>2388</v>
      </c>
      <c r="J1654" s="519">
        <v>46042</v>
      </c>
      <c r="R1654" s="519">
        <v>46114</v>
      </c>
      <c r="U1654" s="519">
        <v>46054</v>
      </c>
    </row>
    <row r="1655" spans="1:21">
      <c r="A1655" t="s">
        <v>953</v>
      </c>
      <c r="B1655" t="s">
        <v>2702</v>
      </c>
      <c r="C1655" t="s">
        <v>953</v>
      </c>
      <c r="D1655">
        <v>20440861</v>
      </c>
      <c r="E1655" t="s">
        <v>2258</v>
      </c>
      <c r="F1655" t="s">
        <v>577</v>
      </c>
      <c r="G1655" t="s">
        <v>2259</v>
      </c>
      <c r="H1655" t="s">
        <v>2388</v>
      </c>
      <c r="J1655" s="519">
        <v>46057</v>
      </c>
      <c r="R1655" s="519">
        <v>46114</v>
      </c>
      <c r="U1655" s="519">
        <v>46057</v>
      </c>
    </row>
    <row r="1656" spans="1:21">
      <c r="A1656" t="s">
        <v>953</v>
      </c>
      <c r="B1656" t="s">
        <v>3749</v>
      </c>
      <c r="C1656" t="s">
        <v>953</v>
      </c>
      <c r="D1656">
        <v>20430278</v>
      </c>
      <c r="E1656" t="s">
        <v>2258</v>
      </c>
      <c r="F1656" t="s">
        <v>984</v>
      </c>
      <c r="G1656" t="s">
        <v>2259</v>
      </c>
      <c r="H1656" t="s">
        <v>2388</v>
      </c>
      <c r="J1656" s="519">
        <v>46041</v>
      </c>
      <c r="R1656" s="519">
        <v>46114</v>
      </c>
      <c r="U1656" s="519">
        <v>46063</v>
      </c>
    </row>
    <row r="1657" spans="1:21">
      <c r="A1657" t="s">
        <v>953</v>
      </c>
      <c r="B1657" t="s">
        <v>3200</v>
      </c>
      <c r="C1657" t="s">
        <v>953</v>
      </c>
      <c r="D1657">
        <v>20479376</v>
      </c>
      <c r="E1657" t="s">
        <v>2258</v>
      </c>
      <c r="F1657" t="s">
        <v>581</v>
      </c>
      <c r="G1657" t="s">
        <v>2259</v>
      </c>
      <c r="H1657" t="s">
        <v>593</v>
      </c>
      <c r="J1657" s="519">
        <v>46105</v>
      </c>
      <c r="R1657" s="519">
        <v>46139</v>
      </c>
      <c r="U1657" s="519">
        <v>46113</v>
      </c>
    </row>
    <row r="1658" spans="1:21">
      <c r="A1658" t="s">
        <v>953</v>
      </c>
      <c r="B1658" t="s">
        <v>3201</v>
      </c>
      <c r="C1658" t="s">
        <v>953</v>
      </c>
      <c r="D1658">
        <v>20462459</v>
      </c>
      <c r="E1658" t="s">
        <v>2258</v>
      </c>
      <c r="F1658" t="s">
        <v>984</v>
      </c>
      <c r="G1658" t="s">
        <v>2259</v>
      </c>
      <c r="H1658" t="s">
        <v>592</v>
      </c>
      <c r="J1658" s="519">
        <v>46085</v>
      </c>
      <c r="R1658" s="519">
        <v>46114</v>
      </c>
      <c r="U1658" s="519">
        <v>46085</v>
      </c>
    </row>
    <row r="1659" spans="1:21">
      <c r="A1659" t="s">
        <v>953</v>
      </c>
      <c r="B1659" t="s">
        <v>2703</v>
      </c>
      <c r="C1659" t="s">
        <v>953</v>
      </c>
      <c r="D1659">
        <v>20446820</v>
      </c>
      <c r="E1659" t="s">
        <v>2258</v>
      </c>
      <c r="F1659" t="s">
        <v>581</v>
      </c>
      <c r="G1659" t="s">
        <v>2259</v>
      </c>
      <c r="H1659" t="s">
        <v>2388</v>
      </c>
      <c r="J1659" s="519">
        <v>46064</v>
      </c>
      <c r="R1659" s="519">
        <v>46114</v>
      </c>
      <c r="U1659" s="519">
        <v>46064</v>
      </c>
    </row>
    <row r="1660" spans="1:21">
      <c r="A1660" t="s">
        <v>953</v>
      </c>
      <c r="B1660" t="s">
        <v>2704</v>
      </c>
      <c r="C1660" t="s">
        <v>953</v>
      </c>
      <c r="D1660">
        <v>20440770</v>
      </c>
      <c r="E1660" t="s">
        <v>2258</v>
      </c>
      <c r="F1660" t="s">
        <v>984</v>
      </c>
      <c r="G1660" t="s">
        <v>2259</v>
      </c>
      <c r="H1660" t="s">
        <v>593</v>
      </c>
      <c r="J1660" s="519">
        <v>46057</v>
      </c>
      <c r="R1660" s="519">
        <v>46114</v>
      </c>
      <c r="U1660" s="519">
        <v>46073</v>
      </c>
    </row>
    <row r="1661" spans="1:21">
      <c r="A1661" t="s">
        <v>953</v>
      </c>
      <c r="B1661" t="s">
        <v>2705</v>
      </c>
      <c r="C1661" t="s">
        <v>953</v>
      </c>
      <c r="D1661">
        <v>20500577</v>
      </c>
      <c r="E1661" t="s">
        <v>2258</v>
      </c>
      <c r="F1661" t="s">
        <v>984</v>
      </c>
      <c r="G1661" t="s">
        <v>2259</v>
      </c>
      <c r="H1661" t="s">
        <v>592</v>
      </c>
      <c r="J1661" s="519">
        <v>46130</v>
      </c>
      <c r="R1661" s="519">
        <v>46139</v>
      </c>
      <c r="U1661" s="519">
        <v>46130</v>
      </c>
    </row>
    <row r="1662" spans="1:21">
      <c r="A1662" t="s">
        <v>953</v>
      </c>
      <c r="B1662" t="s">
        <v>2705</v>
      </c>
      <c r="C1662" t="s">
        <v>953</v>
      </c>
      <c r="D1662">
        <v>20447726</v>
      </c>
      <c r="E1662" t="s">
        <v>2258</v>
      </c>
      <c r="F1662" t="s">
        <v>984</v>
      </c>
      <c r="G1662" t="s">
        <v>2259</v>
      </c>
      <c r="H1662" t="s">
        <v>593</v>
      </c>
      <c r="J1662" s="519">
        <v>46065</v>
      </c>
      <c r="R1662" s="519">
        <v>46114</v>
      </c>
      <c r="U1662" s="519">
        <v>46065</v>
      </c>
    </row>
    <row r="1663" spans="1:21">
      <c r="A1663" t="s">
        <v>953</v>
      </c>
      <c r="B1663" t="s">
        <v>2706</v>
      </c>
      <c r="C1663" t="s">
        <v>953</v>
      </c>
      <c r="D1663">
        <v>20440340</v>
      </c>
      <c r="E1663" t="s">
        <v>2258</v>
      </c>
      <c r="F1663" t="s">
        <v>581</v>
      </c>
      <c r="G1663" t="s">
        <v>2259</v>
      </c>
      <c r="H1663" t="s">
        <v>2388</v>
      </c>
      <c r="J1663" s="519">
        <v>46056</v>
      </c>
      <c r="R1663" s="519">
        <v>46114</v>
      </c>
      <c r="U1663" s="519">
        <v>46081</v>
      </c>
    </row>
    <row r="1664" spans="1:21">
      <c r="A1664" t="s">
        <v>953</v>
      </c>
      <c r="B1664" t="s">
        <v>7249</v>
      </c>
      <c r="C1664" t="s">
        <v>953</v>
      </c>
      <c r="D1664">
        <v>20500171</v>
      </c>
      <c r="E1664" t="s">
        <v>2245</v>
      </c>
      <c r="F1664" t="s">
        <v>984</v>
      </c>
      <c r="G1664" t="s">
        <v>2259</v>
      </c>
      <c r="H1664" t="s">
        <v>593</v>
      </c>
      <c r="J1664" s="519">
        <v>46129</v>
      </c>
      <c r="U1664" s="519">
        <v>46129</v>
      </c>
    </row>
    <row r="1665" spans="1:21">
      <c r="A1665" t="s">
        <v>953</v>
      </c>
      <c r="B1665" t="s">
        <v>3750</v>
      </c>
      <c r="C1665" t="s">
        <v>953</v>
      </c>
      <c r="D1665">
        <v>20415936</v>
      </c>
      <c r="E1665" t="s">
        <v>2258</v>
      </c>
      <c r="F1665" t="s">
        <v>581</v>
      </c>
      <c r="G1665" t="s">
        <v>2259</v>
      </c>
      <c r="H1665" t="s">
        <v>587</v>
      </c>
      <c r="J1665" s="519">
        <v>46022</v>
      </c>
      <c r="R1665" s="519">
        <v>46114</v>
      </c>
      <c r="U1665" s="519">
        <v>46022</v>
      </c>
    </row>
    <row r="1666" spans="1:21">
      <c r="A1666" t="s">
        <v>953</v>
      </c>
      <c r="B1666" t="s">
        <v>2707</v>
      </c>
      <c r="C1666" t="s">
        <v>953</v>
      </c>
      <c r="D1666">
        <v>20441704</v>
      </c>
      <c r="E1666" t="s">
        <v>2258</v>
      </c>
      <c r="F1666" t="s">
        <v>581</v>
      </c>
      <c r="G1666" t="s">
        <v>2259</v>
      </c>
      <c r="H1666" t="s">
        <v>593</v>
      </c>
      <c r="J1666" s="519">
        <v>46058</v>
      </c>
      <c r="R1666" s="519">
        <v>46114</v>
      </c>
      <c r="U1666" s="519">
        <v>46058</v>
      </c>
    </row>
    <row r="1667" spans="1:21">
      <c r="A1667" t="s">
        <v>953</v>
      </c>
      <c r="B1667" t="s">
        <v>7250</v>
      </c>
      <c r="C1667" t="s">
        <v>953</v>
      </c>
      <c r="D1667">
        <v>20511193</v>
      </c>
      <c r="E1667" t="s">
        <v>2245</v>
      </c>
      <c r="F1667" t="s">
        <v>984</v>
      </c>
      <c r="G1667" t="s">
        <v>2259</v>
      </c>
      <c r="H1667" t="s">
        <v>592</v>
      </c>
      <c r="J1667" s="519">
        <v>46139</v>
      </c>
      <c r="U1667" s="519">
        <v>46139</v>
      </c>
    </row>
    <row r="1668" spans="1:21">
      <c r="A1668" t="s">
        <v>953</v>
      </c>
      <c r="B1668" t="s">
        <v>3751</v>
      </c>
      <c r="C1668" t="s">
        <v>953</v>
      </c>
      <c r="D1668">
        <v>20437107</v>
      </c>
      <c r="E1668" t="s">
        <v>2258</v>
      </c>
      <c r="F1668" t="s">
        <v>984</v>
      </c>
      <c r="G1668" t="s">
        <v>2259</v>
      </c>
      <c r="H1668" t="s">
        <v>592</v>
      </c>
      <c r="J1668" s="519">
        <v>46051</v>
      </c>
      <c r="R1668" s="519">
        <v>46114</v>
      </c>
      <c r="U1668" s="519">
        <v>46062</v>
      </c>
    </row>
    <row r="1669" spans="1:21">
      <c r="A1669" t="s">
        <v>953</v>
      </c>
      <c r="B1669" t="s">
        <v>2708</v>
      </c>
      <c r="C1669" t="s">
        <v>953</v>
      </c>
      <c r="D1669">
        <v>20455577</v>
      </c>
      <c r="E1669" t="s">
        <v>2258</v>
      </c>
      <c r="F1669" t="s">
        <v>581</v>
      </c>
      <c r="G1669" t="s">
        <v>2259</v>
      </c>
      <c r="H1669" t="s">
        <v>2388</v>
      </c>
      <c r="J1669" s="519">
        <v>46076</v>
      </c>
      <c r="R1669" s="519">
        <v>46139</v>
      </c>
      <c r="U1669" s="519">
        <v>46076</v>
      </c>
    </row>
    <row r="1670" spans="1:21">
      <c r="A1670" t="s">
        <v>953</v>
      </c>
      <c r="B1670" t="s">
        <v>2709</v>
      </c>
      <c r="C1670" t="s">
        <v>953</v>
      </c>
      <c r="D1670">
        <v>20446580</v>
      </c>
      <c r="E1670" t="s">
        <v>2258</v>
      </c>
      <c r="F1670" t="s">
        <v>581</v>
      </c>
      <c r="G1670" t="s">
        <v>2259</v>
      </c>
      <c r="H1670" t="s">
        <v>2388</v>
      </c>
      <c r="J1670" s="519">
        <v>46064</v>
      </c>
      <c r="R1670" s="519">
        <v>46114</v>
      </c>
      <c r="U1670" s="519">
        <v>46064</v>
      </c>
    </row>
    <row r="1671" spans="1:21">
      <c r="A1671" t="s">
        <v>953</v>
      </c>
      <c r="B1671" t="s">
        <v>2710</v>
      </c>
      <c r="C1671" t="s">
        <v>953</v>
      </c>
      <c r="D1671">
        <v>20456008</v>
      </c>
      <c r="E1671" t="s">
        <v>2258</v>
      </c>
      <c r="F1671" t="s">
        <v>984</v>
      </c>
      <c r="G1671" t="s">
        <v>2259</v>
      </c>
      <c r="H1671" t="s">
        <v>2388</v>
      </c>
      <c r="J1671" s="519">
        <v>46076</v>
      </c>
      <c r="R1671" s="519">
        <v>46114</v>
      </c>
      <c r="U1671" s="519">
        <v>46082</v>
      </c>
    </row>
    <row r="1672" spans="1:21">
      <c r="A1672" t="s">
        <v>953</v>
      </c>
      <c r="B1672" t="s">
        <v>2711</v>
      </c>
      <c r="C1672" t="s">
        <v>953</v>
      </c>
      <c r="D1672">
        <v>20443921</v>
      </c>
      <c r="E1672" t="s">
        <v>2258</v>
      </c>
      <c r="F1672" t="s">
        <v>984</v>
      </c>
      <c r="G1672" t="s">
        <v>2259</v>
      </c>
      <c r="H1672" t="s">
        <v>2388</v>
      </c>
      <c r="J1672" s="519">
        <v>46062</v>
      </c>
      <c r="R1672" s="519">
        <v>46114</v>
      </c>
      <c r="U1672" s="519">
        <v>46062</v>
      </c>
    </row>
    <row r="1673" spans="1:21">
      <c r="A1673" t="s">
        <v>953</v>
      </c>
      <c r="B1673" t="s">
        <v>3202</v>
      </c>
      <c r="C1673" t="s">
        <v>953</v>
      </c>
      <c r="D1673">
        <v>20469075</v>
      </c>
      <c r="E1673" t="s">
        <v>2258</v>
      </c>
      <c r="F1673" t="s">
        <v>984</v>
      </c>
      <c r="G1673" t="s">
        <v>2246</v>
      </c>
      <c r="H1673" t="s">
        <v>2428</v>
      </c>
      <c r="J1673" s="519">
        <v>46093</v>
      </c>
      <c r="R1673" s="519">
        <v>46114</v>
      </c>
      <c r="U1673" s="519">
        <v>46093</v>
      </c>
    </row>
    <row r="1674" spans="1:21">
      <c r="A1674" t="s">
        <v>953</v>
      </c>
      <c r="B1674" t="s">
        <v>3752</v>
      </c>
      <c r="C1674" t="s">
        <v>953</v>
      </c>
      <c r="D1674">
        <v>20491823</v>
      </c>
      <c r="E1674" t="s">
        <v>2258</v>
      </c>
      <c r="F1674" t="s">
        <v>984</v>
      </c>
      <c r="G1674" t="s">
        <v>2259</v>
      </c>
      <c r="H1674" t="s">
        <v>2388</v>
      </c>
      <c r="J1674" s="519">
        <v>46122</v>
      </c>
      <c r="R1674" s="519">
        <v>46123</v>
      </c>
      <c r="U1674" s="519">
        <v>46122</v>
      </c>
    </row>
    <row r="1675" spans="1:21">
      <c r="A1675" t="s">
        <v>953</v>
      </c>
      <c r="B1675" t="s">
        <v>7251</v>
      </c>
      <c r="C1675" t="s">
        <v>953</v>
      </c>
      <c r="D1675">
        <v>20510952</v>
      </c>
      <c r="E1675" t="s">
        <v>2245</v>
      </c>
      <c r="F1675" t="s">
        <v>984</v>
      </c>
      <c r="G1675" t="s">
        <v>2259</v>
      </c>
      <c r="H1675" t="s">
        <v>593</v>
      </c>
      <c r="J1675" s="519">
        <v>46139</v>
      </c>
      <c r="U1675" s="519">
        <v>46139</v>
      </c>
    </row>
    <row r="1676" spans="1:21">
      <c r="A1676" t="s">
        <v>953</v>
      </c>
      <c r="B1676" t="s">
        <v>7252</v>
      </c>
      <c r="C1676" t="s">
        <v>953</v>
      </c>
      <c r="D1676">
        <v>20504422</v>
      </c>
      <c r="E1676" t="s">
        <v>2258</v>
      </c>
      <c r="F1676" t="s">
        <v>984</v>
      </c>
      <c r="G1676" t="s">
        <v>2259</v>
      </c>
      <c r="H1676" t="s">
        <v>2388</v>
      </c>
      <c r="J1676" s="519">
        <v>46133</v>
      </c>
      <c r="R1676" s="519">
        <v>46134</v>
      </c>
      <c r="U1676" s="519">
        <v>46133</v>
      </c>
    </row>
    <row r="1677" spans="1:21">
      <c r="A1677" t="s">
        <v>953</v>
      </c>
      <c r="B1677" t="s">
        <v>2712</v>
      </c>
      <c r="C1677" t="s">
        <v>953</v>
      </c>
      <c r="D1677">
        <v>20449827</v>
      </c>
      <c r="E1677" t="s">
        <v>2258</v>
      </c>
      <c r="F1677" t="s">
        <v>984</v>
      </c>
      <c r="G1677" t="s">
        <v>2259</v>
      </c>
      <c r="H1677" t="s">
        <v>593</v>
      </c>
      <c r="J1677" s="519">
        <v>46069</v>
      </c>
      <c r="R1677" s="519">
        <v>46114</v>
      </c>
      <c r="U1677" s="519">
        <v>46069</v>
      </c>
    </row>
    <row r="1678" spans="1:21">
      <c r="A1678" t="s">
        <v>953</v>
      </c>
      <c r="B1678" t="s">
        <v>3753</v>
      </c>
      <c r="C1678" t="s">
        <v>953</v>
      </c>
      <c r="D1678">
        <v>20486406</v>
      </c>
      <c r="E1678" t="s">
        <v>2258</v>
      </c>
      <c r="F1678" t="s">
        <v>984</v>
      </c>
      <c r="G1678" t="s">
        <v>2259</v>
      </c>
      <c r="H1678" t="s">
        <v>2388</v>
      </c>
      <c r="J1678" s="519">
        <v>46115</v>
      </c>
      <c r="R1678" s="519">
        <v>46115</v>
      </c>
      <c r="U1678" s="519">
        <v>46115</v>
      </c>
    </row>
    <row r="1679" spans="1:21">
      <c r="A1679" t="s">
        <v>953</v>
      </c>
      <c r="B1679" t="s">
        <v>3204</v>
      </c>
      <c r="C1679" t="s">
        <v>953</v>
      </c>
      <c r="D1679">
        <v>20461557</v>
      </c>
      <c r="E1679" t="s">
        <v>2258</v>
      </c>
      <c r="F1679" t="s">
        <v>984</v>
      </c>
      <c r="G1679" t="s">
        <v>2259</v>
      </c>
      <c r="H1679" t="s">
        <v>593</v>
      </c>
      <c r="J1679" s="519">
        <v>46084</v>
      </c>
      <c r="R1679" s="519">
        <v>46114</v>
      </c>
      <c r="U1679" s="519">
        <v>46084</v>
      </c>
    </row>
    <row r="1680" spans="1:21">
      <c r="A1680" t="s">
        <v>953</v>
      </c>
      <c r="B1680" t="s">
        <v>7253</v>
      </c>
      <c r="C1680" t="s">
        <v>953</v>
      </c>
      <c r="D1680">
        <v>20506273</v>
      </c>
      <c r="E1680" t="s">
        <v>2245</v>
      </c>
      <c r="F1680" t="s">
        <v>984</v>
      </c>
      <c r="G1680" t="s">
        <v>2259</v>
      </c>
      <c r="H1680" t="s">
        <v>2388</v>
      </c>
      <c r="J1680" s="519">
        <v>46134</v>
      </c>
      <c r="U1680" s="519">
        <v>46134</v>
      </c>
    </row>
    <row r="1681" spans="1:21">
      <c r="A1681" t="s">
        <v>953</v>
      </c>
      <c r="B1681" t="s">
        <v>7254</v>
      </c>
      <c r="C1681" t="s">
        <v>953</v>
      </c>
      <c r="D1681">
        <v>20506265</v>
      </c>
      <c r="E1681" t="s">
        <v>2245</v>
      </c>
      <c r="F1681" t="s">
        <v>581</v>
      </c>
      <c r="G1681" t="s">
        <v>2259</v>
      </c>
      <c r="H1681" t="s">
        <v>592</v>
      </c>
      <c r="J1681" s="519">
        <v>46134</v>
      </c>
      <c r="U1681" s="519">
        <v>46134</v>
      </c>
    </row>
    <row r="1682" spans="1:21">
      <c r="A1682" t="s">
        <v>953</v>
      </c>
      <c r="B1682" t="s">
        <v>3754</v>
      </c>
      <c r="C1682" t="s">
        <v>953</v>
      </c>
      <c r="D1682">
        <v>20413403</v>
      </c>
      <c r="E1682" t="s">
        <v>2258</v>
      </c>
      <c r="F1682" t="s">
        <v>581</v>
      </c>
      <c r="G1682" t="s">
        <v>2259</v>
      </c>
      <c r="H1682" t="s">
        <v>587</v>
      </c>
      <c r="J1682" s="519">
        <v>46018</v>
      </c>
      <c r="R1682" s="519">
        <v>46114</v>
      </c>
      <c r="U1682" s="519">
        <v>46018</v>
      </c>
    </row>
    <row r="1683" spans="1:21">
      <c r="A1683" t="s">
        <v>953</v>
      </c>
      <c r="B1683" t="s">
        <v>2713</v>
      </c>
      <c r="C1683" t="s">
        <v>953</v>
      </c>
      <c r="D1683">
        <v>20456479</v>
      </c>
      <c r="E1683" t="s">
        <v>2258</v>
      </c>
      <c r="F1683" t="s">
        <v>984</v>
      </c>
      <c r="G1683" t="s">
        <v>2259</v>
      </c>
      <c r="H1683" t="s">
        <v>593</v>
      </c>
      <c r="J1683" s="519">
        <v>46077</v>
      </c>
      <c r="R1683" s="519">
        <v>46114</v>
      </c>
      <c r="U1683" s="519">
        <v>46077</v>
      </c>
    </row>
    <row r="1684" spans="1:21">
      <c r="A1684" t="s">
        <v>953</v>
      </c>
      <c r="B1684" t="s">
        <v>2714</v>
      </c>
      <c r="C1684" t="s">
        <v>953</v>
      </c>
      <c r="D1684">
        <v>20453600</v>
      </c>
      <c r="E1684" t="s">
        <v>2258</v>
      </c>
      <c r="F1684" t="s">
        <v>581</v>
      </c>
      <c r="G1684" t="s">
        <v>2259</v>
      </c>
      <c r="H1684" t="s">
        <v>2388</v>
      </c>
      <c r="J1684" s="519">
        <v>46072</v>
      </c>
      <c r="R1684" s="519">
        <v>46114</v>
      </c>
      <c r="U1684" s="519">
        <v>46072</v>
      </c>
    </row>
    <row r="1685" spans="1:21">
      <c r="A1685" t="s">
        <v>953</v>
      </c>
      <c r="B1685" t="s">
        <v>3755</v>
      </c>
      <c r="C1685" t="s">
        <v>953</v>
      </c>
      <c r="D1685">
        <v>20486404</v>
      </c>
      <c r="E1685" t="s">
        <v>2258</v>
      </c>
      <c r="F1685" t="s">
        <v>984</v>
      </c>
      <c r="G1685" t="s">
        <v>2259</v>
      </c>
      <c r="H1685" t="s">
        <v>2388</v>
      </c>
      <c r="J1685" s="519">
        <v>46115</v>
      </c>
      <c r="R1685" s="519">
        <v>46115</v>
      </c>
      <c r="U1685" s="519">
        <v>46115</v>
      </c>
    </row>
    <row r="1686" spans="1:21">
      <c r="A1686" t="s">
        <v>953</v>
      </c>
      <c r="B1686" t="s">
        <v>3756</v>
      </c>
      <c r="C1686" t="s">
        <v>953</v>
      </c>
      <c r="D1686">
        <v>20412311</v>
      </c>
      <c r="E1686" t="s">
        <v>2258</v>
      </c>
      <c r="F1686" t="s">
        <v>581</v>
      </c>
      <c r="G1686" t="s">
        <v>2259</v>
      </c>
      <c r="H1686" t="s">
        <v>2388</v>
      </c>
      <c r="J1686" s="519">
        <v>46015</v>
      </c>
      <c r="R1686" s="519">
        <v>46114</v>
      </c>
      <c r="U1686" s="519">
        <v>46015</v>
      </c>
    </row>
    <row r="1687" spans="1:21">
      <c r="A1687" t="s">
        <v>953</v>
      </c>
      <c r="B1687" t="s">
        <v>3757</v>
      </c>
      <c r="C1687" t="s">
        <v>953</v>
      </c>
      <c r="D1687">
        <v>20412266</v>
      </c>
      <c r="E1687" t="s">
        <v>2258</v>
      </c>
      <c r="F1687" t="s">
        <v>577</v>
      </c>
      <c r="G1687" t="s">
        <v>2259</v>
      </c>
      <c r="H1687" t="s">
        <v>592</v>
      </c>
      <c r="J1687" s="519">
        <v>46015</v>
      </c>
      <c r="R1687" s="519">
        <v>46114</v>
      </c>
      <c r="U1687" s="519">
        <v>46015</v>
      </c>
    </row>
    <row r="1688" spans="1:21">
      <c r="A1688" t="s">
        <v>953</v>
      </c>
      <c r="B1688" t="s">
        <v>2715</v>
      </c>
      <c r="C1688" t="s">
        <v>953</v>
      </c>
      <c r="D1688">
        <v>20449934</v>
      </c>
      <c r="E1688" t="s">
        <v>2258</v>
      </c>
      <c r="F1688" t="s">
        <v>984</v>
      </c>
      <c r="G1688" t="s">
        <v>2259</v>
      </c>
      <c r="H1688" t="s">
        <v>2388</v>
      </c>
      <c r="J1688" s="519">
        <v>46069</v>
      </c>
      <c r="R1688" s="519">
        <v>46114</v>
      </c>
      <c r="U1688" s="519">
        <v>46069</v>
      </c>
    </row>
    <row r="1689" spans="1:21">
      <c r="A1689" t="s">
        <v>953</v>
      </c>
      <c r="B1689" t="s">
        <v>3758</v>
      </c>
      <c r="C1689" t="s">
        <v>953</v>
      </c>
      <c r="D1689">
        <v>20416688</v>
      </c>
      <c r="E1689" t="s">
        <v>2258</v>
      </c>
      <c r="F1689" t="s">
        <v>984</v>
      </c>
      <c r="G1689" t="s">
        <v>2259</v>
      </c>
      <c r="H1689" t="s">
        <v>587</v>
      </c>
      <c r="J1689" s="519">
        <v>46024</v>
      </c>
      <c r="R1689" s="519">
        <v>46114</v>
      </c>
      <c r="U1689" s="519">
        <v>46024</v>
      </c>
    </row>
    <row r="1690" spans="1:21">
      <c r="A1690" t="s">
        <v>953</v>
      </c>
      <c r="B1690" t="s">
        <v>2716</v>
      </c>
      <c r="C1690" t="s">
        <v>953</v>
      </c>
      <c r="D1690">
        <v>20442105</v>
      </c>
      <c r="E1690" t="s">
        <v>2258</v>
      </c>
      <c r="F1690" t="s">
        <v>984</v>
      </c>
      <c r="G1690" t="s">
        <v>2259</v>
      </c>
      <c r="H1690" t="s">
        <v>592</v>
      </c>
      <c r="J1690" s="519">
        <v>46059</v>
      </c>
      <c r="R1690" s="519">
        <v>46114</v>
      </c>
      <c r="U1690" s="519">
        <v>46059</v>
      </c>
    </row>
    <row r="1691" spans="1:21">
      <c r="A1691" t="s">
        <v>953</v>
      </c>
      <c r="B1691" t="s">
        <v>7255</v>
      </c>
      <c r="C1691" t="s">
        <v>953</v>
      </c>
      <c r="D1691">
        <v>20496873</v>
      </c>
      <c r="E1691" t="s">
        <v>2245</v>
      </c>
      <c r="F1691" t="s">
        <v>984</v>
      </c>
      <c r="G1691" t="s">
        <v>2259</v>
      </c>
      <c r="H1691" t="s">
        <v>592</v>
      </c>
      <c r="J1691" s="519">
        <v>46127</v>
      </c>
      <c r="U1691" s="519">
        <v>46127</v>
      </c>
    </row>
    <row r="1692" spans="1:21">
      <c r="A1692" t="s">
        <v>953</v>
      </c>
      <c r="B1692" t="s">
        <v>2717</v>
      </c>
      <c r="C1692" t="s">
        <v>953</v>
      </c>
      <c r="D1692">
        <v>20456615</v>
      </c>
      <c r="E1692" t="s">
        <v>2258</v>
      </c>
      <c r="F1692" t="s">
        <v>984</v>
      </c>
      <c r="G1692" t="s">
        <v>2259</v>
      </c>
      <c r="H1692" t="s">
        <v>593</v>
      </c>
      <c r="J1692" s="519">
        <v>46077</v>
      </c>
      <c r="R1692" s="519">
        <v>46114</v>
      </c>
      <c r="U1692" s="519">
        <v>46081</v>
      </c>
    </row>
    <row r="1693" spans="1:21">
      <c r="A1693" t="s">
        <v>953</v>
      </c>
      <c r="B1693" t="s">
        <v>2718</v>
      </c>
      <c r="C1693" t="s">
        <v>953</v>
      </c>
      <c r="D1693">
        <v>20440976</v>
      </c>
      <c r="E1693" t="s">
        <v>2258</v>
      </c>
      <c r="F1693" t="s">
        <v>581</v>
      </c>
      <c r="G1693" t="s">
        <v>2259</v>
      </c>
      <c r="H1693" t="s">
        <v>593</v>
      </c>
      <c r="J1693" s="519">
        <v>46057</v>
      </c>
      <c r="R1693" s="519">
        <v>46114</v>
      </c>
      <c r="U1693" s="519">
        <v>46057</v>
      </c>
    </row>
    <row r="1694" spans="1:21">
      <c r="A1694" t="s">
        <v>953</v>
      </c>
      <c r="B1694" t="s">
        <v>3759</v>
      </c>
      <c r="C1694" t="s">
        <v>953</v>
      </c>
      <c r="D1694">
        <v>20487989</v>
      </c>
      <c r="E1694" t="s">
        <v>2258</v>
      </c>
      <c r="F1694" t="s">
        <v>581</v>
      </c>
      <c r="G1694" t="s">
        <v>2259</v>
      </c>
      <c r="H1694" t="s">
        <v>593</v>
      </c>
      <c r="J1694" s="519">
        <v>46118</v>
      </c>
      <c r="R1694" s="519">
        <v>46139</v>
      </c>
      <c r="U1694" s="519">
        <v>46118</v>
      </c>
    </row>
    <row r="1695" spans="1:21">
      <c r="A1695" t="s">
        <v>953</v>
      </c>
      <c r="B1695" t="s">
        <v>7256</v>
      </c>
      <c r="C1695" t="s">
        <v>953</v>
      </c>
      <c r="D1695">
        <v>20511971</v>
      </c>
      <c r="E1695" t="s">
        <v>2245</v>
      </c>
      <c r="F1695" t="s">
        <v>984</v>
      </c>
      <c r="G1695" t="s">
        <v>2259</v>
      </c>
      <c r="H1695" t="s">
        <v>592</v>
      </c>
      <c r="J1695" s="519">
        <v>46140</v>
      </c>
      <c r="U1695" s="519">
        <v>46140</v>
      </c>
    </row>
    <row r="1696" spans="1:21">
      <c r="A1696" t="s">
        <v>953</v>
      </c>
      <c r="B1696" t="s">
        <v>2719</v>
      </c>
      <c r="C1696" t="s">
        <v>953</v>
      </c>
      <c r="D1696">
        <v>20444472</v>
      </c>
      <c r="E1696" t="s">
        <v>2258</v>
      </c>
      <c r="F1696" t="s">
        <v>984</v>
      </c>
      <c r="G1696" t="s">
        <v>2259</v>
      </c>
      <c r="H1696" t="s">
        <v>593</v>
      </c>
      <c r="J1696" s="519">
        <v>46063</v>
      </c>
      <c r="R1696" s="519">
        <v>46114</v>
      </c>
      <c r="U1696" s="519">
        <v>46063</v>
      </c>
    </row>
    <row r="1697" spans="1:21">
      <c r="A1697" t="s">
        <v>953</v>
      </c>
      <c r="B1697" t="s">
        <v>3760</v>
      </c>
      <c r="C1697" t="s">
        <v>953</v>
      </c>
      <c r="D1697">
        <v>20491835</v>
      </c>
      <c r="E1697" t="s">
        <v>2258</v>
      </c>
      <c r="F1697" t="s">
        <v>984</v>
      </c>
      <c r="G1697" t="s">
        <v>2259</v>
      </c>
      <c r="H1697" t="s">
        <v>593</v>
      </c>
      <c r="J1697" s="519">
        <v>46122</v>
      </c>
      <c r="R1697" s="519">
        <v>46139</v>
      </c>
      <c r="U1697" s="519">
        <v>46122</v>
      </c>
    </row>
    <row r="1698" spans="1:21">
      <c r="A1698" t="s">
        <v>953</v>
      </c>
      <c r="B1698" t="s">
        <v>3205</v>
      </c>
      <c r="C1698" t="s">
        <v>953</v>
      </c>
      <c r="D1698">
        <v>20465353</v>
      </c>
      <c r="E1698" t="s">
        <v>2258</v>
      </c>
      <c r="F1698" t="s">
        <v>984</v>
      </c>
      <c r="G1698" t="s">
        <v>2259</v>
      </c>
      <c r="H1698" t="s">
        <v>2388</v>
      </c>
      <c r="J1698" s="519">
        <v>46090</v>
      </c>
      <c r="R1698" s="519">
        <v>46114</v>
      </c>
      <c r="U1698" s="519">
        <v>46090</v>
      </c>
    </row>
    <row r="1699" spans="1:21">
      <c r="A1699" t="s">
        <v>953</v>
      </c>
      <c r="B1699" t="s">
        <v>2720</v>
      </c>
      <c r="C1699" t="s">
        <v>953</v>
      </c>
      <c r="D1699">
        <v>20440180</v>
      </c>
      <c r="E1699" t="s">
        <v>2258</v>
      </c>
      <c r="F1699" t="s">
        <v>578</v>
      </c>
      <c r="G1699" t="s">
        <v>2259</v>
      </c>
      <c r="H1699" t="s">
        <v>592</v>
      </c>
      <c r="J1699" s="519">
        <v>46056</v>
      </c>
      <c r="R1699" s="519">
        <v>46114</v>
      </c>
      <c r="U1699" s="519">
        <v>46082</v>
      </c>
    </row>
    <row r="1700" spans="1:21">
      <c r="A1700" t="s">
        <v>953</v>
      </c>
      <c r="B1700" t="s">
        <v>3206</v>
      </c>
      <c r="C1700" t="s">
        <v>953</v>
      </c>
      <c r="D1700">
        <v>20463734</v>
      </c>
      <c r="E1700" t="s">
        <v>2258</v>
      </c>
      <c r="F1700" t="s">
        <v>581</v>
      </c>
      <c r="G1700" t="s">
        <v>2259</v>
      </c>
      <c r="H1700" t="s">
        <v>2388</v>
      </c>
      <c r="J1700" s="519">
        <v>46087</v>
      </c>
      <c r="R1700" s="519">
        <v>46114</v>
      </c>
      <c r="U1700" s="519">
        <v>46087</v>
      </c>
    </row>
    <row r="1701" spans="1:21">
      <c r="A1701" t="s">
        <v>953</v>
      </c>
      <c r="B1701" t="s">
        <v>2721</v>
      </c>
      <c r="C1701" t="s">
        <v>953</v>
      </c>
      <c r="D1701">
        <v>20459018</v>
      </c>
      <c r="E1701" t="s">
        <v>2258</v>
      </c>
      <c r="F1701" t="s">
        <v>581</v>
      </c>
      <c r="G1701" t="s">
        <v>2259</v>
      </c>
      <c r="H1701" t="s">
        <v>2388</v>
      </c>
      <c r="J1701" s="519">
        <v>46080</v>
      </c>
      <c r="R1701" s="519">
        <v>46114</v>
      </c>
      <c r="U1701" s="519">
        <v>46113</v>
      </c>
    </row>
    <row r="1702" spans="1:21">
      <c r="A1702" t="s">
        <v>953</v>
      </c>
      <c r="B1702" t="s">
        <v>2721</v>
      </c>
      <c r="C1702" t="s">
        <v>953</v>
      </c>
      <c r="D1702">
        <v>20422678</v>
      </c>
      <c r="E1702" t="s">
        <v>2258</v>
      </c>
      <c r="F1702" t="s">
        <v>581</v>
      </c>
      <c r="G1702" t="s">
        <v>2259</v>
      </c>
      <c r="H1702" t="s">
        <v>592</v>
      </c>
      <c r="J1702" s="519">
        <v>46033</v>
      </c>
      <c r="R1702" s="519">
        <v>46115</v>
      </c>
      <c r="U1702" s="519">
        <v>46033</v>
      </c>
    </row>
    <row r="1703" spans="1:21">
      <c r="A1703" t="s">
        <v>953</v>
      </c>
      <c r="B1703" t="s">
        <v>2722</v>
      </c>
      <c r="C1703" t="s">
        <v>953</v>
      </c>
      <c r="D1703">
        <v>20446923</v>
      </c>
      <c r="E1703" t="s">
        <v>2258</v>
      </c>
      <c r="F1703" t="s">
        <v>581</v>
      </c>
      <c r="G1703" t="s">
        <v>2259</v>
      </c>
      <c r="H1703" t="s">
        <v>592</v>
      </c>
      <c r="J1703" s="519">
        <v>46064</v>
      </c>
      <c r="R1703" s="519">
        <v>46114</v>
      </c>
      <c r="U1703" s="519">
        <v>46076</v>
      </c>
    </row>
    <row r="1704" spans="1:21">
      <c r="A1704" t="s">
        <v>953</v>
      </c>
      <c r="B1704" t="s">
        <v>7257</v>
      </c>
      <c r="C1704" t="s">
        <v>953</v>
      </c>
      <c r="D1704">
        <v>20500502</v>
      </c>
      <c r="E1704" t="s">
        <v>2258</v>
      </c>
      <c r="F1704" t="s">
        <v>577</v>
      </c>
      <c r="G1704" t="s">
        <v>2259</v>
      </c>
      <c r="H1704" t="s">
        <v>592</v>
      </c>
      <c r="J1704" s="519">
        <v>46130</v>
      </c>
      <c r="R1704" s="519">
        <v>46139</v>
      </c>
      <c r="U1704" s="519">
        <v>46130</v>
      </c>
    </row>
    <row r="1705" spans="1:21">
      <c r="A1705" t="s">
        <v>953</v>
      </c>
      <c r="B1705" t="s">
        <v>2724</v>
      </c>
      <c r="C1705" t="s">
        <v>953</v>
      </c>
      <c r="D1705">
        <v>20454286</v>
      </c>
      <c r="E1705" t="s">
        <v>2258</v>
      </c>
      <c r="F1705" t="s">
        <v>581</v>
      </c>
      <c r="G1705" t="s">
        <v>2259</v>
      </c>
      <c r="H1705" t="s">
        <v>592</v>
      </c>
      <c r="J1705" s="519">
        <v>46073</v>
      </c>
      <c r="R1705" s="519">
        <v>46114</v>
      </c>
      <c r="U1705" s="519">
        <v>46073</v>
      </c>
    </row>
    <row r="1706" spans="1:21">
      <c r="A1706" t="s">
        <v>953</v>
      </c>
      <c r="B1706" t="s">
        <v>2725</v>
      </c>
      <c r="C1706" t="s">
        <v>953</v>
      </c>
      <c r="D1706">
        <v>20450359</v>
      </c>
      <c r="E1706" t="s">
        <v>2258</v>
      </c>
      <c r="F1706" t="s">
        <v>581</v>
      </c>
      <c r="G1706" t="s">
        <v>2259</v>
      </c>
      <c r="H1706" t="s">
        <v>2388</v>
      </c>
      <c r="J1706" s="519">
        <v>46070</v>
      </c>
      <c r="R1706" s="519">
        <v>46114</v>
      </c>
      <c r="U1706" s="519">
        <v>46070</v>
      </c>
    </row>
    <row r="1707" spans="1:21">
      <c r="A1707" t="s">
        <v>953</v>
      </c>
      <c r="B1707" t="s">
        <v>3761</v>
      </c>
      <c r="C1707" t="s">
        <v>953</v>
      </c>
      <c r="D1707">
        <v>20422821</v>
      </c>
      <c r="E1707" t="s">
        <v>2258</v>
      </c>
      <c r="F1707" t="s">
        <v>581</v>
      </c>
      <c r="G1707" t="s">
        <v>2259</v>
      </c>
      <c r="H1707" t="s">
        <v>592</v>
      </c>
      <c r="J1707" s="519">
        <v>46033</v>
      </c>
      <c r="R1707" s="519">
        <v>46114</v>
      </c>
      <c r="U1707" s="519">
        <v>46113</v>
      </c>
    </row>
    <row r="1708" spans="1:21">
      <c r="A1708" t="s">
        <v>953</v>
      </c>
      <c r="B1708" t="s">
        <v>7258</v>
      </c>
      <c r="C1708" t="s">
        <v>953</v>
      </c>
      <c r="D1708">
        <v>20510179</v>
      </c>
      <c r="E1708" t="s">
        <v>2245</v>
      </c>
      <c r="F1708" t="s">
        <v>581</v>
      </c>
      <c r="G1708" t="s">
        <v>2259</v>
      </c>
      <c r="H1708" t="s">
        <v>593</v>
      </c>
      <c r="J1708" s="519">
        <v>46138</v>
      </c>
      <c r="U1708" s="519">
        <v>46138</v>
      </c>
    </row>
    <row r="1709" spans="1:21">
      <c r="A1709" t="s">
        <v>953</v>
      </c>
      <c r="B1709" t="s">
        <v>2726</v>
      </c>
      <c r="C1709" t="s">
        <v>953</v>
      </c>
      <c r="D1709">
        <v>20458652</v>
      </c>
      <c r="E1709" t="s">
        <v>2258</v>
      </c>
      <c r="F1709" t="s">
        <v>984</v>
      </c>
      <c r="G1709" t="s">
        <v>2259</v>
      </c>
      <c r="H1709" t="s">
        <v>593</v>
      </c>
      <c r="J1709" s="519">
        <v>46080</v>
      </c>
      <c r="R1709" s="519">
        <v>46114</v>
      </c>
      <c r="U1709" s="519">
        <v>46080</v>
      </c>
    </row>
    <row r="1710" spans="1:21">
      <c r="A1710" t="s">
        <v>953</v>
      </c>
      <c r="B1710" t="s">
        <v>2727</v>
      </c>
      <c r="C1710" t="s">
        <v>953</v>
      </c>
      <c r="D1710">
        <v>20440260</v>
      </c>
      <c r="E1710" t="s">
        <v>2258</v>
      </c>
      <c r="F1710" t="s">
        <v>2728</v>
      </c>
      <c r="G1710" t="s">
        <v>2259</v>
      </c>
      <c r="H1710" t="s">
        <v>2388</v>
      </c>
      <c r="J1710" s="519">
        <v>46056</v>
      </c>
      <c r="R1710" s="519">
        <v>46114</v>
      </c>
      <c r="U1710" s="519">
        <v>46078</v>
      </c>
    </row>
    <row r="1711" spans="1:21">
      <c r="A1711" t="s">
        <v>953</v>
      </c>
      <c r="B1711" t="s">
        <v>2729</v>
      </c>
      <c r="C1711" t="s">
        <v>953</v>
      </c>
      <c r="D1711">
        <v>20456835</v>
      </c>
      <c r="E1711" t="s">
        <v>2258</v>
      </c>
      <c r="F1711" t="s">
        <v>984</v>
      </c>
      <c r="G1711" t="s">
        <v>2259</v>
      </c>
      <c r="H1711" t="s">
        <v>2388</v>
      </c>
      <c r="J1711" s="519">
        <v>46077</v>
      </c>
      <c r="R1711" s="519">
        <v>46114</v>
      </c>
      <c r="U1711" s="519">
        <v>46077</v>
      </c>
    </row>
    <row r="1712" spans="1:21">
      <c r="A1712" t="s">
        <v>953</v>
      </c>
      <c r="B1712" t="s">
        <v>3762</v>
      </c>
      <c r="C1712" t="s">
        <v>953</v>
      </c>
      <c r="D1712">
        <v>20493424</v>
      </c>
      <c r="E1712" t="s">
        <v>2258</v>
      </c>
      <c r="F1712" t="s">
        <v>581</v>
      </c>
      <c r="G1712" t="s">
        <v>2259</v>
      </c>
      <c r="H1712" t="s">
        <v>2388</v>
      </c>
      <c r="J1712" s="519">
        <v>46125</v>
      </c>
      <c r="R1712" s="519">
        <v>46129</v>
      </c>
      <c r="U1712" s="519">
        <v>46125</v>
      </c>
    </row>
    <row r="1713" spans="1:21">
      <c r="A1713" t="s">
        <v>953</v>
      </c>
      <c r="B1713" t="s">
        <v>7259</v>
      </c>
      <c r="C1713" t="s">
        <v>953</v>
      </c>
      <c r="D1713">
        <v>20500758</v>
      </c>
      <c r="E1713" t="s">
        <v>2258</v>
      </c>
      <c r="F1713" t="s">
        <v>984</v>
      </c>
      <c r="G1713" t="s">
        <v>2259</v>
      </c>
      <c r="H1713" t="s">
        <v>3138</v>
      </c>
      <c r="J1713" s="519">
        <v>46130</v>
      </c>
      <c r="R1713" s="519">
        <v>46139</v>
      </c>
      <c r="U1713" s="519">
        <v>46130</v>
      </c>
    </row>
    <row r="1714" spans="1:21">
      <c r="A1714" t="s">
        <v>953</v>
      </c>
      <c r="B1714" t="s">
        <v>2730</v>
      </c>
      <c r="C1714" t="s">
        <v>953</v>
      </c>
      <c r="D1714">
        <v>20447695</v>
      </c>
      <c r="E1714" t="s">
        <v>2258</v>
      </c>
      <c r="F1714" t="s">
        <v>581</v>
      </c>
      <c r="G1714" t="s">
        <v>2259</v>
      </c>
      <c r="H1714" t="s">
        <v>2388</v>
      </c>
      <c r="J1714" s="519">
        <v>46065</v>
      </c>
      <c r="R1714" s="519">
        <v>46114</v>
      </c>
      <c r="U1714" s="519">
        <v>46065</v>
      </c>
    </row>
    <row r="1715" spans="1:21">
      <c r="A1715" t="s">
        <v>953</v>
      </c>
      <c r="B1715" t="s">
        <v>7260</v>
      </c>
      <c r="C1715" t="s">
        <v>953</v>
      </c>
      <c r="D1715">
        <v>20504479</v>
      </c>
      <c r="E1715" t="s">
        <v>2245</v>
      </c>
      <c r="F1715" t="s">
        <v>984</v>
      </c>
      <c r="G1715" t="s">
        <v>2259</v>
      </c>
      <c r="H1715" t="s">
        <v>592</v>
      </c>
      <c r="J1715" s="519">
        <v>46133</v>
      </c>
      <c r="U1715" s="519">
        <v>46133</v>
      </c>
    </row>
    <row r="1716" spans="1:21">
      <c r="A1716" t="s">
        <v>953</v>
      </c>
      <c r="B1716" t="s">
        <v>2731</v>
      </c>
      <c r="C1716" t="s">
        <v>953</v>
      </c>
      <c r="D1716">
        <v>20446843</v>
      </c>
      <c r="E1716" t="s">
        <v>2258</v>
      </c>
      <c r="F1716" t="s">
        <v>581</v>
      </c>
      <c r="G1716" t="s">
        <v>2259</v>
      </c>
      <c r="H1716" t="s">
        <v>2388</v>
      </c>
      <c r="J1716" s="519">
        <v>46064</v>
      </c>
      <c r="R1716" s="519">
        <v>46114</v>
      </c>
      <c r="U1716" s="519">
        <v>46064</v>
      </c>
    </row>
    <row r="1717" spans="1:21">
      <c r="A1717" t="s">
        <v>953</v>
      </c>
      <c r="B1717" t="s">
        <v>2732</v>
      </c>
      <c r="C1717" t="s">
        <v>953</v>
      </c>
      <c r="D1717">
        <v>20441170</v>
      </c>
      <c r="E1717" t="s">
        <v>2258</v>
      </c>
      <c r="F1717" t="s">
        <v>581</v>
      </c>
      <c r="G1717" t="s">
        <v>2259</v>
      </c>
      <c r="H1717" t="s">
        <v>592</v>
      </c>
      <c r="J1717" s="519">
        <v>46057</v>
      </c>
      <c r="R1717" s="519">
        <v>46114</v>
      </c>
      <c r="U1717" s="519">
        <v>46266</v>
      </c>
    </row>
    <row r="1718" spans="1:21">
      <c r="A1718" t="s">
        <v>953</v>
      </c>
      <c r="B1718" t="s">
        <v>3763</v>
      </c>
      <c r="C1718" t="s">
        <v>953</v>
      </c>
      <c r="D1718">
        <v>20436805</v>
      </c>
      <c r="E1718" t="s">
        <v>2258</v>
      </c>
      <c r="F1718" t="s">
        <v>577</v>
      </c>
      <c r="G1718" t="s">
        <v>2259</v>
      </c>
      <c r="H1718" t="s">
        <v>593</v>
      </c>
      <c r="J1718" s="519">
        <v>46051</v>
      </c>
      <c r="R1718" s="519">
        <v>46114</v>
      </c>
      <c r="U1718" s="519">
        <v>46051</v>
      </c>
    </row>
    <row r="1719" spans="1:21">
      <c r="A1719" t="s">
        <v>953</v>
      </c>
      <c r="B1719" t="s">
        <v>2733</v>
      </c>
      <c r="C1719" t="s">
        <v>953</v>
      </c>
      <c r="D1719">
        <v>20446785</v>
      </c>
      <c r="E1719" t="s">
        <v>2258</v>
      </c>
      <c r="F1719" t="s">
        <v>984</v>
      </c>
      <c r="G1719" t="s">
        <v>2259</v>
      </c>
      <c r="H1719" t="s">
        <v>2388</v>
      </c>
      <c r="J1719" s="519">
        <v>46064</v>
      </c>
      <c r="R1719" s="519">
        <v>46114</v>
      </c>
      <c r="U1719" s="519">
        <v>46064</v>
      </c>
    </row>
    <row r="1720" spans="1:21">
      <c r="A1720" t="s">
        <v>953</v>
      </c>
      <c r="B1720" t="s">
        <v>3764</v>
      </c>
      <c r="C1720" t="s">
        <v>953</v>
      </c>
      <c r="D1720">
        <v>20484772</v>
      </c>
      <c r="E1720" t="s">
        <v>2258</v>
      </c>
      <c r="F1720" t="s">
        <v>984</v>
      </c>
      <c r="G1720" t="s">
        <v>2259</v>
      </c>
      <c r="H1720" t="s">
        <v>2388</v>
      </c>
      <c r="J1720" s="519">
        <v>46113</v>
      </c>
      <c r="R1720" s="519">
        <v>46114</v>
      </c>
      <c r="U1720" s="519">
        <v>46143</v>
      </c>
    </row>
    <row r="1721" spans="1:21">
      <c r="A1721" t="s">
        <v>953</v>
      </c>
      <c r="B1721" t="s">
        <v>2734</v>
      </c>
      <c r="C1721" t="s">
        <v>953</v>
      </c>
      <c r="D1721">
        <v>20456374</v>
      </c>
      <c r="E1721" t="s">
        <v>2258</v>
      </c>
      <c r="F1721" t="s">
        <v>581</v>
      </c>
      <c r="G1721" t="s">
        <v>2259</v>
      </c>
      <c r="H1721" t="s">
        <v>2388</v>
      </c>
      <c r="J1721" s="519">
        <v>46077</v>
      </c>
      <c r="R1721" s="519">
        <v>46114</v>
      </c>
      <c r="U1721" s="519">
        <v>46077</v>
      </c>
    </row>
    <row r="1722" spans="1:21">
      <c r="A1722" t="s">
        <v>953</v>
      </c>
      <c r="B1722" t="s">
        <v>7261</v>
      </c>
      <c r="C1722" t="s">
        <v>953</v>
      </c>
      <c r="D1722">
        <v>20512119</v>
      </c>
      <c r="E1722" t="s">
        <v>2245</v>
      </c>
      <c r="F1722" t="s">
        <v>984</v>
      </c>
      <c r="G1722" t="s">
        <v>2259</v>
      </c>
      <c r="H1722" t="s">
        <v>2388</v>
      </c>
      <c r="J1722" s="519">
        <v>46140</v>
      </c>
      <c r="U1722" s="519">
        <v>46140</v>
      </c>
    </row>
    <row r="1723" spans="1:21">
      <c r="A1723" t="s">
        <v>953</v>
      </c>
      <c r="B1723" t="s">
        <v>3765</v>
      </c>
      <c r="C1723" t="s">
        <v>953</v>
      </c>
      <c r="D1723">
        <v>20415977</v>
      </c>
      <c r="E1723" t="s">
        <v>2258</v>
      </c>
      <c r="F1723" t="s">
        <v>581</v>
      </c>
      <c r="G1723" t="s">
        <v>2259</v>
      </c>
      <c r="H1723" t="s">
        <v>587</v>
      </c>
      <c r="J1723" s="519">
        <v>46022</v>
      </c>
      <c r="R1723" s="519">
        <v>46114</v>
      </c>
      <c r="U1723" s="519">
        <v>46023</v>
      </c>
    </row>
    <row r="1724" spans="1:21">
      <c r="A1724" t="s">
        <v>953</v>
      </c>
      <c r="B1724" t="s">
        <v>2735</v>
      </c>
      <c r="C1724" t="s">
        <v>953</v>
      </c>
      <c r="D1724">
        <v>20419108</v>
      </c>
      <c r="E1724" t="s">
        <v>2258</v>
      </c>
      <c r="F1724" t="s">
        <v>581</v>
      </c>
      <c r="G1724" t="s">
        <v>2259</v>
      </c>
      <c r="H1724" t="s">
        <v>587</v>
      </c>
      <c r="J1724" s="519">
        <v>46028</v>
      </c>
      <c r="R1724" s="519">
        <v>46114</v>
      </c>
      <c r="U1724" s="519">
        <v>46028</v>
      </c>
    </row>
    <row r="1725" spans="1:21">
      <c r="A1725" t="s">
        <v>953</v>
      </c>
      <c r="B1725" t="s">
        <v>2735</v>
      </c>
      <c r="C1725" t="s">
        <v>953</v>
      </c>
      <c r="D1725">
        <v>20448452</v>
      </c>
      <c r="E1725" t="s">
        <v>2258</v>
      </c>
      <c r="F1725" t="s">
        <v>984</v>
      </c>
      <c r="G1725" t="s">
        <v>2259</v>
      </c>
      <c r="H1725" t="s">
        <v>593</v>
      </c>
      <c r="J1725" s="519">
        <v>46066</v>
      </c>
      <c r="R1725" s="519">
        <v>46114</v>
      </c>
      <c r="U1725" s="519">
        <v>46066</v>
      </c>
    </row>
    <row r="1726" spans="1:21">
      <c r="A1726" t="s">
        <v>953</v>
      </c>
      <c r="B1726" t="s">
        <v>2735</v>
      </c>
      <c r="C1726" t="s">
        <v>953</v>
      </c>
      <c r="D1726">
        <v>20416533</v>
      </c>
      <c r="E1726" t="s">
        <v>2258</v>
      </c>
      <c r="F1726" t="s">
        <v>581</v>
      </c>
      <c r="G1726" t="s">
        <v>2259</v>
      </c>
      <c r="H1726" t="s">
        <v>587</v>
      </c>
      <c r="J1726" s="519">
        <v>46024</v>
      </c>
      <c r="R1726" s="519">
        <v>46114</v>
      </c>
      <c r="U1726" s="519">
        <v>46024</v>
      </c>
    </row>
    <row r="1727" spans="1:21">
      <c r="A1727" t="s">
        <v>953</v>
      </c>
      <c r="B1727" t="s">
        <v>2735</v>
      </c>
      <c r="C1727" t="s">
        <v>953</v>
      </c>
      <c r="D1727">
        <v>20441438</v>
      </c>
      <c r="E1727" t="s">
        <v>2258</v>
      </c>
      <c r="F1727" t="s">
        <v>579</v>
      </c>
      <c r="G1727" t="s">
        <v>2259</v>
      </c>
      <c r="H1727" t="s">
        <v>2388</v>
      </c>
      <c r="J1727" s="519">
        <v>46058</v>
      </c>
      <c r="R1727" s="519">
        <v>46114</v>
      </c>
      <c r="U1727" s="519">
        <v>46058</v>
      </c>
    </row>
    <row r="1728" spans="1:21">
      <c r="A1728" t="s">
        <v>953</v>
      </c>
      <c r="B1728" t="s">
        <v>2735</v>
      </c>
      <c r="C1728" t="s">
        <v>953</v>
      </c>
      <c r="D1728">
        <v>20493484</v>
      </c>
      <c r="E1728" t="s">
        <v>2258</v>
      </c>
      <c r="F1728" t="s">
        <v>581</v>
      </c>
      <c r="G1728" t="s">
        <v>2259</v>
      </c>
      <c r="H1728" t="s">
        <v>593</v>
      </c>
      <c r="J1728" s="519">
        <v>46125</v>
      </c>
      <c r="R1728" s="519">
        <v>46129</v>
      </c>
      <c r="U1728" s="519">
        <v>46125</v>
      </c>
    </row>
    <row r="1729" spans="1:21">
      <c r="A1729" t="s">
        <v>953</v>
      </c>
      <c r="B1729" t="s">
        <v>2735</v>
      </c>
      <c r="C1729" t="s">
        <v>953</v>
      </c>
      <c r="D1729">
        <v>20504934</v>
      </c>
      <c r="E1729" t="s">
        <v>2245</v>
      </c>
      <c r="F1729" t="s">
        <v>984</v>
      </c>
      <c r="G1729" t="s">
        <v>2259</v>
      </c>
      <c r="H1729" t="s">
        <v>2388</v>
      </c>
      <c r="J1729" s="519">
        <v>46133</v>
      </c>
      <c r="U1729" s="519">
        <v>46133</v>
      </c>
    </row>
    <row r="1730" spans="1:21">
      <c r="A1730" t="s">
        <v>953</v>
      </c>
      <c r="B1730" t="s">
        <v>2735</v>
      </c>
      <c r="C1730" t="s">
        <v>953</v>
      </c>
      <c r="D1730">
        <v>20512081</v>
      </c>
      <c r="E1730" t="s">
        <v>2245</v>
      </c>
      <c r="F1730" t="s">
        <v>984</v>
      </c>
      <c r="G1730" t="s">
        <v>2259</v>
      </c>
      <c r="H1730" t="s">
        <v>2388</v>
      </c>
      <c r="J1730" s="519">
        <v>46140</v>
      </c>
      <c r="U1730" s="519">
        <v>46140</v>
      </c>
    </row>
    <row r="1731" spans="1:21">
      <c r="A1731" t="s">
        <v>953</v>
      </c>
      <c r="B1731" t="s">
        <v>2735</v>
      </c>
      <c r="C1731" t="s">
        <v>953</v>
      </c>
      <c r="D1731">
        <v>20485894</v>
      </c>
      <c r="E1731" t="s">
        <v>2258</v>
      </c>
      <c r="F1731" t="s">
        <v>581</v>
      </c>
      <c r="G1731" t="s">
        <v>2259</v>
      </c>
      <c r="H1731" t="s">
        <v>592</v>
      </c>
      <c r="J1731" s="519">
        <v>46114</v>
      </c>
      <c r="R1731" s="519">
        <v>46114</v>
      </c>
      <c r="U1731" s="519">
        <v>46114</v>
      </c>
    </row>
    <row r="1732" spans="1:21">
      <c r="A1732" t="s">
        <v>953</v>
      </c>
      <c r="B1732" t="s">
        <v>2735</v>
      </c>
      <c r="C1732" t="s">
        <v>953</v>
      </c>
      <c r="D1732">
        <v>20511973</v>
      </c>
      <c r="E1732" t="s">
        <v>2245</v>
      </c>
      <c r="F1732" t="s">
        <v>984</v>
      </c>
      <c r="G1732" t="s">
        <v>2259</v>
      </c>
      <c r="H1732" t="s">
        <v>592</v>
      </c>
      <c r="J1732" s="519">
        <v>46140</v>
      </c>
      <c r="U1732" s="519">
        <v>46140</v>
      </c>
    </row>
    <row r="1733" spans="1:21">
      <c r="A1733" t="s">
        <v>953</v>
      </c>
      <c r="B1733" t="s">
        <v>2735</v>
      </c>
      <c r="C1733" t="s">
        <v>953</v>
      </c>
      <c r="D1733">
        <v>20475771</v>
      </c>
      <c r="E1733" t="s">
        <v>2258</v>
      </c>
      <c r="F1733" t="s">
        <v>581</v>
      </c>
      <c r="G1733" t="s">
        <v>2259</v>
      </c>
      <c r="H1733" t="s">
        <v>2388</v>
      </c>
      <c r="J1733" s="519">
        <v>46100</v>
      </c>
      <c r="R1733" s="519">
        <v>46114</v>
      </c>
      <c r="U1733" s="519">
        <v>46157</v>
      </c>
    </row>
    <row r="1734" spans="1:21">
      <c r="A1734" t="s">
        <v>953</v>
      </c>
      <c r="B1734" t="s">
        <v>2735</v>
      </c>
      <c r="C1734" t="s">
        <v>953</v>
      </c>
      <c r="D1734">
        <v>20465384</v>
      </c>
      <c r="E1734" t="s">
        <v>2258</v>
      </c>
      <c r="F1734" t="s">
        <v>984</v>
      </c>
      <c r="G1734" t="s">
        <v>2259</v>
      </c>
      <c r="H1734" t="s">
        <v>2388</v>
      </c>
      <c r="J1734" s="519">
        <v>46090</v>
      </c>
      <c r="R1734" s="519">
        <v>46114</v>
      </c>
      <c r="U1734" s="519">
        <v>46090</v>
      </c>
    </row>
    <row r="1735" spans="1:21">
      <c r="A1735" t="s">
        <v>953</v>
      </c>
      <c r="B1735" t="s">
        <v>2735</v>
      </c>
      <c r="C1735" t="s">
        <v>953</v>
      </c>
      <c r="D1735">
        <v>20422574</v>
      </c>
      <c r="E1735" t="s">
        <v>2258</v>
      </c>
      <c r="F1735" t="s">
        <v>581</v>
      </c>
      <c r="G1735" t="s">
        <v>1213</v>
      </c>
      <c r="H1735" t="s">
        <v>587</v>
      </c>
      <c r="J1735" s="519">
        <v>46032</v>
      </c>
      <c r="R1735" s="519">
        <v>46114</v>
      </c>
      <c r="U1735" s="519">
        <v>46032</v>
      </c>
    </row>
    <row r="1736" spans="1:21">
      <c r="A1736" t="s">
        <v>953</v>
      </c>
      <c r="B1736" t="s">
        <v>2735</v>
      </c>
      <c r="C1736" t="s">
        <v>953</v>
      </c>
      <c r="D1736">
        <v>20416990</v>
      </c>
      <c r="E1736" t="s">
        <v>2258</v>
      </c>
      <c r="F1736" t="s">
        <v>581</v>
      </c>
      <c r="G1736" t="s">
        <v>2259</v>
      </c>
      <c r="H1736" t="s">
        <v>587</v>
      </c>
      <c r="J1736" s="519">
        <v>46024</v>
      </c>
      <c r="R1736" s="519">
        <v>46114</v>
      </c>
      <c r="U1736" s="519">
        <v>46024</v>
      </c>
    </row>
    <row r="1737" spans="1:21">
      <c r="A1737" t="s">
        <v>953</v>
      </c>
      <c r="B1737" t="s">
        <v>2735</v>
      </c>
      <c r="C1737" t="s">
        <v>953</v>
      </c>
      <c r="D1737">
        <v>20415966</v>
      </c>
      <c r="E1737" t="s">
        <v>2258</v>
      </c>
      <c r="F1737" t="s">
        <v>581</v>
      </c>
      <c r="G1737" t="s">
        <v>2259</v>
      </c>
      <c r="H1737" t="s">
        <v>591</v>
      </c>
      <c r="J1737" s="519">
        <v>46022</v>
      </c>
      <c r="R1737" s="519">
        <v>46114</v>
      </c>
      <c r="U1737" s="519">
        <v>46022</v>
      </c>
    </row>
    <row r="1738" spans="1:21">
      <c r="A1738" t="s">
        <v>953</v>
      </c>
      <c r="B1738" t="s">
        <v>2735</v>
      </c>
      <c r="C1738" t="s">
        <v>953</v>
      </c>
      <c r="D1738">
        <v>20486090</v>
      </c>
      <c r="E1738" t="s">
        <v>2258</v>
      </c>
      <c r="F1738" t="s">
        <v>581</v>
      </c>
      <c r="G1738" t="s">
        <v>2259</v>
      </c>
      <c r="H1738" t="s">
        <v>593</v>
      </c>
      <c r="J1738" s="519">
        <v>46114</v>
      </c>
      <c r="R1738" s="519">
        <v>46114</v>
      </c>
      <c r="U1738" s="519">
        <v>46114</v>
      </c>
    </row>
    <row r="1739" spans="1:21">
      <c r="A1739" t="s">
        <v>953</v>
      </c>
      <c r="B1739" t="s">
        <v>2735</v>
      </c>
      <c r="C1739" t="s">
        <v>953</v>
      </c>
      <c r="D1739">
        <v>20511891</v>
      </c>
      <c r="E1739" t="s">
        <v>2245</v>
      </c>
      <c r="F1739" t="s">
        <v>984</v>
      </c>
      <c r="G1739" t="s">
        <v>2259</v>
      </c>
      <c r="H1739" t="s">
        <v>3138</v>
      </c>
      <c r="J1739" s="519">
        <v>46140</v>
      </c>
      <c r="U1739" s="519">
        <v>46140</v>
      </c>
    </row>
    <row r="1740" spans="1:21">
      <c r="A1740" t="s">
        <v>953</v>
      </c>
      <c r="B1740" t="s">
        <v>2735</v>
      </c>
      <c r="C1740" t="s">
        <v>953</v>
      </c>
      <c r="D1740">
        <v>20459633</v>
      </c>
      <c r="E1740" t="s">
        <v>2258</v>
      </c>
      <c r="F1740" t="s">
        <v>581</v>
      </c>
      <c r="G1740" t="s">
        <v>2259</v>
      </c>
      <c r="H1740" t="s">
        <v>592</v>
      </c>
      <c r="J1740" s="519">
        <v>46081</v>
      </c>
      <c r="R1740" s="519">
        <v>46114</v>
      </c>
      <c r="U1740" s="519">
        <v>46096</v>
      </c>
    </row>
    <row r="1741" spans="1:21">
      <c r="A1741" t="s">
        <v>953</v>
      </c>
      <c r="B1741" t="s">
        <v>2735</v>
      </c>
      <c r="C1741" t="s">
        <v>953</v>
      </c>
      <c r="D1741">
        <v>20495092</v>
      </c>
      <c r="E1741" t="s">
        <v>2258</v>
      </c>
      <c r="F1741" t="s">
        <v>581</v>
      </c>
      <c r="G1741" t="s">
        <v>2259</v>
      </c>
      <c r="H1741" t="s">
        <v>592</v>
      </c>
      <c r="J1741" s="519">
        <v>46126</v>
      </c>
      <c r="R1741" s="519">
        <v>46139</v>
      </c>
      <c r="U1741" s="519">
        <v>46126</v>
      </c>
    </row>
    <row r="1742" spans="1:21">
      <c r="A1742" t="s">
        <v>953</v>
      </c>
      <c r="B1742" t="s">
        <v>2735</v>
      </c>
      <c r="C1742" t="s">
        <v>953</v>
      </c>
      <c r="D1742">
        <v>20411920</v>
      </c>
      <c r="E1742" t="s">
        <v>2258</v>
      </c>
      <c r="F1742" t="s">
        <v>581</v>
      </c>
      <c r="G1742" t="s">
        <v>2259</v>
      </c>
      <c r="H1742" t="s">
        <v>587</v>
      </c>
      <c r="J1742" s="519">
        <v>46014</v>
      </c>
      <c r="R1742" s="519">
        <v>46114</v>
      </c>
      <c r="U1742" s="519">
        <v>46014</v>
      </c>
    </row>
    <row r="1743" spans="1:21">
      <c r="A1743" t="s">
        <v>953</v>
      </c>
      <c r="B1743" t="s">
        <v>2735</v>
      </c>
      <c r="C1743" t="s">
        <v>953</v>
      </c>
      <c r="D1743">
        <v>20499835</v>
      </c>
      <c r="E1743" t="s">
        <v>2258</v>
      </c>
      <c r="F1743" t="s">
        <v>984</v>
      </c>
      <c r="G1743" t="s">
        <v>2259</v>
      </c>
      <c r="H1743" t="s">
        <v>593</v>
      </c>
      <c r="J1743" s="519">
        <v>46129</v>
      </c>
      <c r="R1743" s="519">
        <v>46130</v>
      </c>
      <c r="U1743" s="519">
        <v>46129</v>
      </c>
    </row>
    <row r="1744" spans="1:21">
      <c r="A1744" t="s">
        <v>953</v>
      </c>
      <c r="B1744" t="s">
        <v>2735</v>
      </c>
      <c r="C1744" t="s">
        <v>953</v>
      </c>
      <c r="D1744">
        <v>20473505</v>
      </c>
      <c r="E1744" t="s">
        <v>2258</v>
      </c>
      <c r="F1744" t="s">
        <v>581</v>
      </c>
      <c r="G1744" t="s">
        <v>2290</v>
      </c>
      <c r="H1744" t="s">
        <v>587</v>
      </c>
      <c r="J1744" s="519">
        <v>46098</v>
      </c>
      <c r="R1744" s="519">
        <v>46114</v>
      </c>
      <c r="U1744" s="519">
        <v>46098</v>
      </c>
    </row>
    <row r="1745" spans="1:21">
      <c r="A1745" t="s">
        <v>953</v>
      </c>
      <c r="B1745" t="s">
        <v>2735</v>
      </c>
      <c r="C1745" t="s">
        <v>953</v>
      </c>
      <c r="D1745">
        <v>20449846</v>
      </c>
      <c r="E1745" t="s">
        <v>2258</v>
      </c>
      <c r="F1745" t="s">
        <v>984</v>
      </c>
      <c r="G1745" t="s">
        <v>2259</v>
      </c>
      <c r="H1745" t="s">
        <v>2388</v>
      </c>
      <c r="J1745" s="519">
        <v>46069</v>
      </c>
      <c r="R1745" s="519">
        <v>46114</v>
      </c>
      <c r="U1745" s="519">
        <v>46069</v>
      </c>
    </row>
    <row r="1746" spans="1:21">
      <c r="A1746" t="s">
        <v>953</v>
      </c>
      <c r="B1746" t="s">
        <v>2735</v>
      </c>
      <c r="C1746" t="s">
        <v>953</v>
      </c>
      <c r="D1746">
        <v>20504279</v>
      </c>
      <c r="E1746" t="s">
        <v>2258</v>
      </c>
      <c r="F1746" t="s">
        <v>581</v>
      </c>
      <c r="G1746" t="s">
        <v>2290</v>
      </c>
      <c r="H1746" t="s">
        <v>591</v>
      </c>
      <c r="J1746" s="519">
        <v>46132</v>
      </c>
      <c r="R1746" s="519">
        <v>46139</v>
      </c>
      <c r="U1746" s="519">
        <v>46132</v>
      </c>
    </row>
    <row r="1747" spans="1:21">
      <c r="A1747" t="s">
        <v>953</v>
      </c>
      <c r="B1747" t="s">
        <v>2735</v>
      </c>
      <c r="C1747" t="s">
        <v>953</v>
      </c>
      <c r="D1747">
        <v>20499110</v>
      </c>
      <c r="E1747" t="s">
        <v>2258</v>
      </c>
      <c r="F1747" t="s">
        <v>984</v>
      </c>
      <c r="G1747" t="s">
        <v>2259</v>
      </c>
      <c r="H1747" t="s">
        <v>2388</v>
      </c>
      <c r="J1747" s="519">
        <v>46129</v>
      </c>
      <c r="R1747" s="519">
        <v>46139</v>
      </c>
      <c r="U1747" s="519">
        <v>46129</v>
      </c>
    </row>
    <row r="1748" spans="1:21">
      <c r="A1748" t="s">
        <v>953</v>
      </c>
      <c r="B1748" t="s">
        <v>2735</v>
      </c>
      <c r="C1748" t="s">
        <v>953</v>
      </c>
      <c r="D1748">
        <v>20486571</v>
      </c>
      <c r="E1748" t="s">
        <v>2258</v>
      </c>
      <c r="F1748" t="s">
        <v>581</v>
      </c>
      <c r="G1748" t="s">
        <v>2259</v>
      </c>
      <c r="H1748" t="s">
        <v>3138</v>
      </c>
      <c r="J1748" s="519">
        <v>46115</v>
      </c>
      <c r="R1748" s="519">
        <v>46115</v>
      </c>
      <c r="U1748" s="519">
        <v>46115</v>
      </c>
    </row>
    <row r="1749" spans="1:21">
      <c r="A1749" t="s">
        <v>953</v>
      </c>
      <c r="B1749" t="s">
        <v>2735</v>
      </c>
      <c r="C1749" t="s">
        <v>953</v>
      </c>
      <c r="D1749">
        <v>20507621</v>
      </c>
      <c r="E1749" t="s">
        <v>2245</v>
      </c>
      <c r="F1749" t="s">
        <v>984</v>
      </c>
      <c r="G1749" t="s">
        <v>2259</v>
      </c>
      <c r="H1749" t="s">
        <v>592</v>
      </c>
      <c r="J1749" s="519">
        <v>46135</v>
      </c>
      <c r="U1749" s="519">
        <v>46135</v>
      </c>
    </row>
    <row r="1750" spans="1:21">
      <c r="A1750" t="s">
        <v>953</v>
      </c>
      <c r="B1750" t="s">
        <v>2735</v>
      </c>
      <c r="C1750" t="s">
        <v>953</v>
      </c>
      <c r="D1750">
        <v>20491906</v>
      </c>
      <c r="E1750" t="s">
        <v>2258</v>
      </c>
      <c r="F1750" t="s">
        <v>984</v>
      </c>
      <c r="G1750" t="s">
        <v>2259</v>
      </c>
      <c r="H1750" t="s">
        <v>592</v>
      </c>
      <c r="J1750" s="519">
        <v>46122</v>
      </c>
      <c r="R1750" s="519">
        <v>46139</v>
      </c>
      <c r="U1750" s="519">
        <v>46122</v>
      </c>
    </row>
    <row r="1751" spans="1:21">
      <c r="A1751" t="s">
        <v>953</v>
      </c>
      <c r="B1751" t="s">
        <v>2735</v>
      </c>
      <c r="C1751" t="s">
        <v>953</v>
      </c>
      <c r="D1751">
        <v>20504278</v>
      </c>
      <c r="E1751" t="s">
        <v>2245</v>
      </c>
      <c r="F1751" t="s">
        <v>581</v>
      </c>
      <c r="G1751" t="s">
        <v>2246</v>
      </c>
      <c r="H1751" t="s">
        <v>587</v>
      </c>
      <c r="J1751" s="519">
        <v>46132</v>
      </c>
      <c r="U1751" s="519">
        <v>46132</v>
      </c>
    </row>
    <row r="1752" spans="1:21">
      <c r="A1752" t="s">
        <v>953</v>
      </c>
      <c r="B1752" t="s">
        <v>2735</v>
      </c>
      <c r="C1752" t="s">
        <v>953</v>
      </c>
      <c r="D1752">
        <v>20499101</v>
      </c>
      <c r="E1752" t="s">
        <v>2258</v>
      </c>
      <c r="F1752" t="s">
        <v>984</v>
      </c>
      <c r="G1752" t="s">
        <v>2259</v>
      </c>
      <c r="H1752" t="s">
        <v>2388</v>
      </c>
      <c r="J1752" s="519">
        <v>46129</v>
      </c>
      <c r="R1752" s="519">
        <v>46139</v>
      </c>
      <c r="U1752" s="519">
        <v>46129</v>
      </c>
    </row>
    <row r="1753" spans="1:21">
      <c r="A1753" t="s">
        <v>953</v>
      </c>
      <c r="B1753" t="s">
        <v>2735</v>
      </c>
      <c r="C1753" t="s">
        <v>953</v>
      </c>
      <c r="D1753">
        <v>20449931</v>
      </c>
      <c r="E1753" t="s">
        <v>2258</v>
      </c>
      <c r="F1753" t="s">
        <v>984</v>
      </c>
      <c r="G1753" t="s">
        <v>2259</v>
      </c>
      <c r="H1753" t="s">
        <v>592</v>
      </c>
      <c r="J1753" s="519">
        <v>46069</v>
      </c>
      <c r="R1753" s="519">
        <v>46114</v>
      </c>
      <c r="U1753" s="519">
        <v>46069</v>
      </c>
    </row>
    <row r="1754" spans="1:21">
      <c r="A1754" t="s">
        <v>953</v>
      </c>
      <c r="B1754" t="s">
        <v>2735</v>
      </c>
      <c r="C1754" t="s">
        <v>953</v>
      </c>
      <c r="D1754">
        <v>20507718</v>
      </c>
      <c r="E1754" t="s">
        <v>2245</v>
      </c>
      <c r="F1754" t="s">
        <v>984</v>
      </c>
      <c r="G1754" t="s">
        <v>2259</v>
      </c>
      <c r="H1754" t="s">
        <v>2388</v>
      </c>
      <c r="J1754" s="519">
        <v>46135</v>
      </c>
      <c r="U1754" s="519">
        <v>46135</v>
      </c>
    </row>
    <row r="1755" spans="1:21">
      <c r="A1755" t="s">
        <v>953</v>
      </c>
      <c r="B1755" t="s">
        <v>2735</v>
      </c>
      <c r="C1755" t="s">
        <v>953</v>
      </c>
      <c r="D1755">
        <v>20415045</v>
      </c>
      <c r="E1755" t="s">
        <v>2258</v>
      </c>
      <c r="F1755" t="s">
        <v>581</v>
      </c>
      <c r="G1755" t="s">
        <v>2259</v>
      </c>
      <c r="H1755" t="s">
        <v>587</v>
      </c>
      <c r="J1755" s="519">
        <v>46021</v>
      </c>
      <c r="R1755" s="519">
        <v>46114</v>
      </c>
      <c r="U1755" s="519">
        <v>46021</v>
      </c>
    </row>
    <row r="1756" spans="1:21">
      <c r="A1756" t="s">
        <v>953</v>
      </c>
      <c r="B1756" t="s">
        <v>2735</v>
      </c>
      <c r="C1756" t="s">
        <v>953</v>
      </c>
      <c r="D1756">
        <v>20463880</v>
      </c>
      <c r="E1756" t="s">
        <v>2258</v>
      </c>
      <c r="F1756" t="s">
        <v>581</v>
      </c>
      <c r="G1756" t="s">
        <v>2259</v>
      </c>
      <c r="H1756" t="s">
        <v>592</v>
      </c>
      <c r="J1756" s="519">
        <v>46087</v>
      </c>
      <c r="R1756" s="519">
        <v>46114</v>
      </c>
      <c r="U1756" s="519">
        <v>46087</v>
      </c>
    </row>
    <row r="1757" spans="1:21">
      <c r="A1757" t="s">
        <v>953</v>
      </c>
      <c r="B1757" t="s">
        <v>2735</v>
      </c>
      <c r="C1757" t="s">
        <v>953</v>
      </c>
      <c r="D1757">
        <v>20507828</v>
      </c>
      <c r="E1757" t="s">
        <v>2245</v>
      </c>
      <c r="F1757" t="s">
        <v>984</v>
      </c>
      <c r="G1757" t="s">
        <v>2259</v>
      </c>
      <c r="H1757" t="s">
        <v>2388</v>
      </c>
      <c r="J1757" s="519">
        <v>46135</v>
      </c>
      <c r="U1757" s="519">
        <v>46135</v>
      </c>
    </row>
    <row r="1758" spans="1:21">
      <c r="A1758" t="s">
        <v>953</v>
      </c>
      <c r="B1758" t="s">
        <v>2735</v>
      </c>
      <c r="C1758" t="s">
        <v>953</v>
      </c>
      <c r="D1758">
        <v>20491851</v>
      </c>
      <c r="E1758" t="s">
        <v>2258</v>
      </c>
      <c r="F1758" t="s">
        <v>984</v>
      </c>
      <c r="G1758" t="s">
        <v>2259</v>
      </c>
      <c r="H1758" t="s">
        <v>593</v>
      </c>
      <c r="J1758" s="519">
        <v>46122</v>
      </c>
      <c r="R1758" s="519">
        <v>46139</v>
      </c>
      <c r="U1758" s="519">
        <v>46122</v>
      </c>
    </row>
    <row r="1759" spans="1:21">
      <c r="A1759" t="s">
        <v>953</v>
      </c>
      <c r="B1759" t="s">
        <v>2735</v>
      </c>
      <c r="C1759" t="s">
        <v>953</v>
      </c>
      <c r="D1759">
        <v>20507889</v>
      </c>
      <c r="E1759" t="s">
        <v>2245</v>
      </c>
      <c r="F1759" t="s">
        <v>984</v>
      </c>
      <c r="G1759" t="s">
        <v>2259</v>
      </c>
      <c r="H1759" t="s">
        <v>2388</v>
      </c>
      <c r="J1759" s="519">
        <v>46135</v>
      </c>
      <c r="U1759" s="519">
        <v>46135</v>
      </c>
    </row>
    <row r="1760" spans="1:21">
      <c r="A1760" t="s">
        <v>953</v>
      </c>
      <c r="B1760" t="s">
        <v>2735</v>
      </c>
      <c r="C1760" t="s">
        <v>953</v>
      </c>
      <c r="D1760">
        <v>20508180</v>
      </c>
      <c r="E1760" t="s">
        <v>2245</v>
      </c>
      <c r="F1760" t="s">
        <v>984</v>
      </c>
      <c r="G1760" t="s">
        <v>2259</v>
      </c>
      <c r="H1760" t="s">
        <v>2388</v>
      </c>
      <c r="J1760" s="519">
        <v>46135</v>
      </c>
      <c r="U1760" s="519">
        <v>46135</v>
      </c>
    </row>
    <row r="1761" spans="1:21">
      <c r="A1761" t="s">
        <v>953</v>
      </c>
      <c r="B1761" t="s">
        <v>2735</v>
      </c>
      <c r="C1761" t="s">
        <v>953</v>
      </c>
      <c r="D1761">
        <v>20460387</v>
      </c>
      <c r="E1761" t="s">
        <v>2258</v>
      </c>
      <c r="F1761" t="s">
        <v>984</v>
      </c>
      <c r="G1761" t="s">
        <v>2259</v>
      </c>
      <c r="H1761" t="s">
        <v>2388</v>
      </c>
      <c r="J1761" s="519">
        <v>46083</v>
      </c>
      <c r="R1761" s="519">
        <v>46114</v>
      </c>
      <c r="U1761" s="519">
        <v>46083</v>
      </c>
    </row>
    <row r="1762" spans="1:21">
      <c r="A1762" t="s">
        <v>953</v>
      </c>
      <c r="B1762" t="s">
        <v>2735</v>
      </c>
      <c r="C1762" t="s">
        <v>953</v>
      </c>
      <c r="D1762">
        <v>20511257</v>
      </c>
      <c r="E1762" t="s">
        <v>2245</v>
      </c>
      <c r="F1762" t="s">
        <v>581</v>
      </c>
      <c r="G1762" t="s">
        <v>2259</v>
      </c>
      <c r="H1762" t="s">
        <v>592</v>
      </c>
      <c r="J1762" s="519">
        <v>46139</v>
      </c>
      <c r="U1762" s="519">
        <v>46139</v>
      </c>
    </row>
    <row r="1763" spans="1:21">
      <c r="A1763" t="s">
        <v>953</v>
      </c>
      <c r="B1763" t="s">
        <v>2735</v>
      </c>
      <c r="C1763" t="s">
        <v>953</v>
      </c>
      <c r="D1763">
        <v>20454324</v>
      </c>
      <c r="E1763" t="s">
        <v>2258</v>
      </c>
      <c r="F1763" t="s">
        <v>581</v>
      </c>
      <c r="G1763" t="s">
        <v>2259</v>
      </c>
      <c r="H1763" t="s">
        <v>592</v>
      </c>
      <c r="J1763" s="519">
        <v>46073</v>
      </c>
      <c r="R1763" s="519">
        <v>46114</v>
      </c>
      <c r="U1763" s="519">
        <v>46143</v>
      </c>
    </row>
    <row r="1764" spans="1:21">
      <c r="A1764" t="s">
        <v>953</v>
      </c>
      <c r="B1764" t="s">
        <v>2735</v>
      </c>
      <c r="C1764" t="s">
        <v>953</v>
      </c>
      <c r="D1764">
        <v>20435548</v>
      </c>
      <c r="E1764" t="s">
        <v>2258</v>
      </c>
      <c r="F1764" t="s">
        <v>578</v>
      </c>
      <c r="G1764" t="s">
        <v>2259</v>
      </c>
      <c r="H1764" t="s">
        <v>587</v>
      </c>
      <c r="J1764" s="519">
        <v>46049</v>
      </c>
      <c r="R1764" s="519">
        <v>46114</v>
      </c>
      <c r="U1764" s="519">
        <v>46049</v>
      </c>
    </row>
    <row r="1765" spans="1:21">
      <c r="A1765" t="s">
        <v>953</v>
      </c>
      <c r="B1765" t="s">
        <v>2735</v>
      </c>
      <c r="C1765" t="s">
        <v>953</v>
      </c>
      <c r="D1765">
        <v>20412328</v>
      </c>
      <c r="E1765" t="s">
        <v>2258</v>
      </c>
      <c r="F1765" t="s">
        <v>581</v>
      </c>
      <c r="G1765" t="s">
        <v>2259</v>
      </c>
      <c r="H1765" t="s">
        <v>593</v>
      </c>
      <c r="J1765" s="519">
        <v>46015</v>
      </c>
      <c r="R1765" s="519">
        <v>46114</v>
      </c>
      <c r="U1765" s="519">
        <v>46015</v>
      </c>
    </row>
    <row r="1766" spans="1:21">
      <c r="A1766" t="s">
        <v>953</v>
      </c>
      <c r="B1766" t="s">
        <v>2735</v>
      </c>
      <c r="C1766" t="s">
        <v>953</v>
      </c>
      <c r="D1766">
        <v>20498804</v>
      </c>
      <c r="E1766" t="s">
        <v>2258</v>
      </c>
      <c r="F1766" t="s">
        <v>581</v>
      </c>
      <c r="G1766" t="s">
        <v>2259</v>
      </c>
      <c r="H1766" t="s">
        <v>593</v>
      </c>
      <c r="J1766" s="519">
        <v>46129</v>
      </c>
      <c r="R1766" s="519">
        <v>46130</v>
      </c>
      <c r="U1766" s="519">
        <v>46129</v>
      </c>
    </row>
    <row r="1767" spans="1:21">
      <c r="A1767" t="s">
        <v>953</v>
      </c>
      <c r="B1767" t="s">
        <v>2735</v>
      </c>
      <c r="C1767" t="s">
        <v>953</v>
      </c>
      <c r="D1767">
        <v>20416632</v>
      </c>
      <c r="E1767" t="s">
        <v>2258</v>
      </c>
      <c r="F1767" t="s">
        <v>578</v>
      </c>
      <c r="G1767" t="s">
        <v>2259</v>
      </c>
      <c r="H1767" t="s">
        <v>587</v>
      </c>
      <c r="J1767" s="519">
        <v>46024</v>
      </c>
      <c r="R1767" s="519">
        <v>46114</v>
      </c>
      <c r="U1767" s="519">
        <v>46024</v>
      </c>
    </row>
    <row r="1768" spans="1:21">
      <c r="A1768" t="s">
        <v>953</v>
      </c>
      <c r="B1768" t="s">
        <v>2735</v>
      </c>
      <c r="C1768" t="s">
        <v>953</v>
      </c>
      <c r="D1768">
        <v>20428782</v>
      </c>
      <c r="E1768" t="s">
        <v>2258</v>
      </c>
      <c r="F1768" t="s">
        <v>581</v>
      </c>
      <c r="G1768" t="s">
        <v>2259</v>
      </c>
      <c r="H1768" t="s">
        <v>593</v>
      </c>
      <c r="J1768" s="519">
        <v>46038</v>
      </c>
      <c r="R1768" s="519">
        <v>46114</v>
      </c>
      <c r="U1768" s="519">
        <v>46038</v>
      </c>
    </row>
    <row r="1769" spans="1:21">
      <c r="A1769" t="s">
        <v>953</v>
      </c>
      <c r="B1769" t="s">
        <v>2735</v>
      </c>
      <c r="C1769" t="s">
        <v>953</v>
      </c>
      <c r="D1769">
        <v>20472330</v>
      </c>
      <c r="E1769" t="s">
        <v>2258</v>
      </c>
      <c r="F1769" t="s">
        <v>984</v>
      </c>
      <c r="G1769" t="s">
        <v>2259</v>
      </c>
      <c r="H1769" t="s">
        <v>2388</v>
      </c>
      <c r="J1769" s="519">
        <v>46097</v>
      </c>
      <c r="R1769" s="519">
        <v>46114</v>
      </c>
      <c r="U1769" s="519">
        <v>46097</v>
      </c>
    </row>
    <row r="1770" spans="1:21">
      <c r="A1770" t="s">
        <v>953</v>
      </c>
      <c r="B1770" t="s">
        <v>2735</v>
      </c>
      <c r="C1770" t="s">
        <v>953</v>
      </c>
      <c r="D1770">
        <v>20482264</v>
      </c>
      <c r="E1770" t="s">
        <v>2258</v>
      </c>
      <c r="F1770" t="s">
        <v>984</v>
      </c>
      <c r="G1770" t="s">
        <v>2259</v>
      </c>
      <c r="H1770" t="s">
        <v>593</v>
      </c>
      <c r="J1770" s="519">
        <v>46109</v>
      </c>
      <c r="R1770" s="519">
        <v>46139</v>
      </c>
      <c r="U1770" s="519">
        <v>46109</v>
      </c>
    </row>
    <row r="1771" spans="1:21">
      <c r="A1771" t="s">
        <v>953</v>
      </c>
      <c r="B1771" t="s">
        <v>2735</v>
      </c>
      <c r="C1771" t="s">
        <v>953</v>
      </c>
      <c r="D1771">
        <v>20442155</v>
      </c>
      <c r="E1771" t="s">
        <v>2258</v>
      </c>
      <c r="F1771" t="s">
        <v>984</v>
      </c>
      <c r="G1771" t="s">
        <v>2259</v>
      </c>
      <c r="H1771" t="s">
        <v>592</v>
      </c>
      <c r="J1771" s="519">
        <v>46059</v>
      </c>
      <c r="R1771" s="519">
        <v>46114</v>
      </c>
      <c r="U1771" s="519">
        <v>46074</v>
      </c>
    </row>
    <row r="1772" spans="1:21">
      <c r="A1772" t="s">
        <v>953</v>
      </c>
      <c r="B1772" t="s">
        <v>2735</v>
      </c>
      <c r="C1772" t="s">
        <v>953</v>
      </c>
      <c r="D1772">
        <v>20509073</v>
      </c>
      <c r="E1772" t="s">
        <v>2245</v>
      </c>
      <c r="F1772" t="s">
        <v>984</v>
      </c>
      <c r="G1772" t="s">
        <v>2259</v>
      </c>
      <c r="H1772" t="s">
        <v>2388</v>
      </c>
      <c r="J1772" s="519">
        <v>46136</v>
      </c>
      <c r="U1772" s="519">
        <v>46136</v>
      </c>
    </row>
    <row r="1773" spans="1:21">
      <c r="A1773" t="s">
        <v>953</v>
      </c>
      <c r="B1773" t="s">
        <v>2735</v>
      </c>
      <c r="C1773" t="s">
        <v>953</v>
      </c>
      <c r="D1773">
        <v>20461435</v>
      </c>
      <c r="E1773" t="s">
        <v>2258</v>
      </c>
      <c r="F1773" t="s">
        <v>581</v>
      </c>
      <c r="G1773" t="s">
        <v>2259</v>
      </c>
      <c r="H1773" t="s">
        <v>592</v>
      </c>
      <c r="J1773" s="519">
        <v>46084</v>
      </c>
      <c r="R1773" s="519">
        <v>46114</v>
      </c>
      <c r="U1773" s="519">
        <v>46084</v>
      </c>
    </row>
    <row r="1774" spans="1:21">
      <c r="A1774" t="s">
        <v>953</v>
      </c>
      <c r="B1774" t="s">
        <v>2735</v>
      </c>
      <c r="C1774" t="s">
        <v>953</v>
      </c>
      <c r="D1774">
        <v>20496966</v>
      </c>
      <c r="E1774" t="s">
        <v>2245</v>
      </c>
      <c r="F1774" t="s">
        <v>984</v>
      </c>
      <c r="G1774" t="s">
        <v>2259</v>
      </c>
      <c r="H1774" t="s">
        <v>2388</v>
      </c>
      <c r="J1774" s="519">
        <v>46127</v>
      </c>
      <c r="U1774" s="519">
        <v>46127</v>
      </c>
    </row>
    <row r="1775" spans="1:21">
      <c r="A1775" t="s">
        <v>953</v>
      </c>
      <c r="B1775" t="s">
        <v>2735</v>
      </c>
      <c r="C1775" t="s">
        <v>953</v>
      </c>
      <c r="D1775">
        <v>20490661</v>
      </c>
      <c r="E1775" t="s">
        <v>2258</v>
      </c>
      <c r="F1775" t="s">
        <v>581</v>
      </c>
      <c r="G1775" t="s">
        <v>2259</v>
      </c>
      <c r="H1775" t="s">
        <v>2388</v>
      </c>
      <c r="J1775" s="519">
        <v>46121</v>
      </c>
      <c r="R1775" s="519">
        <v>46139</v>
      </c>
      <c r="U1775" s="519">
        <v>46121</v>
      </c>
    </row>
    <row r="1776" spans="1:21">
      <c r="A1776" t="s">
        <v>953</v>
      </c>
      <c r="B1776" t="s">
        <v>2735</v>
      </c>
      <c r="C1776" t="s">
        <v>953</v>
      </c>
      <c r="D1776">
        <v>20509166</v>
      </c>
      <c r="E1776" t="s">
        <v>2245</v>
      </c>
      <c r="F1776" t="s">
        <v>984</v>
      </c>
      <c r="G1776" t="s">
        <v>2259</v>
      </c>
      <c r="H1776" t="s">
        <v>592</v>
      </c>
      <c r="J1776" s="519">
        <v>46136</v>
      </c>
      <c r="U1776" s="519">
        <v>46136</v>
      </c>
    </row>
    <row r="1777" spans="1:21">
      <c r="A1777" t="s">
        <v>953</v>
      </c>
      <c r="B1777" t="s">
        <v>2735</v>
      </c>
      <c r="C1777" t="s">
        <v>953</v>
      </c>
      <c r="D1777">
        <v>20509214</v>
      </c>
      <c r="E1777" t="s">
        <v>2245</v>
      </c>
      <c r="F1777" t="s">
        <v>581</v>
      </c>
      <c r="G1777" t="s">
        <v>2259</v>
      </c>
      <c r="H1777" t="s">
        <v>3138</v>
      </c>
      <c r="J1777" s="519">
        <v>46136</v>
      </c>
      <c r="U1777" s="519">
        <v>46136</v>
      </c>
    </row>
    <row r="1778" spans="1:21">
      <c r="A1778" t="s">
        <v>953</v>
      </c>
      <c r="B1778" t="s">
        <v>2735</v>
      </c>
      <c r="C1778" t="s">
        <v>953</v>
      </c>
      <c r="D1778">
        <v>20453628</v>
      </c>
      <c r="E1778" t="s">
        <v>2258</v>
      </c>
      <c r="F1778" t="s">
        <v>581</v>
      </c>
      <c r="G1778" t="s">
        <v>2259</v>
      </c>
      <c r="H1778" t="s">
        <v>2388</v>
      </c>
      <c r="J1778" s="519">
        <v>46072</v>
      </c>
      <c r="R1778" s="519">
        <v>46114</v>
      </c>
      <c r="U1778" s="519">
        <v>46072</v>
      </c>
    </row>
    <row r="1779" spans="1:21">
      <c r="A1779" t="s">
        <v>953</v>
      </c>
      <c r="B1779" t="s">
        <v>2735</v>
      </c>
      <c r="C1779" t="s">
        <v>953</v>
      </c>
      <c r="D1779">
        <v>20488205</v>
      </c>
      <c r="E1779" t="s">
        <v>2258</v>
      </c>
      <c r="F1779" t="s">
        <v>984</v>
      </c>
      <c r="G1779" t="s">
        <v>2259</v>
      </c>
      <c r="H1779" t="s">
        <v>2388</v>
      </c>
      <c r="J1779" s="519">
        <v>46118</v>
      </c>
      <c r="R1779" s="519">
        <v>46139</v>
      </c>
      <c r="U1779" s="519">
        <v>46118</v>
      </c>
    </row>
    <row r="1780" spans="1:21">
      <c r="A1780" t="s">
        <v>953</v>
      </c>
      <c r="B1780" t="s">
        <v>2735</v>
      </c>
      <c r="C1780" t="s">
        <v>953</v>
      </c>
      <c r="D1780">
        <v>20450466</v>
      </c>
      <c r="E1780" t="s">
        <v>2258</v>
      </c>
      <c r="F1780" t="s">
        <v>581</v>
      </c>
      <c r="G1780" t="s">
        <v>2259</v>
      </c>
      <c r="H1780" t="s">
        <v>2388</v>
      </c>
      <c r="J1780" s="519">
        <v>46070</v>
      </c>
      <c r="R1780" s="519">
        <v>46114</v>
      </c>
      <c r="U1780" s="519">
        <v>46096</v>
      </c>
    </row>
    <row r="1781" spans="1:21">
      <c r="A1781" t="s">
        <v>953</v>
      </c>
      <c r="B1781" t="s">
        <v>2735</v>
      </c>
      <c r="C1781" t="s">
        <v>953</v>
      </c>
      <c r="D1781">
        <v>20438121</v>
      </c>
      <c r="E1781" t="s">
        <v>2258</v>
      </c>
      <c r="F1781" t="s">
        <v>578</v>
      </c>
      <c r="G1781" t="s">
        <v>2246</v>
      </c>
      <c r="H1781" t="s">
        <v>591</v>
      </c>
      <c r="J1781" s="519">
        <v>46052</v>
      </c>
      <c r="R1781" s="519">
        <v>46114</v>
      </c>
      <c r="U1781" s="519">
        <v>46052</v>
      </c>
    </row>
    <row r="1782" spans="1:21">
      <c r="A1782" t="s">
        <v>953</v>
      </c>
      <c r="B1782" t="s">
        <v>2735</v>
      </c>
      <c r="C1782" t="s">
        <v>953</v>
      </c>
      <c r="D1782">
        <v>20509445</v>
      </c>
      <c r="E1782" t="s">
        <v>2245</v>
      </c>
      <c r="F1782" t="s">
        <v>984</v>
      </c>
      <c r="G1782" t="s">
        <v>2246</v>
      </c>
      <c r="H1782" t="s">
        <v>587</v>
      </c>
      <c r="J1782" s="519">
        <v>46136</v>
      </c>
      <c r="U1782" s="519">
        <v>46136</v>
      </c>
    </row>
    <row r="1783" spans="1:21">
      <c r="A1783" t="s">
        <v>953</v>
      </c>
      <c r="B1783" t="s">
        <v>2735</v>
      </c>
      <c r="C1783" t="s">
        <v>953</v>
      </c>
      <c r="D1783">
        <v>20503619</v>
      </c>
      <c r="E1783" t="s">
        <v>2258</v>
      </c>
      <c r="F1783" t="s">
        <v>984</v>
      </c>
      <c r="G1783" t="s">
        <v>2259</v>
      </c>
      <c r="H1783" t="s">
        <v>3138</v>
      </c>
      <c r="J1783" s="519">
        <v>46132</v>
      </c>
      <c r="R1783" s="519">
        <v>46134</v>
      </c>
      <c r="U1783" s="519">
        <v>46132</v>
      </c>
    </row>
    <row r="1784" spans="1:21">
      <c r="A1784" t="s">
        <v>953</v>
      </c>
      <c r="B1784" t="s">
        <v>2735</v>
      </c>
      <c r="C1784" t="s">
        <v>953</v>
      </c>
      <c r="D1784">
        <v>20503602</v>
      </c>
      <c r="E1784" t="s">
        <v>2245</v>
      </c>
      <c r="F1784" t="s">
        <v>984</v>
      </c>
      <c r="G1784" t="s">
        <v>2259</v>
      </c>
      <c r="H1784" t="s">
        <v>2388</v>
      </c>
      <c r="J1784" s="519">
        <v>46132</v>
      </c>
      <c r="U1784" s="519">
        <v>46132</v>
      </c>
    </row>
    <row r="1785" spans="1:21">
      <c r="A1785" t="s">
        <v>953</v>
      </c>
      <c r="B1785" t="s">
        <v>2735</v>
      </c>
      <c r="C1785" t="s">
        <v>953</v>
      </c>
      <c r="D1785">
        <v>20412785</v>
      </c>
      <c r="E1785" t="s">
        <v>2258</v>
      </c>
      <c r="F1785" t="s">
        <v>577</v>
      </c>
      <c r="G1785" t="s">
        <v>2259</v>
      </c>
      <c r="H1785" t="s">
        <v>587</v>
      </c>
      <c r="J1785" s="519">
        <v>46017</v>
      </c>
      <c r="R1785" s="519">
        <v>46114</v>
      </c>
      <c r="U1785" s="519">
        <v>46017</v>
      </c>
    </row>
    <row r="1786" spans="1:21">
      <c r="A1786" t="s">
        <v>953</v>
      </c>
      <c r="B1786" t="s">
        <v>2735</v>
      </c>
      <c r="C1786" t="s">
        <v>953</v>
      </c>
      <c r="D1786">
        <v>20461553</v>
      </c>
      <c r="E1786" t="s">
        <v>2258</v>
      </c>
      <c r="F1786" t="s">
        <v>984</v>
      </c>
      <c r="G1786" t="s">
        <v>2259</v>
      </c>
      <c r="H1786" t="s">
        <v>2388</v>
      </c>
      <c r="J1786" s="519">
        <v>46084</v>
      </c>
      <c r="R1786" s="519">
        <v>46114</v>
      </c>
      <c r="U1786" s="519">
        <v>46084</v>
      </c>
    </row>
    <row r="1787" spans="1:21">
      <c r="A1787" t="s">
        <v>953</v>
      </c>
      <c r="B1787" t="s">
        <v>2735</v>
      </c>
      <c r="C1787" t="s">
        <v>953</v>
      </c>
      <c r="D1787">
        <v>20461559</v>
      </c>
      <c r="E1787" t="s">
        <v>2258</v>
      </c>
      <c r="F1787" t="s">
        <v>984</v>
      </c>
      <c r="G1787" t="s">
        <v>2259</v>
      </c>
      <c r="H1787" t="s">
        <v>2388</v>
      </c>
      <c r="J1787" s="519">
        <v>46084</v>
      </c>
      <c r="R1787" s="519">
        <v>46114</v>
      </c>
      <c r="U1787" s="519">
        <v>46084</v>
      </c>
    </row>
    <row r="1788" spans="1:21">
      <c r="A1788" t="s">
        <v>953</v>
      </c>
      <c r="B1788" t="s">
        <v>2735</v>
      </c>
      <c r="C1788" t="s">
        <v>953</v>
      </c>
      <c r="D1788">
        <v>20412788</v>
      </c>
      <c r="E1788" t="s">
        <v>2258</v>
      </c>
      <c r="F1788" t="s">
        <v>984</v>
      </c>
      <c r="G1788" t="s">
        <v>2259</v>
      </c>
      <c r="H1788" t="s">
        <v>593</v>
      </c>
      <c r="J1788" s="519">
        <v>46017</v>
      </c>
      <c r="R1788" s="519">
        <v>46114</v>
      </c>
      <c r="U1788" s="519">
        <v>46017</v>
      </c>
    </row>
    <row r="1789" spans="1:21">
      <c r="A1789" t="s">
        <v>953</v>
      </c>
      <c r="B1789" t="s">
        <v>2735</v>
      </c>
      <c r="C1789" t="s">
        <v>953</v>
      </c>
      <c r="D1789">
        <v>20412789</v>
      </c>
      <c r="E1789" t="s">
        <v>2258</v>
      </c>
      <c r="F1789" t="s">
        <v>984</v>
      </c>
      <c r="G1789" t="s">
        <v>2259</v>
      </c>
      <c r="H1789" t="s">
        <v>593</v>
      </c>
      <c r="J1789" s="519">
        <v>46017</v>
      </c>
      <c r="R1789" s="519">
        <v>46114</v>
      </c>
      <c r="U1789" s="519">
        <v>46017</v>
      </c>
    </row>
    <row r="1790" spans="1:21">
      <c r="A1790" t="s">
        <v>953</v>
      </c>
      <c r="B1790" t="s">
        <v>2735</v>
      </c>
      <c r="C1790" t="s">
        <v>953</v>
      </c>
      <c r="D1790">
        <v>20509715</v>
      </c>
      <c r="E1790" t="s">
        <v>2245</v>
      </c>
      <c r="F1790" t="s">
        <v>984</v>
      </c>
      <c r="G1790" t="s">
        <v>2259</v>
      </c>
      <c r="H1790" t="s">
        <v>592</v>
      </c>
      <c r="J1790" s="519">
        <v>46137</v>
      </c>
      <c r="U1790" s="519">
        <v>46137</v>
      </c>
    </row>
    <row r="1791" spans="1:21">
      <c r="A1791" t="s">
        <v>953</v>
      </c>
      <c r="B1791" t="s">
        <v>2735</v>
      </c>
      <c r="C1791" t="s">
        <v>953</v>
      </c>
      <c r="D1791">
        <v>20432115</v>
      </c>
      <c r="E1791" t="s">
        <v>2258</v>
      </c>
      <c r="F1791" t="s">
        <v>577</v>
      </c>
      <c r="G1791" t="s">
        <v>2259</v>
      </c>
      <c r="H1791" t="s">
        <v>2388</v>
      </c>
      <c r="J1791" s="519">
        <v>46043</v>
      </c>
      <c r="R1791" s="519">
        <v>46114</v>
      </c>
      <c r="U1791" s="519">
        <v>46043</v>
      </c>
    </row>
    <row r="1792" spans="1:21">
      <c r="A1792" t="s">
        <v>953</v>
      </c>
      <c r="B1792" t="s">
        <v>2735</v>
      </c>
      <c r="C1792" t="s">
        <v>953</v>
      </c>
      <c r="D1792">
        <v>20488503</v>
      </c>
      <c r="E1792" t="s">
        <v>2258</v>
      </c>
      <c r="F1792" t="s">
        <v>984</v>
      </c>
      <c r="G1792" t="s">
        <v>2259</v>
      </c>
      <c r="H1792" t="s">
        <v>593</v>
      </c>
      <c r="J1792" s="519">
        <v>46118</v>
      </c>
      <c r="R1792" s="519">
        <v>46139</v>
      </c>
      <c r="U1792" s="519">
        <v>46118</v>
      </c>
    </row>
    <row r="1793" spans="1:21">
      <c r="A1793" t="s">
        <v>953</v>
      </c>
      <c r="B1793" t="s">
        <v>2735</v>
      </c>
      <c r="C1793" t="s">
        <v>953</v>
      </c>
      <c r="D1793">
        <v>20412906</v>
      </c>
      <c r="E1793" t="s">
        <v>2258</v>
      </c>
      <c r="F1793" t="s">
        <v>581</v>
      </c>
      <c r="G1793" t="s">
        <v>2259</v>
      </c>
      <c r="H1793" t="s">
        <v>593</v>
      </c>
      <c r="J1793" s="519">
        <v>46017</v>
      </c>
      <c r="R1793" s="519">
        <v>46114</v>
      </c>
      <c r="U1793" s="519">
        <v>46017</v>
      </c>
    </row>
    <row r="1794" spans="1:21">
      <c r="A1794" t="s">
        <v>953</v>
      </c>
      <c r="B1794" t="s">
        <v>2735</v>
      </c>
      <c r="C1794" t="s">
        <v>953</v>
      </c>
      <c r="D1794">
        <v>20442427</v>
      </c>
      <c r="E1794" t="s">
        <v>2258</v>
      </c>
      <c r="F1794" t="s">
        <v>581</v>
      </c>
      <c r="G1794" t="s">
        <v>2259</v>
      </c>
      <c r="H1794" t="s">
        <v>2388</v>
      </c>
      <c r="J1794" s="519">
        <v>46059</v>
      </c>
      <c r="R1794" s="519">
        <v>46114</v>
      </c>
      <c r="U1794" s="519">
        <v>46059</v>
      </c>
    </row>
    <row r="1795" spans="1:21">
      <c r="A1795" t="s">
        <v>953</v>
      </c>
      <c r="B1795" t="s">
        <v>2735</v>
      </c>
      <c r="C1795" t="s">
        <v>953</v>
      </c>
      <c r="D1795">
        <v>20462220</v>
      </c>
      <c r="E1795" t="s">
        <v>2258</v>
      </c>
      <c r="F1795" t="s">
        <v>984</v>
      </c>
      <c r="G1795" t="s">
        <v>2259</v>
      </c>
      <c r="H1795" t="s">
        <v>2388</v>
      </c>
      <c r="J1795" s="519">
        <v>46085</v>
      </c>
      <c r="R1795" s="519">
        <v>46114</v>
      </c>
      <c r="U1795" s="519">
        <v>46085</v>
      </c>
    </row>
    <row r="1796" spans="1:21">
      <c r="A1796" t="s">
        <v>953</v>
      </c>
      <c r="B1796" t="s">
        <v>2735</v>
      </c>
      <c r="C1796" t="s">
        <v>953</v>
      </c>
      <c r="D1796">
        <v>20511937</v>
      </c>
      <c r="E1796" t="s">
        <v>2245</v>
      </c>
      <c r="F1796" t="s">
        <v>984</v>
      </c>
      <c r="G1796" t="s">
        <v>2259</v>
      </c>
      <c r="H1796" t="s">
        <v>3138</v>
      </c>
      <c r="J1796" s="519">
        <v>46140</v>
      </c>
      <c r="U1796" s="519">
        <v>46140</v>
      </c>
    </row>
    <row r="1797" spans="1:21">
      <c r="A1797" t="s">
        <v>953</v>
      </c>
      <c r="B1797" t="s">
        <v>2735</v>
      </c>
      <c r="C1797" t="s">
        <v>953</v>
      </c>
      <c r="D1797">
        <v>20492394</v>
      </c>
      <c r="E1797" t="s">
        <v>2258</v>
      </c>
      <c r="F1797" t="s">
        <v>984</v>
      </c>
      <c r="G1797" t="s">
        <v>2259</v>
      </c>
      <c r="H1797" t="s">
        <v>592</v>
      </c>
      <c r="J1797" s="519">
        <v>46123</v>
      </c>
      <c r="R1797" s="519">
        <v>46139</v>
      </c>
      <c r="U1797" s="519">
        <v>46123</v>
      </c>
    </row>
    <row r="1798" spans="1:21">
      <c r="A1798" t="s">
        <v>953</v>
      </c>
      <c r="B1798" t="s">
        <v>3766</v>
      </c>
      <c r="C1798" t="s">
        <v>953</v>
      </c>
      <c r="D1798">
        <v>20486655</v>
      </c>
      <c r="E1798" t="s">
        <v>2258</v>
      </c>
      <c r="F1798" t="s">
        <v>581</v>
      </c>
      <c r="G1798" t="s">
        <v>2259</v>
      </c>
      <c r="H1798" t="s">
        <v>2388</v>
      </c>
      <c r="J1798" s="519">
        <v>46115</v>
      </c>
      <c r="R1798" s="519">
        <v>46139</v>
      </c>
      <c r="U1798" s="519">
        <v>46115</v>
      </c>
    </row>
    <row r="1799" spans="1:21">
      <c r="A1799" t="s">
        <v>953</v>
      </c>
      <c r="B1799" t="s">
        <v>3207</v>
      </c>
      <c r="C1799" t="s">
        <v>953</v>
      </c>
      <c r="D1799">
        <v>20461415</v>
      </c>
      <c r="E1799" t="s">
        <v>2258</v>
      </c>
      <c r="F1799" t="s">
        <v>984</v>
      </c>
      <c r="G1799" t="s">
        <v>2259</v>
      </c>
      <c r="H1799" t="s">
        <v>592</v>
      </c>
      <c r="J1799" s="519">
        <v>46084</v>
      </c>
      <c r="R1799" s="519">
        <v>46114</v>
      </c>
      <c r="U1799" s="519">
        <v>46091</v>
      </c>
    </row>
    <row r="1800" spans="1:21">
      <c r="A1800" t="s">
        <v>953</v>
      </c>
      <c r="B1800" t="s">
        <v>3207</v>
      </c>
      <c r="C1800" t="s">
        <v>953</v>
      </c>
      <c r="D1800">
        <v>20416588</v>
      </c>
      <c r="E1800" t="s">
        <v>2258</v>
      </c>
      <c r="F1800" t="s">
        <v>581</v>
      </c>
      <c r="G1800" t="s">
        <v>2259</v>
      </c>
      <c r="H1800" t="s">
        <v>593</v>
      </c>
      <c r="J1800" s="519">
        <v>46024</v>
      </c>
      <c r="R1800" s="519">
        <v>46114</v>
      </c>
      <c r="U1800" s="519">
        <v>46024</v>
      </c>
    </row>
    <row r="1801" spans="1:21">
      <c r="A1801" t="s">
        <v>953</v>
      </c>
      <c r="B1801" t="s">
        <v>3207</v>
      </c>
      <c r="C1801" t="s">
        <v>953</v>
      </c>
      <c r="D1801">
        <v>20416481</v>
      </c>
      <c r="E1801" t="s">
        <v>2258</v>
      </c>
      <c r="F1801" t="s">
        <v>581</v>
      </c>
      <c r="G1801" t="s">
        <v>2259</v>
      </c>
      <c r="H1801" t="s">
        <v>593</v>
      </c>
      <c r="J1801" s="519">
        <v>46024</v>
      </c>
      <c r="R1801" s="519">
        <v>46114</v>
      </c>
      <c r="U1801" s="519">
        <v>46024</v>
      </c>
    </row>
    <row r="1802" spans="1:21">
      <c r="A1802" t="s">
        <v>953</v>
      </c>
      <c r="B1802" t="s">
        <v>2736</v>
      </c>
      <c r="C1802" t="s">
        <v>953</v>
      </c>
      <c r="D1802">
        <v>20454260</v>
      </c>
      <c r="E1802" t="s">
        <v>2258</v>
      </c>
      <c r="F1802" t="s">
        <v>581</v>
      </c>
      <c r="G1802" t="s">
        <v>1213</v>
      </c>
      <c r="H1802" t="s">
        <v>587</v>
      </c>
      <c r="J1802" s="519">
        <v>46073</v>
      </c>
      <c r="R1802" s="519">
        <v>46114</v>
      </c>
      <c r="U1802" s="519">
        <v>46142</v>
      </c>
    </row>
    <row r="1803" spans="1:21">
      <c r="A1803" t="s">
        <v>953</v>
      </c>
      <c r="B1803" t="s">
        <v>2737</v>
      </c>
      <c r="C1803" t="s">
        <v>953</v>
      </c>
      <c r="D1803">
        <v>20459406</v>
      </c>
      <c r="E1803" t="s">
        <v>2258</v>
      </c>
      <c r="F1803" t="s">
        <v>581</v>
      </c>
      <c r="G1803" t="s">
        <v>2259</v>
      </c>
      <c r="H1803" t="s">
        <v>2388</v>
      </c>
      <c r="J1803" s="519">
        <v>46081</v>
      </c>
      <c r="R1803" s="519">
        <v>46114</v>
      </c>
      <c r="U1803" s="519">
        <v>46081</v>
      </c>
    </row>
    <row r="1804" spans="1:21">
      <c r="A1804" t="s">
        <v>953</v>
      </c>
      <c r="B1804" t="s">
        <v>3767</v>
      </c>
      <c r="C1804" t="s">
        <v>953</v>
      </c>
      <c r="D1804">
        <v>20435620</v>
      </c>
      <c r="E1804" t="s">
        <v>2258</v>
      </c>
      <c r="F1804" t="s">
        <v>578</v>
      </c>
      <c r="G1804" t="s">
        <v>2259</v>
      </c>
      <c r="H1804" t="s">
        <v>592</v>
      </c>
      <c r="J1804" s="519">
        <v>46049</v>
      </c>
      <c r="R1804" s="519">
        <v>46114</v>
      </c>
      <c r="U1804" s="519">
        <v>46049</v>
      </c>
    </row>
    <row r="1805" spans="1:21">
      <c r="A1805" t="s">
        <v>953</v>
      </c>
      <c r="B1805" t="s">
        <v>2738</v>
      </c>
      <c r="C1805" t="s">
        <v>953</v>
      </c>
      <c r="D1805">
        <v>20447016</v>
      </c>
      <c r="E1805" t="s">
        <v>2258</v>
      </c>
      <c r="F1805" t="s">
        <v>581</v>
      </c>
      <c r="G1805" t="s">
        <v>2259</v>
      </c>
      <c r="H1805" t="s">
        <v>593</v>
      </c>
      <c r="J1805" s="519">
        <v>46064</v>
      </c>
      <c r="R1805" s="519">
        <v>46114</v>
      </c>
      <c r="U1805" s="519">
        <v>46064</v>
      </c>
    </row>
    <row r="1806" spans="1:21">
      <c r="A1806" t="s">
        <v>953</v>
      </c>
      <c r="B1806" t="s">
        <v>3768</v>
      </c>
      <c r="C1806" t="s">
        <v>953</v>
      </c>
      <c r="D1806">
        <v>20430491</v>
      </c>
      <c r="E1806" t="s">
        <v>2258</v>
      </c>
      <c r="F1806" t="s">
        <v>984</v>
      </c>
      <c r="G1806" t="s">
        <v>2259</v>
      </c>
      <c r="H1806" t="s">
        <v>2388</v>
      </c>
      <c r="J1806" s="519">
        <v>46041</v>
      </c>
      <c r="R1806" s="519">
        <v>46114</v>
      </c>
      <c r="U1806" s="519">
        <v>46041</v>
      </c>
    </row>
    <row r="1807" spans="1:21">
      <c r="A1807" t="s">
        <v>953</v>
      </c>
      <c r="B1807" t="s">
        <v>3769</v>
      </c>
      <c r="C1807" t="s">
        <v>953</v>
      </c>
      <c r="D1807">
        <v>20491535</v>
      </c>
      <c r="E1807" t="s">
        <v>2258</v>
      </c>
      <c r="F1807" t="s">
        <v>984</v>
      </c>
      <c r="G1807" t="s">
        <v>2259</v>
      </c>
      <c r="H1807" t="s">
        <v>2388</v>
      </c>
      <c r="J1807" s="519">
        <v>46122</v>
      </c>
      <c r="R1807" s="519">
        <v>46139</v>
      </c>
      <c r="U1807" s="519">
        <v>46122</v>
      </c>
    </row>
    <row r="1808" spans="1:21">
      <c r="A1808" t="s">
        <v>953</v>
      </c>
      <c r="B1808" t="s">
        <v>2739</v>
      </c>
      <c r="C1808" t="s">
        <v>953</v>
      </c>
      <c r="D1808">
        <v>20458849</v>
      </c>
      <c r="E1808" t="s">
        <v>2258</v>
      </c>
      <c r="F1808" t="s">
        <v>577</v>
      </c>
      <c r="G1808" t="s">
        <v>2248</v>
      </c>
      <c r="H1808" t="s">
        <v>588</v>
      </c>
      <c r="J1808" s="519">
        <v>46080</v>
      </c>
      <c r="R1808" s="519">
        <v>46114</v>
      </c>
      <c r="U1808" s="519">
        <v>46080</v>
      </c>
    </row>
    <row r="1809" spans="1:21">
      <c r="A1809" t="s">
        <v>953</v>
      </c>
      <c r="B1809" t="s">
        <v>3770</v>
      </c>
      <c r="C1809" t="s">
        <v>953</v>
      </c>
      <c r="D1809">
        <v>20488180</v>
      </c>
      <c r="E1809" t="s">
        <v>2245</v>
      </c>
      <c r="F1809" t="s">
        <v>984</v>
      </c>
      <c r="G1809" t="s">
        <v>2290</v>
      </c>
      <c r="H1809" t="s">
        <v>587</v>
      </c>
      <c r="J1809" s="519">
        <v>46118</v>
      </c>
      <c r="U1809" s="519">
        <v>46118</v>
      </c>
    </row>
    <row r="1810" spans="1:21">
      <c r="A1810" t="s">
        <v>953</v>
      </c>
      <c r="B1810" t="s">
        <v>3771</v>
      </c>
      <c r="C1810" t="s">
        <v>953</v>
      </c>
      <c r="D1810">
        <v>20418752</v>
      </c>
      <c r="E1810" t="s">
        <v>2258</v>
      </c>
      <c r="F1810" t="s">
        <v>577</v>
      </c>
      <c r="G1810" t="s">
        <v>2248</v>
      </c>
      <c r="H1810" t="s">
        <v>588</v>
      </c>
      <c r="I1810" t="s">
        <v>998</v>
      </c>
      <c r="J1810" s="519">
        <v>46027</v>
      </c>
      <c r="R1810" s="519">
        <v>46114</v>
      </c>
      <c r="U1810" s="519">
        <v>46027</v>
      </c>
    </row>
    <row r="1811" spans="1:21">
      <c r="A1811" t="s">
        <v>953</v>
      </c>
      <c r="B1811" t="s">
        <v>3208</v>
      </c>
      <c r="C1811" t="s">
        <v>953</v>
      </c>
      <c r="D1811">
        <v>20476240</v>
      </c>
      <c r="E1811" t="s">
        <v>2252</v>
      </c>
      <c r="F1811" t="s">
        <v>579</v>
      </c>
      <c r="G1811" t="s">
        <v>2248</v>
      </c>
      <c r="H1811" t="s">
        <v>2388</v>
      </c>
      <c r="I1811" t="s">
        <v>1142</v>
      </c>
      <c r="J1811" s="519">
        <v>46100</v>
      </c>
      <c r="K1811" s="519">
        <v>46102</v>
      </c>
      <c r="R1811" s="519">
        <v>46114</v>
      </c>
      <c r="U1811" s="519">
        <v>46114</v>
      </c>
    </row>
    <row r="1812" spans="1:21">
      <c r="A1812" t="s">
        <v>953</v>
      </c>
      <c r="B1812" t="s">
        <v>3772</v>
      </c>
      <c r="C1812" t="s">
        <v>953</v>
      </c>
      <c r="D1812">
        <v>20421249</v>
      </c>
      <c r="E1812" t="s">
        <v>2258</v>
      </c>
      <c r="F1812" t="s">
        <v>984</v>
      </c>
      <c r="G1812" t="s">
        <v>2246</v>
      </c>
      <c r="H1812" t="s">
        <v>592</v>
      </c>
      <c r="J1812" s="519">
        <v>46030</v>
      </c>
      <c r="R1812" s="519">
        <v>46114</v>
      </c>
      <c r="U1812" s="519">
        <v>46030</v>
      </c>
    </row>
    <row r="1813" spans="1:21">
      <c r="A1813" t="s">
        <v>953</v>
      </c>
      <c r="B1813" t="s">
        <v>3773</v>
      </c>
      <c r="C1813" t="s">
        <v>953</v>
      </c>
      <c r="D1813">
        <v>20425089</v>
      </c>
      <c r="E1813" t="s">
        <v>2258</v>
      </c>
      <c r="F1813" t="s">
        <v>984</v>
      </c>
      <c r="G1813" t="s">
        <v>2259</v>
      </c>
      <c r="H1813" t="s">
        <v>593</v>
      </c>
      <c r="J1813" s="519">
        <v>46036</v>
      </c>
      <c r="R1813" s="519">
        <v>46114</v>
      </c>
      <c r="U1813" s="519">
        <v>46082</v>
      </c>
    </row>
    <row r="1814" spans="1:21">
      <c r="A1814" t="s">
        <v>953</v>
      </c>
      <c r="B1814" t="s">
        <v>2741</v>
      </c>
      <c r="C1814" t="s">
        <v>953</v>
      </c>
      <c r="D1814">
        <v>20441372</v>
      </c>
      <c r="E1814" t="s">
        <v>2258</v>
      </c>
      <c r="F1814" t="s">
        <v>984</v>
      </c>
      <c r="G1814" t="s">
        <v>2246</v>
      </c>
      <c r="H1814" t="s">
        <v>587</v>
      </c>
      <c r="J1814" s="519">
        <v>46058</v>
      </c>
      <c r="R1814" s="519">
        <v>46114</v>
      </c>
      <c r="U1814" s="519">
        <v>46068</v>
      </c>
    </row>
    <row r="1815" spans="1:21">
      <c r="A1815" t="s">
        <v>953</v>
      </c>
      <c r="B1815" t="s">
        <v>2742</v>
      </c>
      <c r="C1815" t="s">
        <v>953</v>
      </c>
      <c r="D1815">
        <v>20451935</v>
      </c>
      <c r="E1815" t="s">
        <v>2258</v>
      </c>
      <c r="F1815" t="s">
        <v>581</v>
      </c>
      <c r="G1815" t="s">
        <v>2259</v>
      </c>
      <c r="H1815" t="s">
        <v>592</v>
      </c>
      <c r="J1815" s="519">
        <v>46071</v>
      </c>
      <c r="R1815" s="519">
        <v>46114</v>
      </c>
      <c r="U1815" s="519">
        <v>46078</v>
      </c>
    </row>
    <row r="1816" spans="1:21">
      <c r="A1816" t="s">
        <v>953</v>
      </c>
      <c r="B1816" t="s">
        <v>2742</v>
      </c>
      <c r="C1816" t="s">
        <v>953</v>
      </c>
      <c r="D1816">
        <v>20454209</v>
      </c>
      <c r="E1816" t="s">
        <v>2252</v>
      </c>
      <c r="F1816" t="s">
        <v>1001</v>
      </c>
      <c r="G1816" t="s">
        <v>2250</v>
      </c>
      <c r="H1816" t="s">
        <v>587</v>
      </c>
      <c r="J1816" s="519">
        <v>46073</v>
      </c>
      <c r="K1816" s="519">
        <v>46073</v>
      </c>
      <c r="R1816" s="519">
        <v>46114</v>
      </c>
      <c r="U1816" s="519">
        <v>46073</v>
      </c>
    </row>
    <row r="1817" spans="1:21">
      <c r="A1817" t="s">
        <v>953</v>
      </c>
      <c r="B1817" t="s">
        <v>2744</v>
      </c>
      <c r="C1817" t="s">
        <v>953</v>
      </c>
      <c r="D1817">
        <v>20454551</v>
      </c>
      <c r="E1817" t="s">
        <v>2258</v>
      </c>
      <c r="F1817" t="s">
        <v>984</v>
      </c>
      <c r="G1817" t="s">
        <v>2246</v>
      </c>
      <c r="H1817" t="s">
        <v>587</v>
      </c>
      <c r="J1817" s="519">
        <v>46073</v>
      </c>
      <c r="R1817" s="519">
        <v>46114</v>
      </c>
      <c r="U1817" s="519">
        <v>46091</v>
      </c>
    </row>
    <row r="1818" spans="1:21">
      <c r="A1818" t="s">
        <v>953</v>
      </c>
      <c r="B1818" t="s">
        <v>994</v>
      </c>
      <c r="C1818" t="s">
        <v>953</v>
      </c>
      <c r="D1818">
        <v>20448359</v>
      </c>
      <c r="E1818" t="s">
        <v>2258</v>
      </c>
      <c r="F1818" t="s">
        <v>578</v>
      </c>
      <c r="G1818" t="s">
        <v>2248</v>
      </c>
      <c r="H1818" t="s">
        <v>592</v>
      </c>
      <c r="J1818" s="519">
        <v>46066</v>
      </c>
      <c r="R1818" s="519">
        <v>46115</v>
      </c>
      <c r="U1818" s="519">
        <v>46066</v>
      </c>
    </row>
    <row r="1819" spans="1:21">
      <c r="A1819" t="s">
        <v>953</v>
      </c>
      <c r="B1819" t="s">
        <v>3774</v>
      </c>
      <c r="C1819" t="s">
        <v>953</v>
      </c>
      <c r="D1819">
        <v>20422531</v>
      </c>
      <c r="E1819" t="s">
        <v>2252</v>
      </c>
      <c r="F1819" t="s">
        <v>577</v>
      </c>
      <c r="G1819" t="s">
        <v>2250</v>
      </c>
      <c r="H1819" t="s">
        <v>587</v>
      </c>
      <c r="I1819" t="s">
        <v>1360</v>
      </c>
      <c r="J1819" s="519">
        <v>46032</v>
      </c>
      <c r="K1819" s="519">
        <v>46032</v>
      </c>
      <c r="R1819" s="519">
        <v>46114</v>
      </c>
      <c r="U1819" s="519">
        <v>46055</v>
      </c>
    </row>
    <row r="1820" spans="1:21">
      <c r="A1820" t="s">
        <v>953</v>
      </c>
      <c r="B1820" t="s">
        <v>2745</v>
      </c>
      <c r="C1820" t="s">
        <v>953</v>
      </c>
      <c r="D1820">
        <v>20441380</v>
      </c>
      <c r="E1820" t="s">
        <v>2258</v>
      </c>
      <c r="F1820" t="s">
        <v>984</v>
      </c>
      <c r="G1820" t="s">
        <v>2246</v>
      </c>
      <c r="H1820" t="s">
        <v>587</v>
      </c>
      <c r="J1820" s="519">
        <v>46058</v>
      </c>
      <c r="R1820" s="519">
        <v>46114</v>
      </c>
      <c r="U1820" s="519">
        <v>46127</v>
      </c>
    </row>
    <row r="1821" spans="1:21">
      <c r="A1821" t="s">
        <v>953</v>
      </c>
      <c r="B1821" t="s">
        <v>3775</v>
      </c>
      <c r="C1821" t="s">
        <v>953</v>
      </c>
      <c r="D1821">
        <v>20494130</v>
      </c>
      <c r="E1821" t="s">
        <v>2258</v>
      </c>
      <c r="F1821" t="s">
        <v>581</v>
      </c>
      <c r="G1821" t="s">
        <v>2250</v>
      </c>
      <c r="H1821" t="s">
        <v>2361</v>
      </c>
      <c r="J1821" s="519">
        <v>46125</v>
      </c>
      <c r="R1821" s="519">
        <v>46139</v>
      </c>
      <c r="U1821" s="519">
        <v>46127</v>
      </c>
    </row>
    <row r="1822" spans="1:21">
      <c r="A1822" t="s">
        <v>953</v>
      </c>
      <c r="B1822" t="s">
        <v>2746</v>
      </c>
      <c r="C1822" t="s">
        <v>953</v>
      </c>
      <c r="D1822">
        <v>20454855</v>
      </c>
      <c r="E1822" t="s">
        <v>2258</v>
      </c>
      <c r="F1822" t="s">
        <v>579</v>
      </c>
      <c r="G1822" t="s">
        <v>2248</v>
      </c>
      <c r="H1822" t="s">
        <v>588</v>
      </c>
      <c r="J1822" s="519">
        <v>46074</v>
      </c>
      <c r="R1822" s="519">
        <v>46115</v>
      </c>
      <c r="U1822" s="519">
        <v>46074</v>
      </c>
    </row>
    <row r="1823" spans="1:21">
      <c r="A1823" t="s">
        <v>953</v>
      </c>
      <c r="B1823" t="s">
        <v>3776</v>
      </c>
      <c r="C1823" t="s">
        <v>953</v>
      </c>
      <c r="D1823">
        <v>20412790</v>
      </c>
      <c r="E1823" t="s">
        <v>2258</v>
      </c>
      <c r="F1823" t="s">
        <v>579</v>
      </c>
      <c r="G1823" t="s">
        <v>2259</v>
      </c>
      <c r="H1823" t="s">
        <v>587</v>
      </c>
      <c r="J1823" s="519">
        <v>46017</v>
      </c>
      <c r="R1823" s="519">
        <v>46114</v>
      </c>
      <c r="U1823" s="519">
        <v>46017</v>
      </c>
    </row>
    <row r="1824" spans="1:21">
      <c r="A1824" t="s">
        <v>953</v>
      </c>
      <c r="B1824" t="s">
        <v>3209</v>
      </c>
      <c r="C1824" t="s">
        <v>953</v>
      </c>
      <c r="D1824">
        <v>20463371</v>
      </c>
      <c r="E1824" t="s">
        <v>2252</v>
      </c>
      <c r="F1824" t="s">
        <v>1115</v>
      </c>
      <c r="G1824" t="s">
        <v>2250</v>
      </c>
      <c r="H1824" t="s">
        <v>587</v>
      </c>
      <c r="I1824" t="s">
        <v>887</v>
      </c>
      <c r="J1824" s="519">
        <v>46086</v>
      </c>
      <c r="K1824" s="519">
        <v>46086</v>
      </c>
      <c r="R1824" s="519">
        <v>46115</v>
      </c>
      <c r="U1824" s="519">
        <v>46086</v>
      </c>
    </row>
    <row r="1825" spans="1:21">
      <c r="A1825" t="s">
        <v>953</v>
      </c>
      <c r="B1825" t="s">
        <v>3209</v>
      </c>
      <c r="C1825" t="s">
        <v>953</v>
      </c>
      <c r="D1825">
        <v>20460026</v>
      </c>
      <c r="E1825" t="s">
        <v>2258</v>
      </c>
      <c r="F1825" t="s">
        <v>984</v>
      </c>
      <c r="G1825" t="s">
        <v>2290</v>
      </c>
      <c r="H1825" t="s">
        <v>587</v>
      </c>
      <c r="J1825" s="519">
        <v>46082</v>
      </c>
      <c r="R1825" s="519">
        <v>46114</v>
      </c>
      <c r="U1825" s="519">
        <v>46082</v>
      </c>
    </row>
    <row r="1826" spans="1:21">
      <c r="A1826" t="s">
        <v>953</v>
      </c>
      <c r="B1826" t="s">
        <v>2747</v>
      </c>
      <c r="C1826" t="s">
        <v>953</v>
      </c>
      <c r="D1826">
        <v>20440412</v>
      </c>
      <c r="E1826" t="s">
        <v>2252</v>
      </c>
      <c r="F1826" t="s">
        <v>578</v>
      </c>
      <c r="G1826" t="s">
        <v>1213</v>
      </c>
      <c r="H1826" t="s">
        <v>588</v>
      </c>
      <c r="I1826" t="s">
        <v>894</v>
      </c>
      <c r="J1826" s="519">
        <v>46056</v>
      </c>
      <c r="K1826" s="519">
        <v>46056</v>
      </c>
      <c r="R1826" s="519">
        <v>46114</v>
      </c>
      <c r="U1826" s="519">
        <v>46081</v>
      </c>
    </row>
    <row r="1827" spans="1:21">
      <c r="A1827" t="s">
        <v>953</v>
      </c>
      <c r="B1827" t="s">
        <v>3777</v>
      </c>
      <c r="C1827" t="s">
        <v>953</v>
      </c>
      <c r="D1827">
        <v>20490593</v>
      </c>
      <c r="E1827" t="s">
        <v>2258</v>
      </c>
      <c r="F1827" t="s">
        <v>581</v>
      </c>
      <c r="G1827" t="s">
        <v>2290</v>
      </c>
      <c r="H1827" t="s">
        <v>587</v>
      </c>
      <c r="J1827" s="519">
        <v>46121</v>
      </c>
      <c r="R1827" s="519">
        <v>46139</v>
      </c>
      <c r="U1827" s="519">
        <v>46121</v>
      </c>
    </row>
    <row r="1828" spans="1:21">
      <c r="A1828" t="s">
        <v>953</v>
      </c>
      <c r="B1828" t="s">
        <v>7262</v>
      </c>
      <c r="C1828" t="s">
        <v>953</v>
      </c>
      <c r="D1828">
        <v>20497711</v>
      </c>
      <c r="E1828" t="s">
        <v>2245</v>
      </c>
      <c r="F1828" t="s">
        <v>581</v>
      </c>
      <c r="G1828" t="s">
        <v>2250</v>
      </c>
      <c r="H1828" t="s">
        <v>2361</v>
      </c>
      <c r="J1828" s="519">
        <v>46128</v>
      </c>
      <c r="U1828" s="519">
        <v>46129</v>
      </c>
    </row>
    <row r="1829" spans="1:21">
      <c r="A1829" t="s">
        <v>953</v>
      </c>
      <c r="B1829" t="s">
        <v>3778</v>
      </c>
      <c r="C1829" t="s">
        <v>953</v>
      </c>
      <c r="D1829">
        <v>20429188</v>
      </c>
      <c r="E1829" t="s">
        <v>2252</v>
      </c>
      <c r="F1829" t="s">
        <v>581</v>
      </c>
      <c r="G1829" t="s">
        <v>2250</v>
      </c>
      <c r="H1829" t="s">
        <v>2361</v>
      </c>
      <c r="I1829" t="s">
        <v>3779</v>
      </c>
      <c r="J1829" s="519">
        <v>46038</v>
      </c>
      <c r="K1829" s="519">
        <v>46038</v>
      </c>
      <c r="R1829" s="519">
        <v>46114</v>
      </c>
      <c r="U1829" s="519">
        <v>46038</v>
      </c>
    </row>
    <row r="1830" spans="1:21">
      <c r="A1830" t="s">
        <v>953</v>
      </c>
      <c r="B1830" t="s">
        <v>3780</v>
      </c>
      <c r="C1830" t="s">
        <v>953</v>
      </c>
      <c r="D1830">
        <v>20418620</v>
      </c>
      <c r="E1830" t="s">
        <v>2252</v>
      </c>
      <c r="F1830" t="s">
        <v>577</v>
      </c>
      <c r="G1830" t="s">
        <v>2250</v>
      </c>
      <c r="H1830" t="s">
        <v>589</v>
      </c>
      <c r="J1830" s="519">
        <v>46027</v>
      </c>
      <c r="K1830" s="519">
        <v>46027</v>
      </c>
      <c r="R1830" s="519">
        <v>46114</v>
      </c>
      <c r="U1830" s="519">
        <v>46027</v>
      </c>
    </row>
    <row r="1831" spans="1:21">
      <c r="A1831" t="s">
        <v>953</v>
      </c>
      <c r="B1831" t="s">
        <v>3781</v>
      </c>
      <c r="C1831" t="s">
        <v>953</v>
      </c>
      <c r="D1831">
        <v>20427778</v>
      </c>
      <c r="E1831" t="s">
        <v>2258</v>
      </c>
      <c r="F1831" t="s">
        <v>581</v>
      </c>
      <c r="G1831" t="s">
        <v>2259</v>
      </c>
      <c r="H1831" t="s">
        <v>592</v>
      </c>
      <c r="J1831" s="519">
        <v>46037</v>
      </c>
      <c r="R1831" s="519">
        <v>46114</v>
      </c>
      <c r="U1831" s="519">
        <v>46037</v>
      </c>
    </row>
    <row r="1832" spans="1:21">
      <c r="A1832" t="s">
        <v>953</v>
      </c>
      <c r="B1832" t="s">
        <v>3782</v>
      </c>
      <c r="C1832" t="s">
        <v>953</v>
      </c>
      <c r="D1832">
        <v>20428832</v>
      </c>
      <c r="E1832" t="s">
        <v>2258</v>
      </c>
      <c r="F1832" t="s">
        <v>577</v>
      </c>
      <c r="G1832" t="s">
        <v>2259</v>
      </c>
      <c r="H1832" t="s">
        <v>592</v>
      </c>
      <c r="J1832" s="519">
        <v>46038</v>
      </c>
      <c r="R1832" s="519">
        <v>46114</v>
      </c>
      <c r="U1832" s="519">
        <v>46039</v>
      </c>
    </row>
    <row r="1833" spans="1:21">
      <c r="A1833" t="s">
        <v>953</v>
      </c>
      <c r="B1833" t="s">
        <v>3783</v>
      </c>
      <c r="C1833" t="s">
        <v>953</v>
      </c>
      <c r="D1833">
        <v>20429104</v>
      </c>
      <c r="E1833" t="s">
        <v>2258</v>
      </c>
      <c r="F1833" t="s">
        <v>984</v>
      </c>
      <c r="G1833" t="s">
        <v>1213</v>
      </c>
      <c r="H1833" t="s">
        <v>591</v>
      </c>
      <c r="J1833" s="519">
        <v>46038</v>
      </c>
      <c r="R1833" s="519">
        <v>46114</v>
      </c>
      <c r="U1833" s="519">
        <v>46038</v>
      </c>
    </row>
    <row r="1834" spans="1:21">
      <c r="A1834" t="s">
        <v>953</v>
      </c>
      <c r="B1834" t="s">
        <v>7263</v>
      </c>
      <c r="C1834" t="s">
        <v>953</v>
      </c>
      <c r="D1834">
        <v>20504835</v>
      </c>
      <c r="E1834" t="s">
        <v>2245</v>
      </c>
      <c r="F1834" t="s">
        <v>984</v>
      </c>
      <c r="G1834" t="s">
        <v>2250</v>
      </c>
      <c r="H1834" t="s">
        <v>592</v>
      </c>
      <c r="J1834" s="519">
        <v>46133</v>
      </c>
      <c r="U1834" s="519">
        <v>46143</v>
      </c>
    </row>
    <row r="1835" spans="1:21">
      <c r="A1835" t="s">
        <v>953</v>
      </c>
      <c r="B1835" t="s">
        <v>3784</v>
      </c>
      <c r="C1835" t="s">
        <v>953</v>
      </c>
      <c r="D1835">
        <v>20422188</v>
      </c>
      <c r="E1835" t="s">
        <v>2258</v>
      </c>
      <c r="F1835" t="s">
        <v>579</v>
      </c>
      <c r="G1835" t="s">
        <v>2248</v>
      </c>
      <c r="H1835" t="s">
        <v>588</v>
      </c>
      <c r="J1835" s="519">
        <v>46032</v>
      </c>
      <c r="R1835" s="519">
        <v>46114</v>
      </c>
      <c r="U1835" s="519">
        <v>46032</v>
      </c>
    </row>
    <row r="1836" spans="1:21">
      <c r="A1836" t="s">
        <v>953</v>
      </c>
      <c r="B1836" t="s">
        <v>3212</v>
      </c>
      <c r="C1836" t="s">
        <v>953</v>
      </c>
      <c r="D1836">
        <v>20481326</v>
      </c>
      <c r="E1836" t="s">
        <v>2258</v>
      </c>
      <c r="F1836" t="s">
        <v>581</v>
      </c>
      <c r="G1836" t="s">
        <v>2290</v>
      </c>
      <c r="H1836" t="s">
        <v>2361</v>
      </c>
      <c r="J1836" s="519">
        <v>46108</v>
      </c>
      <c r="R1836" s="519">
        <v>46116</v>
      </c>
      <c r="U1836" s="519">
        <v>46108</v>
      </c>
    </row>
    <row r="1837" spans="1:21">
      <c r="A1837" t="s">
        <v>953</v>
      </c>
      <c r="B1837" t="s">
        <v>7264</v>
      </c>
      <c r="C1837" t="s">
        <v>953</v>
      </c>
      <c r="D1837">
        <v>20511915</v>
      </c>
      <c r="E1837" t="s">
        <v>2258</v>
      </c>
      <c r="F1837" t="s">
        <v>581</v>
      </c>
      <c r="G1837" t="s">
        <v>2259</v>
      </c>
      <c r="H1837" t="s">
        <v>593</v>
      </c>
      <c r="J1837" s="519">
        <v>46140</v>
      </c>
      <c r="R1837" s="519">
        <v>46140</v>
      </c>
      <c r="U1837" s="519">
        <v>46140</v>
      </c>
    </row>
    <row r="1838" spans="1:21">
      <c r="A1838" t="s">
        <v>953</v>
      </c>
      <c r="B1838" t="s">
        <v>3213</v>
      </c>
      <c r="C1838" t="s">
        <v>953</v>
      </c>
      <c r="D1838">
        <v>20473119</v>
      </c>
      <c r="E1838" t="s">
        <v>2258</v>
      </c>
      <c r="F1838" t="s">
        <v>581</v>
      </c>
      <c r="G1838" t="s">
        <v>2248</v>
      </c>
      <c r="H1838" t="s">
        <v>591</v>
      </c>
      <c r="J1838" s="519">
        <v>46098</v>
      </c>
      <c r="R1838" s="519">
        <v>46114</v>
      </c>
      <c r="U1838" s="519">
        <v>46098</v>
      </c>
    </row>
    <row r="1839" spans="1:21">
      <c r="A1839" t="s">
        <v>953</v>
      </c>
      <c r="B1839" t="s">
        <v>3785</v>
      </c>
      <c r="C1839" t="s">
        <v>953</v>
      </c>
      <c r="D1839">
        <v>20414350</v>
      </c>
      <c r="E1839" t="s">
        <v>2258</v>
      </c>
      <c r="F1839" t="s">
        <v>577</v>
      </c>
      <c r="G1839" t="s">
        <v>3161</v>
      </c>
      <c r="H1839" t="s">
        <v>592</v>
      </c>
      <c r="I1839" t="s">
        <v>3387</v>
      </c>
      <c r="J1839" s="519">
        <v>46020</v>
      </c>
      <c r="R1839" s="519">
        <v>46114</v>
      </c>
      <c r="U1839" s="519">
        <v>46020</v>
      </c>
    </row>
    <row r="1840" spans="1:21">
      <c r="A1840" t="s">
        <v>953</v>
      </c>
      <c r="B1840" t="s">
        <v>2750</v>
      </c>
      <c r="C1840" t="s">
        <v>953</v>
      </c>
      <c r="D1840">
        <v>20453601</v>
      </c>
      <c r="E1840" t="s">
        <v>2252</v>
      </c>
      <c r="F1840" t="s">
        <v>1115</v>
      </c>
      <c r="G1840" t="s">
        <v>2250</v>
      </c>
      <c r="H1840" t="s">
        <v>587</v>
      </c>
      <c r="J1840" s="519">
        <v>46072</v>
      </c>
      <c r="K1840" s="519">
        <v>46072</v>
      </c>
      <c r="R1840" s="519">
        <v>46114</v>
      </c>
      <c r="U1840" s="519">
        <v>46072</v>
      </c>
    </row>
    <row r="1841" spans="1:21">
      <c r="A1841" t="s">
        <v>953</v>
      </c>
      <c r="B1841" t="s">
        <v>3214</v>
      </c>
      <c r="C1841" t="s">
        <v>953</v>
      </c>
      <c r="D1841">
        <v>20480831</v>
      </c>
      <c r="E1841" t="s">
        <v>2258</v>
      </c>
      <c r="F1841" t="s">
        <v>581</v>
      </c>
      <c r="G1841" t="s">
        <v>2250</v>
      </c>
      <c r="H1841" t="s">
        <v>592</v>
      </c>
      <c r="J1841" s="519">
        <v>46107</v>
      </c>
      <c r="R1841" s="519">
        <v>46115</v>
      </c>
      <c r="U1841" s="519">
        <v>46113</v>
      </c>
    </row>
    <row r="1842" spans="1:21">
      <c r="A1842" t="s">
        <v>953</v>
      </c>
      <c r="B1842" t="s">
        <v>3786</v>
      </c>
      <c r="C1842" t="s">
        <v>953</v>
      </c>
      <c r="D1842">
        <v>20414562</v>
      </c>
      <c r="E1842" t="s">
        <v>2258</v>
      </c>
      <c r="F1842" t="s">
        <v>984</v>
      </c>
      <c r="G1842" t="s">
        <v>2259</v>
      </c>
      <c r="H1842" t="s">
        <v>587</v>
      </c>
      <c r="J1842" s="519">
        <v>46020</v>
      </c>
      <c r="R1842" s="519">
        <v>46114</v>
      </c>
      <c r="U1842" s="519">
        <v>46020</v>
      </c>
    </row>
    <row r="1843" spans="1:21">
      <c r="A1843" t="s">
        <v>953</v>
      </c>
      <c r="B1843" t="s">
        <v>3215</v>
      </c>
      <c r="C1843" t="s">
        <v>953</v>
      </c>
      <c r="D1843">
        <v>20471043</v>
      </c>
      <c r="E1843" t="s">
        <v>2258</v>
      </c>
      <c r="F1843" t="s">
        <v>579</v>
      </c>
      <c r="G1843" t="s">
        <v>2248</v>
      </c>
      <c r="H1843" t="s">
        <v>588</v>
      </c>
      <c r="I1843" t="s">
        <v>1156</v>
      </c>
      <c r="J1843" s="519">
        <v>46094</v>
      </c>
      <c r="R1843" s="519">
        <v>46114</v>
      </c>
      <c r="U1843" s="519">
        <v>46094</v>
      </c>
    </row>
    <row r="1844" spans="1:21">
      <c r="A1844" t="s">
        <v>953</v>
      </c>
      <c r="B1844" t="s">
        <v>3216</v>
      </c>
      <c r="C1844" t="s">
        <v>953</v>
      </c>
      <c r="D1844">
        <v>20482608</v>
      </c>
      <c r="E1844" t="s">
        <v>2258</v>
      </c>
      <c r="F1844" t="s">
        <v>984</v>
      </c>
      <c r="G1844" t="s">
        <v>2250</v>
      </c>
      <c r="H1844" t="s">
        <v>592</v>
      </c>
      <c r="J1844" s="519">
        <v>46110</v>
      </c>
      <c r="R1844" s="519">
        <v>46139</v>
      </c>
      <c r="U1844" s="519">
        <v>46162</v>
      </c>
    </row>
    <row r="1845" spans="1:21">
      <c r="A1845" t="s">
        <v>953</v>
      </c>
      <c r="B1845" t="s">
        <v>3217</v>
      </c>
      <c r="C1845" t="s">
        <v>953</v>
      </c>
      <c r="D1845">
        <v>20482834</v>
      </c>
      <c r="E1845" t="s">
        <v>2252</v>
      </c>
      <c r="F1845" t="s">
        <v>984</v>
      </c>
      <c r="G1845" t="s">
        <v>2250</v>
      </c>
      <c r="H1845" t="s">
        <v>587</v>
      </c>
      <c r="J1845" s="519">
        <v>46110</v>
      </c>
      <c r="K1845" s="519">
        <v>46110</v>
      </c>
      <c r="R1845" s="519">
        <v>46136</v>
      </c>
      <c r="U1845" s="519">
        <v>46110</v>
      </c>
    </row>
    <row r="1846" spans="1:21">
      <c r="A1846" t="s">
        <v>953</v>
      </c>
      <c r="B1846" t="s">
        <v>3787</v>
      </c>
      <c r="C1846" t="s">
        <v>953</v>
      </c>
      <c r="D1846">
        <v>20494845</v>
      </c>
      <c r="E1846" t="s">
        <v>2258</v>
      </c>
      <c r="F1846" t="s">
        <v>984</v>
      </c>
      <c r="G1846" t="s">
        <v>2259</v>
      </c>
      <c r="H1846" t="s">
        <v>593</v>
      </c>
      <c r="J1846" s="519">
        <v>46126</v>
      </c>
      <c r="R1846" s="519">
        <v>46139</v>
      </c>
      <c r="U1846" s="519">
        <v>46126</v>
      </c>
    </row>
    <row r="1847" spans="1:21">
      <c r="A1847" t="s">
        <v>953</v>
      </c>
      <c r="B1847" t="s">
        <v>3787</v>
      </c>
      <c r="C1847" t="s">
        <v>953</v>
      </c>
      <c r="D1847">
        <v>20485868</v>
      </c>
      <c r="E1847" t="s">
        <v>2324</v>
      </c>
      <c r="F1847" t="s">
        <v>583</v>
      </c>
      <c r="G1847" t="s">
        <v>2259</v>
      </c>
      <c r="H1847" t="s">
        <v>587</v>
      </c>
      <c r="I1847" t="s">
        <v>1025</v>
      </c>
      <c r="J1847" s="519">
        <v>46114</v>
      </c>
      <c r="K1847" s="519">
        <v>46114</v>
      </c>
      <c r="L1847" s="519">
        <v>46115</v>
      </c>
      <c r="M1847" s="519">
        <v>46122</v>
      </c>
      <c r="N1847" s="519">
        <v>46122</v>
      </c>
      <c r="P1847" s="519">
        <v>46124</v>
      </c>
      <c r="Q1847" s="519">
        <v>46124</v>
      </c>
      <c r="U1847" s="519">
        <v>46128</v>
      </c>
    </row>
    <row r="1848" spans="1:21">
      <c r="A1848" t="s">
        <v>953</v>
      </c>
      <c r="B1848" t="s">
        <v>3787</v>
      </c>
      <c r="C1848" t="s">
        <v>953</v>
      </c>
      <c r="D1848">
        <v>20485912</v>
      </c>
      <c r="E1848" t="s">
        <v>2252</v>
      </c>
      <c r="F1848" t="s">
        <v>1115</v>
      </c>
      <c r="G1848" t="s">
        <v>2250</v>
      </c>
      <c r="H1848" t="s">
        <v>587</v>
      </c>
      <c r="I1848" t="s">
        <v>570</v>
      </c>
      <c r="J1848" s="519">
        <v>46114</v>
      </c>
      <c r="K1848" s="519">
        <v>46114</v>
      </c>
      <c r="R1848" s="519">
        <v>46122</v>
      </c>
      <c r="U1848" s="519">
        <v>46121</v>
      </c>
    </row>
    <row r="1849" spans="1:21">
      <c r="A1849" t="s">
        <v>953</v>
      </c>
      <c r="B1849" t="s">
        <v>7265</v>
      </c>
      <c r="C1849" t="s">
        <v>953</v>
      </c>
      <c r="D1849">
        <v>20509656</v>
      </c>
      <c r="E1849" t="s">
        <v>2245</v>
      </c>
      <c r="F1849" t="s">
        <v>984</v>
      </c>
      <c r="G1849" t="s">
        <v>2250</v>
      </c>
      <c r="H1849" t="s">
        <v>592</v>
      </c>
      <c r="J1849" s="519">
        <v>46137</v>
      </c>
      <c r="U1849" s="519">
        <v>46203</v>
      </c>
    </row>
    <row r="1850" spans="1:21">
      <c r="A1850" t="s">
        <v>953</v>
      </c>
      <c r="B1850" t="s">
        <v>3788</v>
      </c>
      <c r="C1850" t="s">
        <v>953</v>
      </c>
      <c r="D1850">
        <v>20438199</v>
      </c>
      <c r="E1850" t="s">
        <v>2258</v>
      </c>
      <c r="F1850" t="s">
        <v>984</v>
      </c>
      <c r="G1850" t="s">
        <v>2246</v>
      </c>
      <c r="H1850" t="s">
        <v>592</v>
      </c>
      <c r="J1850" s="519">
        <v>46052</v>
      </c>
      <c r="R1850" s="519">
        <v>46114</v>
      </c>
      <c r="U1850" s="519">
        <v>46062</v>
      </c>
    </row>
    <row r="1851" spans="1:21">
      <c r="A1851" t="s">
        <v>953</v>
      </c>
      <c r="B1851" t="s">
        <v>7266</v>
      </c>
      <c r="C1851" t="s">
        <v>953</v>
      </c>
      <c r="D1851">
        <v>20507134</v>
      </c>
      <c r="E1851" t="s">
        <v>1100</v>
      </c>
      <c r="F1851" t="s">
        <v>581</v>
      </c>
      <c r="G1851" t="s">
        <v>2250</v>
      </c>
      <c r="H1851" t="s">
        <v>587</v>
      </c>
      <c r="I1851" t="s">
        <v>6661</v>
      </c>
      <c r="J1851" s="519">
        <v>46134</v>
      </c>
      <c r="K1851" s="519">
        <v>46134</v>
      </c>
      <c r="U1851" s="519">
        <v>46134</v>
      </c>
    </row>
    <row r="1852" spans="1:21">
      <c r="A1852" t="s">
        <v>953</v>
      </c>
      <c r="B1852" t="s">
        <v>3789</v>
      </c>
      <c r="C1852" t="s">
        <v>953</v>
      </c>
      <c r="D1852">
        <v>20415818</v>
      </c>
      <c r="E1852" t="s">
        <v>2252</v>
      </c>
      <c r="F1852" t="s">
        <v>581</v>
      </c>
      <c r="G1852" t="s">
        <v>2250</v>
      </c>
      <c r="H1852" t="s">
        <v>587</v>
      </c>
      <c r="I1852" t="s">
        <v>2337</v>
      </c>
      <c r="J1852" s="519">
        <v>46022</v>
      </c>
      <c r="K1852" s="519">
        <v>46022</v>
      </c>
      <c r="R1852" s="519">
        <v>46114</v>
      </c>
      <c r="U1852" s="519">
        <v>46022</v>
      </c>
    </row>
    <row r="1853" spans="1:21">
      <c r="A1853" t="s">
        <v>953</v>
      </c>
      <c r="B1853" t="s">
        <v>3219</v>
      </c>
      <c r="C1853" t="s">
        <v>953</v>
      </c>
      <c r="D1853">
        <v>20469775</v>
      </c>
      <c r="E1853" t="s">
        <v>2258</v>
      </c>
      <c r="F1853" t="s">
        <v>581</v>
      </c>
      <c r="G1853" t="s">
        <v>2290</v>
      </c>
      <c r="H1853" t="s">
        <v>591</v>
      </c>
      <c r="I1853" t="s">
        <v>1156</v>
      </c>
      <c r="J1853" s="519">
        <v>46093</v>
      </c>
      <c r="R1853" s="519">
        <v>46114</v>
      </c>
      <c r="U1853" s="519">
        <v>46112</v>
      </c>
    </row>
    <row r="1854" spans="1:21">
      <c r="A1854" t="s">
        <v>953</v>
      </c>
      <c r="B1854" t="s">
        <v>7267</v>
      </c>
      <c r="C1854" t="s">
        <v>953</v>
      </c>
      <c r="D1854">
        <v>20495840</v>
      </c>
      <c r="E1854" t="s">
        <v>2258</v>
      </c>
      <c r="F1854" t="s">
        <v>581</v>
      </c>
      <c r="G1854" t="s">
        <v>1213</v>
      </c>
      <c r="H1854" t="s">
        <v>591</v>
      </c>
      <c r="J1854" s="519">
        <v>46127</v>
      </c>
      <c r="R1854" s="519">
        <v>46139</v>
      </c>
      <c r="U1854" s="519">
        <v>46112</v>
      </c>
    </row>
    <row r="1855" spans="1:21">
      <c r="A1855" t="s">
        <v>953</v>
      </c>
      <c r="B1855" t="s">
        <v>3790</v>
      </c>
      <c r="C1855" t="s">
        <v>953</v>
      </c>
      <c r="D1855">
        <v>20435831</v>
      </c>
      <c r="E1855" t="s">
        <v>2252</v>
      </c>
      <c r="F1855" t="s">
        <v>984</v>
      </c>
      <c r="G1855" t="s">
        <v>2250</v>
      </c>
      <c r="H1855" t="s">
        <v>587</v>
      </c>
      <c r="J1855" s="519">
        <v>46049</v>
      </c>
      <c r="K1855" s="519">
        <v>46049</v>
      </c>
      <c r="R1855" s="519">
        <v>46114</v>
      </c>
      <c r="U1855" s="519">
        <v>46112</v>
      </c>
    </row>
    <row r="1856" spans="1:21">
      <c r="A1856" t="s">
        <v>953</v>
      </c>
      <c r="B1856" t="s">
        <v>3220</v>
      </c>
      <c r="C1856" t="s">
        <v>953</v>
      </c>
      <c r="D1856">
        <v>20478212</v>
      </c>
      <c r="E1856" t="s">
        <v>2258</v>
      </c>
      <c r="F1856" t="s">
        <v>579</v>
      </c>
      <c r="G1856" t="s">
        <v>2259</v>
      </c>
      <c r="H1856" t="s">
        <v>587</v>
      </c>
      <c r="J1856" s="519">
        <v>46104</v>
      </c>
      <c r="R1856" s="519">
        <v>46114</v>
      </c>
      <c r="U1856" s="519">
        <v>46104</v>
      </c>
    </row>
    <row r="1857" spans="1:21">
      <c r="A1857" t="s">
        <v>953</v>
      </c>
      <c r="B1857" t="s">
        <v>2752</v>
      </c>
      <c r="C1857" t="s">
        <v>953</v>
      </c>
      <c r="D1857">
        <v>20459601</v>
      </c>
      <c r="E1857" t="s">
        <v>2258</v>
      </c>
      <c r="F1857" t="s">
        <v>581</v>
      </c>
      <c r="G1857" t="s">
        <v>2259</v>
      </c>
      <c r="H1857" t="s">
        <v>2388</v>
      </c>
      <c r="J1857" s="519">
        <v>46081</v>
      </c>
      <c r="R1857" s="519">
        <v>46114</v>
      </c>
      <c r="U1857" s="519">
        <v>46081</v>
      </c>
    </row>
    <row r="1858" spans="1:21">
      <c r="A1858" t="s">
        <v>953</v>
      </c>
      <c r="B1858" t="s">
        <v>7268</v>
      </c>
      <c r="C1858" t="s">
        <v>953</v>
      </c>
      <c r="D1858">
        <v>20500997</v>
      </c>
      <c r="E1858" t="s">
        <v>2245</v>
      </c>
      <c r="F1858" t="s">
        <v>984</v>
      </c>
      <c r="G1858" t="s">
        <v>2246</v>
      </c>
      <c r="H1858" t="s">
        <v>592</v>
      </c>
      <c r="J1858" s="519">
        <v>46131</v>
      </c>
      <c r="U1858" s="519">
        <v>46132</v>
      </c>
    </row>
    <row r="1859" spans="1:21">
      <c r="A1859" t="s">
        <v>953</v>
      </c>
      <c r="B1859" t="s">
        <v>2753</v>
      </c>
      <c r="C1859" t="s">
        <v>953</v>
      </c>
      <c r="D1859">
        <v>20450207</v>
      </c>
      <c r="E1859" t="s">
        <v>2258</v>
      </c>
      <c r="F1859" t="s">
        <v>984</v>
      </c>
      <c r="G1859" t="s">
        <v>2259</v>
      </c>
      <c r="H1859" t="s">
        <v>587</v>
      </c>
      <c r="J1859" s="519">
        <v>46070</v>
      </c>
      <c r="R1859" s="519">
        <v>46114</v>
      </c>
      <c r="U1859" s="519">
        <v>46257</v>
      </c>
    </row>
    <row r="1860" spans="1:21">
      <c r="A1860" t="s">
        <v>953</v>
      </c>
      <c r="B1860" t="s">
        <v>2754</v>
      </c>
      <c r="C1860" t="s">
        <v>953</v>
      </c>
      <c r="D1860">
        <v>20448753</v>
      </c>
      <c r="E1860" t="s">
        <v>2258</v>
      </c>
      <c r="F1860" t="s">
        <v>984</v>
      </c>
      <c r="G1860" t="s">
        <v>1213</v>
      </c>
      <c r="H1860" t="s">
        <v>587</v>
      </c>
      <c r="J1860" s="519">
        <v>46066</v>
      </c>
      <c r="R1860" s="519">
        <v>46114</v>
      </c>
      <c r="U1860" s="519">
        <v>46081</v>
      </c>
    </row>
    <row r="1861" spans="1:21">
      <c r="A1861" t="s">
        <v>953</v>
      </c>
      <c r="B1861" t="s">
        <v>2755</v>
      </c>
      <c r="C1861" t="s">
        <v>953</v>
      </c>
      <c r="D1861">
        <v>20453655</v>
      </c>
      <c r="E1861" t="s">
        <v>2258</v>
      </c>
      <c r="F1861" t="s">
        <v>984</v>
      </c>
      <c r="G1861" t="s">
        <v>2246</v>
      </c>
      <c r="H1861" t="s">
        <v>587</v>
      </c>
      <c r="J1861" s="519">
        <v>46072</v>
      </c>
      <c r="R1861" s="519">
        <v>46114</v>
      </c>
      <c r="U1861" s="519">
        <v>46211</v>
      </c>
    </row>
    <row r="1862" spans="1:21">
      <c r="A1862" t="s">
        <v>953</v>
      </c>
      <c r="B1862" t="s">
        <v>7269</v>
      </c>
      <c r="C1862" t="s">
        <v>953</v>
      </c>
      <c r="D1862">
        <v>20508449</v>
      </c>
      <c r="E1862" t="s">
        <v>2245</v>
      </c>
      <c r="F1862" t="s">
        <v>984</v>
      </c>
      <c r="G1862" t="s">
        <v>2250</v>
      </c>
      <c r="H1862" t="s">
        <v>592</v>
      </c>
      <c r="J1862" s="519">
        <v>46135</v>
      </c>
      <c r="U1862" s="519">
        <v>46174</v>
      </c>
    </row>
    <row r="1863" spans="1:21">
      <c r="A1863" t="s">
        <v>953</v>
      </c>
      <c r="B1863" t="s">
        <v>3791</v>
      </c>
      <c r="C1863" t="s">
        <v>953</v>
      </c>
      <c r="D1863">
        <v>20492097</v>
      </c>
      <c r="E1863" t="s">
        <v>2258</v>
      </c>
      <c r="F1863" t="s">
        <v>984</v>
      </c>
      <c r="G1863" t="s">
        <v>2250</v>
      </c>
      <c r="H1863" t="s">
        <v>592</v>
      </c>
      <c r="J1863" s="519">
        <v>46122</v>
      </c>
      <c r="R1863" s="519">
        <v>46139</v>
      </c>
      <c r="U1863" s="519">
        <v>46123</v>
      </c>
    </row>
    <row r="1864" spans="1:21">
      <c r="A1864" t="s">
        <v>953</v>
      </c>
      <c r="B1864" t="s">
        <v>7270</v>
      </c>
      <c r="C1864" t="s">
        <v>953</v>
      </c>
      <c r="D1864">
        <v>20450277</v>
      </c>
      <c r="E1864" t="s">
        <v>2258</v>
      </c>
      <c r="F1864" t="s">
        <v>581</v>
      </c>
      <c r="G1864" t="s">
        <v>2259</v>
      </c>
      <c r="H1864" t="s">
        <v>2388</v>
      </c>
      <c r="J1864" s="519">
        <v>46070</v>
      </c>
      <c r="R1864" s="519">
        <v>46114</v>
      </c>
      <c r="U1864" s="519">
        <v>46080</v>
      </c>
    </row>
    <row r="1865" spans="1:21">
      <c r="A1865" t="s">
        <v>953</v>
      </c>
      <c r="B1865" t="s">
        <v>3792</v>
      </c>
      <c r="C1865" t="s">
        <v>953</v>
      </c>
      <c r="D1865">
        <v>20485100</v>
      </c>
      <c r="E1865" t="s">
        <v>2258</v>
      </c>
      <c r="F1865" t="s">
        <v>583</v>
      </c>
      <c r="G1865" t="s">
        <v>2246</v>
      </c>
      <c r="H1865" t="s">
        <v>588</v>
      </c>
      <c r="J1865" s="519">
        <v>46113</v>
      </c>
      <c r="R1865" s="519">
        <v>46114</v>
      </c>
      <c r="U1865" s="519">
        <v>46113</v>
      </c>
    </row>
    <row r="1866" spans="1:21">
      <c r="A1866" t="s">
        <v>953</v>
      </c>
      <c r="B1866" t="s">
        <v>7271</v>
      </c>
      <c r="C1866" t="s">
        <v>953</v>
      </c>
      <c r="D1866">
        <v>20500518</v>
      </c>
      <c r="E1866" t="s">
        <v>1100</v>
      </c>
      <c r="F1866" t="s">
        <v>577</v>
      </c>
      <c r="G1866" t="s">
        <v>2250</v>
      </c>
      <c r="H1866" t="s">
        <v>587</v>
      </c>
      <c r="I1866" t="s">
        <v>5502</v>
      </c>
      <c r="J1866" s="519">
        <v>46130</v>
      </c>
      <c r="K1866" s="519">
        <v>46130</v>
      </c>
      <c r="U1866" s="519">
        <v>46135</v>
      </c>
    </row>
    <row r="1867" spans="1:21">
      <c r="A1867" t="s">
        <v>953</v>
      </c>
      <c r="B1867" t="s">
        <v>7272</v>
      </c>
      <c r="C1867" t="s">
        <v>953</v>
      </c>
      <c r="D1867">
        <v>20509733</v>
      </c>
      <c r="E1867" t="s">
        <v>2245</v>
      </c>
      <c r="F1867" t="s">
        <v>984</v>
      </c>
      <c r="G1867" t="s">
        <v>2246</v>
      </c>
      <c r="H1867" t="s">
        <v>592</v>
      </c>
      <c r="J1867" s="519">
        <v>46137</v>
      </c>
      <c r="U1867" s="519">
        <v>46388</v>
      </c>
    </row>
    <row r="1868" spans="1:21">
      <c r="A1868" t="s">
        <v>953</v>
      </c>
      <c r="B1868" t="s">
        <v>3221</v>
      </c>
      <c r="C1868" t="s">
        <v>953</v>
      </c>
      <c r="D1868">
        <v>20482329</v>
      </c>
      <c r="E1868" t="s">
        <v>2258</v>
      </c>
      <c r="F1868" t="s">
        <v>984</v>
      </c>
      <c r="G1868" t="s">
        <v>2246</v>
      </c>
      <c r="H1868" t="s">
        <v>592</v>
      </c>
      <c r="J1868" s="519">
        <v>46109</v>
      </c>
      <c r="R1868" s="519">
        <v>46139</v>
      </c>
      <c r="U1868" s="519">
        <v>46109</v>
      </c>
    </row>
    <row r="1869" spans="1:21">
      <c r="A1869" t="s">
        <v>953</v>
      </c>
      <c r="B1869" t="s">
        <v>3221</v>
      </c>
      <c r="C1869" t="s">
        <v>953</v>
      </c>
      <c r="D1869">
        <v>20491272</v>
      </c>
      <c r="E1869" t="s">
        <v>1100</v>
      </c>
      <c r="F1869" t="s">
        <v>581</v>
      </c>
      <c r="G1869" t="s">
        <v>2250</v>
      </c>
      <c r="H1869" t="s">
        <v>587</v>
      </c>
      <c r="I1869" t="s">
        <v>1386</v>
      </c>
      <c r="J1869" s="519">
        <v>46121</v>
      </c>
      <c r="K1869" s="519">
        <v>46121</v>
      </c>
      <c r="U1869" s="519">
        <v>46139</v>
      </c>
    </row>
    <row r="1870" spans="1:21">
      <c r="A1870" t="s">
        <v>953</v>
      </c>
      <c r="B1870" t="s">
        <v>3793</v>
      </c>
      <c r="C1870" t="s">
        <v>953</v>
      </c>
      <c r="D1870">
        <v>20417918</v>
      </c>
      <c r="E1870" t="s">
        <v>2258</v>
      </c>
      <c r="F1870" t="s">
        <v>984</v>
      </c>
      <c r="G1870" t="s">
        <v>1213</v>
      </c>
      <c r="H1870" t="s">
        <v>591</v>
      </c>
      <c r="J1870" s="519">
        <v>46026</v>
      </c>
      <c r="R1870" s="519">
        <v>46114</v>
      </c>
      <c r="U1870" s="519">
        <v>46026</v>
      </c>
    </row>
    <row r="1871" spans="1:21">
      <c r="A1871" t="s">
        <v>953</v>
      </c>
      <c r="B1871" t="s">
        <v>3794</v>
      </c>
      <c r="C1871" t="s">
        <v>953</v>
      </c>
      <c r="D1871">
        <v>20413120</v>
      </c>
      <c r="E1871" t="s">
        <v>2252</v>
      </c>
      <c r="F1871" t="s">
        <v>581</v>
      </c>
      <c r="G1871" t="s">
        <v>2290</v>
      </c>
      <c r="H1871" t="s">
        <v>591</v>
      </c>
      <c r="I1871" t="s">
        <v>3795</v>
      </c>
      <c r="J1871" s="519">
        <v>46017</v>
      </c>
      <c r="K1871" s="519">
        <v>46017</v>
      </c>
      <c r="R1871" s="519">
        <v>46114</v>
      </c>
      <c r="U1871" s="519">
        <v>46053</v>
      </c>
    </row>
    <row r="1872" spans="1:21">
      <c r="A1872" t="s">
        <v>953</v>
      </c>
      <c r="B1872" t="s">
        <v>2756</v>
      </c>
      <c r="C1872" t="s">
        <v>953</v>
      </c>
      <c r="D1872">
        <v>20448865</v>
      </c>
      <c r="E1872" t="s">
        <v>2258</v>
      </c>
      <c r="F1872" t="s">
        <v>984</v>
      </c>
      <c r="G1872" t="s">
        <v>1213</v>
      </c>
      <c r="H1872" t="s">
        <v>587</v>
      </c>
      <c r="J1872" s="519">
        <v>46067</v>
      </c>
      <c r="R1872" s="519">
        <v>46114</v>
      </c>
      <c r="U1872" s="519">
        <v>46084</v>
      </c>
    </row>
    <row r="1873" spans="1:21">
      <c r="A1873" t="s">
        <v>953</v>
      </c>
      <c r="B1873" t="s">
        <v>2758</v>
      </c>
      <c r="C1873" t="s">
        <v>953</v>
      </c>
      <c r="D1873">
        <v>20444597</v>
      </c>
      <c r="E1873" t="s">
        <v>2258</v>
      </c>
      <c r="F1873" t="s">
        <v>1001</v>
      </c>
      <c r="G1873" t="s">
        <v>1213</v>
      </c>
      <c r="H1873" t="s">
        <v>587</v>
      </c>
      <c r="I1873" t="s">
        <v>1156</v>
      </c>
      <c r="J1873" s="519">
        <v>46063</v>
      </c>
      <c r="R1873" s="519">
        <v>46114</v>
      </c>
      <c r="U1873" s="519">
        <v>46327</v>
      </c>
    </row>
    <row r="1874" spans="1:21">
      <c r="A1874" t="s">
        <v>953</v>
      </c>
      <c r="B1874" t="s">
        <v>3222</v>
      </c>
      <c r="C1874" t="s">
        <v>953</v>
      </c>
      <c r="D1874">
        <v>20469437</v>
      </c>
      <c r="E1874" t="s">
        <v>2258</v>
      </c>
      <c r="F1874" t="s">
        <v>984</v>
      </c>
      <c r="G1874" t="s">
        <v>2250</v>
      </c>
      <c r="H1874" t="s">
        <v>592</v>
      </c>
      <c r="J1874" s="519">
        <v>46093</v>
      </c>
      <c r="R1874" s="519">
        <v>46114</v>
      </c>
      <c r="U1874" s="519">
        <v>46193</v>
      </c>
    </row>
    <row r="1875" spans="1:21">
      <c r="A1875" t="s">
        <v>953</v>
      </c>
      <c r="B1875" t="s">
        <v>7273</v>
      </c>
      <c r="C1875" t="s">
        <v>953</v>
      </c>
      <c r="D1875">
        <v>20511736</v>
      </c>
      <c r="E1875" t="s">
        <v>2245</v>
      </c>
      <c r="F1875" t="s">
        <v>984</v>
      </c>
      <c r="G1875" t="s">
        <v>2250</v>
      </c>
      <c r="H1875" t="s">
        <v>2361</v>
      </c>
      <c r="J1875" s="519">
        <v>46140</v>
      </c>
      <c r="U1875" s="519">
        <v>46188</v>
      </c>
    </row>
    <row r="1876" spans="1:21">
      <c r="A1876" t="s">
        <v>953</v>
      </c>
      <c r="B1876" t="s">
        <v>7274</v>
      </c>
      <c r="C1876" t="s">
        <v>953</v>
      </c>
      <c r="D1876">
        <v>20501555</v>
      </c>
      <c r="E1876" t="s">
        <v>2245</v>
      </c>
      <c r="F1876" t="s">
        <v>984</v>
      </c>
      <c r="G1876" t="s">
        <v>2290</v>
      </c>
      <c r="H1876" t="s">
        <v>592</v>
      </c>
      <c r="J1876" s="519">
        <v>46131</v>
      </c>
      <c r="U1876" s="519">
        <v>46160</v>
      </c>
    </row>
    <row r="1877" spans="1:21">
      <c r="A1877" t="s">
        <v>953</v>
      </c>
      <c r="B1877" t="s">
        <v>3223</v>
      </c>
      <c r="C1877" t="s">
        <v>953</v>
      </c>
      <c r="D1877">
        <v>20478062</v>
      </c>
      <c r="E1877" t="s">
        <v>2258</v>
      </c>
      <c r="F1877" t="s">
        <v>581</v>
      </c>
      <c r="G1877" t="s">
        <v>2250</v>
      </c>
      <c r="H1877" t="s">
        <v>592</v>
      </c>
      <c r="J1877" s="519">
        <v>46104</v>
      </c>
      <c r="R1877" s="519">
        <v>46114</v>
      </c>
      <c r="U1877" s="519">
        <v>46143</v>
      </c>
    </row>
    <row r="1878" spans="1:21">
      <c r="A1878" t="s">
        <v>953</v>
      </c>
      <c r="B1878" t="s">
        <v>7275</v>
      </c>
      <c r="C1878" t="s">
        <v>953</v>
      </c>
      <c r="D1878">
        <v>20506877</v>
      </c>
      <c r="E1878" t="s">
        <v>2245</v>
      </c>
      <c r="F1878" t="s">
        <v>984</v>
      </c>
      <c r="G1878" t="s">
        <v>2290</v>
      </c>
      <c r="H1878" t="s">
        <v>592</v>
      </c>
      <c r="J1878" s="519">
        <v>46134</v>
      </c>
      <c r="U1878" s="519">
        <v>46201</v>
      </c>
    </row>
    <row r="1879" spans="1:21">
      <c r="A1879" t="s">
        <v>953</v>
      </c>
      <c r="B1879" t="s">
        <v>3796</v>
      </c>
      <c r="C1879" t="s">
        <v>953</v>
      </c>
      <c r="D1879">
        <v>20494150</v>
      </c>
      <c r="E1879" t="s">
        <v>1100</v>
      </c>
      <c r="F1879" t="s">
        <v>984</v>
      </c>
      <c r="G1879" t="s">
        <v>2250</v>
      </c>
      <c r="H1879" t="s">
        <v>587</v>
      </c>
      <c r="I1879" t="s">
        <v>1020</v>
      </c>
      <c r="J1879" s="519">
        <v>46125</v>
      </c>
      <c r="K1879" s="519">
        <v>46125</v>
      </c>
      <c r="U1879" s="519">
        <v>46130</v>
      </c>
    </row>
    <row r="1880" spans="1:21">
      <c r="A1880" t="s">
        <v>953</v>
      </c>
      <c r="B1880" t="s">
        <v>3797</v>
      </c>
      <c r="C1880" t="s">
        <v>953</v>
      </c>
      <c r="D1880">
        <v>20484669</v>
      </c>
      <c r="E1880" t="s">
        <v>2258</v>
      </c>
      <c r="F1880" t="s">
        <v>984</v>
      </c>
      <c r="G1880" t="s">
        <v>2250</v>
      </c>
      <c r="H1880" t="s">
        <v>592</v>
      </c>
      <c r="J1880" s="519">
        <v>46113</v>
      </c>
      <c r="R1880" s="519">
        <v>46139</v>
      </c>
      <c r="U1880" s="519">
        <v>46114</v>
      </c>
    </row>
    <row r="1881" spans="1:21">
      <c r="A1881" t="s">
        <v>953</v>
      </c>
      <c r="B1881" t="s">
        <v>2760</v>
      </c>
      <c r="C1881" t="s">
        <v>953</v>
      </c>
      <c r="D1881">
        <v>20448685</v>
      </c>
      <c r="E1881" t="s">
        <v>2258</v>
      </c>
      <c r="F1881" t="s">
        <v>581</v>
      </c>
      <c r="G1881" t="s">
        <v>2246</v>
      </c>
      <c r="H1881" t="s">
        <v>587</v>
      </c>
      <c r="J1881" s="519">
        <v>46066</v>
      </c>
      <c r="R1881" s="519">
        <v>46114</v>
      </c>
      <c r="U1881" s="519">
        <v>46296</v>
      </c>
    </row>
    <row r="1882" spans="1:21">
      <c r="A1882" t="s">
        <v>953</v>
      </c>
      <c r="B1882" t="s">
        <v>3798</v>
      </c>
      <c r="C1882" t="s">
        <v>953</v>
      </c>
      <c r="D1882">
        <v>20491153</v>
      </c>
      <c r="E1882" t="s">
        <v>2258</v>
      </c>
      <c r="F1882" t="s">
        <v>581</v>
      </c>
      <c r="G1882" t="s">
        <v>2250</v>
      </c>
      <c r="H1882" t="s">
        <v>592</v>
      </c>
      <c r="J1882" s="519">
        <v>46121</v>
      </c>
      <c r="R1882" s="519">
        <v>46139</v>
      </c>
      <c r="U1882" s="519">
        <v>46207</v>
      </c>
    </row>
    <row r="1883" spans="1:21">
      <c r="A1883" t="s">
        <v>953</v>
      </c>
      <c r="B1883" t="s">
        <v>3799</v>
      </c>
      <c r="C1883" t="s">
        <v>953</v>
      </c>
      <c r="D1883">
        <v>20491711</v>
      </c>
      <c r="E1883" t="s">
        <v>2258</v>
      </c>
      <c r="F1883" t="s">
        <v>581</v>
      </c>
      <c r="G1883" t="s">
        <v>2250</v>
      </c>
      <c r="H1883" t="s">
        <v>592</v>
      </c>
      <c r="J1883" s="519">
        <v>46122</v>
      </c>
      <c r="R1883" s="519">
        <v>46139</v>
      </c>
      <c r="U1883" s="519">
        <v>46125</v>
      </c>
    </row>
    <row r="1884" spans="1:21">
      <c r="A1884" t="s">
        <v>953</v>
      </c>
      <c r="B1884" t="s">
        <v>2761</v>
      </c>
      <c r="C1884" t="s">
        <v>953</v>
      </c>
      <c r="D1884">
        <v>20445911</v>
      </c>
      <c r="E1884" t="s">
        <v>2258</v>
      </c>
      <c r="F1884" t="s">
        <v>581</v>
      </c>
      <c r="G1884" t="s">
        <v>1213</v>
      </c>
      <c r="H1884" t="s">
        <v>587</v>
      </c>
      <c r="J1884" s="519">
        <v>46064</v>
      </c>
      <c r="R1884" s="519">
        <v>46114</v>
      </c>
      <c r="U1884" s="519">
        <v>46101</v>
      </c>
    </row>
    <row r="1885" spans="1:21">
      <c r="A1885" t="s">
        <v>953</v>
      </c>
      <c r="B1885" t="s">
        <v>3800</v>
      </c>
      <c r="C1885" t="s">
        <v>953</v>
      </c>
      <c r="D1885">
        <v>20500878</v>
      </c>
      <c r="E1885" t="s">
        <v>2245</v>
      </c>
      <c r="F1885" t="s">
        <v>577</v>
      </c>
      <c r="G1885" t="s">
        <v>2246</v>
      </c>
      <c r="H1885" t="s">
        <v>587</v>
      </c>
      <c r="J1885" s="519">
        <v>46130</v>
      </c>
      <c r="U1885" s="519">
        <v>46144</v>
      </c>
    </row>
    <row r="1886" spans="1:21">
      <c r="A1886" t="s">
        <v>953</v>
      </c>
      <c r="B1886" t="s">
        <v>3800</v>
      </c>
      <c r="C1886" t="s">
        <v>953</v>
      </c>
      <c r="D1886">
        <v>20422923</v>
      </c>
      <c r="E1886" t="s">
        <v>2252</v>
      </c>
      <c r="F1886" t="s">
        <v>577</v>
      </c>
      <c r="G1886" t="s">
        <v>2250</v>
      </c>
      <c r="H1886" t="s">
        <v>587</v>
      </c>
      <c r="J1886" s="519">
        <v>46033</v>
      </c>
      <c r="K1886" s="519">
        <v>46033</v>
      </c>
      <c r="R1886" s="519">
        <v>46114</v>
      </c>
      <c r="U1886" s="519">
        <v>46034</v>
      </c>
    </row>
    <row r="1887" spans="1:21">
      <c r="A1887" t="s">
        <v>953</v>
      </c>
      <c r="B1887" t="s">
        <v>7276</v>
      </c>
      <c r="C1887" t="s">
        <v>953</v>
      </c>
      <c r="D1887">
        <v>20509423</v>
      </c>
      <c r="E1887" t="s">
        <v>2245</v>
      </c>
      <c r="F1887" t="s">
        <v>984</v>
      </c>
      <c r="G1887" t="s">
        <v>2246</v>
      </c>
      <c r="H1887" t="s">
        <v>592</v>
      </c>
      <c r="J1887" s="519">
        <v>46136</v>
      </c>
      <c r="U1887" s="519">
        <v>46157</v>
      </c>
    </row>
    <row r="1888" spans="1:21">
      <c r="A1888" t="s">
        <v>953</v>
      </c>
      <c r="B1888" t="s">
        <v>3801</v>
      </c>
      <c r="C1888" t="s">
        <v>953</v>
      </c>
      <c r="D1888">
        <v>20422990</v>
      </c>
      <c r="E1888" t="s">
        <v>2258</v>
      </c>
      <c r="F1888" t="s">
        <v>984</v>
      </c>
      <c r="G1888" t="s">
        <v>2290</v>
      </c>
      <c r="H1888" t="s">
        <v>1144</v>
      </c>
      <c r="J1888" s="519">
        <v>46034</v>
      </c>
      <c r="R1888" s="519">
        <v>46114</v>
      </c>
      <c r="U1888" s="519">
        <v>46054</v>
      </c>
    </row>
    <row r="1889" spans="1:21">
      <c r="A1889" t="s">
        <v>953</v>
      </c>
      <c r="B1889" t="s">
        <v>3226</v>
      </c>
      <c r="C1889" t="s">
        <v>953</v>
      </c>
      <c r="D1889">
        <v>20465212</v>
      </c>
      <c r="E1889" t="s">
        <v>2258</v>
      </c>
      <c r="F1889" t="s">
        <v>581</v>
      </c>
      <c r="G1889" t="s">
        <v>2248</v>
      </c>
      <c r="H1889" t="s">
        <v>588</v>
      </c>
      <c r="I1889" t="s">
        <v>2508</v>
      </c>
      <c r="J1889" s="519">
        <v>46090</v>
      </c>
      <c r="R1889" s="519">
        <v>46114</v>
      </c>
      <c r="U1889" s="519">
        <v>46094</v>
      </c>
    </row>
    <row r="1890" spans="1:21">
      <c r="A1890" t="s">
        <v>953</v>
      </c>
      <c r="B1890" t="s">
        <v>3802</v>
      </c>
      <c r="C1890" t="s">
        <v>953</v>
      </c>
      <c r="D1890">
        <v>20489543</v>
      </c>
      <c r="E1890" t="s">
        <v>2258</v>
      </c>
      <c r="F1890" t="s">
        <v>984</v>
      </c>
      <c r="G1890" t="s">
        <v>2250</v>
      </c>
      <c r="H1890" t="s">
        <v>592</v>
      </c>
      <c r="J1890" s="519">
        <v>46119</v>
      </c>
      <c r="R1890" s="519">
        <v>46139</v>
      </c>
      <c r="U1890" s="519">
        <v>46121</v>
      </c>
    </row>
    <row r="1891" spans="1:21">
      <c r="A1891" t="s">
        <v>953</v>
      </c>
      <c r="B1891" t="s">
        <v>3227</v>
      </c>
      <c r="C1891" t="s">
        <v>953</v>
      </c>
      <c r="D1891">
        <v>20475606</v>
      </c>
      <c r="E1891" t="s">
        <v>2258</v>
      </c>
      <c r="F1891" t="s">
        <v>581</v>
      </c>
      <c r="G1891" t="s">
        <v>2250</v>
      </c>
      <c r="H1891" t="s">
        <v>592</v>
      </c>
      <c r="J1891" s="519">
        <v>46100</v>
      </c>
      <c r="R1891" s="519">
        <v>46114</v>
      </c>
      <c r="U1891" s="519">
        <v>46101</v>
      </c>
    </row>
    <row r="1892" spans="1:21">
      <c r="A1892" t="s">
        <v>953</v>
      </c>
      <c r="B1892" t="s">
        <v>3803</v>
      </c>
      <c r="C1892" t="s">
        <v>953</v>
      </c>
      <c r="D1892">
        <v>20410541</v>
      </c>
      <c r="E1892" t="s">
        <v>2258</v>
      </c>
      <c r="F1892" t="s">
        <v>578</v>
      </c>
      <c r="G1892" t="s">
        <v>2248</v>
      </c>
      <c r="H1892" t="s">
        <v>588</v>
      </c>
      <c r="J1892" s="519">
        <v>46011</v>
      </c>
      <c r="R1892" s="519">
        <v>46114</v>
      </c>
      <c r="U1892" s="519">
        <v>46067</v>
      </c>
    </row>
    <row r="1893" spans="1:21">
      <c r="A1893" t="s">
        <v>953</v>
      </c>
      <c r="B1893" t="s">
        <v>3804</v>
      </c>
      <c r="C1893" t="s">
        <v>953</v>
      </c>
      <c r="D1893">
        <v>20427475</v>
      </c>
      <c r="E1893" t="s">
        <v>2258</v>
      </c>
      <c r="F1893" t="s">
        <v>577</v>
      </c>
      <c r="G1893" t="s">
        <v>2248</v>
      </c>
      <c r="H1893" t="s">
        <v>588</v>
      </c>
      <c r="J1893" s="519">
        <v>46037</v>
      </c>
      <c r="R1893" s="519">
        <v>46114</v>
      </c>
      <c r="U1893" s="519">
        <v>46037</v>
      </c>
    </row>
    <row r="1894" spans="1:21">
      <c r="A1894" t="s">
        <v>953</v>
      </c>
      <c r="B1894" t="s">
        <v>3805</v>
      </c>
      <c r="C1894" t="s">
        <v>953</v>
      </c>
      <c r="D1894">
        <v>20488126</v>
      </c>
      <c r="E1894" t="s">
        <v>2245</v>
      </c>
      <c r="F1894" t="s">
        <v>984</v>
      </c>
      <c r="G1894" t="s">
        <v>2250</v>
      </c>
      <c r="H1894" t="s">
        <v>592</v>
      </c>
      <c r="J1894" s="519">
        <v>46118</v>
      </c>
      <c r="U1894" s="519">
        <v>46143</v>
      </c>
    </row>
    <row r="1895" spans="1:21">
      <c r="A1895" t="s">
        <v>953</v>
      </c>
      <c r="B1895" t="s">
        <v>7277</v>
      </c>
      <c r="C1895" t="s">
        <v>953</v>
      </c>
      <c r="D1895">
        <v>20500089</v>
      </c>
      <c r="E1895" t="s">
        <v>2258</v>
      </c>
      <c r="F1895" t="s">
        <v>984</v>
      </c>
      <c r="G1895" t="s">
        <v>2248</v>
      </c>
      <c r="H1895" t="s">
        <v>587</v>
      </c>
      <c r="J1895" s="519">
        <v>46129</v>
      </c>
      <c r="R1895" s="519">
        <v>46139</v>
      </c>
      <c r="U1895" s="519">
        <v>46129</v>
      </c>
    </row>
    <row r="1896" spans="1:21">
      <c r="A1896" t="s">
        <v>953</v>
      </c>
      <c r="B1896" t="s">
        <v>3228</v>
      </c>
      <c r="C1896" t="s">
        <v>953</v>
      </c>
      <c r="D1896">
        <v>20461672</v>
      </c>
      <c r="E1896" t="s">
        <v>2252</v>
      </c>
      <c r="F1896" t="s">
        <v>577</v>
      </c>
      <c r="G1896" t="s">
        <v>2248</v>
      </c>
      <c r="H1896" t="s">
        <v>588</v>
      </c>
      <c r="I1896" t="s">
        <v>567</v>
      </c>
      <c r="J1896" s="519">
        <v>46084</v>
      </c>
      <c r="K1896" s="519">
        <v>46086</v>
      </c>
      <c r="R1896" s="519">
        <v>46114</v>
      </c>
      <c r="U1896" s="519">
        <v>46104</v>
      </c>
    </row>
    <row r="1897" spans="1:21">
      <c r="A1897" t="s">
        <v>953</v>
      </c>
      <c r="B1897" t="s">
        <v>3806</v>
      </c>
      <c r="C1897" t="s">
        <v>953</v>
      </c>
      <c r="D1897">
        <v>20492168</v>
      </c>
      <c r="E1897" t="s">
        <v>2258</v>
      </c>
      <c r="F1897" t="s">
        <v>581</v>
      </c>
      <c r="G1897" t="s">
        <v>2250</v>
      </c>
      <c r="H1897" t="s">
        <v>592</v>
      </c>
      <c r="J1897" s="519">
        <v>46122</v>
      </c>
      <c r="R1897" s="519">
        <v>46139</v>
      </c>
      <c r="U1897" s="519">
        <v>46195</v>
      </c>
    </row>
    <row r="1898" spans="1:21">
      <c r="A1898" t="s">
        <v>953</v>
      </c>
      <c r="B1898" t="s">
        <v>7278</v>
      </c>
      <c r="C1898" t="s">
        <v>953</v>
      </c>
      <c r="D1898">
        <v>20508908</v>
      </c>
      <c r="E1898" t="s">
        <v>1100</v>
      </c>
      <c r="F1898" t="s">
        <v>579</v>
      </c>
      <c r="G1898" t="s">
        <v>2248</v>
      </c>
      <c r="H1898" t="s">
        <v>588</v>
      </c>
      <c r="I1898" t="s">
        <v>1124</v>
      </c>
      <c r="J1898" s="519">
        <v>46136</v>
      </c>
      <c r="K1898" s="519">
        <v>46137</v>
      </c>
      <c r="U1898" s="519">
        <v>46167</v>
      </c>
    </row>
    <row r="1899" spans="1:21">
      <c r="A1899" t="s">
        <v>953</v>
      </c>
      <c r="B1899" t="s">
        <v>3229</v>
      </c>
      <c r="C1899" t="s">
        <v>953</v>
      </c>
      <c r="D1899">
        <v>20471251</v>
      </c>
      <c r="E1899" t="s">
        <v>2258</v>
      </c>
      <c r="F1899" t="s">
        <v>984</v>
      </c>
      <c r="G1899" t="s">
        <v>2250</v>
      </c>
      <c r="H1899" t="s">
        <v>592</v>
      </c>
      <c r="J1899" s="519">
        <v>46095</v>
      </c>
      <c r="R1899" s="519">
        <v>46114</v>
      </c>
      <c r="U1899" s="519">
        <v>46198</v>
      </c>
    </row>
    <row r="1900" spans="1:21">
      <c r="A1900" t="s">
        <v>953</v>
      </c>
      <c r="B1900" t="s">
        <v>3807</v>
      </c>
      <c r="C1900" t="s">
        <v>953</v>
      </c>
      <c r="D1900">
        <v>20430204</v>
      </c>
      <c r="E1900" t="s">
        <v>2258</v>
      </c>
      <c r="F1900" t="s">
        <v>581</v>
      </c>
      <c r="G1900" t="s">
        <v>2290</v>
      </c>
      <c r="H1900" t="s">
        <v>591</v>
      </c>
      <c r="J1900" s="519">
        <v>46041</v>
      </c>
      <c r="R1900" s="519">
        <v>46114</v>
      </c>
      <c r="U1900" s="519">
        <v>46082</v>
      </c>
    </row>
    <row r="1901" spans="1:21">
      <c r="A1901" t="s">
        <v>953</v>
      </c>
      <c r="B1901" t="s">
        <v>3808</v>
      </c>
      <c r="C1901" t="s">
        <v>953</v>
      </c>
      <c r="D1901">
        <v>20421905</v>
      </c>
      <c r="E1901" t="s">
        <v>2258</v>
      </c>
      <c r="F1901" t="s">
        <v>577</v>
      </c>
      <c r="G1901" t="s">
        <v>2246</v>
      </c>
      <c r="H1901" t="s">
        <v>592</v>
      </c>
      <c r="J1901" s="519">
        <v>46012</v>
      </c>
      <c r="R1901" s="519">
        <v>46114</v>
      </c>
      <c r="U1901" s="519">
        <v>46031</v>
      </c>
    </row>
    <row r="1902" spans="1:21">
      <c r="A1902" t="s">
        <v>953</v>
      </c>
      <c r="B1902" t="s">
        <v>6093</v>
      </c>
      <c r="C1902" t="s">
        <v>953</v>
      </c>
      <c r="D1902">
        <v>20497070</v>
      </c>
      <c r="E1902" t="s">
        <v>2252</v>
      </c>
      <c r="F1902" t="s">
        <v>7279</v>
      </c>
      <c r="G1902" t="s">
        <v>2250</v>
      </c>
      <c r="H1902" t="s">
        <v>587</v>
      </c>
      <c r="I1902" t="s">
        <v>1173</v>
      </c>
      <c r="J1902" s="519">
        <v>46127</v>
      </c>
      <c r="K1902" s="519">
        <v>46127</v>
      </c>
      <c r="L1902" s="519">
        <v>46128</v>
      </c>
      <c r="S1902" s="519">
        <v>46133</v>
      </c>
      <c r="U1902" s="519">
        <v>46171</v>
      </c>
    </row>
    <row r="1903" spans="1:21">
      <c r="A1903" t="s">
        <v>953</v>
      </c>
      <c r="B1903" t="s">
        <v>6093</v>
      </c>
      <c r="C1903" t="s">
        <v>953</v>
      </c>
      <c r="D1903">
        <v>20498144</v>
      </c>
      <c r="E1903" t="s">
        <v>2252</v>
      </c>
      <c r="F1903" t="s">
        <v>1115</v>
      </c>
      <c r="G1903" t="s">
        <v>2250</v>
      </c>
      <c r="H1903" t="s">
        <v>587</v>
      </c>
      <c r="J1903" s="519">
        <v>46128</v>
      </c>
      <c r="K1903" s="519">
        <v>46128</v>
      </c>
      <c r="R1903" s="519">
        <v>46129</v>
      </c>
      <c r="U1903" s="519">
        <v>46172</v>
      </c>
    </row>
    <row r="1904" spans="1:21">
      <c r="A1904" t="s">
        <v>953</v>
      </c>
      <c r="B1904" t="s">
        <v>3231</v>
      </c>
      <c r="C1904" t="s">
        <v>953</v>
      </c>
      <c r="D1904">
        <v>20459996</v>
      </c>
      <c r="E1904" t="s">
        <v>2252</v>
      </c>
      <c r="F1904" t="s">
        <v>984</v>
      </c>
      <c r="G1904" t="s">
        <v>2250</v>
      </c>
      <c r="H1904" t="s">
        <v>587</v>
      </c>
      <c r="I1904" t="s">
        <v>1142</v>
      </c>
      <c r="J1904" s="519">
        <v>46082</v>
      </c>
      <c r="K1904" s="519">
        <v>46082</v>
      </c>
      <c r="R1904" s="519">
        <v>46114</v>
      </c>
      <c r="U1904" s="519">
        <v>46072</v>
      </c>
    </row>
    <row r="1905" spans="1:21">
      <c r="A1905" t="s">
        <v>953</v>
      </c>
      <c r="B1905" t="s">
        <v>2763</v>
      </c>
      <c r="C1905" t="s">
        <v>953</v>
      </c>
      <c r="D1905">
        <v>20455030</v>
      </c>
      <c r="E1905" t="s">
        <v>2258</v>
      </c>
      <c r="F1905" t="s">
        <v>984</v>
      </c>
      <c r="G1905" t="s">
        <v>2246</v>
      </c>
      <c r="H1905" t="s">
        <v>587</v>
      </c>
      <c r="J1905" s="519">
        <v>46074</v>
      </c>
      <c r="R1905" s="519">
        <v>46114</v>
      </c>
      <c r="U1905" s="519">
        <v>46106</v>
      </c>
    </row>
    <row r="1906" spans="1:21">
      <c r="A1906" t="s">
        <v>953</v>
      </c>
      <c r="B1906" t="s">
        <v>3809</v>
      </c>
      <c r="C1906" t="s">
        <v>953</v>
      </c>
      <c r="D1906">
        <v>20491953</v>
      </c>
      <c r="E1906" t="s">
        <v>2258</v>
      </c>
      <c r="F1906" t="s">
        <v>984</v>
      </c>
      <c r="G1906" t="s">
        <v>2250</v>
      </c>
      <c r="H1906" t="s">
        <v>592</v>
      </c>
      <c r="J1906" s="519">
        <v>46122</v>
      </c>
      <c r="R1906" s="519">
        <v>46139</v>
      </c>
      <c r="U1906" s="519">
        <v>46235</v>
      </c>
    </row>
    <row r="1907" spans="1:21">
      <c r="A1907" t="s">
        <v>953</v>
      </c>
      <c r="B1907" t="s">
        <v>3809</v>
      </c>
      <c r="C1907" t="s">
        <v>953</v>
      </c>
      <c r="D1907">
        <v>20492084</v>
      </c>
      <c r="E1907" t="s">
        <v>1100</v>
      </c>
      <c r="F1907" t="s">
        <v>1115</v>
      </c>
      <c r="G1907" t="s">
        <v>2250</v>
      </c>
      <c r="H1907" t="s">
        <v>587</v>
      </c>
      <c r="J1907" s="519">
        <v>46122</v>
      </c>
      <c r="K1907" s="519">
        <v>46122</v>
      </c>
      <c r="U1907" s="519">
        <v>46122</v>
      </c>
    </row>
    <row r="1908" spans="1:21">
      <c r="A1908" t="s">
        <v>953</v>
      </c>
      <c r="B1908" t="s">
        <v>3232</v>
      </c>
      <c r="C1908" t="s">
        <v>953</v>
      </c>
      <c r="D1908">
        <v>20474197</v>
      </c>
      <c r="E1908" t="s">
        <v>2258</v>
      </c>
      <c r="F1908" t="s">
        <v>984</v>
      </c>
      <c r="G1908" t="s">
        <v>2250</v>
      </c>
      <c r="H1908" t="s">
        <v>592</v>
      </c>
      <c r="J1908" s="519">
        <v>46098</v>
      </c>
      <c r="R1908" s="519">
        <v>46114</v>
      </c>
      <c r="U1908" s="519">
        <v>46175</v>
      </c>
    </row>
    <row r="1909" spans="1:21">
      <c r="A1909" t="s">
        <v>953</v>
      </c>
      <c r="B1909" t="s">
        <v>2764</v>
      </c>
      <c r="C1909" t="s">
        <v>953</v>
      </c>
      <c r="D1909">
        <v>20431983</v>
      </c>
      <c r="E1909" t="s">
        <v>2258</v>
      </c>
      <c r="F1909" t="s">
        <v>2256</v>
      </c>
      <c r="G1909" t="s">
        <v>2248</v>
      </c>
      <c r="H1909" t="s">
        <v>591</v>
      </c>
      <c r="J1909" s="519">
        <v>46043</v>
      </c>
      <c r="R1909" s="519">
        <v>46114</v>
      </c>
      <c r="U1909" s="519">
        <v>46043</v>
      </c>
    </row>
    <row r="1910" spans="1:21">
      <c r="A1910" t="s">
        <v>953</v>
      </c>
      <c r="B1910" t="s">
        <v>2767</v>
      </c>
      <c r="C1910" t="s">
        <v>953</v>
      </c>
      <c r="D1910">
        <v>20458281</v>
      </c>
      <c r="E1910" t="s">
        <v>2258</v>
      </c>
      <c r="F1910" t="s">
        <v>579</v>
      </c>
      <c r="G1910" t="s">
        <v>2248</v>
      </c>
      <c r="H1910" t="s">
        <v>592</v>
      </c>
      <c r="J1910" s="519">
        <v>46079</v>
      </c>
      <c r="R1910" s="519">
        <v>46115</v>
      </c>
      <c r="U1910" s="519">
        <v>46079</v>
      </c>
    </row>
    <row r="1911" spans="1:21">
      <c r="A1911" t="s">
        <v>953</v>
      </c>
      <c r="B1911" t="s">
        <v>3810</v>
      </c>
      <c r="C1911" t="s">
        <v>953</v>
      </c>
      <c r="D1911">
        <v>20413857</v>
      </c>
      <c r="E1911" t="s">
        <v>2252</v>
      </c>
      <c r="F1911" t="s">
        <v>579</v>
      </c>
      <c r="G1911" t="s">
        <v>2250</v>
      </c>
      <c r="H1911" t="s">
        <v>587</v>
      </c>
      <c r="I1911" t="s">
        <v>3234</v>
      </c>
      <c r="J1911" s="519">
        <v>46019</v>
      </c>
      <c r="K1911" s="519">
        <v>46019</v>
      </c>
      <c r="R1911" s="519">
        <v>46114</v>
      </c>
      <c r="U1911" s="519">
        <v>46020</v>
      </c>
    </row>
    <row r="1912" spans="1:21">
      <c r="A1912" t="s">
        <v>953</v>
      </c>
      <c r="B1912" t="s">
        <v>3235</v>
      </c>
      <c r="C1912" t="s">
        <v>953</v>
      </c>
      <c r="D1912">
        <v>20462254</v>
      </c>
      <c r="E1912" t="s">
        <v>2258</v>
      </c>
      <c r="F1912" t="s">
        <v>582</v>
      </c>
      <c r="G1912" t="s">
        <v>2259</v>
      </c>
      <c r="H1912" t="s">
        <v>591</v>
      </c>
      <c r="J1912" s="519">
        <v>46085</v>
      </c>
      <c r="R1912" s="519">
        <v>46114</v>
      </c>
      <c r="U1912" s="519">
        <v>46085</v>
      </c>
    </row>
    <row r="1913" spans="1:21">
      <c r="A1913" t="s">
        <v>953</v>
      </c>
      <c r="B1913" t="s">
        <v>2772</v>
      </c>
      <c r="C1913" t="s">
        <v>953</v>
      </c>
      <c r="D1913">
        <v>20444194</v>
      </c>
      <c r="E1913" t="s">
        <v>2258</v>
      </c>
      <c r="F1913" t="s">
        <v>581</v>
      </c>
      <c r="G1913" t="s">
        <v>1213</v>
      </c>
      <c r="H1913" t="s">
        <v>587</v>
      </c>
      <c r="J1913" s="519">
        <v>46063</v>
      </c>
      <c r="R1913" s="519">
        <v>46114</v>
      </c>
      <c r="U1913" s="519">
        <v>46072</v>
      </c>
    </row>
    <row r="1914" spans="1:21">
      <c r="A1914" t="s">
        <v>953</v>
      </c>
      <c r="B1914" t="s">
        <v>3811</v>
      </c>
      <c r="C1914" t="s">
        <v>953</v>
      </c>
      <c r="D1914">
        <v>20426496</v>
      </c>
      <c r="E1914" t="s">
        <v>2258</v>
      </c>
      <c r="F1914" t="s">
        <v>577</v>
      </c>
      <c r="G1914" t="s">
        <v>2259</v>
      </c>
      <c r="H1914" t="s">
        <v>2361</v>
      </c>
      <c r="I1914" t="s">
        <v>2454</v>
      </c>
      <c r="J1914" s="519">
        <v>46037</v>
      </c>
      <c r="R1914" s="519">
        <v>46114</v>
      </c>
      <c r="U1914" s="519">
        <v>46037</v>
      </c>
    </row>
    <row r="1915" spans="1:21">
      <c r="A1915" t="s">
        <v>953</v>
      </c>
      <c r="B1915" t="s">
        <v>3812</v>
      </c>
      <c r="C1915" t="s">
        <v>953</v>
      </c>
      <c r="D1915">
        <v>20422157</v>
      </c>
      <c r="E1915" t="s">
        <v>2258</v>
      </c>
      <c r="F1915" t="s">
        <v>577</v>
      </c>
      <c r="G1915" t="s">
        <v>2248</v>
      </c>
      <c r="H1915" t="s">
        <v>1144</v>
      </c>
      <c r="J1915" s="519">
        <v>46032</v>
      </c>
      <c r="R1915" s="519">
        <v>46114</v>
      </c>
      <c r="U1915" s="519">
        <v>46032</v>
      </c>
    </row>
    <row r="1916" spans="1:21">
      <c r="A1916" t="s">
        <v>953</v>
      </c>
      <c r="B1916" t="s">
        <v>2773</v>
      </c>
      <c r="C1916" t="s">
        <v>953</v>
      </c>
      <c r="D1916">
        <v>20446002</v>
      </c>
      <c r="E1916" t="s">
        <v>2258</v>
      </c>
      <c r="F1916" t="s">
        <v>581</v>
      </c>
      <c r="G1916" t="s">
        <v>2259</v>
      </c>
      <c r="H1916" t="s">
        <v>593</v>
      </c>
      <c r="I1916" t="s">
        <v>1128</v>
      </c>
      <c r="J1916" s="519">
        <v>46064</v>
      </c>
      <c r="R1916" s="519">
        <v>46114</v>
      </c>
      <c r="U1916" s="519">
        <v>46065</v>
      </c>
    </row>
    <row r="1917" spans="1:21">
      <c r="A1917" t="s">
        <v>953</v>
      </c>
      <c r="B1917" t="s">
        <v>7280</v>
      </c>
      <c r="C1917" t="s">
        <v>953</v>
      </c>
      <c r="D1917">
        <v>20500995</v>
      </c>
      <c r="E1917" t="s">
        <v>2258</v>
      </c>
      <c r="F1917" t="s">
        <v>984</v>
      </c>
      <c r="G1917" t="s">
        <v>2250</v>
      </c>
      <c r="H1917" t="s">
        <v>2361</v>
      </c>
      <c r="J1917" s="519">
        <v>46131</v>
      </c>
      <c r="R1917" s="519">
        <v>46139</v>
      </c>
      <c r="U1917" s="519">
        <v>46136</v>
      </c>
    </row>
    <row r="1918" spans="1:21">
      <c r="A1918" t="s">
        <v>953</v>
      </c>
      <c r="B1918" t="s">
        <v>3813</v>
      </c>
      <c r="C1918" t="s">
        <v>953</v>
      </c>
      <c r="D1918">
        <v>20429623</v>
      </c>
      <c r="E1918" t="s">
        <v>2258</v>
      </c>
      <c r="F1918" t="s">
        <v>581</v>
      </c>
      <c r="G1918" t="s">
        <v>2248</v>
      </c>
      <c r="H1918" t="s">
        <v>592</v>
      </c>
      <c r="J1918" s="519">
        <v>46039</v>
      </c>
      <c r="R1918" s="519">
        <v>46114</v>
      </c>
      <c r="U1918" s="519">
        <v>46095</v>
      </c>
    </row>
    <row r="1919" spans="1:21">
      <c r="A1919" t="s">
        <v>953</v>
      </c>
      <c r="B1919" t="s">
        <v>7281</v>
      </c>
      <c r="C1919" t="s">
        <v>953</v>
      </c>
      <c r="D1919">
        <v>20507693</v>
      </c>
      <c r="E1919" t="s">
        <v>2245</v>
      </c>
      <c r="F1919" t="s">
        <v>984</v>
      </c>
      <c r="G1919" t="s">
        <v>2259</v>
      </c>
      <c r="H1919" t="s">
        <v>592</v>
      </c>
      <c r="J1919" s="519">
        <v>46135</v>
      </c>
      <c r="U1919" s="519">
        <v>46183</v>
      </c>
    </row>
    <row r="1920" spans="1:21">
      <c r="A1920" t="s">
        <v>953</v>
      </c>
      <c r="B1920" t="s">
        <v>2774</v>
      </c>
      <c r="C1920" t="s">
        <v>953</v>
      </c>
      <c r="D1920">
        <v>20446362</v>
      </c>
      <c r="E1920" t="s">
        <v>2258</v>
      </c>
      <c r="F1920" t="s">
        <v>581</v>
      </c>
      <c r="G1920" t="s">
        <v>2259</v>
      </c>
      <c r="H1920" t="s">
        <v>587</v>
      </c>
      <c r="J1920" s="519">
        <v>46064</v>
      </c>
      <c r="R1920" s="519">
        <v>46114</v>
      </c>
      <c r="U1920" s="519">
        <v>46124</v>
      </c>
    </row>
    <row r="1921" spans="1:21">
      <c r="A1921" t="s">
        <v>953</v>
      </c>
      <c r="B1921" t="s">
        <v>7282</v>
      </c>
      <c r="C1921" t="s">
        <v>953</v>
      </c>
      <c r="D1921">
        <v>20500731</v>
      </c>
      <c r="E1921" t="s">
        <v>1110</v>
      </c>
      <c r="F1921" t="s">
        <v>579</v>
      </c>
      <c r="G1921" t="s">
        <v>2259</v>
      </c>
      <c r="H1921" t="s">
        <v>593</v>
      </c>
      <c r="I1921" t="s">
        <v>5671</v>
      </c>
      <c r="J1921" s="519">
        <v>46130</v>
      </c>
      <c r="K1921" s="519">
        <v>46132</v>
      </c>
      <c r="L1921" s="519">
        <v>46133</v>
      </c>
      <c r="U1921" s="519">
        <v>46143</v>
      </c>
    </row>
    <row r="1922" spans="1:21">
      <c r="A1922" t="s">
        <v>953</v>
      </c>
      <c r="B1922" t="s">
        <v>7282</v>
      </c>
      <c r="C1922" t="s">
        <v>953</v>
      </c>
      <c r="D1922">
        <v>20502838</v>
      </c>
      <c r="E1922" t="s">
        <v>2252</v>
      </c>
      <c r="F1922" t="s">
        <v>1001</v>
      </c>
      <c r="G1922" t="s">
        <v>2250</v>
      </c>
      <c r="H1922" t="s">
        <v>587</v>
      </c>
      <c r="I1922" t="s">
        <v>2912</v>
      </c>
      <c r="J1922" s="519">
        <v>46132</v>
      </c>
      <c r="K1922" s="519">
        <v>46132</v>
      </c>
      <c r="R1922" s="519">
        <v>46135</v>
      </c>
      <c r="U1922" s="519">
        <v>46132</v>
      </c>
    </row>
    <row r="1923" spans="1:21">
      <c r="A1923" t="s">
        <v>953</v>
      </c>
      <c r="B1923" t="s">
        <v>3814</v>
      </c>
      <c r="C1923" t="s">
        <v>953</v>
      </c>
      <c r="D1923">
        <v>20485356</v>
      </c>
      <c r="E1923" t="s">
        <v>2258</v>
      </c>
      <c r="F1923" t="s">
        <v>581</v>
      </c>
      <c r="G1923" t="s">
        <v>2250</v>
      </c>
      <c r="H1923" t="s">
        <v>592</v>
      </c>
      <c r="J1923" s="519">
        <v>46113</v>
      </c>
      <c r="R1923" s="519">
        <v>46139</v>
      </c>
      <c r="U1923" s="519">
        <v>46113</v>
      </c>
    </row>
    <row r="1924" spans="1:21">
      <c r="A1924" t="s">
        <v>953</v>
      </c>
      <c r="B1924" t="s">
        <v>3815</v>
      </c>
      <c r="C1924" t="s">
        <v>953</v>
      </c>
      <c r="D1924">
        <v>20487797</v>
      </c>
      <c r="E1924" t="s">
        <v>2258</v>
      </c>
      <c r="F1924" t="s">
        <v>984</v>
      </c>
      <c r="G1924" t="s">
        <v>2250</v>
      </c>
      <c r="H1924" t="s">
        <v>592</v>
      </c>
      <c r="J1924" s="519">
        <v>46118</v>
      </c>
      <c r="R1924" s="519">
        <v>46139</v>
      </c>
      <c r="U1924" s="519">
        <v>46136</v>
      </c>
    </row>
    <row r="1925" spans="1:21">
      <c r="A1925" t="s">
        <v>953</v>
      </c>
      <c r="B1925" t="s">
        <v>2775</v>
      </c>
      <c r="C1925" t="s">
        <v>953</v>
      </c>
      <c r="D1925">
        <v>20452600</v>
      </c>
      <c r="E1925" t="s">
        <v>2258</v>
      </c>
      <c r="F1925" t="s">
        <v>581</v>
      </c>
      <c r="G1925" t="s">
        <v>2290</v>
      </c>
      <c r="H1925" t="s">
        <v>591</v>
      </c>
      <c r="J1925" s="519">
        <v>46071</v>
      </c>
      <c r="R1925" s="519">
        <v>46114</v>
      </c>
      <c r="U1925" s="519">
        <v>46071</v>
      </c>
    </row>
    <row r="1926" spans="1:21">
      <c r="A1926" t="s">
        <v>953</v>
      </c>
      <c r="B1926" t="s">
        <v>7283</v>
      </c>
      <c r="C1926" t="s">
        <v>953</v>
      </c>
      <c r="D1926">
        <v>20511044</v>
      </c>
      <c r="E1926" t="s">
        <v>2245</v>
      </c>
      <c r="F1926" t="s">
        <v>984</v>
      </c>
      <c r="G1926" t="s">
        <v>2250</v>
      </c>
      <c r="H1926" t="s">
        <v>2361</v>
      </c>
      <c r="J1926" s="519">
        <v>46139</v>
      </c>
      <c r="U1926" s="519">
        <v>46178</v>
      </c>
    </row>
    <row r="1927" spans="1:21">
      <c r="A1927" t="s">
        <v>953</v>
      </c>
      <c r="B1927" t="s">
        <v>3236</v>
      </c>
      <c r="C1927" t="s">
        <v>953</v>
      </c>
      <c r="D1927">
        <v>20477013</v>
      </c>
      <c r="E1927" t="s">
        <v>2252</v>
      </c>
      <c r="F1927" t="s">
        <v>582</v>
      </c>
      <c r="G1927" t="s">
        <v>2250</v>
      </c>
      <c r="H1927" t="s">
        <v>2428</v>
      </c>
      <c r="I1927" t="s">
        <v>1739</v>
      </c>
      <c r="J1927" s="519">
        <v>46101</v>
      </c>
      <c r="K1927" s="519">
        <v>46101</v>
      </c>
      <c r="R1927" s="519">
        <v>46114</v>
      </c>
      <c r="U1927" s="519">
        <v>46174</v>
      </c>
    </row>
    <row r="1928" spans="1:21">
      <c r="A1928" t="s">
        <v>953</v>
      </c>
      <c r="B1928" t="s">
        <v>2776</v>
      </c>
      <c r="C1928" t="s">
        <v>953</v>
      </c>
      <c r="D1928">
        <v>20443263</v>
      </c>
      <c r="E1928" t="s">
        <v>2258</v>
      </c>
      <c r="F1928" t="s">
        <v>984</v>
      </c>
      <c r="G1928" t="s">
        <v>2246</v>
      </c>
      <c r="H1928" t="s">
        <v>587</v>
      </c>
      <c r="J1928" s="519">
        <v>46061</v>
      </c>
      <c r="R1928" s="519">
        <v>46114</v>
      </c>
      <c r="U1928" s="519">
        <v>46143</v>
      </c>
    </row>
    <row r="1929" spans="1:21">
      <c r="A1929" t="s">
        <v>953</v>
      </c>
      <c r="B1929" t="s">
        <v>3816</v>
      </c>
      <c r="C1929" t="s">
        <v>953</v>
      </c>
      <c r="D1929">
        <v>20486425</v>
      </c>
      <c r="E1929" t="s">
        <v>2258</v>
      </c>
      <c r="F1929" t="s">
        <v>581</v>
      </c>
      <c r="G1929" t="s">
        <v>2259</v>
      </c>
      <c r="H1929" t="s">
        <v>592</v>
      </c>
      <c r="J1929" s="519">
        <v>46115</v>
      </c>
      <c r="R1929" s="519">
        <v>46115</v>
      </c>
      <c r="U1929" s="519">
        <v>46115</v>
      </c>
    </row>
    <row r="1930" spans="1:21">
      <c r="A1930" t="s">
        <v>953</v>
      </c>
      <c r="B1930" t="s">
        <v>3817</v>
      </c>
      <c r="C1930" t="s">
        <v>953</v>
      </c>
      <c r="D1930">
        <v>20492286</v>
      </c>
      <c r="E1930" t="s">
        <v>2258</v>
      </c>
      <c r="F1930" t="s">
        <v>581</v>
      </c>
      <c r="G1930" t="s">
        <v>2250</v>
      </c>
      <c r="H1930" t="s">
        <v>592</v>
      </c>
      <c r="J1930" s="519">
        <v>46123</v>
      </c>
      <c r="R1930" s="519">
        <v>46139</v>
      </c>
      <c r="U1930" s="519">
        <v>46173</v>
      </c>
    </row>
    <row r="1931" spans="1:21">
      <c r="A1931" t="s">
        <v>953</v>
      </c>
      <c r="B1931" t="s">
        <v>3818</v>
      </c>
      <c r="C1931" t="s">
        <v>953</v>
      </c>
      <c r="D1931">
        <v>20490002</v>
      </c>
      <c r="E1931" t="s">
        <v>2252</v>
      </c>
      <c r="F1931" t="s">
        <v>583</v>
      </c>
      <c r="G1931" t="s">
        <v>2250</v>
      </c>
      <c r="H1931" t="s">
        <v>587</v>
      </c>
      <c r="I1931" t="s">
        <v>1010</v>
      </c>
      <c r="J1931" s="519">
        <v>46120</v>
      </c>
      <c r="K1931" s="519">
        <v>46120</v>
      </c>
      <c r="L1931" s="519">
        <v>46120</v>
      </c>
      <c r="M1931" s="519">
        <v>46135</v>
      </c>
      <c r="N1931" s="519">
        <v>46135</v>
      </c>
      <c r="R1931" s="519">
        <v>46136</v>
      </c>
      <c r="U1931" s="519">
        <v>46140</v>
      </c>
    </row>
    <row r="1932" spans="1:21">
      <c r="A1932" t="s">
        <v>953</v>
      </c>
      <c r="B1932" t="s">
        <v>3818</v>
      </c>
      <c r="C1932" t="s">
        <v>953</v>
      </c>
      <c r="D1932">
        <v>20489994</v>
      </c>
      <c r="E1932" t="s">
        <v>2252</v>
      </c>
      <c r="F1932" t="s">
        <v>581</v>
      </c>
      <c r="G1932" t="s">
        <v>2250</v>
      </c>
      <c r="H1932" t="s">
        <v>592</v>
      </c>
      <c r="J1932" s="519">
        <v>46120</v>
      </c>
      <c r="K1932" s="519">
        <v>46120</v>
      </c>
      <c r="R1932" s="519">
        <v>46129</v>
      </c>
      <c r="U1932" s="519">
        <v>46140</v>
      </c>
    </row>
    <row r="1933" spans="1:21">
      <c r="A1933" t="s">
        <v>953</v>
      </c>
      <c r="B1933" t="s">
        <v>3819</v>
      </c>
      <c r="C1933" t="s">
        <v>953</v>
      </c>
      <c r="D1933">
        <v>20486284</v>
      </c>
      <c r="E1933" t="s">
        <v>2258</v>
      </c>
      <c r="F1933" t="s">
        <v>984</v>
      </c>
      <c r="G1933" t="s">
        <v>2250</v>
      </c>
      <c r="H1933" t="s">
        <v>592</v>
      </c>
      <c r="J1933" s="519">
        <v>46114</v>
      </c>
      <c r="R1933" s="519">
        <v>46115</v>
      </c>
      <c r="U1933" s="519">
        <v>46115</v>
      </c>
    </row>
    <row r="1934" spans="1:21">
      <c r="A1934" t="s">
        <v>953</v>
      </c>
      <c r="B1934" t="s">
        <v>3820</v>
      </c>
      <c r="C1934" t="s">
        <v>953</v>
      </c>
      <c r="D1934">
        <v>20419499</v>
      </c>
      <c r="E1934" t="s">
        <v>2258</v>
      </c>
      <c r="F1934" t="s">
        <v>581</v>
      </c>
      <c r="G1934" t="s">
        <v>2290</v>
      </c>
      <c r="H1934" t="s">
        <v>592</v>
      </c>
      <c r="J1934" s="519">
        <v>46028</v>
      </c>
      <c r="R1934" s="519">
        <v>46114</v>
      </c>
      <c r="U1934" s="519">
        <v>46041</v>
      </c>
    </row>
    <row r="1935" spans="1:21">
      <c r="A1935" t="s">
        <v>953</v>
      </c>
      <c r="B1935" t="s">
        <v>7284</v>
      </c>
      <c r="C1935" t="s">
        <v>953</v>
      </c>
      <c r="D1935">
        <v>20424379</v>
      </c>
      <c r="E1935" t="s">
        <v>2258</v>
      </c>
      <c r="F1935" t="s">
        <v>581</v>
      </c>
      <c r="G1935" t="s">
        <v>2246</v>
      </c>
      <c r="H1935" t="s">
        <v>587</v>
      </c>
      <c r="J1935" s="519">
        <v>46035</v>
      </c>
      <c r="R1935" s="519">
        <v>46139</v>
      </c>
      <c r="U1935" s="519">
        <v>46035</v>
      </c>
    </row>
    <row r="1936" spans="1:21">
      <c r="A1936" t="s">
        <v>953</v>
      </c>
      <c r="B1936" t="s">
        <v>3237</v>
      </c>
      <c r="C1936" t="s">
        <v>953</v>
      </c>
      <c r="D1936">
        <v>20472147</v>
      </c>
      <c r="E1936" t="s">
        <v>2258</v>
      </c>
      <c r="F1936" t="s">
        <v>577</v>
      </c>
      <c r="G1936" t="s">
        <v>2250</v>
      </c>
      <c r="H1936" t="s">
        <v>592</v>
      </c>
      <c r="I1936" t="s">
        <v>3238</v>
      </c>
      <c r="J1936" s="519">
        <v>46097</v>
      </c>
      <c r="R1936" s="519">
        <v>46115</v>
      </c>
      <c r="U1936" s="519">
        <v>46167</v>
      </c>
    </row>
    <row r="1937" spans="1:21">
      <c r="A1937" t="s">
        <v>953</v>
      </c>
      <c r="B1937" t="s">
        <v>3239</v>
      </c>
      <c r="C1937" t="s">
        <v>953</v>
      </c>
      <c r="D1937">
        <v>20484050</v>
      </c>
      <c r="E1937" t="s">
        <v>2258</v>
      </c>
      <c r="F1937" t="s">
        <v>577</v>
      </c>
      <c r="G1937" t="s">
        <v>2248</v>
      </c>
      <c r="H1937" t="s">
        <v>592</v>
      </c>
      <c r="I1937" t="s">
        <v>2818</v>
      </c>
      <c r="J1937" s="519">
        <v>46112</v>
      </c>
      <c r="R1937" s="519">
        <v>46139</v>
      </c>
      <c r="U1937" s="519">
        <v>46178</v>
      </c>
    </row>
    <row r="1938" spans="1:21">
      <c r="A1938" t="s">
        <v>953</v>
      </c>
      <c r="B1938" t="s">
        <v>7285</v>
      </c>
      <c r="C1938" t="s">
        <v>953</v>
      </c>
      <c r="D1938">
        <v>20505817</v>
      </c>
      <c r="E1938" t="s">
        <v>2245</v>
      </c>
      <c r="F1938" t="s">
        <v>984</v>
      </c>
      <c r="G1938" t="s">
        <v>2259</v>
      </c>
      <c r="H1938" t="s">
        <v>2388</v>
      </c>
      <c r="J1938" s="519">
        <v>46134</v>
      </c>
      <c r="U1938" s="519">
        <v>46134</v>
      </c>
    </row>
    <row r="1939" spans="1:21">
      <c r="A1939" t="s">
        <v>953</v>
      </c>
      <c r="B1939" t="s">
        <v>3821</v>
      </c>
      <c r="C1939" t="s">
        <v>953</v>
      </c>
      <c r="D1939">
        <v>20490670</v>
      </c>
      <c r="E1939" t="s">
        <v>2258</v>
      </c>
      <c r="F1939" t="s">
        <v>984</v>
      </c>
      <c r="G1939" t="s">
        <v>2250</v>
      </c>
      <c r="H1939" t="s">
        <v>592</v>
      </c>
      <c r="J1939" s="519">
        <v>46121</v>
      </c>
      <c r="R1939" s="519">
        <v>46139</v>
      </c>
      <c r="U1939" s="519">
        <v>46164</v>
      </c>
    </row>
    <row r="1940" spans="1:21">
      <c r="A1940" t="s">
        <v>953</v>
      </c>
      <c r="B1940" t="s">
        <v>3240</v>
      </c>
      <c r="C1940" t="s">
        <v>953</v>
      </c>
      <c r="D1940">
        <v>20475549</v>
      </c>
      <c r="E1940" t="s">
        <v>2258</v>
      </c>
      <c r="F1940" t="s">
        <v>984</v>
      </c>
      <c r="G1940" t="s">
        <v>2250</v>
      </c>
      <c r="H1940" t="s">
        <v>592</v>
      </c>
      <c r="J1940" s="519">
        <v>46099</v>
      </c>
      <c r="R1940" s="519">
        <v>46114</v>
      </c>
      <c r="U1940" s="519">
        <v>46223</v>
      </c>
    </row>
    <row r="1941" spans="1:21">
      <c r="A1941" t="s">
        <v>953</v>
      </c>
      <c r="B1941" t="s">
        <v>1024</v>
      </c>
      <c r="C1941" t="s">
        <v>953</v>
      </c>
      <c r="D1941">
        <v>20470891</v>
      </c>
      <c r="E1941" t="s">
        <v>2324</v>
      </c>
      <c r="F1941" t="s">
        <v>583</v>
      </c>
      <c r="G1941" t="s">
        <v>2290</v>
      </c>
      <c r="H1941" t="s">
        <v>587</v>
      </c>
      <c r="I1941" t="s">
        <v>1023</v>
      </c>
      <c r="J1941" s="519">
        <v>46094</v>
      </c>
      <c r="K1941" s="519">
        <v>46095</v>
      </c>
      <c r="L1941" s="519">
        <v>46095</v>
      </c>
      <c r="M1941" s="519">
        <v>46112</v>
      </c>
      <c r="N1941" s="519">
        <v>46113</v>
      </c>
      <c r="P1941" s="519">
        <v>46113</v>
      </c>
      <c r="Q1941" s="519">
        <v>46113</v>
      </c>
      <c r="U1941" s="519">
        <v>46114</v>
      </c>
    </row>
    <row r="1942" spans="1:21">
      <c r="A1942" t="s">
        <v>953</v>
      </c>
      <c r="B1942" t="s">
        <v>2778</v>
      </c>
      <c r="C1942" t="s">
        <v>953</v>
      </c>
      <c r="D1942">
        <v>20443599</v>
      </c>
      <c r="E1942" t="s">
        <v>2258</v>
      </c>
      <c r="F1942" t="s">
        <v>984</v>
      </c>
      <c r="G1942" t="s">
        <v>2259</v>
      </c>
      <c r="H1942" t="s">
        <v>592</v>
      </c>
      <c r="J1942" s="519">
        <v>46062</v>
      </c>
      <c r="R1942" s="519">
        <v>46114</v>
      </c>
      <c r="U1942" s="519">
        <v>46076</v>
      </c>
    </row>
    <row r="1943" spans="1:21">
      <c r="A1943" t="s">
        <v>953</v>
      </c>
      <c r="B1943" t="s">
        <v>3822</v>
      </c>
      <c r="C1943" t="s">
        <v>953</v>
      </c>
      <c r="D1943">
        <v>20416544</v>
      </c>
      <c r="E1943" t="s">
        <v>2258</v>
      </c>
      <c r="F1943" t="s">
        <v>984</v>
      </c>
      <c r="G1943" t="s">
        <v>2246</v>
      </c>
      <c r="H1943" t="s">
        <v>591</v>
      </c>
      <c r="J1943" s="519">
        <v>46024</v>
      </c>
      <c r="R1943" s="519">
        <v>46114</v>
      </c>
      <c r="U1943" s="519">
        <v>46054</v>
      </c>
    </row>
    <row r="1944" spans="1:21">
      <c r="A1944" t="s">
        <v>953</v>
      </c>
      <c r="B1944" t="s">
        <v>3823</v>
      </c>
      <c r="C1944" t="s">
        <v>953</v>
      </c>
      <c r="D1944">
        <v>20489969</v>
      </c>
      <c r="E1944" t="s">
        <v>2258</v>
      </c>
      <c r="F1944" t="s">
        <v>577</v>
      </c>
      <c r="G1944" t="s">
        <v>2248</v>
      </c>
      <c r="H1944" t="s">
        <v>588</v>
      </c>
      <c r="J1944" s="519">
        <v>46120</v>
      </c>
      <c r="R1944" s="519">
        <v>46139</v>
      </c>
      <c r="U1944" s="519">
        <v>46129</v>
      </c>
    </row>
    <row r="1945" spans="1:21">
      <c r="A1945" t="s">
        <v>953</v>
      </c>
      <c r="B1945" t="s">
        <v>3824</v>
      </c>
      <c r="C1945" t="s">
        <v>953</v>
      </c>
      <c r="D1945">
        <v>20484799</v>
      </c>
      <c r="E1945" t="s">
        <v>2324</v>
      </c>
      <c r="F1945" t="s">
        <v>1001</v>
      </c>
      <c r="G1945" t="s">
        <v>2248</v>
      </c>
      <c r="H1945" t="s">
        <v>588</v>
      </c>
      <c r="I1945" t="s">
        <v>2420</v>
      </c>
      <c r="J1945" s="519">
        <v>46113</v>
      </c>
      <c r="K1945" s="519">
        <v>46113</v>
      </c>
      <c r="L1945" s="519">
        <v>46113</v>
      </c>
      <c r="M1945" s="519">
        <v>46114</v>
      </c>
      <c r="N1945" s="519">
        <v>46114</v>
      </c>
      <c r="P1945" s="519">
        <v>46114</v>
      </c>
      <c r="Q1945" s="519">
        <v>46115</v>
      </c>
      <c r="U1945" s="519">
        <v>46116</v>
      </c>
    </row>
    <row r="1946" spans="1:21">
      <c r="A1946" t="s">
        <v>953</v>
      </c>
      <c r="B1946" t="s">
        <v>2780</v>
      </c>
      <c r="C1946" t="s">
        <v>953</v>
      </c>
      <c r="D1946">
        <v>20456345</v>
      </c>
      <c r="E1946" t="s">
        <v>2252</v>
      </c>
      <c r="F1946" t="s">
        <v>578</v>
      </c>
      <c r="G1946" t="s">
        <v>2259</v>
      </c>
      <c r="H1946" t="s">
        <v>592</v>
      </c>
      <c r="I1946" t="s">
        <v>1007</v>
      </c>
      <c r="J1946" s="519">
        <v>46077</v>
      </c>
      <c r="K1946" s="519">
        <v>46077</v>
      </c>
      <c r="L1946" s="519">
        <v>46077</v>
      </c>
      <c r="R1946" s="519">
        <v>46114</v>
      </c>
      <c r="U1946" s="519">
        <v>46088</v>
      </c>
    </row>
    <row r="1947" spans="1:21">
      <c r="A1947" t="s">
        <v>953</v>
      </c>
      <c r="B1947" t="s">
        <v>3825</v>
      </c>
      <c r="C1947" t="s">
        <v>953</v>
      </c>
      <c r="D1947">
        <v>20438532</v>
      </c>
      <c r="E1947" t="s">
        <v>2258</v>
      </c>
      <c r="F1947" t="s">
        <v>578</v>
      </c>
      <c r="G1947" t="s">
        <v>1213</v>
      </c>
      <c r="H1947" t="s">
        <v>592</v>
      </c>
      <c r="J1947" s="519">
        <v>46053</v>
      </c>
      <c r="R1947" s="519">
        <v>46114</v>
      </c>
      <c r="U1947" s="519">
        <v>46167</v>
      </c>
    </row>
    <row r="1948" spans="1:21">
      <c r="A1948" t="s">
        <v>953</v>
      </c>
      <c r="B1948" t="s">
        <v>3241</v>
      </c>
      <c r="C1948" t="s">
        <v>953</v>
      </c>
      <c r="D1948">
        <v>20475908</v>
      </c>
      <c r="E1948" t="s">
        <v>2258</v>
      </c>
      <c r="F1948" t="s">
        <v>581</v>
      </c>
      <c r="G1948" t="s">
        <v>2248</v>
      </c>
      <c r="H1948" t="s">
        <v>591</v>
      </c>
      <c r="J1948" s="519">
        <v>46100</v>
      </c>
      <c r="R1948" s="519">
        <v>46115</v>
      </c>
      <c r="U1948" s="519">
        <v>46100</v>
      </c>
    </row>
    <row r="1949" spans="1:21">
      <c r="A1949" t="s">
        <v>953</v>
      </c>
      <c r="B1949" t="s">
        <v>7286</v>
      </c>
      <c r="C1949" t="s">
        <v>953</v>
      </c>
      <c r="D1949">
        <v>20507576</v>
      </c>
      <c r="E1949" t="s">
        <v>2245</v>
      </c>
      <c r="F1949" t="s">
        <v>581</v>
      </c>
      <c r="G1949" t="s">
        <v>2259</v>
      </c>
      <c r="H1949" t="s">
        <v>587</v>
      </c>
      <c r="I1949" t="s">
        <v>1147</v>
      </c>
      <c r="J1949" s="519">
        <v>46135</v>
      </c>
      <c r="U1949" s="519">
        <v>46135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6D8AD-D86C-4379-8DA3-4811D6EEB355}">
  <sheetPr>
    <tabColor theme="6" tint="-0.499984740745262"/>
  </sheetPr>
  <dimension ref="A1:P14"/>
  <sheetViews>
    <sheetView workbookViewId="0">
      <selection activeCell="C18" sqref="C18"/>
    </sheetView>
  </sheetViews>
  <sheetFormatPr defaultRowHeight="14.5"/>
  <sheetData>
    <row r="1" spans="1:16">
      <c r="A1" t="s">
        <v>1254</v>
      </c>
      <c r="B1" t="s">
        <v>1537</v>
      </c>
      <c r="C1" t="s">
        <v>1538</v>
      </c>
      <c r="D1" t="s">
        <v>3826</v>
      </c>
      <c r="E1" t="s">
        <v>365</v>
      </c>
      <c r="F1" t="s">
        <v>3826</v>
      </c>
      <c r="G1" t="s">
        <v>622</v>
      </c>
      <c r="H1" t="s">
        <v>3826</v>
      </c>
      <c r="I1" t="s">
        <v>1539</v>
      </c>
      <c r="J1" t="s">
        <v>3826</v>
      </c>
      <c r="K1" t="s">
        <v>1540</v>
      </c>
      <c r="L1" t="s">
        <v>3826</v>
      </c>
      <c r="M1" t="s">
        <v>618</v>
      </c>
      <c r="N1" t="s">
        <v>3826</v>
      </c>
      <c r="O1" t="s">
        <v>1450</v>
      </c>
      <c r="P1" t="s">
        <v>3826</v>
      </c>
    </row>
    <row r="2" spans="1:16">
      <c r="A2" s="518">
        <v>46082</v>
      </c>
      <c r="B2">
        <v>60</v>
      </c>
      <c r="C2">
        <v>6</v>
      </c>
      <c r="D2">
        <v>0.1</v>
      </c>
      <c r="E2">
        <v>15</v>
      </c>
      <c r="F2">
        <v>0.25</v>
      </c>
      <c r="G2">
        <v>39</v>
      </c>
      <c r="H2">
        <v>0.65</v>
      </c>
      <c r="I2">
        <v>0</v>
      </c>
      <c r="J2">
        <v>0</v>
      </c>
      <c r="K2">
        <v>0</v>
      </c>
      <c r="L2">
        <v>0</v>
      </c>
      <c r="M2">
        <v>0</v>
      </c>
      <c r="N2">
        <v>0</v>
      </c>
      <c r="O2">
        <v>0</v>
      </c>
      <c r="P2">
        <v>0</v>
      </c>
    </row>
    <row r="3" spans="1:16">
      <c r="A3" s="518">
        <v>46113</v>
      </c>
      <c r="B3">
        <v>125</v>
      </c>
      <c r="C3">
        <v>8</v>
      </c>
      <c r="D3">
        <v>6.4000000000000001E-2</v>
      </c>
      <c r="E3">
        <v>17</v>
      </c>
      <c r="F3">
        <v>0.13600000000000001</v>
      </c>
      <c r="G3">
        <v>31</v>
      </c>
      <c r="H3">
        <v>0.248</v>
      </c>
      <c r="I3">
        <v>0</v>
      </c>
      <c r="J3">
        <v>0</v>
      </c>
      <c r="K3">
        <v>2</v>
      </c>
      <c r="L3">
        <v>1.6E-2</v>
      </c>
      <c r="M3">
        <v>2</v>
      </c>
      <c r="N3">
        <v>1.6E-2</v>
      </c>
      <c r="O3">
        <v>65</v>
      </c>
      <c r="P3">
        <v>0.52</v>
      </c>
    </row>
    <row r="4" spans="1:16">
      <c r="A4" s="518">
        <v>46143</v>
      </c>
      <c r="B4">
        <v>56</v>
      </c>
      <c r="C4">
        <v>6</v>
      </c>
      <c r="D4">
        <v>0.1071</v>
      </c>
      <c r="E4">
        <v>11</v>
      </c>
      <c r="F4">
        <v>0.19639999999999999</v>
      </c>
      <c r="G4">
        <v>19</v>
      </c>
      <c r="H4">
        <v>0.33929999999999999</v>
      </c>
      <c r="I4">
        <v>0</v>
      </c>
      <c r="J4">
        <v>0</v>
      </c>
      <c r="K4">
        <v>1</v>
      </c>
      <c r="L4">
        <v>1.7899999999999999E-2</v>
      </c>
      <c r="M4">
        <v>19</v>
      </c>
      <c r="N4">
        <v>0.33929999999999999</v>
      </c>
      <c r="O4">
        <v>0</v>
      </c>
      <c r="P4">
        <v>0</v>
      </c>
    </row>
    <row r="5" spans="1:16">
      <c r="A5" s="518">
        <v>46174</v>
      </c>
      <c r="B5">
        <v>55</v>
      </c>
      <c r="C5">
        <v>12</v>
      </c>
      <c r="D5">
        <v>0.21820000000000001</v>
      </c>
      <c r="E5">
        <v>7</v>
      </c>
      <c r="F5">
        <v>0.1273</v>
      </c>
      <c r="G5">
        <v>15</v>
      </c>
      <c r="H5">
        <v>0.2727</v>
      </c>
      <c r="I5">
        <v>0</v>
      </c>
      <c r="J5">
        <v>0</v>
      </c>
      <c r="K5">
        <v>0</v>
      </c>
      <c r="L5">
        <v>0</v>
      </c>
      <c r="M5">
        <v>21</v>
      </c>
      <c r="N5">
        <v>0.38179999999999997</v>
      </c>
      <c r="O5">
        <v>0</v>
      </c>
      <c r="P5">
        <v>0</v>
      </c>
    </row>
    <row r="6" spans="1:16">
      <c r="A6" s="518">
        <v>46204</v>
      </c>
      <c r="B6">
        <v>73</v>
      </c>
      <c r="C6">
        <v>7</v>
      </c>
      <c r="D6">
        <v>9.5899999999999999E-2</v>
      </c>
      <c r="E6">
        <v>10</v>
      </c>
      <c r="F6">
        <v>0.13700000000000001</v>
      </c>
      <c r="G6">
        <v>0</v>
      </c>
      <c r="H6">
        <v>0</v>
      </c>
      <c r="I6">
        <v>0</v>
      </c>
      <c r="J6">
        <v>0</v>
      </c>
      <c r="K6">
        <v>0</v>
      </c>
      <c r="L6">
        <v>0</v>
      </c>
      <c r="M6">
        <v>56</v>
      </c>
      <c r="N6">
        <v>0.7671</v>
      </c>
      <c r="O6">
        <v>0</v>
      </c>
      <c r="P6">
        <v>0</v>
      </c>
    </row>
    <row r="7" spans="1:16">
      <c r="A7" s="518">
        <v>46235</v>
      </c>
      <c r="B7">
        <v>51</v>
      </c>
      <c r="C7">
        <v>2</v>
      </c>
      <c r="D7">
        <v>3.9199999999999999E-2</v>
      </c>
      <c r="E7">
        <v>1</v>
      </c>
      <c r="F7">
        <v>1.9599999999999999E-2</v>
      </c>
      <c r="G7">
        <v>0</v>
      </c>
      <c r="H7">
        <v>0</v>
      </c>
      <c r="I7">
        <v>0</v>
      </c>
      <c r="J7">
        <v>0</v>
      </c>
      <c r="K7">
        <v>0</v>
      </c>
      <c r="L7">
        <v>0</v>
      </c>
      <c r="M7">
        <v>48</v>
      </c>
      <c r="N7">
        <v>0.94120000000000004</v>
      </c>
      <c r="O7">
        <v>0</v>
      </c>
      <c r="P7">
        <v>0</v>
      </c>
    </row>
    <row r="8" spans="1:16">
      <c r="A8" s="518">
        <v>46266</v>
      </c>
      <c r="B8">
        <v>53</v>
      </c>
      <c r="C8">
        <v>6</v>
      </c>
      <c r="D8">
        <v>0.1132</v>
      </c>
      <c r="E8">
        <v>1</v>
      </c>
      <c r="F8">
        <v>1.89E-2</v>
      </c>
      <c r="G8">
        <v>0</v>
      </c>
      <c r="H8">
        <v>0</v>
      </c>
      <c r="I8">
        <v>0</v>
      </c>
      <c r="J8">
        <v>0</v>
      </c>
      <c r="K8">
        <v>0</v>
      </c>
      <c r="L8">
        <v>0</v>
      </c>
      <c r="M8">
        <v>46</v>
      </c>
      <c r="N8">
        <v>0.8679</v>
      </c>
      <c r="O8">
        <v>0</v>
      </c>
      <c r="P8">
        <v>0</v>
      </c>
    </row>
    <row r="9" spans="1:16">
      <c r="A9" s="518">
        <v>46296</v>
      </c>
      <c r="B9">
        <v>39</v>
      </c>
      <c r="C9">
        <v>2</v>
      </c>
      <c r="D9">
        <v>5.1299999999999998E-2</v>
      </c>
      <c r="E9">
        <v>0</v>
      </c>
      <c r="F9">
        <v>0</v>
      </c>
      <c r="G9">
        <v>0</v>
      </c>
      <c r="H9">
        <v>0</v>
      </c>
      <c r="I9">
        <v>0</v>
      </c>
      <c r="J9">
        <v>0</v>
      </c>
      <c r="K9">
        <v>0</v>
      </c>
      <c r="L9">
        <v>0</v>
      </c>
      <c r="M9">
        <v>37</v>
      </c>
      <c r="N9">
        <v>0.94869999999999999</v>
      </c>
      <c r="O9">
        <v>0</v>
      </c>
      <c r="P9">
        <v>0</v>
      </c>
    </row>
    <row r="10" spans="1:16">
      <c r="A10" s="518">
        <v>46327</v>
      </c>
      <c r="B10">
        <v>44</v>
      </c>
      <c r="C10">
        <v>2</v>
      </c>
      <c r="D10">
        <v>4.5499999999999999E-2</v>
      </c>
      <c r="E10">
        <v>1</v>
      </c>
      <c r="F10">
        <v>2.2700000000000001E-2</v>
      </c>
      <c r="G10">
        <v>0</v>
      </c>
      <c r="H10">
        <v>0</v>
      </c>
      <c r="I10">
        <v>0</v>
      </c>
      <c r="J10">
        <v>0</v>
      </c>
      <c r="K10">
        <v>0</v>
      </c>
      <c r="L10">
        <v>0</v>
      </c>
      <c r="M10">
        <v>41</v>
      </c>
      <c r="N10">
        <v>0.93179999999999996</v>
      </c>
      <c r="O10">
        <v>0</v>
      </c>
      <c r="P10">
        <v>0</v>
      </c>
    </row>
    <row r="11" spans="1:16">
      <c r="A11" s="518">
        <v>46357</v>
      </c>
      <c r="B11">
        <v>17</v>
      </c>
      <c r="C11">
        <v>0</v>
      </c>
      <c r="D11">
        <v>0</v>
      </c>
      <c r="E11">
        <v>1</v>
      </c>
      <c r="F11">
        <v>5.8799999999999998E-2</v>
      </c>
      <c r="G11">
        <v>0</v>
      </c>
      <c r="H11">
        <v>0</v>
      </c>
      <c r="I11">
        <v>0</v>
      </c>
      <c r="J11">
        <v>0</v>
      </c>
      <c r="K11">
        <v>0</v>
      </c>
      <c r="L11">
        <v>0</v>
      </c>
      <c r="M11">
        <v>16</v>
      </c>
      <c r="N11">
        <v>0.94120000000000004</v>
      </c>
      <c r="O11">
        <v>0</v>
      </c>
      <c r="P11">
        <v>0</v>
      </c>
    </row>
    <row r="12" spans="1:16">
      <c r="A12" s="518">
        <v>46388</v>
      </c>
      <c r="B12">
        <v>17</v>
      </c>
      <c r="C12">
        <v>1</v>
      </c>
      <c r="D12">
        <v>5.8799999999999998E-2</v>
      </c>
      <c r="E12">
        <v>0</v>
      </c>
      <c r="F12">
        <v>0</v>
      </c>
      <c r="G12">
        <v>0</v>
      </c>
      <c r="H12">
        <v>0</v>
      </c>
      <c r="I12">
        <v>0</v>
      </c>
      <c r="J12">
        <v>0</v>
      </c>
      <c r="K12">
        <v>1</v>
      </c>
      <c r="L12">
        <v>5.8799999999999998E-2</v>
      </c>
      <c r="M12">
        <v>15</v>
      </c>
      <c r="N12">
        <v>0.88239999999999996</v>
      </c>
      <c r="O12">
        <v>0</v>
      </c>
      <c r="P12">
        <v>0</v>
      </c>
    </row>
    <row r="13" spans="1:16">
      <c r="A13" s="518">
        <v>46419</v>
      </c>
      <c r="B13">
        <v>60</v>
      </c>
      <c r="C13">
        <v>0</v>
      </c>
      <c r="D13">
        <v>0</v>
      </c>
      <c r="E13">
        <v>0</v>
      </c>
      <c r="F13">
        <v>0</v>
      </c>
      <c r="G13">
        <v>0</v>
      </c>
      <c r="H13">
        <v>0</v>
      </c>
      <c r="I13">
        <v>0</v>
      </c>
      <c r="J13">
        <v>0</v>
      </c>
      <c r="K13">
        <v>0</v>
      </c>
      <c r="L13">
        <v>0</v>
      </c>
      <c r="M13">
        <v>60</v>
      </c>
      <c r="N13">
        <v>1</v>
      </c>
      <c r="O13">
        <v>0</v>
      </c>
      <c r="P13">
        <v>0</v>
      </c>
    </row>
    <row r="14" spans="1:16">
      <c r="A14" s="518">
        <v>46447</v>
      </c>
      <c r="B14">
        <v>70</v>
      </c>
      <c r="C14">
        <v>0</v>
      </c>
      <c r="D14">
        <v>0</v>
      </c>
      <c r="E14">
        <v>0</v>
      </c>
      <c r="F14">
        <v>0</v>
      </c>
      <c r="G14">
        <v>0</v>
      </c>
      <c r="H14">
        <v>0</v>
      </c>
      <c r="I14">
        <v>0</v>
      </c>
      <c r="J14">
        <v>0</v>
      </c>
      <c r="K14">
        <v>0</v>
      </c>
      <c r="L14">
        <v>0</v>
      </c>
      <c r="M14">
        <v>70</v>
      </c>
      <c r="N14">
        <v>1</v>
      </c>
      <c r="O14">
        <v>0</v>
      </c>
      <c r="P14">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7989-76FE-4615-87D8-DAB80CEFF99E}">
  <sheetPr>
    <tabColor theme="6" tint="-0.499984740745262"/>
  </sheetPr>
  <dimension ref="A1:I118"/>
  <sheetViews>
    <sheetView workbookViewId="0">
      <selection activeCell="C12" sqref="C12"/>
    </sheetView>
  </sheetViews>
  <sheetFormatPr defaultRowHeight="14.5"/>
  <cols>
    <col min="1" max="1" width="18.90625" customWidth="1"/>
    <col min="2" max="3" width="54" customWidth="1"/>
    <col min="4" max="4" width="18.90625" customWidth="1"/>
    <col min="5" max="5" width="16.1796875" customWidth="1"/>
    <col min="6" max="6" width="47.26953125" customWidth="1"/>
    <col min="7" max="7" width="37.81640625" customWidth="1"/>
    <col min="8" max="8" width="29.7265625" customWidth="1"/>
    <col min="9" max="9" width="49.90625" customWidth="1"/>
  </cols>
  <sheetData>
    <row r="1" spans="1:9">
      <c r="A1" s="1234" t="s">
        <v>3827</v>
      </c>
      <c r="B1" s="1202"/>
      <c r="C1" s="1202"/>
      <c r="D1" s="1202"/>
      <c r="E1" s="1202"/>
      <c r="F1" s="1202"/>
      <c r="G1" s="1202"/>
      <c r="H1" s="1202"/>
      <c r="I1" s="1202"/>
    </row>
    <row r="2" spans="1:9">
      <c r="A2" s="1176" t="s">
        <v>3828</v>
      </c>
      <c r="B2" s="1176" t="s">
        <v>3829</v>
      </c>
      <c r="C2" s="1176" t="s">
        <v>3830</v>
      </c>
      <c r="D2" s="1176" t="s">
        <v>3831</v>
      </c>
      <c r="E2" s="1176" t="s">
        <v>3832</v>
      </c>
      <c r="F2" s="1176" t="s">
        <v>3833</v>
      </c>
      <c r="G2" s="1176" t="s">
        <v>3834</v>
      </c>
      <c r="H2" s="1176" t="s">
        <v>3835</v>
      </c>
      <c r="I2" s="1176" t="s">
        <v>340</v>
      </c>
    </row>
    <row r="3" spans="1:9">
      <c r="A3" t="s">
        <v>7291</v>
      </c>
      <c r="B3" t="s">
        <v>3926</v>
      </c>
      <c r="C3" t="s">
        <v>3927</v>
      </c>
      <c r="D3" t="s">
        <v>3839</v>
      </c>
      <c r="E3" t="s">
        <v>7292</v>
      </c>
      <c r="F3" t="s">
        <v>3841</v>
      </c>
      <c r="G3" t="s">
        <v>3842</v>
      </c>
      <c r="H3" t="s">
        <v>3843</v>
      </c>
      <c r="I3" t="s">
        <v>4020</v>
      </c>
    </row>
    <row r="4" spans="1:9">
      <c r="A4" t="s">
        <v>7291</v>
      </c>
      <c r="B4" t="s">
        <v>7293</v>
      </c>
      <c r="C4" t="s">
        <v>7294</v>
      </c>
      <c r="D4" t="s">
        <v>3839</v>
      </c>
      <c r="E4" t="s">
        <v>7295</v>
      </c>
      <c r="F4" t="s">
        <v>3841</v>
      </c>
      <c r="G4" t="s">
        <v>3842</v>
      </c>
      <c r="H4" t="s">
        <v>3843</v>
      </c>
      <c r="I4" t="s">
        <v>3844</v>
      </c>
    </row>
    <row r="5" spans="1:9">
      <c r="A5" t="s">
        <v>7291</v>
      </c>
      <c r="B5" t="s">
        <v>7296</v>
      </c>
      <c r="C5" t="s">
        <v>7297</v>
      </c>
      <c r="D5" t="s">
        <v>3839</v>
      </c>
      <c r="E5" t="s">
        <v>7298</v>
      </c>
      <c r="F5" t="s">
        <v>3841</v>
      </c>
      <c r="G5" t="s">
        <v>3842</v>
      </c>
      <c r="H5" t="s">
        <v>3843</v>
      </c>
      <c r="I5" t="s">
        <v>3844</v>
      </c>
    </row>
    <row r="6" spans="1:9">
      <c r="A6" t="s">
        <v>7291</v>
      </c>
      <c r="B6" t="s">
        <v>7299</v>
      </c>
      <c r="C6" t="s">
        <v>7300</v>
      </c>
      <c r="D6" t="s">
        <v>3839</v>
      </c>
      <c r="E6" t="s">
        <v>7301</v>
      </c>
      <c r="F6" t="s">
        <v>3841</v>
      </c>
      <c r="G6" t="s">
        <v>3842</v>
      </c>
      <c r="H6" t="s">
        <v>3843</v>
      </c>
      <c r="I6" t="s">
        <v>3844</v>
      </c>
    </row>
    <row r="7" spans="1:9">
      <c r="A7" t="s">
        <v>7291</v>
      </c>
      <c r="B7" t="s">
        <v>7302</v>
      </c>
      <c r="C7" t="s">
        <v>7303</v>
      </c>
      <c r="D7" t="s">
        <v>3839</v>
      </c>
      <c r="E7" t="s">
        <v>7304</v>
      </c>
      <c r="F7" t="s">
        <v>3841</v>
      </c>
      <c r="G7" t="s">
        <v>7305</v>
      </c>
      <c r="H7" t="s">
        <v>3843</v>
      </c>
      <c r="I7" t="s">
        <v>7306</v>
      </c>
    </row>
    <row r="8" spans="1:9">
      <c r="A8" t="s">
        <v>7291</v>
      </c>
      <c r="B8" t="s">
        <v>3855</v>
      </c>
      <c r="C8" t="s">
        <v>3856</v>
      </c>
      <c r="D8" t="s">
        <v>3839</v>
      </c>
      <c r="E8" t="s">
        <v>7307</v>
      </c>
      <c r="F8" t="s">
        <v>3841</v>
      </c>
      <c r="G8" t="s">
        <v>7305</v>
      </c>
      <c r="H8" t="s">
        <v>3843</v>
      </c>
      <c r="I8" t="s">
        <v>7306</v>
      </c>
    </row>
    <row r="9" spans="1:9">
      <c r="A9" t="s">
        <v>7291</v>
      </c>
      <c r="B9" t="s">
        <v>7308</v>
      </c>
      <c r="C9" t="s">
        <v>3910</v>
      </c>
      <c r="D9" t="s">
        <v>3839</v>
      </c>
      <c r="E9" t="s">
        <v>7309</v>
      </c>
      <c r="F9" t="s">
        <v>3841</v>
      </c>
      <c r="G9" t="s">
        <v>3842</v>
      </c>
      <c r="H9" t="s">
        <v>3843</v>
      </c>
      <c r="I9" t="s">
        <v>3844</v>
      </c>
    </row>
    <row r="10" spans="1:9">
      <c r="A10" t="s">
        <v>7291</v>
      </c>
      <c r="B10" t="s">
        <v>3912</v>
      </c>
      <c r="C10" t="s">
        <v>3913</v>
      </c>
      <c r="D10" t="s">
        <v>3839</v>
      </c>
      <c r="E10" t="s">
        <v>7310</v>
      </c>
      <c r="F10" t="s">
        <v>3841</v>
      </c>
      <c r="G10" t="s">
        <v>7311</v>
      </c>
      <c r="H10" t="s">
        <v>7312</v>
      </c>
      <c r="I10" t="s">
        <v>7313</v>
      </c>
    </row>
    <row r="11" spans="1:9">
      <c r="A11" t="s">
        <v>7291</v>
      </c>
      <c r="B11" t="s">
        <v>7314</v>
      </c>
      <c r="C11" t="s">
        <v>7315</v>
      </c>
      <c r="D11" t="s">
        <v>3839</v>
      </c>
      <c r="E11" t="s">
        <v>7316</v>
      </c>
      <c r="F11" t="s">
        <v>3841</v>
      </c>
      <c r="G11" t="s">
        <v>7305</v>
      </c>
      <c r="H11" t="s">
        <v>3843</v>
      </c>
      <c r="I11" t="s">
        <v>7306</v>
      </c>
    </row>
    <row r="12" spans="1:9">
      <c r="A12" t="s">
        <v>7291</v>
      </c>
      <c r="B12" t="s">
        <v>7317</v>
      </c>
      <c r="C12" t="s">
        <v>7318</v>
      </c>
      <c r="D12" t="s">
        <v>3839</v>
      </c>
      <c r="E12" t="s">
        <v>7319</v>
      </c>
      <c r="F12" t="s">
        <v>3841</v>
      </c>
      <c r="G12" t="s">
        <v>3842</v>
      </c>
      <c r="H12" t="s">
        <v>3843</v>
      </c>
      <c r="I12" t="s">
        <v>4020</v>
      </c>
    </row>
    <row r="13" spans="1:9">
      <c r="A13" t="s">
        <v>7291</v>
      </c>
      <c r="B13" t="s">
        <v>3916</v>
      </c>
      <c r="C13" t="s">
        <v>3917</v>
      </c>
      <c r="D13" t="s">
        <v>3839</v>
      </c>
      <c r="E13" t="s">
        <v>7320</v>
      </c>
      <c r="F13" t="s">
        <v>3841</v>
      </c>
      <c r="G13" t="s">
        <v>7311</v>
      </c>
      <c r="H13" t="s">
        <v>7321</v>
      </c>
      <c r="I13" t="s">
        <v>7313</v>
      </c>
    </row>
    <row r="14" spans="1:9">
      <c r="A14" t="s">
        <v>7291</v>
      </c>
      <c r="B14" t="s">
        <v>7322</v>
      </c>
      <c r="C14" t="s">
        <v>7323</v>
      </c>
      <c r="D14" t="s">
        <v>3839</v>
      </c>
      <c r="E14" t="s">
        <v>7324</v>
      </c>
      <c r="F14" t="s">
        <v>3841</v>
      </c>
      <c r="G14" t="s">
        <v>7305</v>
      </c>
      <c r="H14" t="s">
        <v>3843</v>
      </c>
      <c r="I14" t="s">
        <v>7306</v>
      </c>
    </row>
    <row r="15" spans="1:9">
      <c r="A15" t="s">
        <v>7291</v>
      </c>
      <c r="B15" t="s">
        <v>7325</v>
      </c>
      <c r="C15" t="s">
        <v>7326</v>
      </c>
      <c r="D15" t="s">
        <v>3839</v>
      </c>
      <c r="E15" t="s">
        <v>7327</v>
      </c>
      <c r="F15" t="s">
        <v>3841</v>
      </c>
      <c r="G15" t="s">
        <v>3842</v>
      </c>
      <c r="H15" t="s">
        <v>3843</v>
      </c>
      <c r="I15" t="s">
        <v>3844</v>
      </c>
    </row>
    <row r="16" spans="1:9">
      <c r="A16" t="s">
        <v>7291</v>
      </c>
      <c r="B16" t="s">
        <v>7328</v>
      </c>
      <c r="C16" t="s">
        <v>7329</v>
      </c>
      <c r="D16" t="s">
        <v>3839</v>
      </c>
      <c r="E16" t="s">
        <v>7330</v>
      </c>
      <c r="F16" t="s">
        <v>3841</v>
      </c>
      <c r="G16" t="s">
        <v>3842</v>
      </c>
      <c r="H16" t="s">
        <v>3843</v>
      </c>
      <c r="I16" t="s">
        <v>4020</v>
      </c>
    </row>
    <row r="17" spans="1:9">
      <c r="A17" t="s">
        <v>7291</v>
      </c>
      <c r="B17" t="s">
        <v>3899</v>
      </c>
      <c r="C17" t="s">
        <v>3900</v>
      </c>
      <c r="D17" t="s">
        <v>3839</v>
      </c>
      <c r="E17" t="s">
        <v>7331</v>
      </c>
      <c r="F17" t="s">
        <v>3841</v>
      </c>
      <c r="G17" t="s">
        <v>7311</v>
      </c>
      <c r="H17" t="s">
        <v>7332</v>
      </c>
      <c r="I17" t="s">
        <v>7313</v>
      </c>
    </row>
    <row r="18" spans="1:9">
      <c r="A18" t="s">
        <v>7291</v>
      </c>
      <c r="B18" t="s">
        <v>7333</v>
      </c>
      <c r="C18" t="s">
        <v>7334</v>
      </c>
      <c r="D18" t="s">
        <v>3839</v>
      </c>
      <c r="E18" t="s">
        <v>7335</v>
      </c>
      <c r="F18" t="s">
        <v>3841</v>
      </c>
      <c r="G18" t="s">
        <v>7305</v>
      </c>
      <c r="H18" t="s">
        <v>3843</v>
      </c>
      <c r="I18" t="s">
        <v>7306</v>
      </c>
    </row>
    <row r="19" spans="1:9">
      <c r="A19" t="s">
        <v>7291</v>
      </c>
      <c r="B19" t="s">
        <v>7336</v>
      </c>
      <c r="C19" t="s">
        <v>7337</v>
      </c>
      <c r="D19" t="s">
        <v>3839</v>
      </c>
      <c r="E19" t="s">
        <v>7338</v>
      </c>
      <c r="F19" t="s">
        <v>3841</v>
      </c>
      <c r="G19" t="s">
        <v>3842</v>
      </c>
      <c r="H19" t="s">
        <v>3843</v>
      </c>
      <c r="I19" t="s">
        <v>7339</v>
      </c>
    </row>
    <row r="20" spans="1:9">
      <c r="A20" t="s">
        <v>7291</v>
      </c>
      <c r="B20" t="s">
        <v>7340</v>
      </c>
      <c r="C20" t="s">
        <v>3895</v>
      </c>
      <c r="D20" t="s">
        <v>3839</v>
      </c>
      <c r="E20" t="s">
        <v>7341</v>
      </c>
      <c r="F20" t="s">
        <v>3841</v>
      </c>
      <c r="G20" t="s">
        <v>3842</v>
      </c>
      <c r="H20" t="s">
        <v>3843</v>
      </c>
      <c r="I20" t="s">
        <v>7339</v>
      </c>
    </row>
    <row r="21" spans="1:9">
      <c r="A21" t="s">
        <v>7291</v>
      </c>
      <c r="B21" t="s">
        <v>7342</v>
      </c>
      <c r="C21" t="s">
        <v>7343</v>
      </c>
      <c r="D21" t="s">
        <v>3839</v>
      </c>
      <c r="E21" t="s">
        <v>7344</v>
      </c>
      <c r="F21" t="s">
        <v>3841</v>
      </c>
      <c r="G21" t="s">
        <v>7305</v>
      </c>
      <c r="H21" t="s">
        <v>3843</v>
      </c>
      <c r="I21" t="s">
        <v>7306</v>
      </c>
    </row>
    <row r="22" spans="1:9">
      <c r="A22" t="s">
        <v>7291</v>
      </c>
      <c r="B22" t="s">
        <v>3929</v>
      </c>
      <c r="C22" t="s">
        <v>3930</v>
      </c>
      <c r="D22" t="s">
        <v>3839</v>
      </c>
      <c r="E22" t="s">
        <v>7345</v>
      </c>
      <c r="F22" t="s">
        <v>3841</v>
      </c>
      <c r="G22" t="s">
        <v>7305</v>
      </c>
      <c r="H22" t="s">
        <v>3843</v>
      </c>
      <c r="I22" t="s">
        <v>7306</v>
      </c>
    </row>
    <row r="23" spans="1:9">
      <c r="A23" t="s">
        <v>7291</v>
      </c>
      <c r="B23" t="s">
        <v>3932</v>
      </c>
      <c r="C23" t="s">
        <v>3933</v>
      </c>
      <c r="D23" t="s">
        <v>3839</v>
      </c>
      <c r="E23" t="s">
        <v>7346</v>
      </c>
      <c r="F23" t="s">
        <v>3841</v>
      </c>
      <c r="G23" t="s">
        <v>7305</v>
      </c>
      <c r="H23" t="s">
        <v>3843</v>
      </c>
      <c r="I23" t="s">
        <v>7306</v>
      </c>
    </row>
    <row r="24" spans="1:9">
      <c r="A24" t="s">
        <v>7291</v>
      </c>
      <c r="B24" t="s">
        <v>3870</v>
      </c>
      <c r="C24" t="s">
        <v>3871</v>
      </c>
      <c r="D24" t="s">
        <v>3839</v>
      </c>
      <c r="E24" t="s">
        <v>7347</v>
      </c>
      <c r="F24" t="s">
        <v>3841</v>
      </c>
      <c r="G24" t="s">
        <v>7305</v>
      </c>
      <c r="H24" t="s">
        <v>3843</v>
      </c>
      <c r="I24" t="s">
        <v>7306</v>
      </c>
    </row>
    <row r="25" spans="1:9">
      <c r="A25" t="s">
        <v>7291</v>
      </c>
      <c r="B25" t="s">
        <v>7348</v>
      </c>
      <c r="C25" t="s">
        <v>7349</v>
      </c>
      <c r="D25" t="s">
        <v>3839</v>
      </c>
      <c r="E25" t="s">
        <v>7350</v>
      </c>
      <c r="F25" t="s">
        <v>3841</v>
      </c>
      <c r="G25" t="s">
        <v>7351</v>
      </c>
      <c r="H25" t="s">
        <v>7352</v>
      </c>
      <c r="I25" t="s">
        <v>7313</v>
      </c>
    </row>
    <row r="26" spans="1:9">
      <c r="A26" t="s">
        <v>7291</v>
      </c>
      <c r="B26" t="s">
        <v>3995</v>
      </c>
      <c r="C26" t="s">
        <v>3996</v>
      </c>
      <c r="D26" t="s">
        <v>3839</v>
      </c>
      <c r="E26" t="s">
        <v>7353</v>
      </c>
      <c r="F26" t="s">
        <v>3841</v>
      </c>
      <c r="G26" t="s">
        <v>7351</v>
      </c>
      <c r="H26" t="s">
        <v>7354</v>
      </c>
      <c r="I26" t="s">
        <v>7313</v>
      </c>
    </row>
    <row r="27" spans="1:9">
      <c r="A27" t="s">
        <v>7291</v>
      </c>
      <c r="B27" t="s">
        <v>7355</v>
      </c>
      <c r="C27" t="s">
        <v>7356</v>
      </c>
      <c r="D27" t="s">
        <v>3839</v>
      </c>
      <c r="E27" t="s">
        <v>7357</v>
      </c>
      <c r="F27" t="s">
        <v>3841</v>
      </c>
      <c r="G27" t="s">
        <v>3842</v>
      </c>
      <c r="H27" t="s">
        <v>3843</v>
      </c>
      <c r="I27" t="s">
        <v>4020</v>
      </c>
    </row>
    <row r="28" spans="1:9">
      <c r="A28" t="s">
        <v>7291</v>
      </c>
      <c r="B28" t="s">
        <v>3845</v>
      </c>
      <c r="C28" t="s">
        <v>3846</v>
      </c>
      <c r="D28" t="s">
        <v>3839</v>
      </c>
      <c r="E28" t="s">
        <v>7358</v>
      </c>
      <c r="F28" t="s">
        <v>3841</v>
      </c>
      <c r="G28" t="s">
        <v>7311</v>
      </c>
      <c r="H28" t="s">
        <v>7359</v>
      </c>
      <c r="I28" t="s">
        <v>7313</v>
      </c>
    </row>
    <row r="29" spans="1:9">
      <c r="A29" t="s">
        <v>7291</v>
      </c>
      <c r="B29" t="s">
        <v>7360</v>
      </c>
      <c r="C29" t="s">
        <v>7361</v>
      </c>
      <c r="D29" t="s">
        <v>3839</v>
      </c>
      <c r="E29" t="s">
        <v>7362</v>
      </c>
      <c r="F29" t="s">
        <v>3841</v>
      </c>
      <c r="G29" t="s">
        <v>3842</v>
      </c>
      <c r="H29" t="s">
        <v>3843</v>
      </c>
      <c r="I29" t="s">
        <v>3844</v>
      </c>
    </row>
    <row r="30" spans="1:9">
      <c r="A30" t="s">
        <v>7291</v>
      </c>
      <c r="B30" t="s">
        <v>7363</v>
      </c>
      <c r="C30" t="s">
        <v>7364</v>
      </c>
      <c r="D30" t="s">
        <v>3839</v>
      </c>
      <c r="E30" t="s">
        <v>3872</v>
      </c>
      <c r="F30" t="s">
        <v>3841</v>
      </c>
      <c r="G30" t="s">
        <v>7351</v>
      </c>
      <c r="H30" t="s">
        <v>7365</v>
      </c>
      <c r="I30" t="s">
        <v>7313</v>
      </c>
    </row>
    <row r="31" spans="1:9">
      <c r="A31" t="s">
        <v>7291</v>
      </c>
      <c r="B31" t="s">
        <v>7366</v>
      </c>
      <c r="C31" t="s">
        <v>7367</v>
      </c>
      <c r="D31" t="s">
        <v>3839</v>
      </c>
      <c r="E31" t="s">
        <v>7368</v>
      </c>
      <c r="F31" t="s">
        <v>3841</v>
      </c>
      <c r="G31" t="s">
        <v>7311</v>
      </c>
      <c r="H31" t="s">
        <v>7369</v>
      </c>
      <c r="I31" t="s">
        <v>7313</v>
      </c>
    </row>
    <row r="32" spans="1:9">
      <c r="A32" t="s">
        <v>7291</v>
      </c>
      <c r="B32" t="s">
        <v>7370</v>
      </c>
      <c r="C32" t="s">
        <v>7371</v>
      </c>
      <c r="D32" t="s">
        <v>3839</v>
      </c>
      <c r="E32" t="s">
        <v>7372</v>
      </c>
      <c r="F32" t="s">
        <v>3841</v>
      </c>
      <c r="G32" t="s">
        <v>7311</v>
      </c>
      <c r="H32" t="s">
        <v>7373</v>
      </c>
      <c r="I32" t="s">
        <v>7313</v>
      </c>
    </row>
    <row r="33" spans="1:9">
      <c r="A33" t="s">
        <v>7291</v>
      </c>
      <c r="B33" t="s">
        <v>3992</v>
      </c>
      <c r="C33" t="s">
        <v>3993</v>
      </c>
      <c r="D33" t="s">
        <v>3839</v>
      </c>
      <c r="E33" t="s">
        <v>7374</v>
      </c>
      <c r="F33" t="s">
        <v>3841</v>
      </c>
      <c r="G33" t="s">
        <v>3842</v>
      </c>
      <c r="H33" t="s">
        <v>3843</v>
      </c>
      <c r="I33" t="s">
        <v>4020</v>
      </c>
    </row>
    <row r="34" spans="1:9">
      <c r="A34" t="s">
        <v>7291</v>
      </c>
      <c r="B34" t="s">
        <v>7375</v>
      </c>
      <c r="C34" t="s">
        <v>7376</v>
      </c>
      <c r="D34" t="s">
        <v>3839</v>
      </c>
      <c r="E34" t="s">
        <v>7377</v>
      </c>
      <c r="F34" t="s">
        <v>3841</v>
      </c>
      <c r="G34" t="s">
        <v>7311</v>
      </c>
      <c r="H34" t="s">
        <v>7378</v>
      </c>
      <c r="I34" t="s">
        <v>7313</v>
      </c>
    </row>
    <row r="35" spans="1:9">
      <c r="A35" t="s">
        <v>7291</v>
      </c>
      <c r="B35" t="s">
        <v>7379</v>
      </c>
      <c r="C35" t="s">
        <v>7380</v>
      </c>
      <c r="D35" t="s">
        <v>3839</v>
      </c>
      <c r="E35" t="s">
        <v>7381</v>
      </c>
      <c r="F35" t="s">
        <v>3841</v>
      </c>
      <c r="G35" t="s">
        <v>3842</v>
      </c>
      <c r="H35" t="s">
        <v>3843</v>
      </c>
      <c r="I35" t="s">
        <v>7339</v>
      </c>
    </row>
    <row r="36" spans="1:9">
      <c r="A36" t="s">
        <v>7291</v>
      </c>
      <c r="B36" t="s">
        <v>4021</v>
      </c>
      <c r="C36" t="s">
        <v>4022</v>
      </c>
      <c r="D36" t="s">
        <v>3839</v>
      </c>
      <c r="E36" t="s">
        <v>7382</v>
      </c>
      <c r="F36" t="s">
        <v>3841</v>
      </c>
      <c r="G36" t="s">
        <v>7305</v>
      </c>
      <c r="H36" t="s">
        <v>3843</v>
      </c>
      <c r="I36" t="s">
        <v>7306</v>
      </c>
    </row>
    <row r="37" spans="1:9">
      <c r="A37" t="s">
        <v>7291</v>
      </c>
      <c r="B37" t="s">
        <v>3999</v>
      </c>
      <c r="C37" t="s">
        <v>4000</v>
      </c>
      <c r="D37" t="s">
        <v>3839</v>
      </c>
      <c r="E37" t="s">
        <v>7383</v>
      </c>
      <c r="F37" t="s">
        <v>3841</v>
      </c>
      <c r="G37" t="s">
        <v>7311</v>
      </c>
      <c r="H37" t="s">
        <v>7384</v>
      </c>
      <c r="I37" t="s">
        <v>7313</v>
      </c>
    </row>
    <row r="38" spans="1:9">
      <c r="A38" t="s">
        <v>7291</v>
      </c>
      <c r="B38" t="s">
        <v>4005</v>
      </c>
      <c r="C38" t="s">
        <v>4006</v>
      </c>
      <c r="D38" t="s">
        <v>3839</v>
      </c>
      <c r="E38" t="s">
        <v>7385</v>
      </c>
      <c r="F38" t="s">
        <v>3841</v>
      </c>
      <c r="G38" t="s">
        <v>7305</v>
      </c>
      <c r="H38" t="s">
        <v>3843</v>
      </c>
      <c r="I38" t="s">
        <v>7306</v>
      </c>
    </row>
    <row r="39" spans="1:9">
      <c r="A39" t="s">
        <v>7291</v>
      </c>
      <c r="B39" t="s">
        <v>7386</v>
      </c>
      <c r="C39" t="s">
        <v>7387</v>
      </c>
      <c r="D39" t="s">
        <v>3839</v>
      </c>
      <c r="E39" t="s">
        <v>7388</v>
      </c>
      <c r="F39" t="s">
        <v>3841</v>
      </c>
      <c r="G39" t="s">
        <v>3842</v>
      </c>
      <c r="H39" t="s">
        <v>3843</v>
      </c>
      <c r="I39" t="s">
        <v>4020</v>
      </c>
    </row>
    <row r="40" spans="1:9">
      <c r="A40" t="s">
        <v>7291</v>
      </c>
      <c r="B40" t="s">
        <v>7389</v>
      </c>
      <c r="C40" t="s">
        <v>7390</v>
      </c>
      <c r="D40" t="s">
        <v>3839</v>
      </c>
      <c r="E40" t="s">
        <v>7391</v>
      </c>
      <c r="F40" t="s">
        <v>3841</v>
      </c>
      <c r="G40" t="s">
        <v>7311</v>
      </c>
      <c r="H40" t="s">
        <v>7392</v>
      </c>
      <c r="I40" t="s">
        <v>7313</v>
      </c>
    </row>
    <row r="41" spans="1:9">
      <c r="A41" t="s">
        <v>7291</v>
      </c>
      <c r="B41" t="s">
        <v>7393</v>
      </c>
      <c r="C41" t="s">
        <v>7394</v>
      </c>
      <c r="D41" t="s">
        <v>3839</v>
      </c>
      <c r="E41" t="s">
        <v>7395</v>
      </c>
      <c r="F41" t="s">
        <v>3841</v>
      </c>
      <c r="G41" t="s">
        <v>7305</v>
      </c>
      <c r="H41" t="s">
        <v>3843</v>
      </c>
      <c r="I41" t="s">
        <v>7306</v>
      </c>
    </row>
    <row r="42" spans="1:9">
      <c r="A42" t="s">
        <v>7291</v>
      </c>
      <c r="B42" t="s">
        <v>7396</v>
      </c>
      <c r="C42" t="s">
        <v>7397</v>
      </c>
      <c r="D42" t="s">
        <v>3839</v>
      </c>
      <c r="E42" t="s">
        <v>7398</v>
      </c>
      <c r="F42" t="s">
        <v>3841</v>
      </c>
      <c r="G42" t="s">
        <v>7311</v>
      </c>
      <c r="H42" t="s">
        <v>7399</v>
      </c>
      <c r="I42" t="s">
        <v>7313</v>
      </c>
    </row>
    <row r="43" spans="1:9">
      <c r="A43" t="s">
        <v>7291</v>
      </c>
      <c r="B43" t="s">
        <v>7400</v>
      </c>
      <c r="C43" t="s">
        <v>7401</v>
      </c>
      <c r="D43" t="s">
        <v>3839</v>
      </c>
      <c r="E43" t="s">
        <v>7402</v>
      </c>
      <c r="F43" t="s">
        <v>3841</v>
      </c>
      <c r="G43" t="s">
        <v>3842</v>
      </c>
      <c r="H43" t="s">
        <v>3843</v>
      </c>
      <c r="I43" t="s">
        <v>4020</v>
      </c>
    </row>
    <row r="44" spans="1:9">
      <c r="A44" t="s">
        <v>7291</v>
      </c>
      <c r="B44" t="s">
        <v>7403</v>
      </c>
      <c r="C44" t="s">
        <v>7404</v>
      </c>
      <c r="D44" t="s">
        <v>3839</v>
      </c>
      <c r="E44" t="s">
        <v>7405</v>
      </c>
      <c r="F44" t="s">
        <v>3841</v>
      </c>
      <c r="G44" t="s">
        <v>7311</v>
      </c>
      <c r="H44" t="s">
        <v>7406</v>
      </c>
      <c r="I44" t="s">
        <v>7313</v>
      </c>
    </row>
    <row r="45" spans="1:9">
      <c r="A45" t="s">
        <v>7291</v>
      </c>
      <c r="B45" t="s">
        <v>4029</v>
      </c>
      <c r="C45" t="s">
        <v>4030</v>
      </c>
      <c r="D45" t="s">
        <v>3839</v>
      </c>
      <c r="E45" t="s">
        <v>7407</v>
      </c>
      <c r="F45" t="s">
        <v>3841</v>
      </c>
      <c r="G45" t="s">
        <v>7311</v>
      </c>
      <c r="H45" t="s">
        <v>7408</v>
      </c>
      <c r="I45" t="s">
        <v>7313</v>
      </c>
    </row>
    <row r="46" spans="1:9">
      <c r="A46" t="s">
        <v>7291</v>
      </c>
      <c r="B46" t="s">
        <v>4035</v>
      </c>
      <c r="C46" t="s">
        <v>4036</v>
      </c>
      <c r="D46" t="s">
        <v>3839</v>
      </c>
      <c r="E46" t="s">
        <v>7409</v>
      </c>
      <c r="F46" t="s">
        <v>3841</v>
      </c>
      <c r="G46" t="s">
        <v>7311</v>
      </c>
      <c r="H46" t="s">
        <v>7410</v>
      </c>
      <c r="I46" t="s">
        <v>7313</v>
      </c>
    </row>
    <row r="47" spans="1:9">
      <c r="A47" t="s">
        <v>7291</v>
      </c>
      <c r="B47" t="s">
        <v>4038</v>
      </c>
      <c r="C47" t="s">
        <v>4039</v>
      </c>
      <c r="D47" t="s">
        <v>3839</v>
      </c>
      <c r="E47" t="s">
        <v>7411</v>
      </c>
      <c r="F47" t="s">
        <v>3841</v>
      </c>
      <c r="G47" t="s">
        <v>7311</v>
      </c>
      <c r="H47" t="s">
        <v>7412</v>
      </c>
      <c r="I47" t="s">
        <v>7313</v>
      </c>
    </row>
    <row r="48" spans="1:9">
      <c r="A48" t="s">
        <v>7291</v>
      </c>
      <c r="B48" t="s">
        <v>7413</v>
      </c>
      <c r="C48" t="s">
        <v>4027</v>
      </c>
      <c r="D48" t="s">
        <v>3839</v>
      </c>
      <c r="E48" t="s">
        <v>7414</v>
      </c>
      <c r="F48" t="s">
        <v>3841</v>
      </c>
      <c r="G48" t="s">
        <v>7311</v>
      </c>
      <c r="H48" t="s">
        <v>7415</v>
      </c>
      <c r="I48" t="s">
        <v>7313</v>
      </c>
    </row>
    <row r="49" spans="1:9">
      <c r="A49" t="s">
        <v>7291</v>
      </c>
      <c r="B49" t="s">
        <v>3848</v>
      </c>
      <c r="C49" t="s">
        <v>3849</v>
      </c>
      <c r="D49" t="s">
        <v>3839</v>
      </c>
      <c r="E49" t="s">
        <v>7416</v>
      </c>
      <c r="F49" t="s">
        <v>3841</v>
      </c>
      <c r="G49" t="s">
        <v>7311</v>
      </c>
      <c r="H49" t="s">
        <v>7417</v>
      </c>
      <c r="I49" t="s">
        <v>7313</v>
      </c>
    </row>
    <row r="50" spans="1:9">
      <c r="A50" t="s">
        <v>7291</v>
      </c>
      <c r="B50" t="s">
        <v>3876</v>
      </c>
      <c r="C50" t="s">
        <v>3877</v>
      </c>
      <c r="D50" t="s">
        <v>3839</v>
      </c>
      <c r="E50" t="s">
        <v>7418</v>
      </c>
      <c r="F50" t="s">
        <v>3841</v>
      </c>
      <c r="G50" t="s">
        <v>7419</v>
      </c>
      <c r="H50" t="s">
        <v>7420</v>
      </c>
      <c r="I50" t="s">
        <v>7313</v>
      </c>
    </row>
    <row r="51" spans="1:9">
      <c r="A51" t="s">
        <v>7291</v>
      </c>
      <c r="B51" t="s">
        <v>7421</v>
      </c>
      <c r="C51" t="s">
        <v>7422</v>
      </c>
      <c r="D51" t="s">
        <v>3839</v>
      </c>
      <c r="E51" t="s">
        <v>7423</v>
      </c>
      <c r="F51" t="s">
        <v>3841</v>
      </c>
      <c r="G51" t="s">
        <v>7311</v>
      </c>
      <c r="H51" t="s">
        <v>7424</v>
      </c>
      <c r="I51" t="s">
        <v>7313</v>
      </c>
    </row>
    <row r="52" spans="1:9">
      <c r="A52" t="s">
        <v>7291</v>
      </c>
      <c r="B52" t="s">
        <v>4040</v>
      </c>
      <c r="C52" t="s">
        <v>4041</v>
      </c>
      <c r="D52" t="s">
        <v>3839</v>
      </c>
      <c r="E52" t="s">
        <v>7425</v>
      </c>
      <c r="F52" t="s">
        <v>3841</v>
      </c>
      <c r="G52" t="s">
        <v>3897</v>
      </c>
      <c r="H52" t="s">
        <v>3897</v>
      </c>
      <c r="I52" t="s">
        <v>7426</v>
      </c>
    </row>
    <row r="53" spans="1:9">
      <c r="A53" t="s">
        <v>7291</v>
      </c>
      <c r="B53" t="s">
        <v>4043</v>
      </c>
      <c r="C53" t="s">
        <v>4044</v>
      </c>
      <c r="D53" t="s">
        <v>3839</v>
      </c>
      <c r="E53" t="s">
        <v>7427</v>
      </c>
      <c r="F53" t="s">
        <v>3841</v>
      </c>
      <c r="G53" t="s">
        <v>7311</v>
      </c>
      <c r="H53" t="s">
        <v>7428</v>
      </c>
      <c r="I53" t="s">
        <v>7313</v>
      </c>
    </row>
    <row r="54" spans="1:9">
      <c r="A54" t="s">
        <v>7291</v>
      </c>
      <c r="B54" t="s">
        <v>7429</v>
      </c>
      <c r="C54" t="s">
        <v>7430</v>
      </c>
      <c r="D54" t="s">
        <v>3839</v>
      </c>
      <c r="E54" t="s">
        <v>7431</v>
      </c>
      <c r="F54" t="s">
        <v>3841</v>
      </c>
      <c r="G54" t="s">
        <v>3842</v>
      </c>
      <c r="H54" t="s">
        <v>3843</v>
      </c>
      <c r="I54" t="s">
        <v>4020</v>
      </c>
    </row>
    <row r="55" spans="1:9">
      <c r="A55" t="s">
        <v>7291</v>
      </c>
      <c r="B55" t="s">
        <v>3886</v>
      </c>
      <c r="C55" t="s">
        <v>3887</v>
      </c>
      <c r="D55" t="s">
        <v>3839</v>
      </c>
      <c r="E55" t="s">
        <v>7432</v>
      </c>
      <c r="F55" t="s">
        <v>3841</v>
      </c>
      <c r="G55" t="s">
        <v>7419</v>
      </c>
      <c r="H55" t="s">
        <v>7433</v>
      </c>
      <c r="I55" t="s">
        <v>7313</v>
      </c>
    </row>
    <row r="56" spans="1:9">
      <c r="A56" t="s">
        <v>7291</v>
      </c>
      <c r="B56" t="s">
        <v>7434</v>
      </c>
      <c r="C56" t="s">
        <v>7435</v>
      </c>
      <c r="D56" t="s">
        <v>3839</v>
      </c>
      <c r="E56" t="s">
        <v>7436</v>
      </c>
      <c r="F56" t="s">
        <v>3841</v>
      </c>
      <c r="G56" t="s">
        <v>7311</v>
      </c>
      <c r="H56" t="s">
        <v>7437</v>
      </c>
      <c r="I56" t="s">
        <v>7313</v>
      </c>
    </row>
    <row r="57" spans="1:9">
      <c r="A57" t="s">
        <v>7291</v>
      </c>
      <c r="B57" t="s">
        <v>7438</v>
      </c>
      <c r="C57" t="s">
        <v>7439</v>
      </c>
      <c r="D57" t="s">
        <v>3839</v>
      </c>
      <c r="E57" t="s">
        <v>7440</v>
      </c>
      <c r="F57" t="s">
        <v>3841</v>
      </c>
      <c r="G57" t="s">
        <v>7311</v>
      </c>
      <c r="H57" t="s">
        <v>7441</v>
      </c>
      <c r="I57" t="s">
        <v>7313</v>
      </c>
    </row>
    <row r="58" spans="1:9">
      <c r="A58" t="s">
        <v>7291</v>
      </c>
      <c r="B58" t="s">
        <v>7442</v>
      </c>
      <c r="C58" t="s">
        <v>7443</v>
      </c>
      <c r="D58" t="s">
        <v>3839</v>
      </c>
      <c r="E58" t="s">
        <v>7444</v>
      </c>
      <c r="F58" t="s">
        <v>3841</v>
      </c>
      <c r="G58" t="s">
        <v>3842</v>
      </c>
      <c r="H58" t="s">
        <v>3843</v>
      </c>
      <c r="I58" t="s">
        <v>3844</v>
      </c>
    </row>
    <row r="59" spans="1:9">
      <c r="A59" t="s">
        <v>3836</v>
      </c>
      <c r="B59" t="s">
        <v>3837</v>
      </c>
      <c r="C59" t="s">
        <v>3838</v>
      </c>
      <c r="D59" t="s">
        <v>3839</v>
      </c>
      <c r="E59" t="s">
        <v>3840</v>
      </c>
      <c r="F59" t="s">
        <v>3841</v>
      </c>
      <c r="G59" t="s">
        <v>3842</v>
      </c>
      <c r="H59" t="s">
        <v>3843</v>
      </c>
      <c r="I59" t="s">
        <v>3844</v>
      </c>
    </row>
    <row r="60" spans="1:9">
      <c r="A60" t="s">
        <v>3836</v>
      </c>
      <c r="B60" t="s">
        <v>3845</v>
      </c>
      <c r="C60" t="s">
        <v>3846</v>
      </c>
      <c r="D60" t="s">
        <v>3839</v>
      </c>
      <c r="E60" t="s">
        <v>3847</v>
      </c>
      <c r="F60" t="s">
        <v>3841</v>
      </c>
      <c r="G60" t="s">
        <v>3842</v>
      </c>
      <c r="H60" t="s">
        <v>3843</v>
      </c>
      <c r="I60" t="s">
        <v>3844</v>
      </c>
    </row>
    <row r="61" spans="1:9">
      <c r="A61" t="s">
        <v>3836</v>
      </c>
      <c r="B61" t="s">
        <v>3848</v>
      </c>
      <c r="C61" t="s">
        <v>3849</v>
      </c>
      <c r="D61" t="s">
        <v>3839</v>
      </c>
      <c r="E61" t="s">
        <v>3850</v>
      </c>
      <c r="F61" t="s">
        <v>3841</v>
      </c>
      <c r="G61" t="s">
        <v>3842</v>
      </c>
      <c r="H61" t="s">
        <v>3843</v>
      </c>
      <c r="I61" t="s">
        <v>3844</v>
      </c>
    </row>
    <row r="62" spans="1:9">
      <c r="A62" t="s">
        <v>3836</v>
      </c>
      <c r="B62" t="s">
        <v>3851</v>
      </c>
      <c r="C62" t="s">
        <v>3852</v>
      </c>
      <c r="D62" t="s">
        <v>3839</v>
      </c>
      <c r="E62" t="s">
        <v>3853</v>
      </c>
      <c r="F62" t="s">
        <v>3841</v>
      </c>
      <c r="G62" t="s">
        <v>3842</v>
      </c>
      <c r="H62" t="s">
        <v>3843</v>
      </c>
      <c r="I62" t="s">
        <v>3844</v>
      </c>
    </row>
    <row r="63" spans="1:9">
      <c r="A63" t="s">
        <v>3854</v>
      </c>
      <c r="B63" t="s">
        <v>3855</v>
      </c>
      <c r="C63" t="s">
        <v>3856</v>
      </c>
      <c r="D63" t="s">
        <v>3839</v>
      </c>
      <c r="E63" t="s">
        <v>3857</v>
      </c>
      <c r="F63" t="s">
        <v>3841</v>
      </c>
      <c r="G63" t="s">
        <v>3842</v>
      </c>
      <c r="H63" t="s">
        <v>3843</v>
      </c>
      <c r="I63" t="s">
        <v>3844</v>
      </c>
    </row>
    <row r="64" spans="1:9">
      <c r="A64" t="s">
        <v>3854</v>
      </c>
      <c r="B64" t="s">
        <v>3858</v>
      </c>
      <c r="C64" t="s">
        <v>3859</v>
      </c>
      <c r="D64" t="s">
        <v>3839</v>
      </c>
      <c r="E64" t="s">
        <v>3860</v>
      </c>
      <c r="F64" t="s">
        <v>3861</v>
      </c>
      <c r="G64" t="s">
        <v>3862</v>
      </c>
      <c r="H64" t="s">
        <v>3863</v>
      </c>
      <c r="I64" t="s">
        <v>3864</v>
      </c>
    </row>
    <row r="65" spans="1:9">
      <c r="A65" t="s">
        <v>3854</v>
      </c>
      <c r="B65" t="s">
        <v>3865</v>
      </c>
      <c r="C65" t="s">
        <v>3866</v>
      </c>
      <c r="D65" t="s">
        <v>3839</v>
      </c>
      <c r="E65" t="s">
        <v>3867</v>
      </c>
      <c r="F65" t="s">
        <v>3841</v>
      </c>
      <c r="G65" t="s">
        <v>3862</v>
      </c>
      <c r="H65" t="s">
        <v>3868</v>
      </c>
      <c r="I65" t="s">
        <v>3869</v>
      </c>
    </row>
    <row r="66" spans="1:9">
      <c r="A66" t="s">
        <v>3854</v>
      </c>
      <c r="B66" t="s">
        <v>3870</v>
      </c>
      <c r="C66" t="s">
        <v>3871</v>
      </c>
      <c r="D66" t="s">
        <v>3839</v>
      </c>
      <c r="E66" t="s">
        <v>3872</v>
      </c>
      <c r="F66" t="s">
        <v>3841</v>
      </c>
      <c r="G66" t="s">
        <v>3842</v>
      </c>
      <c r="H66" t="s">
        <v>3843</v>
      </c>
      <c r="I66" t="s">
        <v>3844</v>
      </c>
    </row>
    <row r="67" spans="1:9">
      <c r="A67" t="s">
        <v>3854</v>
      </c>
      <c r="B67" t="s">
        <v>3873</v>
      </c>
      <c r="C67" t="s">
        <v>3874</v>
      </c>
      <c r="D67" t="s">
        <v>3839</v>
      </c>
      <c r="E67" t="s">
        <v>3875</v>
      </c>
      <c r="F67" t="s">
        <v>3841</v>
      </c>
      <c r="G67" t="s">
        <v>3842</v>
      </c>
      <c r="H67" t="s">
        <v>3843</v>
      </c>
      <c r="I67" t="s">
        <v>3844</v>
      </c>
    </row>
    <row r="68" spans="1:9">
      <c r="A68" t="s">
        <v>3854</v>
      </c>
      <c r="B68" t="s">
        <v>3876</v>
      </c>
      <c r="C68" t="s">
        <v>3877</v>
      </c>
      <c r="D68" t="s">
        <v>3839</v>
      </c>
      <c r="E68" t="s">
        <v>3878</v>
      </c>
      <c r="F68" t="s">
        <v>3841</v>
      </c>
      <c r="G68" t="s">
        <v>3842</v>
      </c>
      <c r="H68" t="s">
        <v>3843</v>
      </c>
      <c r="I68" t="s">
        <v>3844</v>
      </c>
    </row>
    <row r="69" spans="1:9">
      <c r="A69" t="s">
        <v>3854</v>
      </c>
      <c r="B69" t="s">
        <v>3879</v>
      </c>
      <c r="C69" t="s">
        <v>3880</v>
      </c>
      <c r="D69" t="s">
        <v>3839</v>
      </c>
      <c r="E69" t="s">
        <v>3860</v>
      </c>
      <c r="F69" t="s">
        <v>3841</v>
      </c>
      <c r="G69" t="s">
        <v>3842</v>
      </c>
      <c r="H69" t="s">
        <v>3843</v>
      </c>
      <c r="I69" t="s">
        <v>3844</v>
      </c>
    </row>
    <row r="70" spans="1:9">
      <c r="A70" t="s">
        <v>3854</v>
      </c>
      <c r="B70" t="s">
        <v>3881</v>
      </c>
      <c r="C70" t="s">
        <v>3882</v>
      </c>
      <c r="D70" t="s">
        <v>3839</v>
      </c>
      <c r="E70" t="s">
        <v>3883</v>
      </c>
      <c r="F70" t="s">
        <v>3884</v>
      </c>
      <c r="G70" t="s">
        <v>3862</v>
      </c>
      <c r="H70" t="s">
        <v>3885</v>
      </c>
      <c r="I70" t="s">
        <v>3864</v>
      </c>
    </row>
    <row r="71" spans="1:9">
      <c r="A71" t="s">
        <v>3854</v>
      </c>
      <c r="B71" t="s">
        <v>3886</v>
      </c>
      <c r="C71" t="s">
        <v>3887</v>
      </c>
      <c r="D71" t="s">
        <v>3839</v>
      </c>
      <c r="E71" t="s">
        <v>3888</v>
      </c>
      <c r="F71" t="s">
        <v>3841</v>
      </c>
      <c r="G71" t="s">
        <v>3842</v>
      </c>
      <c r="H71" t="s">
        <v>3843</v>
      </c>
      <c r="I71" t="s">
        <v>3844</v>
      </c>
    </row>
    <row r="72" spans="1:9">
      <c r="A72" t="s">
        <v>3854</v>
      </c>
      <c r="B72" t="s">
        <v>3889</v>
      </c>
      <c r="C72" t="s">
        <v>3890</v>
      </c>
      <c r="D72" t="s">
        <v>3839</v>
      </c>
      <c r="E72" t="s">
        <v>3891</v>
      </c>
      <c r="F72" t="s">
        <v>3841</v>
      </c>
      <c r="G72" t="s">
        <v>3842</v>
      </c>
      <c r="H72" t="s">
        <v>3843</v>
      </c>
      <c r="I72" t="s">
        <v>3844</v>
      </c>
    </row>
    <row r="73" spans="1:9">
      <c r="A73" t="s">
        <v>3854</v>
      </c>
      <c r="B73" t="s">
        <v>3892</v>
      </c>
      <c r="C73" t="s">
        <v>3893</v>
      </c>
      <c r="D73" t="s">
        <v>3839</v>
      </c>
      <c r="E73" t="s">
        <v>3894</v>
      </c>
      <c r="F73" t="s">
        <v>3841</v>
      </c>
      <c r="G73" t="s">
        <v>3842</v>
      </c>
      <c r="H73" t="s">
        <v>3843</v>
      </c>
      <c r="I73" t="s">
        <v>3844</v>
      </c>
    </row>
    <row r="74" spans="1:9">
      <c r="A74" t="s">
        <v>3854</v>
      </c>
      <c r="B74" t="s">
        <v>3899</v>
      </c>
      <c r="C74" t="s">
        <v>3900</v>
      </c>
      <c r="D74" t="s">
        <v>3839</v>
      </c>
      <c r="E74" t="s">
        <v>3901</v>
      </c>
      <c r="F74" t="s">
        <v>3841</v>
      </c>
      <c r="G74" t="s">
        <v>3902</v>
      </c>
      <c r="H74" t="s">
        <v>3903</v>
      </c>
      <c r="I74" t="s">
        <v>3904</v>
      </c>
    </row>
    <row r="75" spans="1:9">
      <c r="A75" t="s">
        <v>3854</v>
      </c>
      <c r="B75" t="s">
        <v>3905</v>
      </c>
      <c r="C75" t="s">
        <v>3906</v>
      </c>
      <c r="D75" t="s">
        <v>3839</v>
      </c>
      <c r="E75" t="s">
        <v>3907</v>
      </c>
      <c r="F75" t="s">
        <v>3908</v>
      </c>
      <c r="G75" t="s">
        <v>3862</v>
      </c>
      <c r="H75" t="s">
        <v>3909</v>
      </c>
      <c r="I75" t="s">
        <v>3864</v>
      </c>
    </row>
    <row r="76" spans="1:9">
      <c r="A76" t="s">
        <v>3854</v>
      </c>
      <c r="B76" t="s">
        <v>7308</v>
      </c>
      <c r="C76" t="s">
        <v>3910</v>
      </c>
      <c r="D76" t="s">
        <v>3839</v>
      </c>
      <c r="E76" t="s">
        <v>3911</v>
      </c>
      <c r="F76" t="s">
        <v>3841</v>
      </c>
      <c r="G76" t="s">
        <v>3842</v>
      </c>
      <c r="H76" t="s">
        <v>3843</v>
      </c>
      <c r="I76" t="s">
        <v>3844</v>
      </c>
    </row>
    <row r="77" spans="1:9">
      <c r="A77" t="s">
        <v>3854</v>
      </c>
      <c r="B77" t="s">
        <v>3912</v>
      </c>
      <c r="C77" t="s">
        <v>3913</v>
      </c>
      <c r="D77" t="s">
        <v>3839</v>
      </c>
      <c r="E77" t="s">
        <v>3914</v>
      </c>
      <c r="F77" t="s">
        <v>3841</v>
      </c>
      <c r="G77" t="s">
        <v>3902</v>
      </c>
      <c r="H77" t="s">
        <v>3915</v>
      </c>
      <c r="I77" t="s">
        <v>3904</v>
      </c>
    </row>
    <row r="78" spans="1:9">
      <c r="A78" t="s">
        <v>3854</v>
      </c>
      <c r="B78" t="s">
        <v>7340</v>
      </c>
      <c r="C78" t="s">
        <v>3895</v>
      </c>
      <c r="D78" t="s">
        <v>3839</v>
      </c>
      <c r="E78" t="s">
        <v>3896</v>
      </c>
      <c r="F78" t="s">
        <v>3841</v>
      </c>
      <c r="G78" t="s">
        <v>3897</v>
      </c>
      <c r="H78" t="s">
        <v>3843</v>
      </c>
      <c r="I78" t="s">
        <v>3898</v>
      </c>
    </row>
    <row r="79" spans="1:9">
      <c r="A79" t="s">
        <v>3854</v>
      </c>
      <c r="B79" t="s">
        <v>3916</v>
      </c>
      <c r="C79" t="s">
        <v>3917</v>
      </c>
      <c r="D79" t="s">
        <v>3839</v>
      </c>
      <c r="E79" t="s">
        <v>3918</v>
      </c>
      <c r="F79" t="s">
        <v>3841</v>
      </c>
      <c r="G79" t="s">
        <v>3842</v>
      </c>
      <c r="H79" t="s">
        <v>3843</v>
      </c>
      <c r="I79" t="s">
        <v>3844</v>
      </c>
    </row>
    <row r="80" spans="1:9">
      <c r="A80" t="s">
        <v>3854</v>
      </c>
      <c r="B80" t="s">
        <v>3919</v>
      </c>
      <c r="C80" t="s">
        <v>3920</v>
      </c>
      <c r="D80" t="s">
        <v>3839</v>
      </c>
      <c r="E80" t="s">
        <v>3921</v>
      </c>
      <c r="F80" t="s">
        <v>3841</v>
      </c>
      <c r="G80" t="s">
        <v>3902</v>
      </c>
      <c r="H80" t="s">
        <v>3922</v>
      </c>
      <c r="I80" t="s">
        <v>3904</v>
      </c>
    </row>
    <row r="81" spans="1:9">
      <c r="A81" t="s">
        <v>3854</v>
      </c>
      <c r="B81" t="s">
        <v>3923</v>
      </c>
      <c r="C81" t="s">
        <v>3924</v>
      </c>
      <c r="D81" t="s">
        <v>3839</v>
      </c>
      <c r="E81" t="s">
        <v>3925</v>
      </c>
      <c r="F81" t="s">
        <v>3841</v>
      </c>
      <c r="G81" t="s">
        <v>3842</v>
      </c>
      <c r="H81" t="s">
        <v>3843</v>
      </c>
      <c r="I81" t="s">
        <v>3844</v>
      </c>
    </row>
    <row r="82" spans="1:9">
      <c r="A82" t="s">
        <v>3854</v>
      </c>
      <c r="B82" t="s">
        <v>3926</v>
      </c>
      <c r="C82" t="s">
        <v>3927</v>
      </c>
      <c r="D82" t="s">
        <v>3839</v>
      </c>
      <c r="E82" t="s">
        <v>3928</v>
      </c>
      <c r="F82" t="s">
        <v>3841</v>
      </c>
      <c r="G82" t="s">
        <v>3897</v>
      </c>
      <c r="H82" t="s">
        <v>3843</v>
      </c>
      <c r="I82" t="s">
        <v>3898</v>
      </c>
    </row>
    <row r="83" spans="1:9">
      <c r="A83" t="s">
        <v>3854</v>
      </c>
      <c r="B83" t="s">
        <v>3929</v>
      </c>
      <c r="C83" t="s">
        <v>3930</v>
      </c>
      <c r="D83" t="s">
        <v>3839</v>
      </c>
      <c r="E83" t="s">
        <v>3931</v>
      </c>
      <c r="F83" t="s">
        <v>3841</v>
      </c>
      <c r="G83" t="s">
        <v>3842</v>
      </c>
      <c r="H83" t="s">
        <v>3843</v>
      </c>
      <c r="I83" t="s">
        <v>3844</v>
      </c>
    </row>
    <row r="84" spans="1:9">
      <c r="A84" t="s">
        <v>3854</v>
      </c>
      <c r="B84" t="s">
        <v>3932</v>
      </c>
      <c r="C84" t="s">
        <v>3933</v>
      </c>
      <c r="D84" t="s">
        <v>3839</v>
      </c>
      <c r="E84" t="s">
        <v>3934</v>
      </c>
      <c r="F84" t="s">
        <v>3841</v>
      </c>
      <c r="G84" t="s">
        <v>3842</v>
      </c>
      <c r="H84" t="s">
        <v>3843</v>
      </c>
      <c r="I84" t="s">
        <v>3844</v>
      </c>
    </row>
    <row r="85" spans="1:9">
      <c r="A85" t="s">
        <v>3935</v>
      </c>
      <c r="B85" t="s">
        <v>3936</v>
      </c>
      <c r="C85" t="s">
        <v>3937</v>
      </c>
      <c r="D85" t="s">
        <v>3839</v>
      </c>
      <c r="E85" t="s">
        <v>3938</v>
      </c>
      <c r="F85" t="s">
        <v>3841</v>
      </c>
      <c r="G85" t="s">
        <v>3842</v>
      </c>
      <c r="H85" t="s">
        <v>3843</v>
      </c>
      <c r="I85" t="s">
        <v>3844</v>
      </c>
    </row>
    <row r="86" spans="1:9">
      <c r="A86" t="s">
        <v>3854</v>
      </c>
      <c r="B86" t="s">
        <v>3939</v>
      </c>
      <c r="C86" t="s">
        <v>3940</v>
      </c>
      <c r="D86" t="s">
        <v>3839</v>
      </c>
      <c r="E86" t="s">
        <v>3941</v>
      </c>
      <c r="F86" t="s">
        <v>3841</v>
      </c>
      <c r="G86" t="s">
        <v>3842</v>
      </c>
      <c r="H86" t="s">
        <v>3843</v>
      </c>
      <c r="I86" t="s">
        <v>3844</v>
      </c>
    </row>
    <row r="87" spans="1:9">
      <c r="A87" t="s">
        <v>3854</v>
      </c>
      <c r="B87" t="s">
        <v>3942</v>
      </c>
      <c r="C87" t="s">
        <v>3943</v>
      </c>
      <c r="D87" t="s">
        <v>3839</v>
      </c>
      <c r="E87" t="s">
        <v>3944</v>
      </c>
      <c r="F87" t="s">
        <v>3945</v>
      </c>
      <c r="G87" t="s">
        <v>3946</v>
      </c>
      <c r="H87" t="s">
        <v>3947</v>
      </c>
      <c r="I87" t="s">
        <v>3948</v>
      </c>
    </row>
    <row r="88" spans="1:9">
      <c r="A88" t="s">
        <v>3854</v>
      </c>
      <c r="B88" t="s">
        <v>3949</v>
      </c>
      <c r="C88" t="s">
        <v>3950</v>
      </c>
      <c r="D88" t="s">
        <v>3839</v>
      </c>
      <c r="E88" t="s">
        <v>3951</v>
      </c>
      <c r="F88" t="s">
        <v>3841</v>
      </c>
      <c r="G88" t="s">
        <v>3902</v>
      </c>
      <c r="H88" t="s">
        <v>3952</v>
      </c>
      <c r="I88" t="s">
        <v>3953</v>
      </c>
    </row>
    <row r="89" spans="1:9">
      <c r="A89" t="s">
        <v>3854</v>
      </c>
      <c r="B89" t="s">
        <v>3954</v>
      </c>
      <c r="C89" t="s">
        <v>3955</v>
      </c>
      <c r="D89" t="s">
        <v>3839</v>
      </c>
      <c r="E89" t="s">
        <v>3956</v>
      </c>
      <c r="F89" t="s">
        <v>3841</v>
      </c>
      <c r="G89" t="s">
        <v>3842</v>
      </c>
      <c r="H89" t="s">
        <v>3843</v>
      </c>
      <c r="I89" t="s">
        <v>3844</v>
      </c>
    </row>
    <row r="90" spans="1:9">
      <c r="A90" t="s">
        <v>3854</v>
      </c>
      <c r="B90" t="s">
        <v>3957</v>
      </c>
      <c r="C90" t="s">
        <v>3958</v>
      </c>
      <c r="D90" t="s">
        <v>3839</v>
      </c>
      <c r="E90" t="s">
        <v>3959</v>
      </c>
      <c r="F90" t="s">
        <v>3841</v>
      </c>
      <c r="G90" t="s">
        <v>3902</v>
      </c>
      <c r="H90" t="s">
        <v>3960</v>
      </c>
      <c r="I90" t="s">
        <v>3953</v>
      </c>
    </row>
    <row r="91" spans="1:9">
      <c r="A91" t="s">
        <v>3854</v>
      </c>
      <c r="B91" t="s">
        <v>3961</v>
      </c>
      <c r="C91" t="s">
        <v>3962</v>
      </c>
      <c r="D91" t="s">
        <v>3839</v>
      </c>
      <c r="E91" t="s">
        <v>3963</v>
      </c>
      <c r="F91" t="s">
        <v>3841</v>
      </c>
      <c r="G91" t="s">
        <v>3842</v>
      </c>
      <c r="H91" t="s">
        <v>3843</v>
      </c>
      <c r="I91" t="s">
        <v>3844</v>
      </c>
    </row>
    <row r="92" spans="1:9">
      <c r="A92" t="s">
        <v>3854</v>
      </c>
      <c r="B92" t="s">
        <v>3964</v>
      </c>
      <c r="C92" t="s">
        <v>3965</v>
      </c>
      <c r="D92" t="s">
        <v>3839</v>
      </c>
      <c r="E92" t="s">
        <v>3966</v>
      </c>
      <c r="F92" t="s">
        <v>3841</v>
      </c>
      <c r="G92" t="s">
        <v>3842</v>
      </c>
      <c r="H92" t="s">
        <v>3843</v>
      </c>
      <c r="I92" t="s">
        <v>3844</v>
      </c>
    </row>
    <row r="93" spans="1:9">
      <c r="A93" t="s">
        <v>3854</v>
      </c>
      <c r="B93" t="s">
        <v>3967</v>
      </c>
      <c r="C93" t="s">
        <v>3968</v>
      </c>
      <c r="D93" t="s">
        <v>3839</v>
      </c>
      <c r="E93" t="s">
        <v>3969</v>
      </c>
      <c r="F93" t="s">
        <v>3841</v>
      </c>
      <c r="G93" t="s">
        <v>3902</v>
      </c>
      <c r="H93" t="s">
        <v>3970</v>
      </c>
      <c r="I93" t="s">
        <v>3904</v>
      </c>
    </row>
    <row r="94" spans="1:9">
      <c r="A94" t="s">
        <v>3854</v>
      </c>
      <c r="B94" t="s">
        <v>3971</v>
      </c>
      <c r="C94" t="s">
        <v>3972</v>
      </c>
      <c r="D94" t="s">
        <v>3839</v>
      </c>
      <c r="E94" t="s">
        <v>3973</v>
      </c>
      <c r="F94" t="s">
        <v>3841</v>
      </c>
      <c r="G94" t="s">
        <v>3842</v>
      </c>
      <c r="H94" t="s">
        <v>3843</v>
      </c>
      <c r="I94" t="s">
        <v>3844</v>
      </c>
    </row>
    <row r="95" spans="1:9">
      <c r="A95" t="s">
        <v>3854</v>
      </c>
      <c r="B95" t="s">
        <v>3974</v>
      </c>
      <c r="C95" t="s">
        <v>3975</v>
      </c>
      <c r="D95" t="s">
        <v>3839</v>
      </c>
      <c r="E95" t="s">
        <v>3976</v>
      </c>
      <c r="F95" t="s">
        <v>3841</v>
      </c>
      <c r="G95" t="s">
        <v>3842</v>
      </c>
      <c r="H95" t="s">
        <v>3843</v>
      </c>
      <c r="I95" t="s">
        <v>3844</v>
      </c>
    </row>
    <row r="96" spans="1:9">
      <c r="A96" t="s">
        <v>3854</v>
      </c>
      <c r="B96" t="s">
        <v>3977</v>
      </c>
      <c r="C96" t="s">
        <v>3978</v>
      </c>
      <c r="D96" t="s">
        <v>3839</v>
      </c>
      <c r="E96" t="s">
        <v>3979</v>
      </c>
      <c r="F96" t="s">
        <v>3841</v>
      </c>
      <c r="G96" t="s">
        <v>3902</v>
      </c>
      <c r="H96" t="s">
        <v>3980</v>
      </c>
      <c r="I96" t="s">
        <v>3904</v>
      </c>
    </row>
    <row r="97" spans="1:9">
      <c r="A97" t="s">
        <v>3854</v>
      </c>
      <c r="B97" t="s">
        <v>3981</v>
      </c>
      <c r="C97" t="s">
        <v>3982</v>
      </c>
      <c r="D97" t="s">
        <v>3839</v>
      </c>
      <c r="E97" t="s">
        <v>3983</v>
      </c>
      <c r="F97" t="s">
        <v>3841</v>
      </c>
      <c r="G97" t="s">
        <v>3902</v>
      </c>
      <c r="H97" t="s">
        <v>3984</v>
      </c>
      <c r="I97" t="s">
        <v>3904</v>
      </c>
    </row>
    <row r="98" spans="1:9">
      <c r="A98" t="s">
        <v>3854</v>
      </c>
      <c r="B98" t="s">
        <v>3985</v>
      </c>
      <c r="C98" t="s">
        <v>3986</v>
      </c>
      <c r="D98" t="s">
        <v>3839</v>
      </c>
      <c r="E98" t="s">
        <v>3987</v>
      </c>
      <c r="F98" t="s">
        <v>3841</v>
      </c>
      <c r="G98" t="s">
        <v>3902</v>
      </c>
      <c r="H98" t="s">
        <v>3988</v>
      </c>
      <c r="I98" t="s">
        <v>3904</v>
      </c>
    </row>
    <row r="99" spans="1:9">
      <c r="A99" t="s">
        <v>3854</v>
      </c>
      <c r="B99" t="s">
        <v>3989</v>
      </c>
      <c r="C99" t="s">
        <v>3990</v>
      </c>
      <c r="D99" t="s">
        <v>3839</v>
      </c>
      <c r="E99" t="s">
        <v>3991</v>
      </c>
      <c r="F99" t="s">
        <v>3841</v>
      </c>
      <c r="G99" t="s">
        <v>3897</v>
      </c>
      <c r="H99" t="s">
        <v>3843</v>
      </c>
      <c r="I99" t="s">
        <v>3953</v>
      </c>
    </row>
    <row r="100" spans="1:9">
      <c r="A100" t="s">
        <v>3854</v>
      </c>
      <c r="B100" t="s">
        <v>3992</v>
      </c>
      <c r="C100" t="s">
        <v>3993</v>
      </c>
      <c r="D100" t="s">
        <v>3839</v>
      </c>
      <c r="E100" t="s">
        <v>3994</v>
      </c>
      <c r="F100" t="s">
        <v>3841</v>
      </c>
      <c r="G100" t="s">
        <v>3842</v>
      </c>
      <c r="H100" t="s">
        <v>3843</v>
      </c>
      <c r="I100" t="s">
        <v>3844</v>
      </c>
    </row>
    <row r="101" spans="1:9">
      <c r="A101" t="s">
        <v>3854</v>
      </c>
      <c r="B101" t="s">
        <v>3995</v>
      </c>
      <c r="C101" t="s">
        <v>3996</v>
      </c>
      <c r="D101" t="s">
        <v>3839</v>
      </c>
      <c r="E101" t="s">
        <v>3997</v>
      </c>
      <c r="F101" t="s">
        <v>3841</v>
      </c>
      <c r="G101" t="s">
        <v>3862</v>
      </c>
      <c r="H101" t="s">
        <v>3998</v>
      </c>
      <c r="I101" t="s">
        <v>3869</v>
      </c>
    </row>
    <row r="102" spans="1:9">
      <c r="A102" t="s">
        <v>3854</v>
      </c>
      <c r="B102" t="s">
        <v>3999</v>
      </c>
      <c r="C102" t="s">
        <v>4000</v>
      </c>
      <c r="D102" t="s">
        <v>3839</v>
      </c>
      <c r="E102" t="s">
        <v>4001</v>
      </c>
      <c r="F102" t="s">
        <v>3841</v>
      </c>
      <c r="G102" t="s">
        <v>3842</v>
      </c>
      <c r="H102" t="s">
        <v>3843</v>
      </c>
      <c r="I102" t="s">
        <v>3844</v>
      </c>
    </row>
    <row r="103" spans="1:9">
      <c r="A103" t="s">
        <v>3854</v>
      </c>
      <c r="B103" t="s">
        <v>4002</v>
      </c>
      <c r="C103" t="s">
        <v>4003</v>
      </c>
      <c r="D103" t="s">
        <v>3839</v>
      </c>
      <c r="E103" t="s">
        <v>4004</v>
      </c>
      <c r="F103" t="s">
        <v>3841</v>
      </c>
      <c r="G103" t="s">
        <v>3842</v>
      </c>
      <c r="H103" t="s">
        <v>3843</v>
      </c>
      <c r="I103" t="s">
        <v>3844</v>
      </c>
    </row>
    <row r="104" spans="1:9">
      <c r="A104" t="s">
        <v>3854</v>
      </c>
      <c r="B104" t="s">
        <v>4005</v>
      </c>
      <c r="C104" t="s">
        <v>4006</v>
      </c>
      <c r="D104" t="s">
        <v>3839</v>
      </c>
      <c r="E104" t="s">
        <v>4007</v>
      </c>
      <c r="F104" t="s">
        <v>3841</v>
      </c>
      <c r="G104" t="s">
        <v>3842</v>
      </c>
      <c r="H104" t="s">
        <v>3843</v>
      </c>
      <c r="I104" t="s">
        <v>3844</v>
      </c>
    </row>
    <row r="105" spans="1:9">
      <c r="A105" t="s">
        <v>3854</v>
      </c>
      <c r="B105" t="s">
        <v>4008</v>
      </c>
      <c r="C105" t="s">
        <v>4009</v>
      </c>
      <c r="D105" t="s">
        <v>3839</v>
      </c>
      <c r="E105" t="s">
        <v>4010</v>
      </c>
      <c r="F105" t="s">
        <v>3841</v>
      </c>
      <c r="G105" t="s">
        <v>3842</v>
      </c>
      <c r="H105" t="s">
        <v>3843</v>
      </c>
      <c r="I105" t="s">
        <v>3844</v>
      </c>
    </row>
    <row r="106" spans="1:9">
      <c r="A106" t="s">
        <v>3854</v>
      </c>
      <c r="B106" t="s">
        <v>4011</v>
      </c>
      <c r="C106" t="s">
        <v>4012</v>
      </c>
      <c r="D106" t="s">
        <v>3839</v>
      </c>
      <c r="E106" t="s">
        <v>4013</v>
      </c>
      <c r="F106" t="s">
        <v>3841</v>
      </c>
      <c r="G106" t="s">
        <v>3842</v>
      </c>
      <c r="H106" t="s">
        <v>3843</v>
      </c>
      <c r="I106" t="s">
        <v>3844</v>
      </c>
    </row>
    <row r="107" spans="1:9">
      <c r="A107" t="s">
        <v>3854</v>
      </c>
      <c r="B107" t="s">
        <v>4014</v>
      </c>
      <c r="C107" t="s">
        <v>4015</v>
      </c>
      <c r="D107" t="s">
        <v>3839</v>
      </c>
      <c r="E107" t="s">
        <v>4016</v>
      </c>
      <c r="F107" t="s">
        <v>3841</v>
      </c>
      <c r="G107" t="s">
        <v>3842</v>
      </c>
      <c r="H107" t="s">
        <v>3843</v>
      </c>
      <c r="I107" t="s">
        <v>3844</v>
      </c>
    </row>
    <row r="108" spans="1:9">
      <c r="A108" t="s">
        <v>3854</v>
      </c>
      <c r="B108" t="s">
        <v>4017</v>
      </c>
      <c r="C108" t="s">
        <v>4018</v>
      </c>
      <c r="D108" t="s">
        <v>3839</v>
      </c>
      <c r="E108" t="s">
        <v>4019</v>
      </c>
      <c r="F108" t="s">
        <v>3841</v>
      </c>
      <c r="G108" t="s">
        <v>3842</v>
      </c>
      <c r="H108" t="s">
        <v>3843</v>
      </c>
      <c r="I108" t="s">
        <v>4020</v>
      </c>
    </row>
    <row r="109" spans="1:9">
      <c r="A109" t="s">
        <v>3854</v>
      </c>
      <c r="B109" t="s">
        <v>4021</v>
      </c>
      <c r="C109" t="s">
        <v>4022</v>
      </c>
      <c r="D109" t="s">
        <v>3839</v>
      </c>
      <c r="E109" t="s">
        <v>4023</v>
      </c>
      <c r="F109" t="s">
        <v>3841</v>
      </c>
      <c r="G109" t="s">
        <v>3842</v>
      </c>
      <c r="H109" t="s">
        <v>3843</v>
      </c>
      <c r="I109" t="s">
        <v>3844</v>
      </c>
    </row>
    <row r="110" spans="1:9">
      <c r="A110" t="s">
        <v>3854</v>
      </c>
      <c r="B110" t="s">
        <v>4024</v>
      </c>
      <c r="C110" t="s">
        <v>4025</v>
      </c>
      <c r="D110" t="s">
        <v>3839</v>
      </c>
      <c r="E110" t="s">
        <v>4026</v>
      </c>
      <c r="F110" t="s">
        <v>3841</v>
      </c>
      <c r="G110" t="s">
        <v>3842</v>
      </c>
      <c r="H110" t="s">
        <v>3843</v>
      </c>
      <c r="I110" t="s">
        <v>3844</v>
      </c>
    </row>
    <row r="111" spans="1:9">
      <c r="A111" t="s">
        <v>3854</v>
      </c>
      <c r="B111" t="s">
        <v>7413</v>
      </c>
      <c r="C111" t="s">
        <v>4027</v>
      </c>
      <c r="D111" t="s">
        <v>3839</v>
      </c>
      <c r="E111" t="s">
        <v>4028</v>
      </c>
      <c r="F111" t="s">
        <v>3841</v>
      </c>
      <c r="G111" t="s">
        <v>3842</v>
      </c>
      <c r="H111" t="s">
        <v>3843</v>
      </c>
      <c r="I111" t="s">
        <v>3844</v>
      </c>
    </row>
    <row r="112" spans="1:9">
      <c r="A112" t="s">
        <v>3854</v>
      </c>
      <c r="B112" t="s">
        <v>4029</v>
      </c>
      <c r="C112" t="s">
        <v>4030</v>
      </c>
      <c r="D112" t="s">
        <v>3839</v>
      </c>
      <c r="E112" t="s">
        <v>4031</v>
      </c>
      <c r="F112" t="s">
        <v>3841</v>
      </c>
      <c r="G112" t="s">
        <v>3842</v>
      </c>
      <c r="H112" t="s">
        <v>3843</v>
      </c>
      <c r="I112" t="s">
        <v>3844</v>
      </c>
    </row>
    <row r="113" spans="1:9">
      <c r="A113" t="s">
        <v>3854</v>
      </c>
      <c r="B113" t="s">
        <v>4032</v>
      </c>
      <c r="C113" t="s">
        <v>4033</v>
      </c>
      <c r="D113" t="s">
        <v>3839</v>
      </c>
      <c r="E113" t="s">
        <v>4034</v>
      </c>
      <c r="F113" t="s">
        <v>3841</v>
      </c>
      <c r="G113" t="s">
        <v>3842</v>
      </c>
      <c r="H113" t="s">
        <v>3843</v>
      </c>
      <c r="I113" t="s">
        <v>3844</v>
      </c>
    </row>
    <row r="114" spans="1:9">
      <c r="A114" t="s">
        <v>3854</v>
      </c>
      <c r="B114" t="s">
        <v>4035</v>
      </c>
      <c r="C114" t="s">
        <v>4036</v>
      </c>
      <c r="D114" t="s">
        <v>3839</v>
      </c>
      <c r="E114" t="s">
        <v>4037</v>
      </c>
      <c r="F114" t="s">
        <v>3841</v>
      </c>
      <c r="G114" t="s">
        <v>3842</v>
      </c>
      <c r="H114" t="s">
        <v>3843</v>
      </c>
      <c r="I114" t="s">
        <v>3844</v>
      </c>
    </row>
    <row r="115" spans="1:9">
      <c r="A115" t="s">
        <v>3854</v>
      </c>
      <c r="B115" t="s">
        <v>4038</v>
      </c>
      <c r="C115" t="s">
        <v>4039</v>
      </c>
      <c r="D115" t="s">
        <v>3839</v>
      </c>
      <c r="E115" t="s">
        <v>3928</v>
      </c>
      <c r="F115" t="s">
        <v>3841</v>
      </c>
      <c r="G115" t="s">
        <v>3842</v>
      </c>
      <c r="H115" t="s">
        <v>3843</v>
      </c>
      <c r="I115" t="s">
        <v>3844</v>
      </c>
    </row>
    <row r="116" spans="1:9">
      <c r="A116" t="s">
        <v>3854</v>
      </c>
      <c r="B116" t="s">
        <v>4040</v>
      </c>
      <c r="C116" t="s">
        <v>4041</v>
      </c>
      <c r="D116" t="s">
        <v>3839</v>
      </c>
      <c r="E116" t="s">
        <v>4042</v>
      </c>
      <c r="F116" t="s">
        <v>3841</v>
      </c>
      <c r="G116" t="s">
        <v>3842</v>
      </c>
      <c r="H116" t="s">
        <v>3843</v>
      </c>
      <c r="I116" t="s">
        <v>3844</v>
      </c>
    </row>
    <row r="117" spans="1:9">
      <c r="A117" t="s">
        <v>3854</v>
      </c>
      <c r="B117" t="s">
        <v>4043</v>
      </c>
      <c r="C117" t="s">
        <v>4044</v>
      </c>
      <c r="D117" t="s">
        <v>3839</v>
      </c>
      <c r="E117" t="s">
        <v>4045</v>
      </c>
      <c r="F117" t="s">
        <v>3841</v>
      </c>
      <c r="G117" t="s">
        <v>3842</v>
      </c>
      <c r="H117" t="s">
        <v>3843</v>
      </c>
      <c r="I117" t="s">
        <v>3844</v>
      </c>
    </row>
    <row r="118" spans="1:9">
      <c r="A118" t="s">
        <v>3854</v>
      </c>
      <c r="B118" t="s">
        <v>4046</v>
      </c>
      <c r="C118" t="s">
        <v>4047</v>
      </c>
      <c r="D118" t="s">
        <v>3839</v>
      </c>
      <c r="E118" t="s">
        <v>4048</v>
      </c>
      <c r="F118" t="s">
        <v>3841</v>
      </c>
      <c r="G118" t="s">
        <v>3842</v>
      </c>
      <c r="H118" t="s">
        <v>3843</v>
      </c>
      <c r="I118" t="s">
        <v>3844</v>
      </c>
    </row>
  </sheetData>
  <mergeCells count="1">
    <mergeCell ref="A1:I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5D0AF-AA03-4C13-9F1A-756EEA1C36DD}">
  <sheetPr>
    <tabColor theme="6" tint="-0.499984740745262"/>
  </sheetPr>
  <dimension ref="A1:L507"/>
  <sheetViews>
    <sheetView workbookViewId="0"/>
  </sheetViews>
  <sheetFormatPr defaultColWidth="8.7265625" defaultRowHeight="14.5"/>
  <cols>
    <col min="1" max="6" width="8.7265625" style="231"/>
    <col min="7" max="7" width="11.81640625" style="231" bestFit="1" customWidth="1"/>
    <col min="8" max="16384" width="8.7265625" style="231"/>
  </cols>
  <sheetData>
    <row r="1" spans="1:12">
      <c r="A1" s="231" t="s">
        <v>953</v>
      </c>
    </row>
    <row r="2" spans="1:12">
      <c r="A2" s="231" t="s">
        <v>4049</v>
      </c>
    </row>
    <row r="3" spans="1:12">
      <c r="A3" s="231" t="s">
        <v>4050</v>
      </c>
    </row>
    <row r="4" spans="1:12">
      <c r="A4" s="231" t="s">
        <v>4051</v>
      </c>
    </row>
    <row r="5" spans="1:12">
      <c r="A5" s="231" t="s">
        <v>4052</v>
      </c>
    </row>
    <row r="7" spans="1:12">
      <c r="A7" s="231" t="s">
        <v>496</v>
      </c>
      <c r="C7" s="231" t="s">
        <v>4053</v>
      </c>
      <c r="D7" s="231" t="s">
        <v>4054</v>
      </c>
      <c r="E7" s="231" t="s">
        <v>4055</v>
      </c>
      <c r="F7" s="231" t="s">
        <v>4056</v>
      </c>
      <c r="G7" s="231" t="s">
        <v>4057</v>
      </c>
      <c r="H7" s="231" t="s">
        <v>4058</v>
      </c>
      <c r="J7" s="231" t="s">
        <v>1905</v>
      </c>
      <c r="K7" s="231" t="s">
        <v>4059</v>
      </c>
      <c r="L7" s="231" t="s">
        <v>4060</v>
      </c>
    </row>
    <row r="8" spans="1:12">
      <c r="A8" s="231" t="s">
        <v>528</v>
      </c>
    </row>
    <row r="9" spans="1:12">
      <c r="A9" s="231" t="s">
        <v>4061</v>
      </c>
      <c r="C9" s="231" t="s">
        <v>4062</v>
      </c>
      <c r="D9" s="231" t="s">
        <v>1422</v>
      </c>
      <c r="E9" s="231" t="s">
        <v>1422</v>
      </c>
      <c r="F9" s="231">
        <v>0</v>
      </c>
      <c r="G9" s="316">
        <v>45866</v>
      </c>
      <c r="H9" s="231">
        <v>0</v>
      </c>
      <c r="I9" s="231">
        <v>0</v>
      </c>
      <c r="J9" s="231">
        <v>905</v>
      </c>
      <c r="K9" s="231">
        <v>905</v>
      </c>
      <c r="L9" s="231" t="s">
        <v>4063</v>
      </c>
    </row>
    <row r="10" spans="1:12">
      <c r="A10" s="231">
        <v>1059</v>
      </c>
      <c r="B10" s="231" t="s">
        <v>4064</v>
      </c>
      <c r="C10" s="231" t="s">
        <v>4065</v>
      </c>
      <c r="D10" s="231" t="s">
        <v>1422</v>
      </c>
      <c r="E10" s="231" t="s">
        <v>1422</v>
      </c>
      <c r="F10" s="231">
        <v>0</v>
      </c>
      <c r="G10" s="316">
        <v>45989</v>
      </c>
      <c r="H10" s="231">
        <v>5</v>
      </c>
      <c r="I10" s="231">
        <v>2</v>
      </c>
      <c r="J10" s="231">
        <v>935</v>
      </c>
      <c r="K10" s="231">
        <v>840</v>
      </c>
      <c r="L10" s="231" t="s">
        <v>4066</v>
      </c>
    </row>
    <row r="11" spans="1:12">
      <c r="A11" s="231" t="s">
        <v>4067</v>
      </c>
      <c r="B11" s="231" t="s">
        <v>4064</v>
      </c>
      <c r="C11" s="231" t="s">
        <v>4068</v>
      </c>
      <c r="D11" s="231" t="s">
        <v>1422</v>
      </c>
      <c r="E11" s="231" t="s">
        <v>1422</v>
      </c>
      <c r="F11" s="231">
        <v>0</v>
      </c>
      <c r="G11" s="316">
        <v>45958</v>
      </c>
      <c r="H11" s="231">
        <v>4</v>
      </c>
      <c r="I11" s="231">
        <v>0</v>
      </c>
      <c r="J11" s="315">
        <v>1380</v>
      </c>
      <c r="K11" s="315">
        <v>1231</v>
      </c>
      <c r="L11" s="231" t="s">
        <v>4066</v>
      </c>
    </row>
    <row r="12" spans="1:12">
      <c r="A12" s="231" t="s">
        <v>4069</v>
      </c>
      <c r="C12" s="231" t="s">
        <v>4070</v>
      </c>
      <c r="D12" s="231" t="s">
        <v>1422</v>
      </c>
      <c r="E12" s="231" t="s">
        <v>1422</v>
      </c>
      <c r="F12" s="231">
        <v>0</v>
      </c>
      <c r="G12" s="316">
        <v>45719</v>
      </c>
      <c r="H12" s="231">
        <v>0</v>
      </c>
      <c r="I12" s="231">
        <v>0</v>
      </c>
      <c r="J12" s="231">
        <v>905</v>
      </c>
      <c r="K12" s="231">
        <v>905</v>
      </c>
      <c r="L12" s="231" t="s">
        <v>4063</v>
      </c>
    </row>
    <row r="13" spans="1:12">
      <c r="A13" s="231" t="s">
        <v>4071</v>
      </c>
      <c r="C13" s="231" t="s">
        <v>4072</v>
      </c>
      <c r="D13" s="231" t="s">
        <v>1422</v>
      </c>
      <c r="E13" s="231" t="s">
        <v>1422</v>
      </c>
      <c r="F13" s="231">
        <v>0</v>
      </c>
      <c r="G13" s="316">
        <v>45860</v>
      </c>
      <c r="H13" s="231">
        <v>0</v>
      </c>
      <c r="I13" s="231">
        <v>0</v>
      </c>
      <c r="J13" s="231">
        <v>840</v>
      </c>
      <c r="K13" s="231">
        <v>809</v>
      </c>
      <c r="L13" s="231" t="s">
        <v>4066</v>
      </c>
    </row>
    <row r="14" spans="1:12">
      <c r="A14" s="231" t="s">
        <v>4073</v>
      </c>
      <c r="B14" s="231" t="s">
        <v>4064</v>
      </c>
      <c r="C14" s="231" t="s">
        <v>4074</v>
      </c>
      <c r="D14" s="231" t="s">
        <v>1422</v>
      </c>
      <c r="E14" s="231" t="s">
        <v>1422</v>
      </c>
      <c r="F14" s="231">
        <v>0</v>
      </c>
      <c r="G14" s="316">
        <v>45958</v>
      </c>
      <c r="H14" s="231">
        <v>0</v>
      </c>
      <c r="I14" s="231">
        <v>0</v>
      </c>
      <c r="J14" s="231">
        <v>905</v>
      </c>
      <c r="K14" s="231">
        <v>925</v>
      </c>
      <c r="L14" s="231" t="s">
        <v>4066</v>
      </c>
    </row>
    <row r="15" spans="1:12">
      <c r="A15" s="231" t="s">
        <v>4075</v>
      </c>
      <c r="C15" s="231" t="s">
        <v>4076</v>
      </c>
      <c r="D15" s="231" t="s">
        <v>1422</v>
      </c>
      <c r="E15" s="231" t="s">
        <v>1422</v>
      </c>
      <c r="F15" s="231">
        <v>0</v>
      </c>
      <c r="G15" s="316">
        <v>45727</v>
      </c>
      <c r="H15" s="231">
        <v>0</v>
      </c>
      <c r="I15" s="231">
        <v>0</v>
      </c>
      <c r="J15" s="315">
        <v>1090</v>
      </c>
      <c r="K15" s="315">
        <v>1090</v>
      </c>
      <c r="L15" s="231" t="s">
        <v>4077</v>
      </c>
    </row>
    <row r="16" spans="1:12">
      <c r="A16" s="231">
        <v>1036</v>
      </c>
      <c r="B16" s="231" t="s">
        <v>4064</v>
      </c>
      <c r="C16" s="231" t="s">
        <v>4078</v>
      </c>
      <c r="D16" s="231" t="s">
        <v>1422</v>
      </c>
      <c r="E16" s="231" t="s">
        <v>1422</v>
      </c>
      <c r="F16" s="231">
        <v>0</v>
      </c>
      <c r="G16" s="316">
        <v>45982</v>
      </c>
      <c r="H16" s="231">
        <v>3</v>
      </c>
      <c r="I16" s="231">
        <v>1</v>
      </c>
      <c r="J16" s="231">
        <v>975</v>
      </c>
      <c r="K16" s="315">
        <v>1040</v>
      </c>
      <c r="L16" s="231" t="s">
        <v>4066</v>
      </c>
    </row>
    <row r="17" spans="1:12">
      <c r="A17" s="231" t="s">
        <v>4061</v>
      </c>
      <c r="C17" s="231" t="s">
        <v>4079</v>
      </c>
      <c r="D17" s="231" t="s">
        <v>1422</v>
      </c>
      <c r="E17" s="231" t="s">
        <v>1422</v>
      </c>
      <c r="F17" s="231">
        <v>0</v>
      </c>
      <c r="G17" s="316">
        <v>45742</v>
      </c>
      <c r="H17" s="231">
        <v>0</v>
      </c>
      <c r="I17" s="231">
        <v>0</v>
      </c>
      <c r="J17" s="231">
        <v>905</v>
      </c>
      <c r="K17" s="231">
        <v>905</v>
      </c>
      <c r="L17" s="231" t="s">
        <v>4063</v>
      </c>
    </row>
    <row r="18" spans="1:12">
      <c r="A18" s="232">
        <v>62855</v>
      </c>
      <c r="C18" s="231" t="s">
        <v>4080</v>
      </c>
      <c r="D18" s="231" t="s">
        <v>1422</v>
      </c>
      <c r="E18" s="231" t="s">
        <v>1422</v>
      </c>
      <c r="F18" s="231">
        <v>0</v>
      </c>
      <c r="G18" s="316">
        <v>45982</v>
      </c>
      <c r="H18" s="231">
        <v>0</v>
      </c>
      <c r="I18" s="231">
        <v>0</v>
      </c>
      <c r="J18" s="315">
        <v>1620</v>
      </c>
      <c r="K18" s="315">
        <v>1241</v>
      </c>
      <c r="L18" s="231" t="s">
        <v>4063</v>
      </c>
    </row>
    <row r="19" spans="1:12">
      <c r="A19" s="231">
        <v>3002</v>
      </c>
      <c r="C19" s="231" t="s">
        <v>4081</v>
      </c>
      <c r="D19" s="231" t="s">
        <v>1422</v>
      </c>
      <c r="E19" s="231" t="s">
        <v>1422</v>
      </c>
      <c r="F19" s="231">
        <v>0</v>
      </c>
      <c r="G19" s="316">
        <v>45930</v>
      </c>
      <c r="H19" s="231">
        <v>0</v>
      </c>
      <c r="I19" s="231">
        <v>0</v>
      </c>
      <c r="J19" s="231">
        <v>905</v>
      </c>
      <c r="K19" s="231">
        <v>905</v>
      </c>
      <c r="L19" s="231" t="s">
        <v>4077</v>
      </c>
    </row>
    <row r="20" spans="1:12">
      <c r="A20" s="231">
        <v>233</v>
      </c>
      <c r="B20" s="231" t="s">
        <v>4064</v>
      </c>
      <c r="C20" s="231" t="s">
        <v>4082</v>
      </c>
      <c r="D20" s="231" t="s">
        <v>1422</v>
      </c>
      <c r="E20" s="231" t="s">
        <v>1422</v>
      </c>
      <c r="F20" s="231">
        <v>0</v>
      </c>
      <c r="G20" s="316">
        <v>45748</v>
      </c>
      <c r="H20" s="231">
        <v>0</v>
      </c>
      <c r="I20" s="231">
        <v>0</v>
      </c>
      <c r="J20" s="231">
        <v>980</v>
      </c>
      <c r="K20" s="315">
        <v>1165</v>
      </c>
      <c r="L20" s="231" t="s">
        <v>4066</v>
      </c>
    </row>
    <row r="21" spans="1:12">
      <c r="A21" s="231">
        <v>109</v>
      </c>
      <c r="C21" s="231" t="s">
        <v>4083</v>
      </c>
      <c r="D21" s="231" t="s">
        <v>1422</v>
      </c>
      <c r="E21" s="231" t="s">
        <v>1422</v>
      </c>
      <c r="F21" s="231">
        <v>0</v>
      </c>
      <c r="G21" s="316">
        <v>45924</v>
      </c>
      <c r="H21" s="231">
        <v>0</v>
      </c>
      <c r="I21" s="231">
        <v>0</v>
      </c>
      <c r="J21" s="315">
        <v>1005</v>
      </c>
      <c r="K21" s="315">
        <v>1100</v>
      </c>
      <c r="L21" s="231" t="s">
        <v>4063</v>
      </c>
    </row>
    <row r="22" spans="1:12">
      <c r="A22" s="231">
        <v>241</v>
      </c>
      <c r="B22" s="231" t="s">
        <v>4064</v>
      </c>
      <c r="C22" s="231" t="s">
        <v>4084</v>
      </c>
      <c r="D22" s="231" t="s">
        <v>1422</v>
      </c>
      <c r="E22" s="231" t="s">
        <v>1422</v>
      </c>
      <c r="F22" s="231">
        <v>0</v>
      </c>
      <c r="G22" s="316">
        <v>45958</v>
      </c>
      <c r="H22" s="231">
        <v>0</v>
      </c>
      <c r="I22" s="231">
        <v>0</v>
      </c>
      <c r="J22" s="315">
        <v>1565</v>
      </c>
      <c r="K22" s="315">
        <v>1566</v>
      </c>
      <c r="L22" s="231" t="s">
        <v>4066</v>
      </c>
    </row>
    <row r="23" spans="1:12">
      <c r="A23" s="232">
        <v>45689</v>
      </c>
      <c r="C23" s="231" t="s">
        <v>4085</v>
      </c>
      <c r="D23" s="231" t="s">
        <v>1422</v>
      </c>
      <c r="E23" s="231" t="s">
        <v>1422</v>
      </c>
      <c r="F23" s="231">
        <v>0</v>
      </c>
      <c r="G23" s="316">
        <v>45924</v>
      </c>
      <c r="H23" s="231">
        <v>0</v>
      </c>
      <c r="I23" s="231">
        <v>0</v>
      </c>
      <c r="J23" s="231">
        <v>930</v>
      </c>
      <c r="K23" s="231">
        <v>930</v>
      </c>
      <c r="L23" s="231" t="s">
        <v>4086</v>
      </c>
    </row>
    <row r="24" spans="1:12">
      <c r="A24" s="232">
        <v>68699</v>
      </c>
      <c r="B24" s="231" t="s">
        <v>4064</v>
      </c>
      <c r="C24" s="231" t="s">
        <v>4087</v>
      </c>
      <c r="D24" s="231" t="s">
        <v>1422</v>
      </c>
      <c r="E24" s="231" t="s">
        <v>1422</v>
      </c>
      <c r="F24" s="231">
        <v>0</v>
      </c>
      <c r="G24" s="316">
        <v>45861</v>
      </c>
      <c r="H24" s="231">
        <v>0</v>
      </c>
      <c r="I24" s="231">
        <v>0</v>
      </c>
      <c r="J24" s="315">
        <v>1065</v>
      </c>
      <c r="K24" s="315">
        <v>1184</v>
      </c>
      <c r="L24" s="231" t="s">
        <v>4088</v>
      </c>
    </row>
    <row r="25" spans="1:12">
      <c r="A25" s="231" t="s">
        <v>4089</v>
      </c>
      <c r="C25" s="231" t="s">
        <v>4090</v>
      </c>
      <c r="D25" s="231" t="s">
        <v>1422</v>
      </c>
      <c r="E25" s="231" t="s">
        <v>1422</v>
      </c>
      <c r="F25" s="231">
        <v>0</v>
      </c>
      <c r="G25" s="316">
        <v>45986</v>
      </c>
      <c r="H25" s="231">
        <v>0</v>
      </c>
      <c r="I25" s="231">
        <v>0</v>
      </c>
      <c r="J25" s="231">
        <v>970</v>
      </c>
      <c r="K25" s="231">
        <v>994</v>
      </c>
      <c r="L25" s="231" t="s">
        <v>4063</v>
      </c>
    </row>
    <row r="26" spans="1:12">
      <c r="A26" s="231">
        <v>1098</v>
      </c>
      <c r="B26" s="231" t="s">
        <v>4064</v>
      </c>
      <c r="C26" s="231" t="s">
        <v>4091</v>
      </c>
      <c r="D26" s="231" t="s">
        <v>1422</v>
      </c>
      <c r="E26" s="231" t="s">
        <v>1422</v>
      </c>
      <c r="F26" s="231">
        <v>0</v>
      </c>
      <c r="G26" s="316">
        <v>45686</v>
      </c>
      <c r="H26" s="231">
        <v>14</v>
      </c>
      <c r="I26" s="231">
        <v>0</v>
      </c>
      <c r="J26" s="315">
        <v>1675</v>
      </c>
      <c r="K26" s="231">
        <v>950</v>
      </c>
      <c r="L26" s="231" t="s">
        <v>4066</v>
      </c>
    </row>
    <row r="27" spans="1:12">
      <c r="A27" s="231" t="s">
        <v>4061</v>
      </c>
      <c r="C27" s="231" t="s">
        <v>4092</v>
      </c>
      <c r="D27" s="231" t="s">
        <v>1422</v>
      </c>
      <c r="E27" s="231" t="s">
        <v>1422</v>
      </c>
      <c r="F27" s="231">
        <v>0</v>
      </c>
      <c r="G27" s="316">
        <v>45817</v>
      </c>
      <c r="H27" s="231">
        <v>0</v>
      </c>
      <c r="I27" s="231">
        <v>0</v>
      </c>
      <c r="J27" s="231">
        <v>905</v>
      </c>
      <c r="K27" s="231">
        <v>0</v>
      </c>
      <c r="L27" s="231" t="s">
        <v>4093</v>
      </c>
    </row>
    <row r="28" spans="1:12">
      <c r="A28" s="231">
        <v>1068</v>
      </c>
      <c r="B28" s="231" t="s">
        <v>4064</v>
      </c>
      <c r="C28" s="231" t="s">
        <v>4094</v>
      </c>
      <c r="D28" s="231" t="s">
        <v>1422</v>
      </c>
      <c r="E28" s="231" t="s">
        <v>1422</v>
      </c>
      <c r="F28" s="231">
        <v>0</v>
      </c>
      <c r="G28" s="316">
        <v>45965</v>
      </c>
      <c r="H28" s="231">
        <v>4</v>
      </c>
      <c r="I28" s="231">
        <v>0</v>
      </c>
      <c r="J28" s="231">
        <v>920</v>
      </c>
      <c r="K28" s="231">
        <v>938</v>
      </c>
      <c r="L28" s="231" t="s">
        <v>4095</v>
      </c>
    </row>
    <row r="29" spans="1:12">
      <c r="A29" s="231">
        <v>1099</v>
      </c>
      <c r="B29" s="231" t="s">
        <v>4064</v>
      </c>
      <c r="C29" s="231" t="s">
        <v>4096</v>
      </c>
      <c r="D29" s="231" t="s">
        <v>1422</v>
      </c>
      <c r="E29" s="231" t="s">
        <v>1422</v>
      </c>
      <c r="F29" s="231">
        <v>0</v>
      </c>
      <c r="G29" s="316">
        <v>45808</v>
      </c>
      <c r="H29" s="231">
        <v>0</v>
      </c>
      <c r="I29" s="231">
        <v>0</v>
      </c>
      <c r="J29" s="315">
        <v>1675</v>
      </c>
      <c r="K29" s="315">
        <v>1651</v>
      </c>
      <c r="L29" s="231" t="s">
        <v>4088</v>
      </c>
    </row>
    <row r="30" spans="1:12">
      <c r="A30" s="231" t="s">
        <v>4097</v>
      </c>
      <c r="C30" s="231" t="s">
        <v>4098</v>
      </c>
      <c r="D30" s="231" t="s">
        <v>1422</v>
      </c>
      <c r="E30" s="231" t="s">
        <v>1422</v>
      </c>
      <c r="F30" s="231">
        <v>0</v>
      </c>
      <c r="G30" s="316">
        <v>45937</v>
      </c>
      <c r="H30" s="231">
        <v>0</v>
      </c>
      <c r="I30" s="231">
        <v>0</v>
      </c>
      <c r="J30" s="231">
        <v>980</v>
      </c>
      <c r="K30" s="231">
        <v>0</v>
      </c>
      <c r="L30" s="231" t="s">
        <v>4077</v>
      </c>
    </row>
    <row r="31" spans="1:12">
      <c r="A31" s="231" t="s">
        <v>4099</v>
      </c>
      <c r="C31" s="231" t="s">
        <v>4100</v>
      </c>
      <c r="D31" s="231" t="s">
        <v>1422</v>
      </c>
      <c r="E31" s="231" t="s">
        <v>1422</v>
      </c>
      <c r="F31" s="231">
        <v>0</v>
      </c>
      <c r="G31" s="316">
        <v>45714</v>
      </c>
      <c r="H31" s="231">
        <v>0</v>
      </c>
      <c r="I31" s="231">
        <v>1</v>
      </c>
      <c r="J31" s="315">
        <v>1620</v>
      </c>
      <c r="K31" s="315">
        <v>1418</v>
      </c>
      <c r="L31" s="231" t="s">
        <v>4063</v>
      </c>
    </row>
    <row r="32" spans="1:12">
      <c r="A32" s="231">
        <v>218</v>
      </c>
      <c r="C32" s="231" t="s">
        <v>4101</v>
      </c>
      <c r="D32" s="231" t="s">
        <v>1422</v>
      </c>
      <c r="E32" s="231" t="s">
        <v>1422</v>
      </c>
      <c r="F32" s="231">
        <v>0</v>
      </c>
      <c r="G32" s="316">
        <v>45719</v>
      </c>
      <c r="H32" s="231">
        <v>0</v>
      </c>
      <c r="I32" s="231">
        <v>0</v>
      </c>
      <c r="J32" s="315">
        <v>1510</v>
      </c>
      <c r="K32" s="231">
        <v>0</v>
      </c>
      <c r="L32" s="231" t="s">
        <v>4093</v>
      </c>
    </row>
    <row r="33" spans="1:12">
      <c r="A33" s="231">
        <v>361</v>
      </c>
      <c r="C33" s="231" t="s">
        <v>4102</v>
      </c>
      <c r="D33" s="231" t="s">
        <v>1422</v>
      </c>
      <c r="E33" s="231" t="s">
        <v>1422</v>
      </c>
      <c r="F33" s="231">
        <v>0</v>
      </c>
      <c r="G33" s="316">
        <v>45747</v>
      </c>
      <c r="H33" s="231">
        <v>0</v>
      </c>
      <c r="I33" s="231">
        <v>0</v>
      </c>
      <c r="J33" s="315">
        <v>1320</v>
      </c>
      <c r="K33" s="231">
        <v>0</v>
      </c>
      <c r="L33" s="231" t="s">
        <v>4103</v>
      </c>
    </row>
    <row r="34" spans="1:12">
      <c r="A34" s="231" t="s">
        <v>4104</v>
      </c>
      <c r="B34" s="231" t="s">
        <v>4064</v>
      </c>
      <c r="C34" s="231" t="s">
        <v>4105</v>
      </c>
      <c r="D34" s="231" t="s">
        <v>1422</v>
      </c>
      <c r="E34" s="231" t="s">
        <v>1422</v>
      </c>
      <c r="F34" s="231">
        <v>0</v>
      </c>
      <c r="G34" s="316">
        <v>45742</v>
      </c>
      <c r="H34" s="231">
        <v>0</v>
      </c>
      <c r="I34" s="231">
        <v>0</v>
      </c>
      <c r="J34" s="231">
        <v>985</v>
      </c>
      <c r="K34" s="315">
        <v>1042</v>
      </c>
      <c r="L34" s="231" t="s">
        <v>4066</v>
      </c>
    </row>
    <row r="35" spans="1:12">
      <c r="A35" s="231">
        <v>109</v>
      </c>
      <c r="C35" s="231" t="s">
        <v>4106</v>
      </c>
      <c r="D35" s="231" t="s">
        <v>1422</v>
      </c>
      <c r="E35" s="231" t="s">
        <v>1422</v>
      </c>
      <c r="F35" s="231">
        <v>0</v>
      </c>
      <c r="G35" s="316">
        <v>45964</v>
      </c>
      <c r="H35" s="231">
        <v>0</v>
      </c>
      <c r="I35" s="231">
        <v>0</v>
      </c>
      <c r="J35" s="315">
        <v>1005</v>
      </c>
      <c r="K35" s="315">
        <v>1119</v>
      </c>
      <c r="L35" s="231" t="s">
        <v>4063</v>
      </c>
    </row>
    <row r="36" spans="1:12">
      <c r="A36" s="231">
        <v>139</v>
      </c>
      <c r="C36" s="231" t="s">
        <v>4107</v>
      </c>
      <c r="D36" s="231" t="s">
        <v>1422</v>
      </c>
      <c r="E36" s="231" t="s">
        <v>1422</v>
      </c>
      <c r="F36" s="231">
        <v>0</v>
      </c>
      <c r="G36" s="316">
        <v>45727</v>
      </c>
      <c r="H36" s="231">
        <v>0</v>
      </c>
      <c r="I36" s="231">
        <v>0</v>
      </c>
      <c r="J36" s="231">
        <v>950</v>
      </c>
      <c r="K36" s="315">
        <v>1045</v>
      </c>
      <c r="L36" s="231" t="s">
        <v>4077</v>
      </c>
    </row>
    <row r="37" spans="1:12">
      <c r="A37" s="231" t="s">
        <v>4108</v>
      </c>
      <c r="C37" s="231" t="s">
        <v>4109</v>
      </c>
      <c r="D37" s="231" t="s">
        <v>1422</v>
      </c>
      <c r="E37" s="231" t="s">
        <v>1422</v>
      </c>
      <c r="F37" s="231">
        <v>0</v>
      </c>
      <c r="G37" s="316">
        <v>45747</v>
      </c>
      <c r="H37" s="231">
        <v>0</v>
      </c>
      <c r="I37" s="231">
        <v>0</v>
      </c>
      <c r="J37" s="231">
        <v>975</v>
      </c>
      <c r="K37" s="231">
        <v>975</v>
      </c>
      <c r="L37" s="231" t="s">
        <v>4063</v>
      </c>
    </row>
    <row r="38" spans="1:12">
      <c r="A38" s="231">
        <v>1017</v>
      </c>
      <c r="C38" s="231" t="s">
        <v>4110</v>
      </c>
      <c r="D38" s="231" t="s">
        <v>1422</v>
      </c>
      <c r="E38" s="231" t="s">
        <v>1422</v>
      </c>
      <c r="F38" s="231">
        <v>0</v>
      </c>
      <c r="G38" s="316">
        <v>45924</v>
      </c>
      <c r="H38" s="231">
        <v>0</v>
      </c>
      <c r="I38" s="231">
        <v>0</v>
      </c>
      <c r="J38" s="231">
        <v>990</v>
      </c>
      <c r="K38" s="315">
        <v>1085</v>
      </c>
      <c r="L38" s="231" t="s">
        <v>4063</v>
      </c>
    </row>
    <row r="39" spans="1:12">
      <c r="A39" s="231" t="s">
        <v>4111</v>
      </c>
      <c r="C39" s="231" t="s">
        <v>4112</v>
      </c>
      <c r="D39" s="231" t="s">
        <v>1422</v>
      </c>
      <c r="E39" s="231" t="s">
        <v>1422</v>
      </c>
      <c r="F39" s="231">
        <v>0</v>
      </c>
      <c r="G39" s="316">
        <v>45944</v>
      </c>
      <c r="H39" s="231">
        <v>7</v>
      </c>
      <c r="I39" s="231">
        <v>0</v>
      </c>
      <c r="J39" s="315">
        <v>1010</v>
      </c>
      <c r="K39" s="315">
        <v>1135</v>
      </c>
      <c r="L39" s="231" t="s">
        <v>507</v>
      </c>
    </row>
    <row r="40" spans="1:12">
      <c r="A40" s="231">
        <v>422</v>
      </c>
      <c r="B40" s="231" t="s">
        <v>4064</v>
      </c>
      <c r="C40" s="231" t="s">
        <v>4113</v>
      </c>
      <c r="D40" s="231" t="s">
        <v>1422</v>
      </c>
      <c r="E40" s="231" t="s">
        <v>1422</v>
      </c>
      <c r="F40" s="231">
        <v>0</v>
      </c>
      <c r="G40" s="316">
        <v>45796</v>
      </c>
      <c r="H40" s="231">
        <v>0</v>
      </c>
      <c r="I40" s="231">
        <v>1</v>
      </c>
      <c r="J40" s="315">
        <v>1200</v>
      </c>
      <c r="K40" s="315">
        <v>1251</v>
      </c>
      <c r="L40" s="231" t="s">
        <v>4066</v>
      </c>
    </row>
    <row r="41" spans="1:12">
      <c r="A41" s="231" t="s">
        <v>4114</v>
      </c>
      <c r="B41" s="231" t="s">
        <v>4064</v>
      </c>
      <c r="C41" s="231" t="s">
        <v>4115</v>
      </c>
      <c r="D41" s="231" t="s">
        <v>1422</v>
      </c>
      <c r="E41" s="231" t="s">
        <v>1422</v>
      </c>
      <c r="F41" s="231">
        <v>0</v>
      </c>
      <c r="G41" s="316">
        <v>45780</v>
      </c>
      <c r="H41" s="231">
        <v>1</v>
      </c>
      <c r="I41" s="231">
        <v>0</v>
      </c>
      <c r="J41" s="315">
        <v>1575</v>
      </c>
      <c r="K41" s="315">
        <v>1670</v>
      </c>
      <c r="L41" s="231" t="s">
        <v>4066</v>
      </c>
    </row>
    <row r="42" spans="1:12">
      <c r="A42" s="231" t="s">
        <v>4116</v>
      </c>
      <c r="C42" s="231" t="s">
        <v>4117</v>
      </c>
      <c r="D42" s="231" t="s">
        <v>1422</v>
      </c>
      <c r="E42" s="231" t="s">
        <v>1422</v>
      </c>
      <c r="F42" s="231">
        <v>0</v>
      </c>
      <c r="G42" s="316">
        <v>45912</v>
      </c>
      <c r="H42" s="231">
        <v>0</v>
      </c>
      <c r="I42" s="231">
        <v>0</v>
      </c>
      <c r="J42" s="231">
        <v>915</v>
      </c>
      <c r="K42" s="231">
        <v>915</v>
      </c>
      <c r="L42" s="231" t="s">
        <v>4063</v>
      </c>
    </row>
    <row r="43" spans="1:12">
      <c r="A43" s="232">
        <v>434307</v>
      </c>
      <c r="C43" s="231" t="s">
        <v>4118</v>
      </c>
      <c r="D43" s="231" t="s">
        <v>1422</v>
      </c>
      <c r="E43" s="231" t="s">
        <v>1422</v>
      </c>
      <c r="F43" s="231">
        <v>0</v>
      </c>
      <c r="G43" s="316">
        <v>45742</v>
      </c>
      <c r="H43" s="231">
        <v>0</v>
      </c>
      <c r="I43" s="231">
        <v>0</v>
      </c>
      <c r="J43" s="315">
        <v>1120</v>
      </c>
      <c r="K43" s="315">
        <v>1120</v>
      </c>
      <c r="L43" s="231" t="s">
        <v>4077</v>
      </c>
    </row>
    <row r="44" spans="1:12">
      <c r="A44" s="231" t="s">
        <v>4119</v>
      </c>
      <c r="C44" s="231" t="s">
        <v>4120</v>
      </c>
      <c r="D44" s="231" t="s">
        <v>1422</v>
      </c>
      <c r="E44" s="231" t="s">
        <v>1422</v>
      </c>
      <c r="F44" s="231">
        <v>0</v>
      </c>
      <c r="G44" s="316">
        <v>45904</v>
      </c>
      <c r="H44" s="231">
        <v>0</v>
      </c>
      <c r="I44" s="231">
        <v>0</v>
      </c>
      <c r="J44" s="315">
        <v>1010</v>
      </c>
      <c r="K44" s="315">
        <v>1105</v>
      </c>
      <c r="L44" s="231" t="s">
        <v>4077</v>
      </c>
    </row>
    <row r="45" spans="1:12">
      <c r="A45" s="231" t="s">
        <v>4121</v>
      </c>
      <c r="C45" s="231" t="s">
        <v>4122</v>
      </c>
      <c r="D45" s="231" t="s">
        <v>1422</v>
      </c>
      <c r="E45" s="231" t="s">
        <v>1422</v>
      </c>
      <c r="F45" s="231">
        <v>0</v>
      </c>
      <c r="G45" s="316">
        <v>45930</v>
      </c>
      <c r="H45" s="231">
        <v>0</v>
      </c>
      <c r="I45" s="231">
        <v>0</v>
      </c>
      <c r="J45" s="231">
        <v>905</v>
      </c>
      <c r="K45" s="231">
        <v>905</v>
      </c>
      <c r="L45" s="231" t="s">
        <v>4063</v>
      </c>
    </row>
    <row r="46" spans="1:12">
      <c r="A46" s="231" t="s">
        <v>4121</v>
      </c>
      <c r="C46" s="231" t="s">
        <v>4123</v>
      </c>
      <c r="D46" s="231" t="s">
        <v>1422</v>
      </c>
      <c r="E46" s="231" t="s">
        <v>1422</v>
      </c>
      <c r="F46" s="231">
        <v>0</v>
      </c>
      <c r="G46" s="316">
        <v>45925</v>
      </c>
      <c r="H46" s="231">
        <v>0</v>
      </c>
      <c r="I46" s="231">
        <v>0</v>
      </c>
      <c r="J46" s="231">
        <v>905</v>
      </c>
      <c r="K46" s="231">
        <v>905</v>
      </c>
      <c r="L46" s="231" t="s">
        <v>4124</v>
      </c>
    </row>
    <row r="47" spans="1:12">
      <c r="A47" s="231">
        <v>1062</v>
      </c>
      <c r="C47" s="231" t="s">
        <v>4125</v>
      </c>
      <c r="D47" s="231" t="s">
        <v>1422</v>
      </c>
      <c r="E47" s="231" t="s">
        <v>1422</v>
      </c>
      <c r="F47" s="231">
        <v>0</v>
      </c>
      <c r="G47" s="316">
        <v>45716</v>
      </c>
      <c r="H47" s="231">
        <v>0</v>
      </c>
      <c r="I47" s="231">
        <v>0</v>
      </c>
      <c r="J47" s="231">
        <v>990</v>
      </c>
      <c r="K47" s="315">
        <v>1085</v>
      </c>
      <c r="L47" s="231" t="s">
        <v>4126</v>
      </c>
    </row>
    <row r="48" spans="1:12">
      <c r="A48" s="231" t="s">
        <v>4127</v>
      </c>
      <c r="C48" s="231" t="s">
        <v>4128</v>
      </c>
      <c r="D48" s="231" t="s">
        <v>1422</v>
      </c>
      <c r="E48" s="231" t="s">
        <v>1422</v>
      </c>
      <c r="F48" s="231">
        <v>0</v>
      </c>
      <c r="G48" s="316">
        <v>45937</v>
      </c>
      <c r="H48" s="231">
        <v>0</v>
      </c>
      <c r="I48" s="231">
        <v>0</v>
      </c>
      <c r="J48" s="315">
        <v>1490</v>
      </c>
      <c r="K48" s="315">
        <v>1490</v>
      </c>
      <c r="L48" s="231" t="s">
        <v>4077</v>
      </c>
    </row>
    <row r="49" spans="1:12">
      <c r="A49" s="231">
        <v>431</v>
      </c>
      <c r="C49" s="231" t="s">
        <v>4129</v>
      </c>
      <c r="D49" s="231" t="s">
        <v>1422</v>
      </c>
      <c r="E49" s="231" t="s">
        <v>1422</v>
      </c>
      <c r="F49" s="231">
        <v>0</v>
      </c>
      <c r="G49" s="316">
        <v>45982</v>
      </c>
      <c r="H49" s="231">
        <v>0</v>
      </c>
      <c r="I49" s="231">
        <v>0</v>
      </c>
      <c r="J49" s="315">
        <v>1700</v>
      </c>
      <c r="K49" s="315">
        <v>1301</v>
      </c>
      <c r="L49" s="231" t="s">
        <v>4130</v>
      </c>
    </row>
    <row r="50" spans="1:12">
      <c r="A50" s="231" t="s">
        <v>4131</v>
      </c>
      <c r="C50" s="231" t="s">
        <v>4132</v>
      </c>
      <c r="D50" s="231" t="s">
        <v>1422</v>
      </c>
      <c r="E50" s="231" t="s">
        <v>1422</v>
      </c>
      <c r="F50" s="231">
        <v>0</v>
      </c>
      <c r="G50" s="316">
        <v>46000</v>
      </c>
      <c r="H50" s="231">
        <v>0</v>
      </c>
      <c r="I50" s="231">
        <v>0</v>
      </c>
      <c r="J50" s="231">
        <v>950</v>
      </c>
      <c r="K50" s="231">
        <v>810</v>
      </c>
      <c r="L50" s="231" t="s">
        <v>4133</v>
      </c>
    </row>
    <row r="51" spans="1:12">
      <c r="A51" s="231" t="s">
        <v>4134</v>
      </c>
      <c r="C51" s="231" t="s">
        <v>4120</v>
      </c>
      <c r="D51" s="231" t="s">
        <v>1422</v>
      </c>
      <c r="E51" s="231" t="s">
        <v>1422</v>
      </c>
      <c r="F51" s="231">
        <v>0</v>
      </c>
      <c r="G51" s="316">
        <v>45937</v>
      </c>
      <c r="H51" s="231">
        <v>0</v>
      </c>
      <c r="I51" s="231">
        <v>0</v>
      </c>
      <c r="J51" s="315">
        <v>1135</v>
      </c>
      <c r="K51" s="315">
        <v>1135</v>
      </c>
      <c r="L51" s="231" t="s">
        <v>4077</v>
      </c>
    </row>
    <row r="52" spans="1:12">
      <c r="A52" s="231">
        <v>216</v>
      </c>
      <c r="B52" s="231" t="s">
        <v>4064</v>
      </c>
      <c r="C52" s="231" t="s">
        <v>4135</v>
      </c>
      <c r="D52" s="231" t="s">
        <v>1422</v>
      </c>
      <c r="E52" s="231" t="s">
        <v>1422</v>
      </c>
      <c r="F52" s="231">
        <v>0</v>
      </c>
      <c r="G52" s="316">
        <v>45735</v>
      </c>
      <c r="H52" s="231">
        <v>3</v>
      </c>
      <c r="I52" s="231">
        <v>0</v>
      </c>
      <c r="J52" s="231">
        <v>980</v>
      </c>
      <c r="K52" s="315">
        <v>1083</v>
      </c>
      <c r="L52" s="231" t="s">
        <v>4066</v>
      </c>
    </row>
    <row r="53" spans="1:12">
      <c r="A53" s="231">
        <v>1002</v>
      </c>
      <c r="C53" s="231" t="s">
        <v>4136</v>
      </c>
      <c r="D53" s="231" t="s">
        <v>1422</v>
      </c>
      <c r="E53" s="231" t="s">
        <v>1422</v>
      </c>
      <c r="F53" s="231">
        <v>0</v>
      </c>
      <c r="G53" s="316">
        <v>45743</v>
      </c>
      <c r="H53" s="231">
        <v>0</v>
      </c>
      <c r="I53" s="231">
        <v>0</v>
      </c>
      <c r="J53" s="231">
        <v>920</v>
      </c>
      <c r="K53" s="231">
        <v>0</v>
      </c>
      <c r="L53" s="231" t="s">
        <v>4063</v>
      </c>
    </row>
    <row r="54" spans="1:12">
      <c r="A54" s="231" t="s">
        <v>4137</v>
      </c>
      <c r="B54" s="231" t="s">
        <v>4064</v>
      </c>
      <c r="C54" s="231" t="s">
        <v>4138</v>
      </c>
      <c r="D54" s="231" t="s">
        <v>1422</v>
      </c>
      <c r="E54" s="231" t="s">
        <v>1422</v>
      </c>
      <c r="F54" s="231">
        <v>0</v>
      </c>
      <c r="G54" s="316">
        <v>45958</v>
      </c>
      <c r="H54" s="231">
        <v>3</v>
      </c>
      <c r="I54" s="231">
        <v>0</v>
      </c>
      <c r="J54" s="231">
        <v>970</v>
      </c>
      <c r="K54" s="315">
        <v>1040</v>
      </c>
      <c r="L54" s="231" t="s">
        <v>4066</v>
      </c>
    </row>
    <row r="55" spans="1:12">
      <c r="A55" s="232">
        <v>55550</v>
      </c>
      <c r="C55" s="231" t="s">
        <v>4139</v>
      </c>
      <c r="D55" s="231" t="s">
        <v>1422</v>
      </c>
      <c r="E55" s="231" t="s">
        <v>1422</v>
      </c>
      <c r="F55" s="231">
        <v>0</v>
      </c>
      <c r="G55" s="316">
        <v>45783</v>
      </c>
      <c r="H55" s="231">
        <v>0</v>
      </c>
      <c r="I55" s="231">
        <v>0</v>
      </c>
      <c r="J55" s="231">
        <v>822</v>
      </c>
      <c r="K55" s="231">
        <v>822</v>
      </c>
      <c r="L55" s="231" t="s">
        <v>4063</v>
      </c>
    </row>
    <row r="56" spans="1:12">
      <c r="A56" s="231">
        <v>109</v>
      </c>
      <c r="C56" s="231" t="s">
        <v>4140</v>
      </c>
      <c r="D56" s="231" t="s">
        <v>1422</v>
      </c>
      <c r="E56" s="231" t="s">
        <v>1422</v>
      </c>
      <c r="F56" s="231">
        <v>0</v>
      </c>
      <c r="G56" s="316">
        <v>45915</v>
      </c>
      <c r="H56" s="231">
        <v>0</v>
      </c>
      <c r="I56" s="231">
        <v>0</v>
      </c>
      <c r="J56" s="315">
        <v>1005</v>
      </c>
      <c r="K56" s="231">
        <v>0</v>
      </c>
      <c r="L56" s="231" t="s">
        <v>4063</v>
      </c>
    </row>
    <row r="57" spans="1:12">
      <c r="A57" s="231" t="s">
        <v>4141</v>
      </c>
      <c r="C57" s="231" t="s">
        <v>4142</v>
      </c>
      <c r="D57" s="231" t="s">
        <v>1422</v>
      </c>
      <c r="E57" s="231" t="s">
        <v>1422</v>
      </c>
      <c r="F57" s="231">
        <v>0</v>
      </c>
      <c r="G57" s="316">
        <v>45685</v>
      </c>
      <c r="H57" s="231">
        <v>0</v>
      </c>
      <c r="I57" s="231">
        <v>0</v>
      </c>
      <c r="J57" s="315">
        <v>1620</v>
      </c>
      <c r="K57" s="315">
        <v>1418</v>
      </c>
      <c r="L57" s="231" t="s">
        <v>4143</v>
      </c>
    </row>
    <row r="58" spans="1:12">
      <c r="A58" s="231" t="s">
        <v>4075</v>
      </c>
      <c r="C58" s="231" t="s">
        <v>4098</v>
      </c>
      <c r="D58" s="231" t="s">
        <v>1422</v>
      </c>
      <c r="E58" s="231" t="s">
        <v>1422</v>
      </c>
      <c r="F58" s="231">
        <v>0</v>
      </c>
      <c r="G58" s="316">
        <v>45863</v>
      </c>
      <c r="H58" s="231">
        <v>0</v>
      </c>
      <c r="I58" s="231">
        <v>0</v>
      </c>
      <c r="J58" s="315">
        <v>1090</v>
      </c>
      <c r="K58" s="315">
        <v>1185</v>
      </c>
      <c r="L58" s="231" t="s">
        <v>4077</v>
      </c>
    </row>
    <row r="59" spans="1:12">
      <c r="A59" s="231">
        <v>1036</v>
      </c>
      <c r="B59" s="231" t="s">
        <v>4064</v>
      </c>
      <c r="C59" s="231" t="s">
        <v>4078</v>
      </c>
      <c r="D59" s="231" t="s">
        <v>1422</v>
      </c>
      <c r="E59" s="231" t="s">
        <v>1422</v>
      </c>
      <c r="F59" s="231">
        <v>0</v>
      </c>
      <c r="G59" s="316">
        <v>45930</v>
      </c>
      <c r="H59" s="231">
        <v>3</v>
      </c>
      <c r="I59" s="231">
        <v>1</v>
      </c>
      <c r="J59" s="231">
        <v>975</v>
      </c>
      <c r="K59" s="315">
        <v>1070</v>
      </c>
      <c r="L59" s="231" t="s">
        <v>4144</v>
      </c>
    </row>
    <row r="60" spans="1:12">
      <c r="A60" s="231" t="s">
        <v>4061</v>
      </c>
      <c r="C60" s="231" t="s">
        <v>4145</v>
      </c>
      <c r="D60" s="231" t="s">
        <v>1422</v>
      </c>
      <c r="E60" s="231" t="s">
        <v>1422</v>
      </c>
      <c r="F60" s="231">
        <v>0</v>
      </c>
      <c r="G60" s="316">
        <v>45845</v>
      </c>
      <c r="H60" s="231">
        <v>0</v>
      </c>
      <c r="I60" s="231">
        <v>0</v>
      </c>
      <c r="J60" s="231">
        <v>905</v>
      </c>
      <c r="K60" s="231">
        <v>0</v>
      </c>
      <c r="L60" s="231" t="s">
        <v>4063</v>
      </c>
    </row>
    <row r="61" spans="1:12">
      <c r="A61" s="231" t="s">
        <v>4134</v>
      </c>
      <c r="B61" s="231" t="s">
        <v>4064</v>
      </c>
      <c r="C61" s="231" t="s">
        <v>4146</v>
      </c>
      <c r="D61" s="231" t="s">
        <v>1422</v>
      </c>
      <c r="E61" s="231" t="s">
        <v>1422</v>
      </c>
      <c r="F61" s="231">
        <v>0</v>
      </c>
      <c r="G61" s="316">
        <v>45742</v>
      </c>
      <c r="H61" s="231">
        <v>2</v>
      </c>
      <c r="I61" s="231">
        <v>0</v>
      </c>
      <c r="J61" s="315">
        <v>1135</v>
      </c>
      <c r="K61" s="315">
        <v>1090</v>
      </c>
      <c r="L61" s="231" t="s">
        <v>4066</v>
      </c>
    </row>
    <row r="62" spans="1:12">
      <c r="A62" s="231" t="s">
        <v>4147</v>
      </c>
      <c r="C62" s="231" t="s">
        <v>4148</v>
      </c>
      <c r="D62" s="231" t="s">
        <v>1422</v>
      </c>
      <c r="E62" s="231" t="s">
        <v>1422</v>
      </c>
      <c r="F62" s="231">
        <v>0</v>
      </c>
      <c r="G62" s="316">
        <v>45721</v>
      </c>
      <c r="H62" s="231">
        <v>0</v>
      </c>
      <c r="I62" s="231">
        <v>0</v>
      </c>
      <c r="J62" s="231">
        <v>920</v>
      </c>
      <c r="K62" s="315">
        <v>1015</v>
      </c>
      <c r="L62" s="231" t="s">
        <v>4149</v>
      </c>
    </row>
    <row r="63" spans="1:12">
      <c r="A63" s="231">
        <v>2010</v>
      </c>
      <c r="B63" s="231" t="s">
        <v>4064</v>
      </c>
      <c r="C63" s="231" t="s">
        <v>4150</v>
      </c>
      <c r="D63" s="231" t="s">
        <v>1422</v>
      </c>
      <c r="E63" s="231" t="s">
        <v>1422</v>
      </c>
      <c r="F63" s="231">
        <v>0</v>
      </c>
      <c r="G63" s="316">
        <v>45749</v>
      </c>
      <c r="H63" s="231">
        <v>4</v>
      </c>
      <c r="I63" s="231">
        <v>0</v>
      </c>
      <c r="J63" s="315">
        <v>1175</v>
      </c>
      <c r="K63" s="315">
        <v>1127</v>
      </c>
      <c r="L63" s="231" t="s">
        <v>4066</v>
      </c>
    </row>
    <row r="64" spans="1:12">
      <c r="A64" s="231" t="s">
        <v>4061</v>
      </c>
      <c r="C64" s="231" t="s">
        <v>4151</v>
      </c>
      <c r="D64" s="231" t="s">
        <v>1422</v>
      </c>
      <c r="E64" s="231" t="s">
        <v>1422</v>
      </c>
      <c r="F64" s="231">
        <v>0</v>
      </c>
      <c r="G64" s="316">
        <v>45743</v>
      </c>
      <c r="H64" s="231">
        <v>0</v>
      </c>
      <c r="I64" s="231">
        <v>0</v>
      </c>
      <c r="J64" s="231">
        <v>905</v>
      </c>
      <c r="K64" s="231">
        <v>905</v>
      </c>
      <c r="L64" s="231" t="s">
        <v>4063</v>
      </c>
    </row>
    <row r="65" spans="1:12">
      <c r="A65" s="231">
        <v>144</v>
      </c>
      <c r="C65" s="231" t="s">
        <v>4152</v>
      </c>
      <c r="D65" s="231" t="s">
        <v>1422</v>
      </c>
      <c r="E65" s="231" t="s">
        <v>1422</v>
      </c>
      <c r="F65" s="231">
        <v>0</v>
      </c>
      <c r="G65" s="316">
        <v>45924</v>
      </c>
      <c r="H65" s="231">
        <v>0</v>
      </c>
      <c r="I65" s="231">
        <v>0</v>
      </c>
      <c r="J65" s="315">
        <v>1570</v>
      </c>
      <c r="K65" s="231">
        <v>0</v>
      </c>
      <c r="L65" s="231" t="s">
        <v>4153</v>
      </c>
    </row>
    <row r="66" spans="1:12">
      <c r="A66" s="231">
        <v>3046</v>
      </c>
      <c r="C66" s="231" t="s">
        <v>4154</v>
      </c>
      <c r="D66" s="231" t="s">
        <v>1422</v>
      </c>
      <c r="E66" s="231" t="s">
        <v>1422</v>
      </c>
      <c r="F66" s="231">
        <v>0</v>
      </c>
      <c r="G66" s="316">
        <v>45679</v>
      </c>
      <c r="H66" s="231">
        <v>0</v>
      </c>
      <c r="I66" s="231">
        <v>2</v>
      </c>
      <c r="J66" s="231">
        <v>832</v>
      </c>
      <c r="K66" s="231">
        <v>832</v>
      </c>
      <c r="L66" s="231" t="s">
        <v>4063</v>
      </c>
    </row>
    <row r="67" spans="1:12">
      <c r="A67" s="231" t="s">
        <v>4155</v>
      </c>
      <c r="B67" s="231" t="s">
        <v>4064</v>
      </c>
      <c r="C67" s="231" t="s">
        <v>4156</v>
      </c>
      <c r="D67" s="231" t="s">
        <v>1422</v>
      </c>
      <c r="E67" s="231" t="s">
        <v>1422</v>
      </c>
      <c r="F67" s="231">
        <v>0</v>
      </c>
      <c r="G67" s="316">
        <v>45700</v>
      </c>
      <c r="H67" s="231">
        <v>6</v>
      </c>
      <c r="I67" s="231">
        <v>0</v>
      </c>
      <c r="J67" s="231">
        <v>850</v>
      </c>
      <c r="K67" s="231">
        <v>819</v>
      </c>
      <c r="L67" s="231" t="s">
        <v>4066</v>
      </c>
    </row>
    <row r="68" spans="1:12">
      <c r="A68" s="231" t="s">
        <v>4157</v>
      </c>
      <c r="C68" s="231" t="s">
        <v>4158</v>
      </c>
      <c r="D68" s="231" t="s">
        <v>1422</v>
      </c>
      <c r="E68" s="231" t="s">
        <v>1422</v>
      </c>
      <c r="F68" s="231">
        <v>0</v>
      </c>
      <c r="G68" s="316">
        <v>45868</v>
      </c>
      <c r="H68" s="231">
        <v>0</v>
      </c>
      <c r="I68" s="231">
        <v>0</v>
      </c>
      <c r="J68" s="231">
        <v>970</v>
      </c>
      <c r="K68" s="315">
        <v>1065</v>
      </c>
      <c r="L68" s="231" t="s">
        <v>4159</v>
      </c>
    </row>
    <row r="69" spans="1:12">
      <c r="A69" s="232">
        <v>61760</v>
      </c>
      <c r="B69" s="231" t="s">
        <v>4064</v>
      </c>
      <c r="C69" s="231" t="s">
        <v>4160</v>
      </c>
      <c r="D69" s="231" t="s">
        <v>1422</v>
      </c>
      <c r="E69" s="231" t="s">
        <v>1422</v>
      </c>
      <c r="F69" s="231">
        <v>0</v>
      </c>
      <c r="G69" s="316">
        <v>45840</v>
      </c>
      <c r="H69" s="231">
        <v>1</v>
      </c>
      <c r="I69" s="231">
        <v>0</v>
      </c>
      <c r="J69" s="315">
        <v>1560</v>
      </c>
      <c r="K69" s="315">
        <v>1380</v>
      </c>
      <c r="L69" s="231" t="s">
        <v>4066</v>
      </c>
    </row>
    <row r="70" spans="1:12">
      <c r="A70" s="231">
        <v>2059</v>
      </c>
      <c r="C70" s="231" t="s">
        <v>4161</v>
      </c>
      <c r="D70" s="231" t="s">
        <v>1422</v>
      </c>
      <c r="E70" s="231" t="s">
        <v>1422</v>
      </c>
      <c r="F70" s="231">
        <v>0</v>
      </c>
      <c r="G70" s="316">
        <v>45979</v>
      </c>
      <c r="H70" s="231">
        <v>0</v>
      </c>
      <c r="I70" s="231">
        <v>0</v>
      </c>
      <c r="J70" s="231">
        <v>955</v>
      </c>
      <c r="K70" s="231">
        <v>829</v>
      </c>
      <c r="L70" s="231" t="s">
        <v>4063</v>
      </c>
    </row>
    <row r="71" spans="1:12">
      <c r="A71" s="232">
        <v>45689</v>
      </c>
      <c r="C71" s="231" t="s">
        <v>4162</v>
      </c>
      <c r="D71" s="231" t="s">
        <v>1422</v>
      </c>
      <c r="E71" s="231" t="s">
        <v>1422</v>
      </c>
      <c r="F71" s="231">
        <v>0</v>
      </c>
      <c r="G71" s="316">
        <v>45982</v>
      </c>
      <c r="H71" s="231">
        <v>0</v>
      </c>
      <c r="I71" s="231">
        <v>0</v>
      </c>
      <c r="J71" s="231">
        <v>930</v>
      </c>
      <c r="K71" s="231">
        <v>917</v>
      </c>
      <c r="L71" s="231" t="s">
        <v>4163</v>
      </c>
    </row>
    <row r="72" spans="1:12">
      <c r="A72" s="231" t="s">
        <v>4061</v>
      </c>
      <c r="C72" s="231" t="s">
        <v>4164</v>
      </c>
      <c r="D72" s="231" t="s">
        <v>1422</v>
      </c>
      <c r="E72" s="231" t="s">
        <v>1422</v>
      </c>
      <c r="F72" s="231">
        <v>0</v>
      </c>
      <c r="G72" s="316">
        <v>45866</v>
      </c>
      <c r="H72" s="231">
        <v>0</v>
      </c>
      <c r="I72" s="231">
        <v>0</v>
      </c>
      <c r="J72" s="231">
        <v>905</v>
      </c>
      <c r="K72" s="231">
        <v>0</v>
      </c>
      <c r="L72" s="231" t="s">
        <v>4165</v>
      </c>
    </row>
    <row r="73" spans="1:12">
      <c r="A73" s="231">
        <v>219</v>
      </c>
      <c r="C73" s="231" t="s">
        <v>4166</v>
      </c>
      <c r="D73" s="231" t="s">
        <v>1422</v>
      </c>
      <c r="E73" s="231" t="s">
        <v>1422</v>
      </c>
      <c r="F73" s="231">
        <v>0</v>
      </c>
      <c r="G73" s="316">
        <v>45944</v>
      </c>
      <c r="H73" s="231">
        <v>0</v>
      </c>
      <c r="I73" s="231">
        <v>0</v>
      </c>
      <c r="J73" s="315">
        <v>1565</v>
      </c>
      <c r="K73" s="315">
        <v>1495</v>
      </c>
      <c r="L73" s="231" t="s">
        <v>4063</v>
      </c>
    </row>
    <row r="74" spans="1:12">
      <c r="A74" s="231" t="s">
        <v>4167</v>
      </c>
      <c r="C74" s="231" t="s">
        <v>4168</v>
      </c>
      <c r="D74" s="231" t="s">
        <v>1422</v>
      </c>
      <c r="E74" s="231" t="s">
        <v>1422</v>
      </c>
      <c r="F74" s="231">
        <v>0</v>
      </c>
      <c r="G74" s="316">
        <v>45671</v>
      </c>
      <c r="H74" s="231">
        <v>0</v>
      </c>
      <c r="I74" s="231">
        <v>0</v>
      </c>
      <c r="J74" s="231">
        <v>895</v>
      </c>
      <c r="K74" s="231">
        <v>990</v>
      </c>
      <c r="L74" s="231" t="s">
        <v>4165</v>
      </c>
    </row>
    <row r="75" spans="1:12">
      <c r="A75" s="231">
        <v>422</v>
      </c>
      <c r="B75" s="231" t="s">
        <v>4064</v>
      </c>
      <c r="C75" s="231" t="s">
        <v>4113</v>
      </c>
      <c r="D75" s="231" t="s">
        <v>1422</v>
      </c>
      <c r="E75" s="231" t="s">
        <v>1422</v>
      </c>
      <c r="F75" s="231">
        <v>0</v>
      </c>
      <c r="G75" s="316">
        <v>45806</v>
      </c>
      <c r="H75" s="231">
        <v>0</v>
      </c>
      <c r="I75" s="231">
        <v>1</v>
      </c>
      <c r="J75" s="315">
        <v>1200</v>
      </c>
      <c r="K75" s="315">
        <v>1276</v>
      </c>
      <c r="L75" s="231" t="s">
        <v>4088</v>
      </c>
    </row>
    <row r="76" spans="1:12">
      <c r="A76" s="231">
        <v>218</v>
      </c>
      <c r="C76" s="231" t="s">
        <v>4169</v>
      </c>
      <c r="D76" s="231" t="s">
        <v>1422</v>
      </c>
      <c r="E76" s="231" t="s">
        <v>1422</v>
      </c>
      <c r="F76" s="231">
        <v>0</v>
      </c>
      <c r="G76" s="316">
        <v>45866</v>
      </c>
      <c r="H76" s="231">
        <v>0</v>
      </c>
      <c r="I76" s="231">
        <v>0</v>
      </c>
      <c r="J76" s="315">
        <v>1510</v>
      </c>
      <c r="K76" s="315">
        <v>1440</v>
      </c>
      <c r="L76" s="231" t="s">
        <v>4093</v>
      </c>
    </row>
    <row r="77" spans="1:12">
      <c r="A77" s="231" t="s">
        <v>4170</v>
      </c>
      <c r="C77" s="231" t="s">
        <v>4171</v>
      </c>
      <c r="D77" s="231" t="s">
        <v>1422</v>
      </c>
      <c r="E77" s="231" t="s">
        <v>1422</v>
      </c>
      <c r="F77" s="231">
        <v>0</v>
      </c>
      <c r="G77" s="316">
        <v>45929</v>
      </c>
      <c r="H77" s="231">
        <v>0</v>
      </c>
      <c r="I77" s="231">
        <v>0</v>
      </c>
      <c r="J77" s="315">
        <v>1380</v>
      </c>
      <c r="K77" s="315">
        <v>1475</v>
      </c>
      <c r="L77" s="231" t="s">
        <v>4077</v>
      </c>
    </row>
    <row r="78" spans="1:12">
      <c r="A78" s="231" t="s">
        <v>4114</v>
      </c>
      <c r="B78" s="231" t="s">
        <v>4064</v>
      </c>
      <c r="C78" s="231" t="s">
        <v>4172</v>
      </c>
      <c r="D78" s="231" t="s">
        <v>1422</v>
      </c>
      <c r="E78" s="231" t="s">
        <v>1422</v>
      </c>
      <c r="F78" s="231">
        <v>0</v>
      </c>
      <c r="G78" s="316">
        <v>45780</v>
      </c>
      <c r="H78" s="231">
        <v>1</v>
      </c>
      <c r="I78" s="231">
        <v>0</v>
      </c>
      <c r="J78" s="315">
        <v>1575</v>
      </c>
      <c r="K78" s="315">
        <v>1428</v>
      </c>
      <c r="L78" s="231" t="s">
        <v>4066</v>
      </c>
    </row>
    <row r="79" spans="1:12">
      <c r="A79" s="231" t="s">
        <v>4173</v>
      </c>
      <c r="C79" s="231" t="s">
        <v>4174</v>
      </c>
      <c r="D79" s="231" t="s">
        <v>1422</v>
      </c>
      <c r="E79" s="231" t="s">
        <v>1422</v>
      </c>
      <c r="F79" s="231">
        <v>0</v>
      </c>
      <c r="G79" s="316">
        <v>45917</v>
      </c>
      <c r="H79" s="231">
        <v>0</v>
      </c>
      <c r="I79" s="231">
        <v>0</v>
      </c>
      <c r="J79" s="315">
        <v>1090</v>
      </c>
      <c r="K79" s="315">
        <v>1185</v>
      </c>
      <c r="L79" s="231" t="s">
        <v>4063</v>
      </c>
    </row>
    <row r="80" spans="1:12">
      <c r="A80" s="231" t="s">
        <v>4175</v>
      </c>
      <c r="C80" s="231" t="s">
        <v>4176</v>
      </c>
      <c r="D80" s="231" t="s">
        <v>1422</v>
      </c>
      <c r="E80" s="231" t="s">
        <v>1422</v>
      </c>
      <c r="F80" s="231">
        <v>0</v>
      </c>
      <c r="G80" s="316">
        <v>45674</v>
      </c>
      <c r="H80" s="231">
        <v>0</v>
      </c>
      <c r="I80" s="231">
        <v>0</v>
      </c>
      <c r="J80" s="315">
        <v>1410</v>
      </c>
      <c r="K80" s="315">
        <v>1410</v>
      </c>
      <c r="L80" s="231" t="s">
        <v>4133</v>
      </c>
    </row>
    <row r="81" spans="1:12">
      <c r="A81" s="231">
        <v>1009</v>
      </c>
      <c r="C81" s="231" t="s">
        <v>4177</v>
      </c>
      <c r="D81" s="231" t="s">
        <v>1422</v>
      </c>
      <c r="E81" s="231" t="s">
        <v>1422</v>
      </c>
      <c r="F81" s="231">
        <v>0</v>
      </c>
      <c r="G81" s="316">
        <v>45930</v>
      </c>
      <c r="H81" s="231">
        <v>0</v>
      </c>
      <c r="I81" s="231">
        <v>0</v>
      </c>
      <c r="J81" s="315">
        <v>1200</v>
      </c>
      <c r="K81" s="315">
        <v>1200</v>
      </c>
      <c r="L81" s="231" t="s">
        <v>4077</v>
      </c>
    </row>
    <row r="82" spans="1:12">
      <c r="A82" s="231">
        <v>2100</v>
      </c>
      <c r="B82" s="231" t="s">
        <v>4064</v>
      </c>
      <c r="C82" s="231" t="s">
        <v>4178</v>
      </c>
      <c r="D82" s="231" t="s">
        <v>1422</v>
      </c>
      <c r="E82" s="231" t="s">
        <v>1422</v>
      </c>
      <c r="F82" s="231">
        <v>0</v>
      </c>
      <c r="G82" s="316">
        <v>45742</v>
      </c>
      <c r="H82" s="231">
        <v>2</v>
      </c>
      <c r="I82" s="231">
        <v>0</v>
      </c>
      <c r="J82" s="315">
        <v>1695</v>
      </c>
      <c r="K82" s="315">
        <v>1403</v>
      </c>
      <c r="L82" s="231" t="s">
        <v>4066</v>
      </c>
    </row>
    <row r="83" spans="1:12">
      <c r="A83" s="231">
        <v>1041</v>
      </c>
      <c r="C83" s="231" t="s">
        <v>4179</v>
      </c>
      <c r="D83" s="231" t="s">
        <v>1422</v>
      </c>
      <c r="E83" s="231" t="s">
        <v>1422</v>
      </c>
      <c r="F83" s="231">
        <v>0</v>
      </c>
      <c r="G83" s="316">
        <v>45878</v>
      </c>
      <c r="H83" s="231">
        <v>0</v>
      </c>
      <c r="I83" s="231">
        <v>0</v>
      </c>
      <c r="J83" s="231">
        <v>965</v>
      </c>
      <c r="K83" s="231">
        <v>965</v>
      </c>
      <c r="L83" s="231" t="s">
        <v>4077</v>
      </c>
    </row>
    <row r="84" spans="1:12">
      <c r="A84" s="231">
        <v>3046</v>
      </c>
      <c r="C84" s="231" t="s">
        <v>4180</v>
      </c>
      <c r="D84" s="231" t="s">
        <v>1422</v>
      </c>
      <c r="E84" s="231" t="s">
        <v>1422</v>
      </c>
      <c r="F84" s="231">
        <v>0</v>
      </c>
      <c r="G84" s="316">
        <v>45701</v>
      </c>
      <c r="H84" s="231">
        <v>0</v>
      </c>
      <c r="I84" s="231">
        <v>0</v>
      </c>
      <c r="J84" s="231">
        <v>832</v>
      </c>
      <c r="K84" s="231">
        <v>832</v>
      </c>
      <c r="L84" s="231" t="s">
        <v>4063</v>
      </c>
    </row>
    <row r="85" spans="1:12">
      <c r="A85" s="231">
        <v>161</v>
      </c>
      <c r="B85" s="231" t="s">
        <v>4064</v>
      </c>
      <c r="C85" s="231" t="s">
        <v>4181</v>
      </c>
      <c r="D85" s="231" t="s">
        <v>1422</v>
      </c>
      <c r="E85" s="231" t="s">
        <v>1422</v>
      </c>
      <c r="F85" s="231">
        <v>0</v>
      </c>
      <c r="G85" s="316">
        <v>45714</v>
      </c>
      <c r="H85" s="231">
        <v>1</v>
      </c>
      <c r="I85" s="231">
        <v>0</v>
      </c>
      <c r="J85" s="315">
        <v>1280</v>
      </c>
      <c r="K85" s="231">
        <v>964</v>
      </c>
      <c r="L85" s="231" t="s">
        <v>4066</v>
      </c>
    </row>
    <row r="86" spans="1:12">
      <c r="A86" s="232">
        <v>53359</v>
      </c>
      <c r="C86" s="231" t="s">
        <v>4182</v>
      </c>
      <c r="D86" s="231" t="s">
        <v>1422</v>
      </c>
      <c r="E86" s="231" t="s">
        <v>1422</v>
      </c>
      <c r="F86" s="231">
        <v>0</v>
      </c>
      <c r="G86" s="316">
        <v>45684</v>
      </c>
      <c r="H86" s="231">
        <v>0</v>
      </c>
      <c r="I86" s="231">
        <v>0</v>
      </c>
      <c r="J86" s="231">
        <v>814</v>
      </c>
      <c r="K86" s="231">
        <v>0</v>
      </c>
      <c r="L86" s="231" t="s">
        <v>4063</v>
      </c>
    </row>
    <row r="87" spans="1:12">
      <c r="A87" s="231">
        <v>2006</v>
      </c>
      <c r="B87" s="231" t="s">
        <v>4064</v>
      </c>
      <c r="C87" s="231" t="s">
        <v>4183</v>
      </c>
      <c r="D87" s="231" t="s">
        <v>1422</v>
      </c>
      <c r="E87" s="231" t="s">
        <v>1422</v>
      </c>
      <c r="F87" s="231">
        <v>0</v>
      </c>
      <c r="G87" s="316">
        <v>45925</v>
      </c>
      <c r="H87" s="231">
        <v>0</v>
      </c>
      <c r="I87" s="231">
        <v>0</v>
      </c>
      <c r="J87" s="315">
        <v>1175</v>
      </c>
      <c r="K87" s="315">
        <v>1628</v>
      </c>
      <c r="L87" s="231" t="s">
        <v>4066</v>
      </c>
    </row>
    <row r="88" spans="1:12">
      <c r="A88" s="231" t="s">
        <v>4069</v>
      </c>
      <c r="C88" s="231" t="s">
        <v>4184</v>
      </c>
      <c r="D88" s="231" t="s">
        <v>1422</v>
      </c>
      <c r="E88" s="231" t="s">
        <v>1422</v>
      </c>
      <c r="F88" s="231">
        <v>0</v>
      </c>
      <c r="G88" s="316">
        <v>45742</v>
      </c>
      <c r="H88" s="231">
        <v>0</v>
      </c>
      <c r="I88" s="231">
        <v>0</v>
      </c>
      <c r="J88" s="231">
        <v>905</v>
      </c>
      <c r="K88" s="231">
        <v>0</v>
      </c>
      <c r="L88" s="231" t="s">
        <v>4149</v>
      </c>
    </row>
    <row r="89" spans="1:12">
      <c r="A89" s="232">
        <v>60299</v>
      </c>
      <c r="C89" s="231" t="s">
        <v>4185</v>
      </c>
      <c r="D89" s="231" t="s">
        <v>1422</v>
      </c>
      <c r="E89" s="231" t="s">
        <v>1422</v>
      </c>
      <c r="F89" s="231">
        <v>0</v>
      </c>
      <c r="G89" s="316">
        <v>45728</v>
      </c>
      <c r="H89" s="231">
        <v>0</v>
      </c>
      <c r="I89" s="231">
        <v>1</v>
      </c>
      <c r="J89" s="315">
        <v>1530</v>
      </c>
      <c r="K89" s="315">
        <v>1530</v>
      </c>
      <c r="L89" s="231" t="s">
        <v>4186</v>
      </c>
    </row>
    <row r="90" spans="1:12">
      <c r="A90" s="231">
        <v>1040</v>
      </c>
      <c r="C90" s="231" t="s">
        <v>4187</v>
      </c>
      <c r="D90" s="231" t="s">
        <v>1422</v>
      </c>
      <c r="E90" s="231" t="s">
        <v>1422</v>
      </c>
      <c r="F90" s="231">
        <v>0</v>
      </c>
      <c r="G90" s="316">
        <v>45685</v>
      </c>
      <c r="H90" s="231">
        <v>0</v>
      </c>
      <c r="I90" s="231">
        <v>0</v>
      </c>
      <c r="J90" s="231">
        <v>832</v>
      </c>
      <c r="K90" s="231">
        <v>832</v>
      </c>
      <c r="L90" s="231" t="s">
        <v>4126</v>
      </c>
    </row>
    <row r="91" spans="1:12">
      <c r="A91" s="231" t="s">
        <v>4188</v>
      </c>
      <c r="C91" s="231" t="s">
        <v>4189</v>
      </c>
      <c r="D91" s="231" t="s">
        <v>1422</v>
      </c>
      <c r="E91" s="231" t="s">
        <v>1422</v>
      </c>
      <c r="F91" s="231">
        <v>0</v>
      </c>
      <c r="G91" s="316">
        <v>45996</v>
      </c>
      <c r="H91" s="231">
        <v>0</v>
      </c>
      <c r="I91" s="231">
        <v>0</v>
      </c>
      <c r="J91" s="231">
        <v>975</v>
      </c>
      <c r="K91" s="231">
        <v>835</v>
      </c>
      <c r="L91" s="231" t="s">
        <v>4133</v>
      </c>
    </row>
    <row r="92" spans="1:12">
      <c r="A92" s="231" t="s">
        <v>4190</v>
      </c>
      <c r="C92" s="231" t="s">
        <v>4191</v>
      </c>
      <c r="D92" s="231" t="s">
        <v>1422</v>
      </c>
      <c r="E92" s="231" t="s">
        <v>1422</v>
      </c>
      <c r="F92" s="231">
        <v>0</v>
      </c>
      <c r="G92" s="316">
        <v>45806</v>
      </c>
      <c r="H92" s="231">
        <v>0</v>
      </c>
      <c r="I92" s="231">
        <v>0</v>
      </c>
      <c r="J92" s="315">
        <v>1555</v>
      </c>
      <c r="K92" s="315">
        <v>1650</v>
      </c>
      <c r="L92" s="231" t="s">
        <v>4063</v>
      </c>
    </row>
    <row r="93" spans="1:12">
      <c r="A93" s="232">
        <v>58472</v>
      </c>
      <c r="C93" s="231" t="s">
        <v>4192</v>
      </c>
      <c r="D93" s="231" t="s">
        <v>1422</v>
      </c>
      <c r="E93" s="231" t="s">
        <v>1422</v>
      </c>
      <c r="F93" s="231">
        <v>0</v>
      </c>
      <c r="G93" s="316">
        <v>45684</v>
      </c>
      <c r="H93" s="231">
        <v>0</v>
      </c>
      <c r="I93" s="231">
        <v>0</v>
      </c>
      <c r="J93" s="231">
        <v>900</v>
      </c>
      <c r="K93" s="231">
        <v>788</v>
      </c>
      <c r="L93" s="231" t="s">
        <v>4063</v>
      </c>
    </row>
    <row r="94" spans="1:12">
      <c r="A94" s="231">
        <v>1069</v>
      </c>
      <c r="B94" s="231" t="s">
        <v>4064</v>
      </c>
      <c r="C94" s="231" t="s">
        <v>4193</v>
      </c>
      <c r="D94" s="231" t="s">
        <v>1422</v>
      </c>
      <c r="E94" s="231" t="s">
        <v>1422</v>
      </c>
      <c r="F94" s="231">
        <v>0</v>
      </c>
      <c r="G94" s="316">
        <v>45904</v>
      </c>
      <c r="H94" s="231">
        <v>0</v>
      </c>
      <c r="I94" s="231">
        <v>0</v>
      </c>
      <c r="J94" s="231">
        <v>920</v>
      </c>
      <c r="K94" s="231">
        <v>920</v>
      </c>
      <c r="L94" s="231" t="s">
        <v>4066</v>
      </c>
    </row>
    <row r="95" spans="1:12">
      <c r="A95" s="231" t="s">
        <v>4131</v>
      </c>
      <c r="B95" s="231" t="s">
        <v>4064</v>
      </c>
      <c r="C95" s="231" t="s">
        <v>4194</v>
      </c>
      <c r="D95" s="231" t="s">
        <v>1422</v>
      </c>
      <c r="E95" s="231" t="s">
        <v>1422</v>
      </c>
      <c r="F95" s="231">
        <v>0</v>
      </c>
      <c r="G95" s="316">
        <v>45747</v>
      </c>
      <c r="H95" s="231">
        <v>0</v>
      </c>
      <c r="I95" s="231">
        <v>1</v>
      </c>
      <c r="J95" s="231">
        <v>950</v>
      </c>
      <c r="K95" s="231">
        <v>970</v>
      </c>
      <c r="L95" s="231" t="s">
        <v>4066</v>
      </c>
    </row>
    <row r="96" spans="1:12">
      <c r="A96" s="232">
        <v>51167</v>
      </c>
      <c r="C96" s="231" t="s">
        <v>4195</v>
      </c>
      <c r="D96" s="231" t="s">
        <v>1422</v>
      </c>
      <c r="E96" s="231" t="s">
        <v>1422</v>
      </c>
      <c r="F96" s="231">
        <v>0</v>
      </c>
      <c r="G96" s="316">
        <v>45817</v>
      </c>
      <c r="H96" s="231">
        <v>0</v>
      </c>
      <c r="I96" s="231">
        <v>0</v>
      </c>
      <c r="J96" s="231">
        <v>835</v>
      </c>
      <c r="K96" s="231">
        <v>835</v>
      </c>
      <c r="L96" s="231" t="s">
        <v>4063</v>
      </c>
    </row>
    <row r="97" spans="1:12">
      <c r="A97" s="231" t="s">
        <v>4196</v>
      </c>
      <c r="C97" s="231" t="s">
        <v>4197</v>
      </c>
      <c r="D97" s="231" t="s">
        <v>1422</v>
      </c>
      <c r="E97" s="231" t="s">
        <v>1422</v>
      </c>
      <c r="F97" s="231">
        <v>0</v>
      </c>
      <c r="G97" s="316">
        <v>45736</v>
      </c>
      <c r="H97" s="231">
        <v>0</v>
      </c>
      <c r="I97" s="231">
        <v>0</v>
      </c>
      <c r="J97" s="231">
        <v>995</v>
      </c>
      <c r="K97" s="315">
        <v>1080</v>
      </c>
      <c r="L97" s="231" t="s">
        <v>4126</v>
      </c>
    </row>
    <row r="98" spans="1:12">
      <c r="A98" s="231">
        <v>3046</v>
      </c>
      <c r="C98" s="231" t="s">
        <v>4198</v>
      </c>
      <c r="D98" s="231" t="s">
        <v>1422</v>
      </c>
      <c r="E98" s="231" t="s">
        <v>1422</v>
      </c>
      <c r="F98" s="231">
        <v>0</v>
      </c>
      <c r="G98" s="316">
        <v>45661</v>
      </c>
      <c r="H98" s="231">
        <v>0</v>
      </c>
      <c r="I98" s="231">
        <v>0</v>
      </c>
      <c r="J98" s="231">
        <v>832</v>
      </c>
      <c r="K98" s="231">
        <v>832</v>
      </c>
      <c r="L98" s="231" t="s">
        <v>4199</v>
      </c>
    </row>
    <row r="99" spans="1:12">
      <c r="A99" s="232">
        <v>59933</v>
      </c>
      <c r="C99" s="231" t="s">
        <v>4074</v>
      </c>
      <c r="D99" s="231" t="s">
        <v>1422</v>
      </c>
      <c r="E99" s="231" t="s">
        <v>1422</v>
      </c>
      <c r="F99" s="231">
        <v>0</v>
      </c>
      <c r="G99" s="316">
        <v>45905</v>
      </c>
      <c r="H99" s="231">
        <v>0</v>
      </c>
      <c r="I99" s="231">
        <v>0</v>
      </c>
      <c r="J99" s="315">
        <v>1575</v>
      </c>
      <c r="K99" s="315">
        <v>1405</v>
      </c>
      <c r="L99" s="231" t="s">
        <v>4077</v>
      </c>
    </row>
    <row r="100" spans="1:12">
      <c r="A100" s="231">
        <v>3041</v>
      </c>
      <c r="C100" s="231" t="s">
        <v>4200</v>
      </c>
      <c r="D100" s="231" t="s">
        <v>1422</v>
      </c>
      <c r="E100" s="231" t="s">
        <v>1422</v>
      </c>
      <c r="F100" s="231">
        <v>0</v>
      </c>
      <c r="G100" s="316">
        <v>45880</v>
      </c>
      <c r="H100" s="231">
        <v>0</v>
      </c>
      <c r="I100" s="231">
        <v>0</v>
      </c>
      <c r="J100" s="231">
        <v>960</v>
      </c>
      <c r="K100" s="315">
        <v>1055</v>
      </c>
      <c r="L100" s="231" t="s">
        <v>4063</v>
      </c>
    </row>
    <row r="101" spans="1:12">
      <c r="A101" s="231" t="s">
        <v>4061</v>
      </c>
      <c r="C101" s="231" t="s">
        <v>4201</v>
      </c>
      <c r="D101" s="231" t="s">
        <v>1422</v>
      </c>
      <c r="E101" s="231" t="s">
        <v>1422</v>
      </c>
      <c r="F101" s="231">
        <v>0</v>
      </c>
      <c r="G101" s="316">
        <v>45817</v>
      </c>
      <c r="H101" s="231">
        <v>0</v>
      </c>
      <c r="I101" s="231">
        <v>0</v>
      </c>
      <c r="J101" s="231">
        <v>905</v>
      </c>
      <c r="K101" s="231">
        <v>905</v>
      </c>
      <c r="L101" s="231" t="s">
        <v>4063</v>
      </c>
    </row>
    <row r="102" spans="1:12">
      <c r="A102" s="231">
        <v>148</v>
      </c>
      <c r="C102" s="231" t="s">
        <v>4202</v>
      </c>
      <c r="D102" s="231" t="s">
        <v>1422</v>
      </c>
      <c r="E102" s="231" t="s">
        <v>1422</v>
      </c>
      <c r="F102" s="231">
        <v>0</v>
      </c>
      <c r="G102" s="316">
        <v>45930</v>
      </c>
      <c r="H102" s="231">
        <v>0</v>
      </c>
      <c r="I102" s="231">
        <v>0</v>
      </c>
      <c r="J102" s="315">
        <v>1590</v>
      </c>
      <c r="K102" s="315">
        <v>1685</v>
      </c>
      <c r="L102" s="231" t="s">
        <v>4063</v>
      </c>
    </row>
    <row r="103" spans="1:12">
      <c r="A103" s="231">
        <v>2093</v>
      </c>
      <c r="C103" s="231" t="s">
        <v>4203</v>
      </c>
      <c r="D103" s="231" t="s">
        <v>1422</v>
      </c>
      <c r="E103" s="231" t="s">
        <v>1422</v>
      </c>
      <c r="F103" s="231">
        <v>0</v>
      </c>
      <c r="G103" s="316">
        <v>45971</v>
      </c>
      <c r="H103" s="231">
        <v>0</v>
      </c>
      <c r="I103" s="231">
        <v>0</v>
      </c>
      <c r="J103" s="231">
        <v>910</v>
      </c>
      <c r="K103" s="231">
        <v>784</v>
      </c>
      <c r="L103" s="231" t="s">
        <v>4063</v>
      </c>
    </row>
    <row r="104" spans="1:12">
      <c r="A104" s="231" t="s">
        <v>4061</v>
      </c>
      <c r="C104" s="231" t="s">
        <v>4204</v>
      </c>
      <c r="D104" s="231" t="s">
        <v>1422</v>
      </c>
      <c r="E104" s="231" t="s">
        <v>1422</v>
      </c>
      <c r="F104" s="231">
        <v>0</v>
      </c>
      <c r="G104" s="316">
        <v>45940</v>
      </c>
      <c r="H104" s="231">
        <v>0</v>
      </c>
      <c r="I104" s="231">
        <v>0</v>
      </c>
      <c r="J104" s="231">
        <v>905</v>
      </c>
      <c r="K104" s="231">
        <v>833</v>
      </c>
      <c r="L104" s="231" t="s">
        <v>4063</v>
      </c>
    </row>
    <row r="105" spans="1:12">
      <c r="A105" s="231">
        <v>2019</v>
      </c>
      <c r="B105" s="231" t="s">
        <v>4064</v>
      </c>
      <c r="C105" s="231" t="s">
        <v>4205</v>
      </c>
      <c r="D105" s="231" t="s">
        <v>1422</v>
      </c>
      <c r="E105" s="231" t="s">
        <v>1422</v>
      </c>
      <c r="F105" s="231">
        <v>0</v>
      </c>
      <c r="G105" s="316">
        <v>45812</v>
      </c>
      <c r="H105" s="231">
        <v>2</v>
      </c>
      <c r="I105" s="231">
        <v>0</v>
      </c>
      <c r="J105" s="231">
        <v>955</v>
      </c>
      <c r="K105" s="231">
        <v>988</v>
      </c>
      <c r="L105" s="231" t="s">
        <v>4066</v>
      </c>
    </row>
    <row r="106" spans="1:12">
      <c r="A106" s="231" t="s">
        <v>4206</v>
      </c>
      <c r="C106" s="231" t="s">
        <v>4207</v>
      </c>
      <c r="D106" s="231" t="s">
        <v>1422</v>
      </c>
      <c r="E106" s="231" t="s">
        <v>1422</v>
      </c>
      <c r="F106" s="231">
        <v>0</v>
      </c>
      <c r="G106" s="316">
        <v>45698</v>
      </c>
      <c r="H106" s="231">
        <v>0</v>
      </c>
      <c r="I106" s="231">
        <v>0</v>
      </c>
      <c r="J106" s="231">
        <v>848</v>
      </c>
      <c r="K106" s="231">
        <v>848</v>
      </c>
      <c r="L106" s="231" t="s">
        <v>4063</v>
      </c>
    </row>
    <row r="107" spans="1:12">
      <c r="A107" s="231">
        <v>424</v>
      </c>
      <c r="B107" s="231" t="s">
        <v>4064</v>
      </c>
      <c r="C107" s="231" t="s">
        <v>4208</v>
      </c>
      <c r="D107" s="231" t="s">
        <v>1422</v>
      </c>
      <c r="E107" s="231" t="s">
        <v>1422</v>
      </c>
      <c r="F107" s="231">
        <v>0</v>
      </c>
      <c r="G107" s="316">
        <v>45772</v>
      </c>
      <c r="H107" s="231">
        <v>2</v>
      </c>
      <c r="I107" s="231">
        <v>0</v>
      </c>
      <c r="J107" s="315">
        <v>1200</v>
      </c>
      <c r="K107" s="315">
        <v>1292</v>
      </c>
      <c r="L107" s="231" t="s">
        <v>4066</v>
      </c>
    </row>
    <row r="108" spans="1:12">
      <c r="A108" s="231" t="s">
        <v>4209</v>
      </c>
      <c r="B108" s="231" t="s">
        <v>4064</v>
      </c>
      <c r="C108" s="231" t="s">
        <v>4210</v>
      </c>
      <c r="D108" s="231" t="s">
        <v>1422</v>
      </c>
      <c r="E108" s="231" t="s">
        <v>1422</v>
      </c>
      <c r="F108" s="231">
        <v>0</v>
      </c>
      <c r="G108" s="316">
        <v>45791</v>
      </c>
      <c r="H108" s="231">
        <v>0</v>
      </c>
      <c r="I108" s="231">
        <v>0</v>
      </c>
      <c r="J108" s="231">
        <v>970</v>
      </c>
      <c r="K108" s="231">
        <v>996</v>
      </c>
      <c r="L108" s="231" t="s">
        <v>4088</v>
      </c>
    </row>
    <row r="109" spans="1:12">
      <c r="A109" s="231">
        <v>3066</v>
      </c>
      <c r="C109" s="231" t="s">
        <v>4211</v>
      </c>
      <c r="D109" s="231" t="s">
        <v>1422</v>
      </c>
      <c r="E109" s="231" t="s">
        <v>1422</v>
      </c>
      <c r="F109" s="231">
        <v>0</v>
      </c>
      <c r="G109" s="316">
        <v>45728</v>
      </c>
      <c r="H109" s="231">
        <v>0</v>
      </c>
      <c r="I109" s="231">
        <v>0</v>
      </c>
      <c r="J109" s="231">
        <v>960</v>
      </c>
      <c r="K109" s="315">
        <v>1055</v>
      </c>
      <c r="L109" s="231" t="s">
        <v>4126</v>
      </c>
    </row>
    <row r="110" spans="1:12">
      <c r="A110" s="231" t="s">
        <v>4212</v>
      </c>
      <c r="B110" s="231" t="s">
        <v>4064</v>
      </c>
      <c r="C110" s="231" t="s">
        <v>4213</v>
      </c>
      <c r="D110" s="231" t="s">
        <v>1422</v>
      </c>
      <c r="E110" s="231" t="s">
        <v>1422</v>
      </c>
      <c r="F110" s="231">
        <v>0</v>
      </c>
      <c r="G110" s="316">
        <v>45895</v>
      </c>
      <c r="H110" s="231">
        <v>0</v>
      </c>
      <c r="I110" s="231">
        <v>0</v>
      </c>
      <c r="J110" s="231">
        <v>970</v>
      </c>
      <c r="K110" s="231">
        <v>970</v>
      </c>
      <c r="L110" s="231" t="s">
        <v>4066</v>
      </c>
    </row>
    <row r="111" spans="1:12">
      <c r="A111" s="231">
        <v>3004</v>
      </c>
      <c r="C111" s="231" t="s">
        <v>4214</v>
      </c>
      <c r="D111" s="231" t="s">
        <v>1422</v>
      </c>
      <c r="E111" s="231" t="s">
        <v>1422</v>
      </c>
      <c r="F111" s="231">
        <v>0</v>
      </c>
      <c r="G111" s="316">
        <v>45880</v>
      </c>
      <c r="H111" s="231">
        <v>0</v>
      </c>
      <c r="I111" s="231">
        <v>0</v>
      </c>
      <c r="J111" s="231">
        <v>950</v>
      </c>
      <c r="K111" s="231">
        <v>950</v>
      </c>
      <c r="L111" s="231" t="s">
        <v>4063</v>
      </c>
    </row>
    <row r="112" spans="1:12">
      <c r="A112" s="231" t="s">
        <v>4215</v>
      </c>
      <c r="B112" s="231" t="s">
        <v>4064</v>
      </c>
      <c r="C112" s="231" t="s">
        <v>4216</v>
      </c>
      <c r="D112" s="231" t="s">
        <v>1422</v>
      </c>
      <c r="E112" s="231" t="s">
        <v>1422</v>
      </c>
      <c r="F112" s="231">
        <v>0</v>
      </c>
      <c r="G112" s="316">
        <v>45990</v>
      </c>
      <c r="H112" s="231">
        <v>0</v>
      </c>
      <c r="I112" s="231">
        <v>0</v>
      </c>
      <c r="J112" s="231">
        <v>940</v>
      </c>
      <c r="K112" s="315">
        <v>1005</v>
      </c>
      <c r="L112" s="231" t="s">
        <v>4217</v>
      </c>
    </row>
    <row r="113" spans="1:12">
      <c r="A113" s="231">
        <v>252</v>
      </c>
      <c r="C113" s="231" t="s">
        <v>4218</v>
      </c>
      <c r="D113" s="231" t="s">
        <v>1422</v>
      </c>
      <c r="E113" s="231" t="s">
        <v>1422</v>
      </c>
      <c r="F113" s="231">
        <v>0</v>
      </c>
      <c r="G113" s="316">
        <v>45742</v>
      </c>
      <c r="H113" s="231">
        <v>0</v>
      </c>
      <c r="I113" s="231">
        <v>0</v>
      </c>
      <c r="J113" s="315">
        <v>1310</v>
      </c>
      <c r="K113" s="231">
        <v>0</v>
      </c>
      <c r="L113" s="231" t="s">
        <v>4063</v>
      </c>
    </row>
    <row r="114" spans="1:12">
      <c r="A114" s="231" t="s">
        <v>4219</v>
      </c>
    </row>
    <row r="115" spans="1:12">
      <c r="A115" s="231" t="s">
        <v>496</v>
      </c>
      <c r="C115" s="231" t="s">
        <v>4053</v>
      </c>
      <c r="D115" s="231" t="s">
        <v>4054</v>
      </c>
      <c r="E115" s="231" t="s">
        <v>4055</v>
      </c>
      <c r="F115" s="231" t="s">
        <v>4056</v>
      </c>
      <c r="G115" s="231" t="s">
        <v>4057</v>
      </c>
      <c r="H115" s="231" t="s">
        <v>4058</v>
      </c>
      <c r="J115" s="231" t="s">
        <v>1905</v>
      </c>
      <c r="K115" s="231" t="s">
        <v>4059</v>
      </c>
      <c r="L115" s="231" t="s">
        <v>4060</v>
      </c>
    </row>
    <row r="116" spans="1:12">
      <c r="A116" s="231" t="s">
        <v>1446</v>
      </c>
    </row>
    <row r="117" spans="1:12">
      <c r="A117" s="231">
        <v>2002</v>
      </c>
      <c r="C117" s="231" t="s">
        <v>4220</v>
      </c>
      <c r="D117" s="231">
        <v>-18</v>
      </c>
      <c r="E117" s="231" t="s">
        <v>4221</v>
      </c>
      <c r="F117" s="231">
        <v>0</v>
      </c>
      <c r="G117" s="316">
        <v>45835</v>
      </c>
      <c r="H117" s="231">
        <v>0</v>
      </c>
      <c r="I117" s="231">
        <v>0</v>
      </c>
      <c r="J117" s="231">
        <v>817</v>
      </c>
      <c r="K117" s="231">
        <v>817</v>
      </c>
      <c r="L117" s="231" t="s">
        <v>4222</v>
      </c>
    </row>
    <row r="118" spans="1:12">
      <c r="A118" s="232">
        <v>62855</v>
      </c>
      <c r="C118" s="231" t="s">
        <v>4223</v>
      </c>
      <c r="D118" s="231">
        <v>-5</v>
      </c>
      <c r="E118" s="231" t="s">
        <v>4221</v>
      </c>
      <c r="F118" s="231">
        <v>0</v>
      </c>
      <c r="G118" s="316">
        <v>45889</v>
      </c>
      <c r="H118" s="231">
        <v>0</v>
      </c>
      <c r="I118" s="231">
        <v>0</v>
      </c>
      <c r="J118" s="315">
        <v>1620</v>
      </c>
      <c r="K118" s="315">
        <v>1446</v>
      </c>
      <c r="L118" s="231" t="s">
        <v>4224</v>
      </c>
    </row>
    <row r="119" spans="1:12">
      <c r="A119" s="231">
        <v>403</v>
      </c>
      <c r="C119" s="231" t="s">
        <v>4225</v>
      </c>
      <c r="D119" s="231">
        <v>-5</v>
      </c>
      <c r="E119" s="231" t="s">
        <v>4221</v>
      </c>
      <c r="F119" s="231">
        <v>0</v>
      </c>
      <c r="G119" s="316">
        <v>46001</v>
      </c>
      <c r="H119" s="231">
        <v>0</v>
      </c>
      <c r="I119" s="231">
        <v>0</v>
      </c>
      <c r="J119" s="315">
        <v>1200</v>
      </c>
      <c r="K119" s="315">
        <v>1133</v>
      </c>
      <c r="L119" s="231" t="s">
        <v>4224</v>
      </c>
    </row>
    <row r="120" spans="1:12">
      <c r="A120" s="231" t="s">
        <v>4226</v>
      </c>
      <c r="C120" s="231" t="s">
        <v>4227</v>
      </c>
      <c r="D120" s="231">
        <v>8</v>
      </c>
      <c r="E120" s="231" t="s">
        <v>4221</v>
      </c>
      <c r="F120" s="231">
        <v>0</v>
      </c>
      <c r="G120" s="316">
        <v>45793</v>
      </c>
      <c r="H120" s="231">
        <v>0</v>
      </c>
      <c r="I120" s="231">
        <v>0</v>
      </c>
      <c r="J120" s="231">
        <v>975</v>
      </c>
      <c r="K120" s="231">
        <v>975</v>
      </c>
      <c r="L120" s="231" t="s">
        <v>4063</v>
      </c>
    </row>
    <row r="121" spans="1:12">
      <c r="A121" s="231" t="s">
        <v>4228</v>
      </c>
      <c r="C121" s="231" t="s">
        <v>4229</v>
      </c>
      <c r="D121" s="231">
        <v>0</v>
      </c>
      <c r="E121" s="231" t="s">
        <v>4221</v>
      </c>
      <c r="F121" s="231">
        <v>0</v>
      </c>
      <c r="G121" s="316">
        <v>45747</v>
      </c>
      <c r="H121" s="231">
        <v>0</v>
      </c>
      <c r="I121" s="231">
        <v>0</v>
      </c>
      <c r="J121" s="231">
        <v>960</v>
      </c>
      <c r="K121" s="231">
        <v>960</v>
      </c>
      <c r="L121" s="231" t="s">
        <v>4224</v>
      </c>
    </row>
    <row r="122" spans="1:12">
      <c r="A122" s="232">
        <v>64316</v>
      </c>
      <c r="C122" s="231" t="s">
        <v>4230</v>
      </c>
      <c r="D122" s="231">
        <v>7</v>
      </c>
      <c r="E122" s="231" t="s">
        <v>4221</v>
      </c>
      <c r="F122" s="231">
        <v>0</v>
      </c>
      <c r="G122" s="316">
        <v>45747</v>
      </c>
      <c r="H122" s="231">
        <v>0</v>
      </c>
      <c r="I122" s="231">
        <v>0</v>
      </c>
      <c r="J122" s="315">
        <v>1550</v>
      </c>
      <c r="K122" s="315">
        <v>1645</v>
      </c>
      <c r="L122" s="231" t="s">
        <v>4224</v>
      </c>
    </row>
    <row r="123" spans="1:12">
      <c r="A123" s="231">
        <v>221</v>
      </c>
      <c r="C123" s="231" t="s">
        <v>4231</v>
      </c>
      <c r="D123" s="231">
        <v>-2</v>
      </c>
      <c r="E123" s="231" t="s">
        <v>4221</v>
      </c>
      <c r="F123" s="231">
        <v>0</v>
      </c>
      <c r="G123" s="316">
        <v>45993</v>
      </c>
      <c r="H123" s="231">
        <v>0</v>
      </c>
      <c r="I123" s="231">
        <v>0</v>
      </c>
      <c r="J123" s="315">
        <v>1510</v>
      </c>
      <c r="K123" s="315">
        <v>1132</v>
      </c>
      <c r="L123" s="231" t="s">
        <v>4063</v>
      </c>
    </row>
    <row r="124" spans="1:12">
      <c r="A124" s="231" t="s">
        <v>4232</v>
      </c>
      <c r="C124" s="231" t="s">
        <v>4233</v>
      </c>
      <c r="D124" s="231">
        <v>-4</v>
      </c>
      <c r="E124" s="231" t="s">
        <v>4221</v>
      </c>
      <c r="F124" s="231">
        <v>0</v>
      </c>
      <c r="G124" s="316">
        <v>45782</v>
      </c>
      <c r="H124" s="231">
        <v>0</v>
      </c>
      <c r="I124" s="231">
        <v>0</v>
      </c>
      <c r="J124" s="231">
        <v>975</v>
      </c>
      <c r="K124" s="231">
        <v>975</v>
      </c>
      <c r="L124" s="231" t="s">
        <v>4224</v>
      </c>
    </row>
    <row r="125" spans="1:12">
      <c r="A125" s="231" t="s">
        <v>4206</v>
      </c>
      <c r="C125" s="231" t="s">
        <v>4234</v>
      </c>
      <c r="D125" s="231">
        <v>-10</v>
      </c>
      <c r="E125" s="231" t="s">
        <v>4221</v>
      </c>
      <c r="F125" s="231">
        <v>0</v>
      </c>
      <c r="G125" s="316">
        <v>45881</v>
      </c>
      <c r="H125" s="231">
        <v>0</v>
      </c>
      <c r="I125" s="231">
        <v>0</v>
      </c>
      <c r="J125" s="231">
        <v>848</v>
      </c>
      <c r="K125" s="231">
        <v>848</v>
      </c>
      <c r="L125" s="231" t="s">
        <v>4224</v>
      </c>
    </row>
    <row r="126" spans="1:12">
      <c r="A126" s="231">
        <v>204</v>
      </c>
      <c r="C126" s="231" t="s">
        <v>4235</v>
      </c>
      <c r="D126" s="231">
        <v>7</v>
      </c>
      <c r="E126" s="231" t="s">
        <v>4221</v>
      </c>
      <c r="F126" s="231">
        <v>0</v>
      </c>
      <c r="G126" s="316">
        <v>45817</v>
      </c>
      <c r="H126" s="231">
        <v>0</v>
      </c>
      <c r="I126" s="231">
        <v>0</v>
      </c>
      <c r="J126" s="231">
        <v>980</v>
      </c>
      <c r="K126" s="315">
        <v>1075</v>
      </c>
      <c r="L126" s="231" t="s">
        <v>4236</v>
      </c>
    </row>
    <row r="127" spans="1:12">
      <c r="A127" s="231">
        <v>237</v>
      </c>
      <c r="C127" s="231" t="s">
        <v>4237</v>
      </c>
      <c r="D127" s="231">
        <v>5</v>
      </c>
      <c r="E127" s="231" t="s">
        <v>4221</v>
      </c>
      <c r="F127" s="231">
        <v>0</v>
      </c>
      <c r="G127" s="316">
        <v>45866</v>
      </c>
      <c r="H127" s="231">
        <v>0</v>
      </c>
      <c r="I127" s="231">
        <v>0</v>
      </c>
      <c r="J127" s="231">
        <v>980</v>
      </c>
      <c r="K127" s="315">
        <v>1075</v>
      </c>
      <c r="L127" s="231" t="s">
        <v>4224</v>
      </c>
    </row>
    <row r="128" spans="1:12">
      <c r="A128" s="231">
        <v>415</v>
      </c>
      <c r="C128" s="231" t="s">
        <v>4238</v>
      </c>
      <c r="D128" s="231">
        <v>-10</v>
      </c>
      <c r="E128" s="231" t="s">
        <v>4221</v>
      </c>
      <c r="F128" s="231">
        <v>0</v>
      </c>
      <c r="G128" s="316">
        <v>45987</v>
      </c>
      <c r="H128" s="231">
        <v>0</v>
      </c>
      <c r="I128" s="231">
        <v>0</v>
      </c>
      <c r="J128" s="315">
        <v>1145</v>
      </c>
      <c r="K128" s="231">
        <v>983</v>
      </c>
      <c r="L128" s="231" t="s">
        <v>4224</v>
      </c>
    </row>
    <row r="129" spans="1:12">
      <c r="A129" s="231" t="s">
        <v>4239</v>
      </c>
      <c r="C129" s="231" t="s">
        <v>4240</v>
      </c>
      <c r="D129" s="231">
        <v>-13</v>
      </c>
      <c r="E129" s="231" t="s">
        <v>4221</v>
      </c>
      <c r="F129" s="231">
        <v>0</v>
      </c>
      <c r="G129" s="316">
        <v>45701</v>
      </c>
      <c r="H129" s="231">
        <v>0</v>
      </c>
      <c r="I129" s="231">
        <v>0</v>
      </c>
      <c r="J129" s="231">
        <v>920</v>
      </c>
      <c r="K129" s="231">
        <v>888</v>
      </c>
      <c r="L129" s="231" t="s">
        <v>4224</v>
      </c>
    </row>
    <row r="130" spans="1:12">
      <c r="A130" s="231" t="s">
        <v>4241</v>
      </c>
      <c r="C130" s="231" t="s">
        <v>4242</v>
      </c>
      <c r="D130" s="231">
        <v>-4</v>
      </c>
      <c r="E130" s="231" t="s">
        <v>4221</v>
      </c>
      <c r="F130" s="231">
        <v>0</v>
      </c>
      <c r="G130" s="316">
        <v>45817</v>
      </c>
      <c r="H130" s="231">
        <v>0</v>
      </c>
      <c r="I130" s="231">
        <v>0</v>
      </c>
      <c r="J130" s="315">
        <v>1645</v>
      </c>
      <c r="K130" s="315">
        <v>1570</v>
      </c>
      <c r="L130" s="231" t="s">
        <v>4236</v>
      </c>
    </row>
    <row r="131" spans="1:12">
      <c r="A131" s="232">
        <v>433576</v>
      </c>
      <c r="C131" s="231" t="s">
        <v>4243</v>
      </c>
      <c r="D131" s="231">
        <v>-21</v>
      </c>
      <c r="E131" s="231" t="s">
        <v>4221</v>
      </c>
      <c r="F131" s="231">
        <v>0</v>
      </c>
      <c r="G131" s="316">
        <v>45814</v>
      </c>
      <c r="H131" s="231">
        <v>0</v>
      </c>
      <c r="I131" s="231">
        <v>0</v>
      </c>
      <c r="J131" s="231">
        <v>974</v>
      </c>
      <c r="K131" s="231">
        <v>974</v>
      </c>
      <c r="L131" s="231" t="s">
        <v>4224</v>
      </c>
    </row>
    <row r="132" spans="1:12">
      <c r="A132" s="231" t="s">
        <v>4244</v>
      </c>
      <c r="C132" s="231" t="s">
        <v>4245</v>
      </c>
      <c r="D132" s="231">
        <v>0</v>
      </c>
      <c r="E132" s="231" t="s">
        <v>4221</v>
      </c>
      <c r="F132" s="231">
        <v>0</v>
      </c>
      <c r="G132" s="316">
        <v>45880</v>
      </c>
      <c r="H132" s="231">
        <v>0</v>
      </c>
      <c r="I132" s="231">
        <v>0</v>
      </c>
      <c r="J132" s="231">
        <v>970</v>
      </c>
      <c r="K132" s="231">
        <v>970</v>
      </c>
      <c r="L132" s="231" t="s">
        <v>4236</v>
      </c>
    </row>
    <row r="133" spans="1:12">
      <c r="A133" s="232">
        <v>51167</v>
      </c>
      <c r="C133" s="231" t="s">
        <v>4246</v>
      </c>
      <c r="D133" s="231">
        <v>7</v>
      </c>
      <c r="E133" s="231" t="s">
        <v>4221</v>
      </c>
      <c r="F133" s="231">
        <v>0</v>
      </c>
      <c r="G133" s="316">
        <v>45838</v>
      </c>
      <c r="H133" s="231">
        <v>0</v>
      </c>
      <c r="I133" s="231">
        <v>0</v>
      </c>
      <c r="J133" s="231">
        <v>835</v>
      </c>
      <c r="K133" s="231">
        <v>835</v>
      </c>
      <c r="L133" s="231" t="s">
        <v>4224</v>
      </c>
    </row>
    <row r="134" spans="1:12">
      <c r="A134" s="231">
        <v>219</v>
      </c>
      <c r="C134" s="231" t="s">
        <v>4247</v>
      </c>
      <c r="D134" s="231">
        <v>0</v>
      </c>
      <c r="E134" s="231" t="s">
        <v>4221</v>
      </c>
      <c r="F134" s="231">
        <v>0</v>
      </c>
      <c r="G134" s="316">
        <v>45915</v>
      </c>
      <c r="H134" s="231">
        <v>0</v>
      </c>
      <c r="I134" s="231">
        <v>0</v>
      </c>
      <c r="J134" s="315">
        <v>1565</v>
      </c>
      <c r="K134" s="315">
        <v>1495</v>
      </c>
      <c r="L134" s="231" t="s">
        <v>4063</v>
      </c>
    </row>
    <row r="135" spans="1:12">
      <c r="A135" s="231">
        <v>3002</v>
      </c>
      <c r="C135" s="231" t="s">
        <v>4248</v>
      </c>
      <c r="D135" s="231">
        <v>0</v>
      </c>
      <c r="E135" s="231" t="s">
        <v>4221</v>
      </c>
      <c r="F135" s="231">
        <v>0</v>
      </c>
      <c r="G135" s="316">
        <v>45869</v>
      </c>
      <c r="H135" s="231">
        <v>0</v>
      </c>
      <c r="I135" s="231">
        <v>0</v>
      </c>
      <c r="J135" s="231">
        <v>905</v>
      </c>
      <c r="K135" s="231">
        <v>905</v>
      </c>
      <c r="L135" s="231" t="s">
        <v>4236</v>
      </c>
    </row>
    <row r="136" spans="1:12">
      <c r="A136" s="231">
        <v>414</v>
      </c>
      <c r="C136" s="231" t="s">
        <v>4249</v>
      </c>
      <c r="D136" s="231">
        <v>-2</v>
      </c>
      <c r="E136" s="231" t="s">
        <v>4221</v>
      </c>
      <c r="F136" s="231">
        <v>0</v>
      </c>
      <c r="G136" s="316">
        <v>45845</v>
      </c>
      <c r="H136" s="231">
        <v>0</v>
      </c>
      <c r="I136" s="231">
        <v>0</v>
      </c>
      <c r="J136" s="315">
        <v>1200</v>
      </c>
      <c r="K136" s="315">
        <v>1295</v>
      </c>
      <c r="L136" s="231" t="s">
        <v>4224</v>
      </c>
    </row>
    <row r="137" spans="1:12">
      <c r="A137" s="231" t="s">
        <v>4250</v>
      </c>
      <c r="C137" s="231" t="s">
        <v>4251</v>
      </c>
      <c r="D137" s="231">
        <v>-10</v>
      </c>
      <c r="E137" s="231" t="s">
        <v>4221</v>
      </c>
      <c r="F137" s="231">
        <v>0</v>
      </c>
      <c r="G137" s="316">
        <v>45707</v>
      </c>
      <c r="H137" s="231">
        <v>0</v>
      </c>
      <c r="I137" s="231">
        <v>0</v>
      </c>
      <c r="J137" s="231">
        <v>975</v>
      </c>
      <c r="K137" s="231">
        <v>853</v>
      </c>
      <c r="L137" s="231" t="s">
        <v>4224</v>
      </c>
    </row>
    <row r="138" spans="1:12">
      <c r="A138" s="231">
        <v>258</v>
      </c>
      <c r="C138" s="231" t="s">
        <v>4252</v>
      </c>
      <c r="D138" s="231">
        <v>-4</v>
      </c>
      <c r="E138" s="231" t="s">
        <v>4221</v>
      </c>
      <c r="F138" s="231">
        <v>0</v>
      </c>
      <c r="G138" s="316">
        <v>45979</v>
      </c>
      <c r="H138" s="231">
        <v>0</v>
      </c>
      <c r="I138" s="231">
        <v>0</v>
      </c>
      <c r="J138" s="315">
        <v>1975</v>
      </c>
      <c r="K138" s="315">
        <v>1728</v>
      </c>
      <c r="L138" s="231" t="s">
        <v>4253</v>
      </c>
    </row>
    <row r="139" spans="1:12">
      <c r="A139" s="231" t="s">
        <v>4254</v>
      </c>
      <c r="C139" s="231" t="s">
        <v>4255</v>
      </c>
      <c r="D139" s="231">
        <v>0</v>
      </c>
      <c r="E139" s="231" t="s">
        <v>4221</v>
      </c>
      <c r="F139" s="231">
        <v>0</v>
      </c>
      <c r="G139" s="316">
        <v>45989</v>
      </c>
      <c r="H139" s="231">
        <v>0</v>
      </c>
      <c r="I139" s="231">
        <v>0</v>
      </c>
      <c r="J139" s="231">
        <v>935</v>
      </c>
      <c r="K139" s="231">
        <v>795</v>
      </c>
      <c r="L139" s="231" t="s">
        <v>4199</v>
      </c>
    </row>
    <row r="140" spans="1:12">
      <c r="A140" s="231">
        <v>3088</v>
      </c>
      <c r="C140" s="231" t="s">
        <v>4256</v>
      </c>
      <c r="D140" s="231">
        <v>-1</v>
      </c>
      <c r="E140" s="231" t="s">
        <v>4221</v>
      </c>
      <c r="F140" s="231">
        <v>0</v>
      </c>
      <c r="G140" s="316">
        <v>45995</v>
      </c>
      <c r="H140" s="231">
        <v>0</v>
      </c>
      <c r="I140" s="231">
        <v>0</v>
      </c>
      <c r="J140" s="231">
        <v>965</v>
      </c>
      <c r="K140" s="231">
        <v>0</v>
      </c>
      <c r="L140" s="231" t="s">
        <v>4253</v>
      </c>
    </row>
    <row r="141" spans="1:12">
      <c r="A141" s="232">
        <v>52628</v>
      </c>
      <c r="C141" s="231" t="s">
        <v>4257</v>
      </c>
      <c r="D141" s="231">
        <v>1</v>
      </c>
      <c r="E141" s="231" t="s">
        <v>4221</v>
      </c>
      <c r="F141" s="231">
        <v>0</v>
      </c>
      <c r="G141" s="316">
        <v>45769</v>
      </c>
      <c r="H141" s="231">
        <v>0</v>
      </c>
      <c r="I141" s="231">
        <v>0</v>
      </c>
      <c r="J141" s="231">
        <v>975</v>
      </c>
      <c r="K141" s="231">
        <v>975</v>
      </c>
      <c r="L141" s="231" t="s">
        <v>4224</v>
      </c>
    </row>
    <row r="142" spans="1:12">
      <c r="A142" s="231">
        <v>3046</v>
      </c>
      <c r="C142" s="231" t="s">
        <v>4258</v>
      </c>
      <c r="D142" s="231">
        <v>-8</v>
      </c>
      <c r="E142" s="231" t="s">
        <v>4221</v>
      </c>
      <c r="F142" s="231">
        <v>0</v>
      </c>
      <c r="G142" s="316">
        <v>45922</v>
      </c>
      <c r="H142" s="231">
        <v>0</v>
      </c>
      <c r="I142" s="231">
        <v>1</v>
      </c>
      <c r="J142" s="231">
        <v>832</v>
      </c>
      <c r="K142" s="231">
        <v>832</v>
      </c>
      <c r="L142" s="231" t="s">
        <v>4063</v>
      </c>
    </row>
    <row r="143" spans="1:12">
      <c r="A143" s="231">
        <v>1100</v>
      </c>
      <c r="C143" s="231" t="s">
        <v>4259</v>
      </c>
      <c r="D143" s="231">
        <v>-10</v>
      </c>
      <c r="E143" s="231" t="s">
        <v>4221</v>
      </c>
      <c r="F143" s="231">
        <v>0</v>
      </c>
      <c r="G143" s="316">
        <v>45814</v>
      </c>
      <c r="H143" s="231">
        <v>0</v>
      </c>
      <c r="I143" s="231">
        <v>0</v>
      </c>
      <c r="J143" s="315">
        <v>1675</v>
      </c>
      <c r="K143" s="231">
        <v>0</v>
      </c>
      <c r="L143" s="231" t="s">
        <v>4224</v>
      </c>
    </row>
    <row r="144" spans="1:12">
      <c r="A144" s="232">
        <v>425906</v>
      </c>
      <c r="C144" s="231" t="s">
        <v>4260</v>
      </c>
      <c r="D144" s="231">
        <v>-1</v>
      </c>
      <c r="E144" s="231" t="s">
        <v>4221</v>
      </c>
      <c r="F144" s="231">
        <v>0</v>
      </c>
      <c r="G144" s="316">
        <v>45663</v>
      </c>
      <c r="H144" s="231">
        <v>0</v>
      </c>
      <c r="I144" s="231">
        <v>0</v>
      </c>
      <c r="J144" s="315">
        <v>1585</v>
      </c>
      <c r="K144" s="315">
        <v>1585</v>
      </c>
      <c r="L144" s="231" t="s">
        <v>4224</v>
      </c>
    </row>
    <row r="145" spans="1:12">
      <c r="A145" s="232">
        <v>42036</v>
      </c>
      <c r="C145" s="231" t="s">
        <v>4261</v>
      </c>
      <c r="D145" s="231">
        <v>-7</v>
      </c>
      <c r="E145" s="231" t="s">
        <v>4221</v>
      </c>
      <c r="F145" s="231">
        <v>0</v>
      </c>
      <c r="G145" s="316">
        <v>45978</v>
      </c>
      <c r="H145" s="231">
        <v>0</v>
      </c>
      <c r="I145" s="231">
        <v>0</v>
      </c>
      <c r="J145" s="315">
        <v>1620</v>
      </c>
      <c r="K145" s="315">
        <v>1241</v>
      </c>
      <c r="L145" s="231" t="s">
        <v>4063</v>
      </c>
    </row>
    <row r="146" spans="1:12">
      <c r="A146" s="231" t="s">
        <v>4116</v>
      </c>
      <c r="C146" s="231" t="s">
        <v>4262</v>
      </c>
      <c r="D146" s="231">
        <v>-11</v>
      </c>
      <c r="E146" s="231" t="s">
        <v>4221</v>
      </c>
      <c r="F146" s="231">
        <v>0</v>
      </c>
      <c r="G146" s="316">
        <v>45964</v>
      </c>
      <c r="H146" s="231">
        <v>0</v>
      </c>
      <c r="I146" s="231">
        <v>0</v>
      </c>
      <c r="J146" s="231">
        <v>915</v>
      </c>
      <c r="K146" s="231">
        <v>775</v>
      </c>
      <c r="L146" s="231" t="s">
        <v>4253</v>
      </c>
    </row>
    <row r="147" spans="1:12">
      <c r="A147" s="231" t="s">
        <v>4239</v>
      </c>
      <c r="C147" s="231" t="s">
        <v>4263</v>
      </c>
      <c r="D147" s="231">
        <v>-7</v>
      </c>
      <c r="E147" s="231" t="s">
        <v>4221</v>
      </c>
      <c r="F147" s="231">
        <v>0</v>
      </c>
      <c r="G147" s="316">
        <v>45665</v>
      </c>
      <c r="H147" s="231">
        <v>0</v>
      </c>
      <c r="I147" s="231">
        <v>0</v>
      </c>
      <c r="J147" s="231">
        <v>920</v>
      </c>
      <c r="K147" s="315">
        <v>1015</v>
      </c>
      <c r="L147" s="231" t="s">
        <v>4224</v>
      </c>
    </row>
    <row r="148" spans="1:12">
      <c r="A148" s="232">
        <v>432846</v>
      </c>
      <c r="C148" s="231" t="s">
        <v>4264</v>
      </c>
      <c r="D148" s="231">
        <v>6</v>
      </c>
      <c r="E148" s="231" t="s">
        <v>4221</v>
      </c>
      <c r="F148" s="231">
        <v>0</v>
      </c>
      <c r="G148" s="316">
        <v>45862</v>
      </c>
      <c r="H148" s="231">
        <v>0</v>
      </c>
      <c r="I148" s="231">
        <v>0</v>
      </c>
      <c r="J148" s="315">
        <v>1120</v>
      </c>
      <c r="K148" s="315">
        <v>1120</v>
      </c>
      <c r="L148" s="231" t="s">
        <v>4224</v>
      </c>
    </row>
    <row r="149" spans="1:12">
      <c r="A149" s="231" t="s">
        <v>4265</v>
      </c>
      <c r="C149" s="231" t="s">
        <v>4266</v>
      </c>
      <c r="D149" s="231">
        <v>-5</v>
      </c>
      <c r="E149" s="231" t="s">
        <v>4221</v>
      </c>
      <c r="F149" s="231">
        <v>0</v>
      </c>
      <c r="G149" s="316">
        <v>45665</v>
      </c>
      <c r="H149" s="231">
        <v>0</v>
      </c>
      <c r="I149" s="231">
        <v>0</v>
      </c>
      <c r="J149" s="315">
        <v>1380</v>
      </c>
      <c r="K149" s="315">
        <v>1380</v>
      </c>
      <c r="L149" s="231" t="s">
        <v>4224</v>
      </c>
    </row>
    <row r="150" spans="1:12">
      <c r="A150" s="231">
        <v>2082</v>
      </c>
      <c r="C150" s="231" t="s">
        <v>4267</v>
      </c>
      <c r="D150" s="231">
        <v>-4</v>
      </c>
      <c r="E150" s="231" t="s">
        <v>4221</v>
      </c>
      <c r="F150" s="231">
        <v>0</v>
      </c>
      <c r="G150" s="316">
        <v>45926</v>
      </c>
      <c r="H150" s="231">
        <v>0</v>
      </c>
      <c r="I150" s="231">
        <v>0</v>
      </c>
      <c r="J150" s="315">
        <v>1130</v>
      </c>
      <c r="K150" s="315">
        <v>1130</v>
      </c>
      <c r="L150" s="231" t="s">
        <v>4199</v>
      </c>
    </row>
    <row r="151" spans="1:12">
      <c r="A151" s="231" t="s">
        <v>4268</v>
      </c>
      <c r="C151" s="231" t="s">
        <v>4269</v>
      </c>
      <c r="D151" s="231">
        <v>-8</v>
      </c>
      <c r="E151" s="231" t="s">
        <v>4221</v>
      </c>
      <c r="F151" s="231">
        <v>0</v>
      </c>
      <c r="G151" s="316">
        <v>45663</v>
      </c>
      <c r="H151" s="231">
        <v>0</v>
      </c>
      <c r="I151" s="231">
        <v>0</v>
      </c>
      <c r="J151" s="231">
        <v>975</v>
      </c>
      <c r="K151" s="231">
        <v>0</v>
      </c>
      <c r="L151" s="231" t="s">
        <v>4224</v>
      </c>
    </row>
    <row r="152" spans="1:12">
      <c r="A152" s="231">
        <v>2093</v>
      </c>
      <c r="C152" s="231" t="s">
        <v>4270</v>
      </c>
      <c r="D152" s="231">
        <v>-4</v>
      </c>
      <c r="E152" s="231" t="s">
        <v>4221</v>
      </c>
      <c r="F152" s="231">
        <v>0</v>
      </c>
      <c r="G152" s="316">
        <v>45978</v>
      </c>
      <c r="H152" s="231">
        <v>0</v>
      </c>
      <c r="I152" s="231">
        <v>0</v>
      </c>
      <c r="J152" s="231">
        <v>910</v>
      </c>
      <c r="K152" s="231">
        <v>784</v>
      </c>
      <c r="L152" s="231" t="s">
        <v>4063</v>
      </c>
    </row>
    <row r="153" spans="1:12">
      <c r="A153" s="231" t="s">
        <v>4127</v>
      </c>
      <c r="C153" s="231" t="s">
        <v>4271</v>
      </c>
      <c r="D153" s="231">
        <v>-6</v>
      </c>
      <c r="E153" s="231" t="s">
        <v>4221</v>
      </c>
      <c r="F153" s="231">
        <v>0</v>
      </c>
      <c r="G153" s="316">
        <v>45804</v>
      </c>
      <c r="H153" s="231">
        <v>0</v>
      </c>
      <c r="I153" s="231">
        <v>0</v>
      </c>
      <c r="J153" s="315">
        <v>1490</v>
      </c>
      <c r="K153" s="315">
        <v>1585</v>
      </c>
      <c r="L153" s="231" t="s">
        <v>4224</v>
      </c>
    </row>
    <row r="154" spans="1:12">
      <c r="A154" s="231" t="s">
        <v>4272</v>
      </c>
      <c r="C154" s="231" t="s">
        <v>4273</v>
      </c>
      <c r="D154" s="231">
        <v>3</v>
      </c>
      <c r="E154" s="231" t="s">
        <v>4221</v>
      </c>
      <c r="F154" s="231">
        <v>0</v>
      </c>
      <c r="G154" s="316">
        <v>45663</v>
      </c>
      <c r="H154" s="231">
        <v>0</v>
      </c>
      <c r="I154" s="231">
        <v>0</v>
      </c>
      <c r="J154" s="231">
        <v>840</v>
      </c>
      <c r="K154" s="231">
        <v>840</v>
      </c>
      <c r="L154" s="231" t="s">
        <v>4224</v>
      </c>
    </row>
    <row r="155" spans="1:12">
      <c r="A155" s="231">
        <v>2025</v>
      </c>
      <c r="C155" s="231" t="s">
        <v>4274</v>
      </c>
      <c r="D155" s="231">
        <v>1</v>
      </c>
      <c r="E155" s="231" t="s">
        <v>4221</v>
      </c>
      <c r="F155" s="231">
        <v>0</v>
      </c>
      <c r="G155" s="316">
        <v>45758</v>
      </c>
      <c r="H155" s="231">
        <v>0</v>
      </c>
      <c r="I155" s="231">
        <v>0</v>
      </c>
      <c r="J155" s="315">
        <v>1650</v>
      </c>
      <c r="K155" s="315">
        <v>1527</v>
      </c>
      <c r="L155" s="231" t="s">
        <v>4224</v>
      </c>
    </row>
    <row r="156" spans="1:12">
      <c r="A156" s="231" t="s">
        <v>4275</v>
      </c>
      <c r="C156" s="231" t="s">
        <v>4276</v>
      </c>
      <c r="D156" s="231">
        <v>-15</v>
      </c>
      <c r="E156" s="231" t="s">
        <v>4221</v>
      </c>
      <c r="F156" s="231">
        <v>0</v>
      </c>
      <c r="G156" s="316">
        <v>45884</v>
      </c>
      <c r="H156" s="231">
        <v>0</v>
      </c>
      <c r="I156" s="231">
        <v>0</v>
      </c>
      <c r="J156" s="315">
        <v>1575</v>
      </c>
      <c r="K156" s="315">
        <v>1545</v>
      </c>
      <c r="L156" s="231" t="s">
        <v>4224</v>
      </c>
    </row>
    <row r="157" spans="1:12">
      <c r="A157" s="231">
        <v>430</v>
      </c>
      <c r="C157" s="231" t="s">
        <v>4277</v>
      </c>
      <c r="D157" s="231">
        <v>-9</v>
      </c>
      <c r="E157" s="231" t="s">
        <v>4221</v>
      </c>
      <c r="F157" s="231">
        <v>0</v>
      </c>
      <c r="G157" s="316">
        <v>45680</v>
      </c>
      <c r="H157" s="231">
        <v>0</v>
      </c>
      <c r="I157" s="231">
        <v>0</v>
      </c>
      <c r="J157" s="315">
        <v>1700</v>
      </c>
      <c r="K157" s="315">
        <v>1488</v>
      </c>
      <c r="L157" s="231" t="s">
        <v>4224</v>
      </c>
    </row>
    <row r="158" spans="1:12">
      <c r="A158" s="231">
        <v>270</v>
      </c>
      <c r="C158" s="231" t="s">
        <v>4278</v>
      </c>
      <c r="D158" s="231">
        <v>-18</v>
      </c>
      <c r="E158" s="231" t="s">
        <v>4221</v>
      </c>
      <c r="F158" s="231">
        <v>0</v>
      </c>
      <c r="G158" s="316">
        <v>45670</v>
      </c>
      <c r="H158" s="231">
        <v>0</v>
      </c>
      <c r="I158" s="231">
        <v>0</v>
      </c>
      <c r="J158" s="315">
        <v>1975</v>
      </c>
      <c r="K158" s="315">
        <v>1975</v>
      </c>
      <c r="L158" s="231" t="s">
        <v>4224</v>
      </c>
    </row>
    <row r="159" spans="1:12">
      <c r="A159" s="231" t="s">
        <v>4279</v>
      </c>
      <c r="C159" s="231" t="s">
        <v>4280</v>
      </c>
      <c r="D159" s="231">
        <v>-8</v>
      </c>
      <c r="E159" s="231" t="s">
        <v>4221</v>
      </c>
      <c r="F159" s="231">
        <v>0</v>
      </c>
      <c r="G159" s="316">
        <v>45891</v>
      </c>
      <c r="H159" s="231">
        <v>0</v>
      </c>
      <c r="I159" s="231">
        <v>0</v>
      </c>
      <c r="J159" s="315">
        <v>1380</v>
      </c>
      <c r="K159" s="315">
        <v>1380</v>
      </c>
      <c r="L159" s="231" t="s">
        <v>4236</v>
      </c>
    </row>
    <row r="160" spans="1:12">
      <c r="A160" s="231">
        <v>1009</v>
      </c>
      <c r="C160" s="231" t="s">
        <v>4281</v>
      </c>
      <c r="D160" s="231">
        <v>-18</v>
      </c>
      <c r="E160" s="231" t="s">
        <v>4221</v>
      </c>
      <c r="F160" s="231">
        <v>0</v>
      </c>
      <c r="G160" s="316">
        <v>45971</v>
      </c>
      <c r="H160" s="231">
        <v>0</v>
      </c>
      <c r="I160" s="231">
        <v>0</v>
      </c>
      <c r="J160" s="315">
        <v>1200</v>
      </c>
      <c r="K160" s="315">
        <v>1034</v>
      </c>
      <c r="L160" s="231" t="s">
        <v>4253</v>
      </c>
    </row>
    <row r="161" spans="1:12">
      <c r="A161" s="231">
        <v>3066</v>
      </c>
      <c r="C161" s="231" t="s">
        <v>4282</v>
      </c>
      <c r="D161" s="231">
        <v>2</v>
      </c>
      <c r="E161" s="231" t="s">
        <v>4221</v>
      </c>
      <c r="F161" s="231">
        <v>0</v>
      </c>
      <c r="G161" s="316">
        <v>45733</v>
      </c>
      <c r="H161" s="231">
        <v>0</v>
      </c>
      <c r="I161" s="231">
        <v>0</v>
      </c>
      <c r="J161" s="231">
        <v>960</v>
      </c>
      <c r="K161" s="315">
        <v>1055</v>
      </c>
      <c r="L161" s="231" t="s">
        <v>4224</v>
      </c>
    </row>
    <row r="162" spans="1:12">
      <c r="A162" s="231">
        <v>252</v>
      </c>
      <c r="C162" s="231" t="s">
        <v>4283</v>
      </c>
      <c r="D162" s="231">
        <v>28</v>
      </c>
      <c r="E162" s="231" t="s">
        <v>4221</v>
      </c>
      <c r="F162" s="231">
        <v>0</v>
      </c>
      <c r="G162" s="316">
        <v>45808</v>
      </c>
      <c r="H162" s="231">
        <v>0</v>
      </c>
      <c r="I162" s="231">
        <v>0</v>
      </c>
      <c r="J162" s="315">
        <v>1310</v>
      </c>
      <c r="K162" s="315">
        <v>1405</v>
      </c>
      <c r="L162" s="231" t="s">
        <v>4224</v>
      </c>
    </row>
    <row r="163" spans="1:12">
      <c r="A163" s="231" t="s">
        <v>4284</v>
      </c>
      <c r="C163" s="231" t="s">
        <v>4285</v>
      </c>
      <c r="D163" s="231">
        <v>16</v>
      </c>
      <c r="E163" s="231" t="s">
        <v>4221</v>
      </c>
      <c r="F163" s="231">
        <v>0</v>
      </c>
      <c r="G163" s="316">
        <v>45747</v>
      </c>
      <c r="H163" s="231">
        <v>0</v>
      </c>
      <c r="I163" s="231">
        <v>0</v>
      </c>
      <c r="J163" s="315">
        <v>1555</v>
      </c>
      <c r="K163" s="315">
        <v>1650</v>
      </c>
      <c r="L163" s="231" t="s">
        <v>4224</v>
      </c>
    </row>
    <row r="164" spans="1:12">
      <c r="A164" s="231" t="s">
        <v>4286</v>
      </c>
      <c r="C164" s="231" t="s">
        <v>4287</v>
      </c>
      <c r="D164" s="231">
        <v>9</v>
      </c>
      <c r="E164" s="231" t="s">
        <v>4221</v>
      </c>
      <c r="F164" s="231">
        <v>0</v>
      </c>
      <c r="G164" s="316">
        <v>45898</v>
      </c>
      <c r="H164" s="231">
        <v>0</v>
      </c>
      <c r="I164" s="231">
        <v>0</v>
      </c>
      <c r="J164" s="231">
        <v>995</v>
      </c>
      <c r="K164" s="315">
        <v>1090</v>
      </c>
      <c r="L164" s="231" t="s">
        <v>4236</v>
      </c>
    </row>
    <row r="165" spans="1:12">
      <c r="A165" s="231" t="s">
        <v>4272</v>
      </c>
      <c r="C165" s="231" t="s">
        <v>4288</v>
      </c>
      <c r="D165" s="231">
        <v>-4</v>
      </c>
      <c r="E165" s="231" t="s">
        <v>4221</v>
      </c>
      <c r="F165" s="231">
        <v>0</v>
      </c>
      <c r="G165" s="316">
        <v>45670</v>
      </c>
      <c r="H165" s="231">
        <v>0</v>
      </c>
      <c r="I165" s="231">
        <v>0</v>
      </c>
      <c r="J165" s="231">
        <v>840</v>
      </c>
      <c r="K165" s="231">
        <v>840</v>
      </c>
      <c r="L165" s="231" t="s">
        <v>4236</v>
      </c>
    </row>
    <row r="166" spans="1:12">
      <c r="A166" s="231">
        <v>144</v>
      </c>
      <c r="C166" s="231" t="s">
        <v>4289</v>
      </c>
      <c r="D166" s="231">
        <v>7</v>
      </c>
      <c r="E166" s="231" t="s">
        <v>4221</v>
      </c>
      <c r="F166" s="231">
        <v>0</v>
      </c>
      <c r="G166" s="316">
        <v>45940</v>
      </c>
      <c r="H166" s="231">
        <v>0</v>
      </c>
      <c r="I166" s="231">
        <v>0</v>
      </c>
      <c r="J166" s="315">
        <v>1570</v>
      </c>
      <c r="K166" s="315">
        <v>1287</v>
      </c>
      <c r="L166" s="231" t="s">
        <v>4253</v>
      </c>
    </row>
    <row r="167" spans="1:12">
      <c r="A167" s="231">
        <v>3066</v>
      </c>
      <c r="C167" s="231" t="s">
        <v>4290</v>
      </c>
      <c r="D167" s="231">
        <v>-5</v>
      </c>
      <c r="E167" s="231" t="s">
        <v>4221</v>
      </c>
      <c r="F167" s="231">
        <v>0</v>
      </c>
      <c r="G167" s="316">
        <v>45721</v>
      </c>
      <c r="H167" s="231">
        <v>0</v>
      </c>
      <c r="I167" s="231">
        <v>0</v>
      </c>
      <c r="J167" s="231">
        <v>960</v>
      </c>
      <c r="K167" s="315">
        <v>1055</v>
      </c>
      <c r="L167" s="231" t="s">
        <v>4224</v>
      </c>
    </row>
    <row r="168" spans="1:12">
      <c r="A168" s="231" t="s">
        <v>4291</v>
      </c>
      <c r="C168" s="231" t="s">
        <v>4292</v>
      </c>
      <c r="D168" s="231">
        <v>-4</v>
      </c>
      <c r="E168" s="231" t="s">
        <v>4221</v>
      </c>
      <c r="F168" s="231">
        <v>0</v>
      </c>
      <c r="G168" s="316">
        <v>45761</v>
      </c>
      <c r="H168" s="231">
        <v>0</v>
      </c>
      <c r="I168" s="231">
        <v>0</v>
      </c>
      <c r="J168" s="231">
        <v>925</v>
      </c>
      <c r="K168" s="231">
        <v>925</v>
      </c>
      <c r="L168" s="231" t="s">
        <v>4224</v>
      </c>
    </row>
    <row r="169" spans="1:12">
      <c r="A169" s="231">
        <v>249</v>
      </c>
      <c r="C169" s="231" t="s">
        <v>4293</v>
      </c>
      <c r="D169" s="231">
        <v>6</v>
      </c>
      <c r="E169" s="231" t="s">
        <v>4221</v>
      </c>
      <c r="F169" s="231">
        <v>0</v>
      </c>
      <c r="G169" s="316">
        <v>45912</v>
      </c>
      <c r="H169" s="231">
        <v>0</v>
      </c>
      <c r="I169" s="231">
        <v>0</v>
      </c>
      <c r="J169" s="315">
        <v>1310</v>
      </c>
      <c r="K169" s="231">
        <v>0</v>
      </c>
      <c r="L169" s="231" t="s">
        <v>4063</v>
      </c>
    </row>
    <row r="170" spans="1:12">
      <c r="A170" s="231" t="s">
        <v>4294</v>
      </c>
      <c r="C170" s="231" t="s">
        <v>4295</v>
      </c>
      <c r="D170" s="231">
        <v>-4</v>
      </c>
      <c r="E170" s="231" t="s">
        <v>4221</v>
      </c>
      <c r="F170" s="231">
        <v>0</v>
      </c>
      <c r="G170" s="316">
        <v>45897</v>
      </c>
      <c r="H170" s="231">
        <v>0</v>
      </c>
      <c r="I170" s="231">
        <v>0</v>
      </c>
      <c r="J170" s="231">
        <v>848</v>
      </c>
      <c r="K170" s="231">
        <v>848</v>
      </c>
      <c r="L170" s="231" t="s">
        <v>4236</v>
      </c>
    </row>
    <row r="171" spans="1:12">
      <c r="A171" s="232">
        <v>47150</v>
      </c>
      <c r="C171" s="231" t="s">
        <v>4296</v>
      </c>
      <c r="D171" s="231">
        <v>-42</v>
      </c>
      <c r="E171" s="231" t="s">
        <v>4221</v>
      </c>
      <c r="F171" s="231">
        <v>0</v>
      </c>
      <c r="G171" s="316">
        <v>45783</v>
      </c>
      <c r="H171" s="231">
        <v>0</v>
      </c>
      <c r="I171" s="231">
        <v>0</v>
      </c>
      <c r="J171" s="231">
        <v>985</v>
      </c>
      <c r="K171" s="315">
        <v>1080</v>
      </c>
      <c r="L171" s="231" t="s">
        <v>4224</v>
      </c>
    </row>
    <row r="172" spans="1:12">
      <c r="A172" s="232">
        <v>51167</v>
      </c>
      <c r="C172" s="231" t="s">
        <v>4297</v>
      </c>
      <c r="D172" s="231">
        <v>-22</v>
      </c>
      <c r="E172" s="231" t="s">
        <v>4221</v>
      </c>
      <c r="F172" s="231">
        <v>0</v>
      </c>
      <c r="G172" s="316">
        <v>45840</v>
      </c>
      <c r="H172" s="231">
        <v>0</v>
      </c>
      <c r="I172" s="231">
        <v>0</v>
      </c>
      <c r="J172" s="231">
        <v>835</v>
      </c>
      <c r="K172" s="231">
        <v>835</v>
      </c>
      <c r="L172" s="231" t="s">
        <v>4236</v>
      </c>
    </row>
    <row r="173" spans="1:12">
      <c r="A173" s="231">
        <v>1041</v>
      </c>
      <c r="C173" s="231" t="s">
        <v>4298</v>
      </c>
      <c r="D173" s="231">
        <v>1</v>
      </c>
      <c r="E173" s="231" t="s">
        <v>4221</v>
      </c>
      <c r="F173" s="231">
        <v>0</v>
      </c>
      <c r="G173" s="316">
        <v>45993</v>
      </c>
      <c r="H173" s="231">
        <v>0</v>
      </c>
      <c r="I173" s="231">
        <v>0</v>
      </c>
      <c r="J173" s="231">
        <v>965</v>
      </c>
      <c r="K173" s="231">
        <v>893</v>
      </c>
      <c r="L173" s="231" t="s">
        <v>4253</v>
      </c>
    </row>
    <row r="174" spans="1:12">
      <c r="A174" s="231" t="s">
        <v>4299</v>
      </c>
      <c r="C174" s="231" t="s">
        <v>4300</v>
      </c>
      <c r="D174" s="231">
        <v>-5</v>
      </c>
      <c r="E174" s="231" t="s">
        <v>4221</v>
      </c>
      <c r="F174" s="231">
        <v>0</v>
      </c>
      <c r="G174" s="316">
        <v>45994</v>
      </c>
      <c r="H174" s="231">
        <v>0</v>
      </c>
      <c r="I174" s="231">
        <v>0</v>
      </c>
      <c r="J174" s="231">
        <v>925</v>
      </c>
      <c r="K174" s="231">
        <v>790</v>
      </c>
      <c r="L174" s="231" t="s">
        <v>4199</v>
      </c>
    </row>
    <row r="175" spans="1:12">
      <c r="A175" s="231">
        <v>159</v>
      </c>
      <c r="C175" s="231" t="s">
        <v>4301</v>
      </c>
      <c r="D175" s="231">
        <v>0</v>
      </c>
      <c r="E175" s="231" t="s">
        <v>4221</v>
      </c>
      <c r="F175" s="231">
        <v>0</v>
      </c>
      <c r="G175" s="316">
        <v>45681</v>
      </c>
      <c r="H175" s="231">
        <v>0</v>
      </c>
      <c r="I175" s="231">
        <v>0</v>
      </c>
      <c r="J175" s="315">
        <v>1335</v>
      </c>
      <c r="K175" s="315">
        <v>1252</v>
      </c>
      <c r="L175" s="231" t="s">
        <v>4224</v>
      </c>
    </row>
    <row r="176" spans="1:12">
      <c r="A176" s="231">
        <v>2094</v>
      </c>
      <c r="C176" s="231" t="s">
        <v>4302</v>
      </c>
      <c r="D176" s="231">
        <v>0</v>
      </c>
      <c r="E176" s="231" t="s">
        <v>4221</v>
      </c>
      <c r="F176" s="231">
        <v>0</v>
      </c>
      <c r="G176" s="316">
        <v>45912</v>
      </c>
      <c r="H176" s="231">
        <v>0</v>
      </c>
      <c r="I176" s="231">
        <v>0</v>
      </c>
      <c r="J176" s="231">
        <v>910</v>
      </c>
      <c r="K176" s="231">
        <v>0</v>
      </c>
      <c r="L176" s="231" t="s">
        <v>4063</v>
      </c>
    </row>
    <row r="177" spans="1:12">
      <c r="A177" s="231">
        <v>204</v>
      </c>
      <c r="C177" s="231" t="s">
        <v>4303</v>
      </c>
      <c r="D177" s="231">
        <v>0</v>
      </c>
      <c r="E177" s="231" t="s">
        <v>4221</v>
      </c>
      <c r="F177" s="231">
        <v>0</v>
      </c>
      <c r="G177" s="316">
        <v>45838</v>
      </c>
      <c r="H177" s="231">
        <v>0</v>
      </c>
      <c r="I177" s="231">
        <v>0</v>
      </c>
      <c r="J177" s="231">
        <v>980</v>
      </c>
      <c r="K177" s="315">
        <v>1075</v>
      </c>
      <c r="L177" s="231" t="s">
        <v>4224</v>
      </c>
    </row>
    <row r="178" spans="1:12">
      <c r="A178" s="231" t="s">
        <v>4304</v>
      </c>
    </row>
    <row r="179" spans="1:12">
      <c r="A179" s="231" t="s">
        <v>496</v>
      </c>
      <c r="C179" s="231" t="s">
        <v>4053</v>
      </c>
      <c r="D179" s="231" t="s">
        <v>4054</v>
      </c>
      <c r="E179" s="231" t="s">
        <v>4055</v>
      </c>
      <c r="F179" s="231" t="s">
        <v>4056</v>
      </c>
      <c r="G179" s="231" t="s">
        <v>4057</v>
      </c>
      <c r="H179" s="231" t="s">
        <v>4058</v>
      </c>
      <c r="J179" s="231" t="s">
        <v>1905</v>
      </c>
      <c r="K179" s="231" t="s">
        <v>4059</v>
      </c>
      <c r="L179" s="231" t="s">
        <v>4060</v>
      </c>
    </row>
    <row r="180" spans="1:12">
      <c r="A180" s="231" t="s">
        <v>4305</v>
      </c>
    </row>
    <row r="181" spans="1:12">
      <c r="A181" s="232">
        <v>51167</v>
      </c>
      <c r="C181" s="231" t="s">
        <v>4306</v>
      </c>
      <c r="D181" s="231">
        <v>185</v>
      </c>
      <c r="E181" s="231" t="s">
        <v>4221</v>
      </c>
      <c r="F181" s="231">
        <v>0</v>
      </c>
      <c r="G181" s="316">
        <v>45790</v>
      </c>
      <c r="H181" s="231">
        <v>6</v>
      </c>
      <c r="I181" s="231">
        <v>0</v>
      </c>
      <c r="J181" s="231">
        <v>835</v>
      </c>
      <c r="K181" s="231">
        <v>835</v>
      </c>
      <c r="L181" s="231" t="s">
        <v>507</v>
      </c>
    </row>
    <row r="182" spans="1:12">
      <c r="A182" s="231" t="s">
        <v>4291</v>
      </c>
      <c r="C182" s="231" t="s">
        <v>4307</v>
      </c>
      <c r="D182" s="231">
        <v>429</v>
      </c>
      <c r="E182" s="231" t="s">
        <v>4308</v>
      </c>
      <c r="F182" s="231">
        <v>0</v>
      </c>
      <c r="G182" s="316">
        <v>45751</v>
      </c>
      <c r="H182" s="231">
        <v>9</v>
      </c>
      <c r="I182" s="231">
        <v>2</v>
      </c>
      <c r="J182" s="231">
        <v>925</v>
      </c>
      <c r="K182" s="231">
        <v>965</v>
      </c>
      <c r="L182" s="231" t="s">
        <v>507</v>
      </c>
    </row>
    <row r="183" spans="1:12">
      <c r="A183" s="231">
        <v>3091</v>
      </c>
      <c r="C183" s="231" t="s">
        <v>4309</v>
      </c>
      <c r="D183" s="231">
        <v>1886</v>
      </c>
      <c r="E183" s="231" t="s">
        <v>4221</v>
      </c>
      <c r="F183" s="231">
        <v>0</v>
      </c>
      <c r="G183" s="316">
        <v>45908</v>
      </c>
      <c r="H183" s="231">
        <v>7</v>
      </c>
      <c r="I183" s="231">
        <v>0</v>
      </c>
      <c r="J183" s="231">
        <v>965</v>
      </c>
      <c r="K183" s="231">
        <v>966</v>
      </c>
      <c r="L183" s="231" t="s">
        <v>507</v>
      </c>
    </row>
    <row r="184" spans="1:12">
      <c r="A184" s="232">
        <v>426271</v>
      </c>
      <c r="C184" s="231" t="s">
        <v>4310</v>
      </c>
      <c r="D184" s="231">
        <v>574</v>
      </c>
      <c r="E184" s="231" t="s">
        <v>4221</v>
      </c>
      <c r="F184" s="231">
        <v>0</v>
      </c>
      <c r="G184" s="316">
        <v>45722</v>
      </c>
      <c r="H184" s="231">
        <v>14</v>
      </c>
      <c r="I184" s="231">
        <v>0</v>
      </c>
      <c r="J184" s="315">
        <v>1585</v>
      </c>
      <c r="K184" s="315">
        <v>1395</v>
      </c>
      <c r="L184" s="231" t="s">
        <v>507</v>
      </c>
    </row>
    <row r="185" spans="1:12">
      <c r="A185" s="232">
        <v>435037</v>
      </c>
      <c r="C185" s="231" t="s">
        <v>4311</v>
      </c>
      <c r="D185" s="231">
        <v>2089</v>
      </c>
      <c r="E185" s="231" t="s">
        <v>4308</v>
      </c>
      <c r="F185" s="231">
        <v>0</v>
      </c>
      <c r="G185" s="316">
        <v>45828</v>
      </c>
      <c r="H185" s="231">
        <v>14</v>
      </c>
      <c r="I185" s="231">
        <v>0</v>
      </c>
      <c r="J185" s="315">
        <v>1075</v>
      </c>
      <c r="K185" s="315">
        <v>1159</v>
      </c>
      <c r="L185" s="231" t="s">
        <v>507</v>
      </c>
    </row>
    <row r="186" spans="1:12">
      <c r="A186" s="231">
        <v>237</v>
      </c>
      <c r="C186" s="231" t="s">
        <v>4312</v>
      </c>
      <c r="D186" s="231">
        <v>299</v>
      </c>
      <c r="E186" s="231" t="s">
        <v>4221</v>
      </c>
      <c r="F186" s="231">
        <v>0</v>
      </c>
      <c r="G186" s="316">
        <v>45847</v>
      </c>
      <c r="H186" s="231">
        <v>6</v>
      </c>
      <c r="I186" s="231">
        <v>4</v>
      </c>
      <c r="J186" s="231">
        <v>980</v>
      </c>
      <c r="K186" s="315">
        <v>1125</v>
      </c>
      <c r="L186" s="231" t="s">
        <v>507</v>
      </c>
    </row>
    <row r="187" spans="1:12">
      <c r="A187" s="231" t="s">
        <v>4313</v>
      </c>
      <c r="C187" s="231" t="s">
        <v>4314</v>
      </c>
      <c r="D187" s="231">
        <v>446</v>
      </c>
      <c r="E187" s="231" t="s">
        <v>4308</v>
      </c>
      <c r="F187" s="231">
        <v>0</v>
      </c>
      <c r="G187" s="316">
        <v>45769</v>
      </c>
      <c r="H187" s="231">
        <v>2</v>
      </c>
      <c r="I187" s="231">
        <v>0</v>
      </c>
      <c r="J187" s="315">
        <v>1645</v>
      </c>
      <c r="K187" s="315">
        <v>1465</v>
      </c>
      <c r="L187" s="231" t="s">
        <v>507</v>
      </c>
    </row>
    <row r="188" spans="1:12">
      <c r="A188" s="231">
        <v>2047</v>
      </c>
      <c r="C188" s="231" t="s">
        <v>4315</v>
      </c>
      <c r="D188" s="231">
        <v>179</v>
      </c>
      <c r="E188" s="231" t="s">
        <v>4221</v>
      </c>
      <c r="F188" s="231">
        <v>0</v>
      </c>
      <c r="G188" s="316">
        <v>45908</v>
      </c>
      <c r="H188" s="231">
        <v>5</v>
      </c>
      <c r="I188" s="231">
        <v>0</v>
      </c>
      <c r="J188" s="231">
        <v>940</v>
      </c>
      <c r="K188" s="231">
        <v>940</v>
      </c>
      <c r="L188" s="231" t="s">
        <v>507</v>
      </c>
    </row>
    <row r="189" spans="1:12">
      <c r="A189" s="231" t="s">
        <v>4228</v>
      </c>
      <c r="C189" s="231" t="s">
        <v>4316</v>
      </c>
      <c r="D189" s="231">
        <v>475</v>
      </c>
      <c r="E189" s="231" t="s">
        <v>4308</v>
      </c>
      <c r="F189" s="231">
        <v>0</v>
      </c>
      <c r="G189" s="316">
        <v>45756</v>
      </c>
      <c r="H189" s="231">
        <v>13</v>
      </c>
      <c r="I189" s="231">
        <v>0</v>
      </c>
      <c r="J189" s="231">
        <v>960</v>
      </c>
      <c r="K189" s="315">
        <v>1100</v>
      </c>
      <c r="L189" s="231" t="s">
        <v>507</v>
      </c>
    </row>
    <row r="190" spans="1:12">
      <c r="A190" s="231" t="s">
        <v>4170</v>
      </c>
      <c r="C190" s="231" t="s">
        <v>4317</v>
      </c>
      <c r="D190" s="231">
        <v>153</v>
      </c>
      <c r="E190" s="231" t="s">
        <v>4221</v>
      </c>
      <c r="F190" s="231">
        <v>0</v>
      </c>
      <c r="G190" s="316">
        <v>45828</v>
      </c>
      <c r="H190" s="231">
        <v>3</v>
      </c>
      <c r="I190" s="231">
        <v>0</v>
      </c>
      <c r="J190" s="315">
        <v>1380</v>
      </c>
      <c r="K190" s="315">
        <v>1475</v>
      </c>
      <c r="L190" s="231" t="s">
        <v>507</v>
      </c>
    </row>
    <row r="191" spans="1:12">
      <c r="A191" s="231">
        <v>2058</v>
      </c>
      <c r="C191" s="231" t="s">
        <v>4318</v>
      </c>
      <c r="D191" s="231">
        <v>262</v>
      </c>
      <c r="E191" s="231" t="s">
        <v>4221</v>
      </c>
      <c r="F191" s="231">
        <v>0</v>
      </c>
      <c r="G191" s="316">
        <v>45671</v>
      </c>
      <c r="H191" s="231">
        <v>5</v>
      </c>
      <c r="I191" s="231">
        <v>0</v>
      </c>
      <c r="J191" s="231">
        <v>955</v>
      </c>
      <c r="K191" s="315">
        <v>1030</v>
      </c>
      <c r="L191" s="231" t="s">
        <v>507</v>
      </c>
    </row>
    <row r="192" spans="1:12">
      <c r="A192" s="231">
        <v>3090</v>
      </c>
      <c r="C192" s="231" t="s">
        <v>4319</v>
      </c>
      <c r="D192" s="231">
        <v>375</v>
      </c>
      <c r="E192" s="231" t="s">
        <v>4221</v>
      </c>
      <c r="F192" s="231">
        <v>0</v>
      </c>
      <c r="G192" s="316">
        <v>45854</v>
      </c>
      <c r="H192" s="231">
        <v>10</v>
      </c>
      <c r="I192" s="231">
        <v>0</v>
      </c>
      <c r="J192" s="231">
        <v>975</v>
      </c>
      <c r="K192" s="315">
        <v>1040</v>
      </c>
      <c r="L192" s="231" t="s">
        <v>507</v>
      </c>
    </row>
    <row r="193" spans="1:12">
      <c r="A193" s="231" t="s">
        <v>4173</v>
      </c>
      <c r="C193" s="231" t="s">
        <v>4320</v>
      </c>
      <c r="D193" s="231">
        <v>1197</v>
      </c>
      <c r="E193" s="231" t="s">
        <v>4308</v>
      </c>
      <c r="F193" s="231">
        <v>0</v>
      </c>
      <c r="G193" s="316">
        <v>45818</v>
      </c>
      <c r="H193" s="231">
        <v>15</v>
      </c>
      <c r="I193" s="231">
        <v>0</v>
      </c>
      <c r="J193" s="315">
        <v>1090</v>
      </c>
      <c r="K193" s="315">
        <v>1185</v>
      </c>
      <c r="L193" s="231" t="s">
        <v>507</v>
      </c>
    </row>
    <row r="194" spans="1:12">
      <c r="A194" s="231" t="s">
        <v>4321</v>
      </c>
      <c r="C194" s="231" t="s">
        <v>4322</v>
      </c>
      <c r="D194" s="231">
        <v>334</v>
      </c>
      <c r="E194" s="231" t="s">
        <v>4221</v>
      </c>
      <c r="F194" s="231">
        <v>0</v>
      </c>
      <c r="G194" s="316">
        <v>45763</v>
      </c>
      <c r="H194" s="231">
        <v>7</v>
      </c>
      <c r="I194" s="231">
        <v>0</v>
      </c>
      <c r="J194" s="315">
        <v>1395</v>
      </c>
      <c r="K194" s="315">
        <v>1410</v>
      </c>
      <c r="L194" s="231" t="s">
        <v>507</v>
      </c>
    </row>
    <row r="195" spans="1:12">
      <c r="A195" s="231" t="s">
        <v>4279</v>
      </c>
      <c r="C195" s="231" t="s">
        <v>4323</v>
      </c>
      <c r="D195" s="231">
        <v>207</v>
      </c>
      <c r="E195" s="231" t="s">
        <v>4221</v>
      </c>
      <c r="F195" s="231">
        <v>0</v>
      </c>
      <c r="G195" s="316">
        <v>45828</v>
      </c>
      <c r="H195" s="231">
        <v>4</v>
      </c>
      <c r="I195" s="231">
        <v>0</v>
      </c>
      <c r="J195" s="315">
        <v>1380</v>
      </c>
      <c r="K195" s="315">
        <v>1380</v>
      </c>
      <c r="L195" s="231" t="s">
        <v>507</v>
      </c>
    </row>
    <row r="196" spans="1:12">
      <c r="A196" s="232">
        <v>60299</v>
      </c>
      <c r="C196" s="231" t="s">
        <v>4324</v>
      </c>
      <c r="D196" s="231">
        <v>465</v>
      </c>
      <c r="E196" s="231" t="s">
        <v>4308</v>
      </c>
      <c r="F196" s="231">
        <v>0</v>
      </c>
      <c r="G196" s="316">
        <v>45691</v>
      </c>
      <c r="H196" s="231">
        <v>4</v>
      </c>
      <c r="I196" s="231">
        <v>1</v>
      </c>
      <c r="J196" s="315">
        <v>1530</v>
      </c>
      <c r="K196" s="315">
        <v>1290</v>
      </c>
      <c r="L196" s="231" t="s">
        <v>507</v>
      </c>
    </row>
    <row r="197" spans="1:12">
      <c r="A197" s="231">
        <v>2002</v>
      </c>
      <c r="C197" s="231" t="s">
        <v>4325</v>
      </c>
      <c r="D197" s="231">
        <v>192</v>
      </c>
      <c r="E197" s="231" t="s">
        <v>4221</v>
      </c>
      <c r="F197" s="231">
        <v>0</v>
      </c>
      <c r="G197" s="316">
        <v>45807</v>
      </c>
      <c r="H197" s="231">
        <v>6</v>
      </c>
      <c r="I197" s="231">
        <v>0</v>
      </c>
      <c r="J197" s="231">
        <v>817</v>
      </c>
      <c r="K197" s="231">
        <v>817</v>
      </c>
      <c r="L197" s="231" t="s">
        <v>507</v>
      </c>
    </row>
    <row r="198" spans="1:12">
      <c r="A198" s="231">
        <v>144</v>
      </c>
      <c r="C198" s="231" t="s">
        <v>4326</v>
      </c>
      <c r="D198" s="231">
        <v>170</v>
      </c>
      <c r="E198" s="231" t="s">
        <v>4221</v>
      </c>
      <c r="F198" s="231">
        <v>0</v>
      </c>
      <c r="G198" s="316">
        <v>45869</v>
      </c>
      <c r="H198" s="231">
        <v>4</v>
      </c>
      <c r="I198" s="231">
        <v>0</v>
      </c>
      <c r="J198" s="315">
        <v>1570</v>
      </c>
      <c r="K198" s="315">
        <v>1456</v>
      </c>
      <c r="L198" s="231" t="s">
        <v>507</v>
      </c>
    </row>
    <row r="199" spans="1:12">
      <c r="A199" s="231">
        <v>433</v>
      </c>
      <c r="C199" s="231" t="s">
        <v>4327</v>
      </c>
      <c r="D199" s="231">
        <v>361</v>
      </c>
      <c r="E199" s="231" t="s">
        <v>4221</v>
      </c>
      <c r="F199" s="231">
        <v>0</v>
      </c>
      <c r="G199" s="316">
        <v>45973</v>
      </c>
      <c r="H199" s="231">
        <v>12</v>
      </c>
      <c r="I199" s="231">
        <v>1</v>
      </c>
      <c r="J199" s="315">
        <v>1466</v>
      </c>
      <c r="K199" s="315">
        <v>1561</v>
      </c>
      <c r="L199" s="231" t="s">
        <v>507</v>
      </c>
    </row>
    <row r="200" spans="1:12">
      <c r="A200" s="231" t="s">
        <v>4328</v>
      </c>
      <c r="C200" s="231" t="s">
        <v>4329</v>
      </c>
      <c r="D200" s="231">
        <v>542</v>
      </c>
      <c r="E200" s="231" t="s">
        <v>4308</v>
      </c>
      <c r="F200" s="231">
        <v>0</v>
      </c>
      <c r="G200" s="316">
        <v>45951</v>
      </c>
      <c r="H200" s="231">
        <v>9</v>
      </c>
      <c r="I200" s="231">
        <v>0</v>
      </c>
      <c r="J200" s="315">
        <v>1455</v>
      </c>
      <c r="K200" s="315">
        <v>1330</v>
      </c>
      <c r="L200" s="231" t="s">
        <v>507</v>
      </c>
    </row>
    <row r="201" spans="1:12">
      <c r="A201" s="231" t="s">
        <v>4330</v>
      </c>
      <c r="C201" s="231" t="s">
        <v>4331</v>
      </c>
      <c r="D201" s="231">
        <v>326</v>
      </c>
      <c r="E201" s="231" t="s">
        <v>4221</v>
      </c>
      <c r="F201" s="231">
        <v>0</v>
      </c>
      <c r="G201" s="316">
        <v>45972</v>
      </c>
      <c r="H201" s="231">
        <v>11</v>
      </c>
      <c r="I201" s="231">
        <v>0</v>
      </c>
      <c r="J201" s="231">
        <v>791</v>
      </c>
      <c r="K201" s="231">
        <v>791</v>
      </c>
      <c r="L201" s="231" t="s">
        <v>507</v>
      </c>
    </row>
    <row r="202" spans="1:12">
      <c r="A202" s="231">
        <v>258</v>
      </c>
      <c r="C202" s="231" t="s">
        <v>4332</v>
      </c>
      <c r="D202" s="231">
        <v>270</v>
      </c>
      <c r="E202" s="231" t="s">
        <v>4221</v>
      </c>
      <c r="F202" s="231">
        <v>0</v>
      </c>
      <c r="G202" s="316">
        <v>45882</v>
      </c>
      <c r="H202" s="231">
        <v>7</v>
      </c>
      <c r="I202" s="231">
        <v>0</v>
      </c>
      <c r="J202" s="315">
        <v>1975</v>
      </c>
      <c r="K202" s="315">
        <v>1975</v>
      </c>
      <c r="L202" s="231" t="s">
        <v>507</v>
      </c>
    </row>
    <row r="203" spans="1:12">
      <c r="A203" s="231" t="s">
        <v>4333</v>
      </c>
      <c r="C203" s="231" t="s">
        <v>4334</v>
      </c>
      <c r="D203" s="231">
        <v>127</v>
      </c>
      <c r="E203" s="231" t="s">
        <v>4221</v>
      </c>
      <c r="F203" s="231">
        <v>0</v>
      </c>
      <c r="G203" s="316">
        <v>45722</v>
      </c>
      <c r="H203" s="231">
        <v>5</v>
      </c>
      <c r="I203" s="231">
        <v>0</v>
      </c>
      <c r="J203" s="315">
        <v>1283</v>
      </c>
      <c r="K203" s="315">
        <v>1378</v>
      </c>
      <c r="L203" s="231" t="s">
        <v>507</v>
      </c>
    </row>
    <row r="204" spans="1:12">
      <c r="A204" s="231">
        <v>115</v>
      </c>
      <c r="C204" s="231" t="s">
        <v>4335</v>
      </c>
      <c r="D204" s="231">
        <v>783</v>
      </c>
      <c r="E204" s="231" t="s">
        <v>4221</v>
      </c>
      <c r="F204" s="231">
        <v>0</v>
      </c>
      <c r="G204" s="316">
        <v>45769</v>
      </c>
      <c r="H204" s="231">
        <v>10</v>
      </c>
      <c r="I204" s="231">
        <v>0</v>
      </c>
      <c r="J204" s="315">
        <v>1005</v>
      </c>
      <c r="K204" s="315">
        <v>1205</v>
      </c>
      <c r="L204" s="231" t="s">
        <v>507</v>
      </c>
    </row>
    <row r="205" spans="1:12">
      <c r="A205" s="232">
        <v>43497</v>
      </c>
      <c r="C205" s="231" t="s">
        <v>4336</v>
      </c>
      <c r="D205" s="231">
        <v>458</v>
      </c>
      <c r="E205" s="231" t="s">
        <v>4308</v>
      </c>
      <c r="F205" s="231">
        <v>0</v>
      </c>
      <c r="G205" s="316">
        <v>45845</v>
      </c>
      <c r="H205" s="231">
        <v>11</v>
      </c>
      <c r="I205" s="231">
        <v>0</v>
      </c>
      <c r="J205" s="315">
        <v>1580</v>
      </c>
      <c r="K205" s="315">
        <v>1495</v>
      </c>
      <c r="L205" s="231" t="s">
        <v>507</v>
      </c>
    </row>
    <row r="206" spans="1:12">
      <c r="A206" s="232">
        <v>44228</v>
      </c>
      <c r="C206" s="231" t="s">
        <v>4337</v>
      </c>
      <c r="D206" s="231">
        <v>168</v>
      </c>
      <c r="E206" s="231" t="s">
        <v>4221</v>
      </c>
      <c r="F206" s="231">
        <v>0</v>
      </c>
      <c r="G206" s="316">
        <v>45891</v>
      </c>
      <c r="H206" s="231">
        <v>4</v>
      </c>
      <c r="I206" s="231">
        <v>0</v>
      </c>
      <c r="J206" s="315">
        <v>1550</v>
      </c>
      <c r="K206" s="231">
        <v>0</v>
      </c>
      <c r="L206" s="231" t="s">
        <v>507</v>
      </c>
    </row>
    <row r="207" spans="1:12">
      <c r="A207" s="231">
        <v>2057</v>
      </c>
      <c r="C207" s="231" t="s">
        <v>4338</v>
      </c>
      <c r="D207" s="231">
        <v>347</v>
      </c>
      <c r="E207" s="231" t="s">
        <v>4221</v>
      </c>
      <c r="F207" s="231">
        <v>0</v>
      </c>
      <c r="G207" s="316">
        <v>45973</v>
      </c>
      <c r="H207" s="231">
        <v>11</v>
      </c>
      <c r="I207" s="231">
        <v>0</v>
      </c>
      <c r="J207" s="315">
        <v>1130</v>
      </c>
      <c r="K207" s="315">
        <v>1130</v>
      </c>
      <c r="L207" s="231" t="s">
        <v>507</v>
      </c>
    </row>
    <row r="208" spans="1:12">
      <c r="A208" s="232">
        <v>61029</v>
      </c>
      <c r="C208" s="231" t="s">
        <v>4339</v>
      </c>
      <c r="D208" s="231">
        <v>299</v>
      </c>
      <c r="E208" s="231" t="s">
        <v>4221</v>
      </c>
      <c r="F208" s="231">
        <v>0</v>
      </c>
      <c r="G208" s="316">
        <v>45721</v>
      </c>
      <c r="H208" s="231">
        <v>8</v>
      </c>
      <c r="I208" s="231">
        <v>0</v>
      </c>
      <c r="J208" s="315">
        <v>1575</v>
      </c>
      <c r="K208" s="231">
        <v>0</v>
      </c>
      <c r="L208" s="231" t="s">
        <v>507</v>
      </c>
    </row>
    <row r="209" spans="1:12">
      <c r="A209" s="231" t="s">
        <v>4340</v>
      </c>
      <c r="C209" s="231" t="s">
        <v>4341</v>
      </c>
      <c r="D209" s="231">
        <v>69</v>
      </c>
      <c r="E209" s="231" t="s">
        <v>4221</v>
      </c>
      <c r="F209" s="231">
        <v>0</v>
      </c>
      <c r="G209" s="316">
        <v>45807</v>
      </c>
      <c r="H209" s="231">
        <v>1</v>
      </c>
      <c r="I209" s="231">
        <v>0</v>
      </c>
      <c r="J209" s="315">
        <v>1585</v>
      </c>
      <c r="K209" s="315">
        <v>1585</v>
      </c>
      <c r="L209" s="231" t="s">
        <v>507</v>
      </c>
    </row>
    <row r="210" spans="1:12">
      <c r="A210" s="231" t="s">
        <v>4342</v>
      </c>
      <c r="C210" s="231" t="s">
        <v>4343</v>
      </c>
      <c r="D210" s="231">
        <v>192</v>
      </c>
      <c r="E210" s="231" t="s">
        <v>4221</v>
      </c>
      <c r="F210" s="231">
        <v>0</v>
      </c>
      <c r="G210" s="316">
        <v>45818</v>
      </c>
      <c r="H210" s="231">
        <v>6</v>
      </c>
      <c r="I210" s="231">
        <v>0</v>
      </c>
      <c r="J210" s="315">
        <v>1000</v>
      </c>
      <c r="K210" s="315">
        <v>1000</v>
      </c>
      <c r="L210" s="231" t="s">
        <v>507</v>
      </c>
    </row>
    <row r="211" spans="1:12">
      <c r="A211" s="231">
        <v>403</v>
      </c>
      <c r="C211" s="231" t="s">
        <v>4344</v>
      </c>
      <c r="D211" s="231">
        <v>265</v>
      </c>
      <c r="E211" s="231" t="s">
        <v>4221</v>
      </c>
      <c r="F211" s="231">
        <v>0</v>
      </c>
      <c r="G211" s="316">
        <v>45908</v>
      </c>
      <c r="H211" s="231">
        <v>7</v>
      </c>
      <c r="I211" s="231">
        <v>0</v>
      </c>
      <c r="J211" s="315">
        <v>1200</v>
      </c>
      <c r="K211" s="315">
        <v>1295</v>
      </c>
      <c r="L211" s="231" t="s">
        <v>507</v>
      </c>
    </row>
    <row r="212" spans="1:12">
      <c r="A212" s="231" t="s">
        <v>4167</v>
      </c>
      <c r="C212" s="231" t="s">
        <v>4345</v>
      </c>
      <c r="D212" s="231">
        <v>170</v>
      </c>
      <c r="E212" s="231" t="s">
        <v>4221</v>
      </c>
      <c r="F212" s="231">
        <v>0</v>
      </c>
      <c r="G212" s="316">
        <v>45887</v>
      </c>
      <c r="H212" s="231">
        <v>4</v>
      </c>
      <c r="I212" s="231">
        <v>3</v>
      </c>
      <c r="J212" s="231">
        <v>895</v>
      </c>
      <c r="K212" s="231">
        <v>990</v>
      </c>
      <c r="L212" s="231" t="s">
        <v>507</v>
      </c>
    </row>
    <row r="213" spans="1:12">
      <c r="A213" s="231">
        <v>252</v>
      </c>
      <c r="C213" s="231" t="s">
        <v>4346</v>
      </c>
      <c r="D213" s="231">
        <v>454</v>
      </c>
      <c r="E213" s="231" t="s">
        <v>4308</v>
      </c>
      <c r="F213" s="231">
        <v>0</v>
      </c>
      <c r="G213" s="316">
        <v>45684</v>
      </c>
      <c r="H213" s="231">
        <v>5</v>
      </c>
      <c r="I213" s="231">
        <v>0</v>
      </c>
      <c r="J213" s="315">
        <v>1310</v>
      </c>
      <c r="K213" s="315">
        <v>1240</v>
      </c>
      <c r="L213" s="231" t="s">
        <v>507</v>
      </c>
    </row>
    <row r="214" spans="1:12">
      <c r="A214" s="231">
        <v>123</v>
      </c>
      <c r="C214" s="231" t="s">
        <v>4347</v>
      </c>
      <c r="D214" s="231">
        <v>155</v>
      </c>
      <c r="E214" s="231" t="s">
        <v>4221</v>
      </c>
      <c r="F214" s="231">
        <v>0</v>
      </c>
      <c r="G214" s="316">
        <v>45869</v>
      </c>
      <c r="H214" s="231">
        <v>3</v>
      </c>
      <c r="I214" s="231">
        <v>0</v>
      </c>
      <c r="J214" s="315">
        <v>1590</v>
      </c>
      <c r="K214" s="315">
        <v>1685</v>
      </c>
      <c r="L214" s="231" t="s">
        <v>507</v>
      </c>
    </row>
    <row r="215" spans="1:12">
      <c r="A215" s="232">
        <v>51898</v>
      </c>
      <c r="C215" s="231" t="s">
        <v>4348</v>
      </c>
      <c r="D215" s="231">
        <v>266</v>
      </c>
      <c r="E215" s="231" t="s">
        <v>4221</v>
      </c>
      <c r="F215" s="231">
        <v>0</v>
      </c>
      <c r="G215" s="316">
        <v>45908</v>
      </c>
      <c r="H215" s="231">
        <v>5</v>
      </c>
      <c r="I215" s="231">
        <v>0</v>
      </c>
      <c r="J215" s="231">
        <v>985</v>
      </c>
      <c r="K215" s="315">
        <v>1080</v>
      </c>
      <c r="L215" s="231" t="s">
        <v>507</v>
      </c>
    </row>
    <row r="216" spans="1:12">
      <c r="A216" s="231">
        <v>1002</v>
      </c>
      <c r="C216" s="231" t="s">
        <v>4349</v>
      </c>
      <c r="D216" s="231">
        <v>794</v>
      </c>
      <c r="E216" s="231" t="s">
        <v>4308</v>
      </c>
      <c r="F216" s="231">
        <v>0</v>
      </c>
      <c r="G216" s="316">
        <v>45721</v>
      </c>
      <c r="H216" s="231">
        <v>14</v>
      </c>
      <c r="I216" s="231">
        <v>0</v>
      </c>
      <c r="J216" s="231">
        <v>920</v>
      </c>
      <c r="K216" s="231">
        <v>900</v>
      </c>
      <c r="L216" s="231" t="s">
        <v>507</v>
      </c>
    </row>
    <row r="217" spans="1:12">
      <c r="A217" s="232">
        <v>38384</v>
      </c>
      <c r="C217" s="231" t="s">
        <v>4350</v>
      </c>
      <c r="D217" s="231">
        <v>357</v>
      </c>
      <c r="E217" s="231" t="s">
        <v>4221</v>
      </c>
      <c r="F217" s="231">
        <v>0</v>
      </c>
      <c r="G217" s="316">
        <v>45925</v>
      </c>
      <c r="H217" s="231">
        <v>7</v>
      </c>
      <c r="I217" s="231">
        <v>0</v>
      </c>
      <c r="J217" s="231">
        <v>985</v>
      </c>
      <c r="K217" s="315">
        <v>1135</v>
      </c>
      <c r="L217" s="231" t="s">
        <v>507</v>
      </c>
    </row>
    <row r="218" spans="1:12">
      <c r="A218" s="231">
        <v>1001</v>
      </c>
      <c r="C218" s="231" t="s">
        <v>4351</v>
      </c>
      <c r="D218" s="231">
        <v>746</v>
      </c>
      <c r="E218" s="231" t="s">
        <v>4221</v>
      </c>
      <c r="F218" s="231">
        <v>0</v>
      </c>
      <c r="G218" s="316">
        <v>45888</v>
      </c>
      <c r="H218" s="231">
        <v>8</v>
      </c>
      <c r="I218" s="231">
        <v>0</v>
      </c>
      <c r="J218" s="231">
        <v>920</v>
      </c>
      <c r="K218" s="231">
        <v>927</v>
      </c>
      <c r="L218" s="231" t="s">
        <v>507</v>
      </c>
    </row>
    <row r="219" spans="1:12">
      <c r="A219" s="231" t="s">
        <v>4352</v>
      </c>
      <c r="C219" s="231" t="s">
        <v>4353</v>
      </c>
      <c r="D219" s="231">
        <v>350</v>
      </c>
      <c r="E219" s="231" t="s">
        <v>4221</v>
      </c>
      <c r="F219" s="231">
        <v>0</v>
      </c>
      <c r="G219" s="316">
        <v>45869</v>
      </c>
      <c r="H219" s="231">
        <v>7</v>
      </c>
      <c r="I219" s="231">
        <v>1</v>
      </c>
      <c r="J219" s="315">
        <v>1010</v>
      </c>
      <c r="K219" s="231">
        <v>0</v>
      </c>
      <c r="L219" s="231" t="s">
        <v>507</v>
      </c>
    </row>
    <row r="220" spans="1:12">
      <c r="A220" s="231">
        <v>221</v>
      </c>
      <c r="C220" s="231" t="s">
        <v>4354</v>
      </c>
      <c r="D220" s="231">
        <v>239</v>
      </c>
      <c r="E220" s="231" t="s">
        <v>4221</v>
      </c>
      <c r="F220" s="231">
        <v>0</v>
      </c>
      <c r="G220" s="316">
        <v>45828</v>
      </c>
      <c r="H220" s="231">
        <v>5</v>
      </c>
      <c r="I220" s="231">
        <v>0</v>
      </c>
      <c r="J220" s="315">
        <v>1510</v>
      </c>
      <c r="K220" s="315">
        <v>1510</v>
      </c>
      <c r="L220" s="231" t="s">
        <v>507</v>
      </c>
    </row>
    <row r="221" spans="1:12">
      <c r="A221" s="232">
        <v>426636</v>
      </c>
      <c r="C221" s="231" t="s">
        <v>4355</v>
      </c>
      <c r="D221" s="231">
        <v>252</v>
      </c>
      <c r="E221" s="231" t="s">
        <v>4221</v>
      </c>
      <c r="F221" s="231">
        <v>0</v>
      </c>
      <c r="G221" s="316">
        <v>45775</v>
      </c>
      <c r="H221" s="231">
        <v>6</v>
      </c>
      <c r="I221" s="231">
        <v>0</v>
      </c>
      <c r="J221" s="315">
        <v>1540</v>
      </c>
      <c r="K221" s="231">
        <v>0</v>
      </c>
      <c r="L221" s="231" t="s">
        <v>507</v>
      </c>
    </row>
    <row r="222" spans="1:12">
      <c r="A222" s="231">
        <v>142</v>
      </c>
      <c r="C222" s="231" t="s">
        <v>4356</v>
      </c>
      <c r="D222" s="231">
        <v>111</v>
      </c>
      <c r="E222" s="231" t="s">
        <v>4221</v>
      </c>
      <c r="F222" s="231">
        <v>0</v>
      </c>
      <c r="G222" s="316">
        <v>45869</v>
      </c>
      <c r="H222" s="231">
        <v>2</v>
      </c>
      <c r="I222" s="231">
        <v>0</v>
      </c>
      <c r="J222" s="315">
        <v>1570</v>
      </c>
      <c r="K222" s="315">
        <v>1665</v>
      </c>
      <c r="L222" s="231" t="s">
        <v>507</v>
      </c>
    </row>
    <row r="223" spans="1:12">
      <c r="A223" s="232">
        <v>41671</v>
      </c>
      <c r="C223" s="231" t="s">
        <v>4357</v>
      </c>
      <c r="D223" s="231">
        <v>550</v>
      </c>
      <c r="E223" s="231" t="s">
        <v>4308</v>
      </c>
      <c r="F223" s="231">
        <v>0</v>
      </c>
      <c r="G223" s="316">
        <v>45866</v>
      </c>
      <c r="H223" s="231">
        <v>17</v>
      </c>
      <c r="I223" s="231">
        <v>0</v>
      </c>
      <c r="J223" s="315">
        <v>1620</v>
      </c>
      <c r="K223" s="315">
        <v>1465</v>
      </c>
      <c r="L223" s="231" t="s">
        <v>507</v>
      </c>
    </row>
    <row r="224" spans="1:12">
      <c r="A224" s="232">
        <v>55916</v>
      </c>
      <c r="C224" s="231" t="s">
        <v>4358</v>
      </c>
      <c r="D224" s="231">
        <v>291</v>
      </c>
      <c r="E224" s="231" t="s">
        <v>4221</v>
      </c>
      <c r="F224" s="231">
        <v>0</v>
      </c>
      <c r="G224" s="316">
        <v>45996</v>
      </c>
      <c r="H224" s="231">
        <v>4</v>
      </c>
      <c r="I224" s="231">
        <v>0</v>
      </c>
      <c r="J224" s="231">
        <v>955</v>
      </c>
      <c r="K224" s="315">
        <v>1050</v>
      </c>
      <c r="L224" s="231" t="s">
        <v>507</v>
      </c>
    </row>
    <row r="225" spans="1:12">
      <c r="A225" s="231">
        <v>1021</v>
      </c>
      <c r="C225" s="231" t="s">
        <v>4359</v>
      </c>
      <c r="D225" s="231">
        <v>322</v>
      </c>
      <c r="E225" s="231" t="s">
        <v>4221</v>
      </c>
      <c r="F225" s="231">
        <v>0</v>
      </c>
      <c r="G225" s="316">
        <v>45814</v>
      </c>
      <c r="H225" s="231">
        <v>8</v>
      </c>
      <c r="I225" s="231">
        <v>0</v>
      </c>
      <c r="J225" s="231">
        <v>990</v>
      </c>
      <c r="K225" s="231">
        <v>0</v>
      </c>
      <c r="L225" s="231" t="s">
        <v>507</v>
      </c>
    </row>
    <row r="226" spans="1:12">
      <c r="A226" s="232">
        <v>433576</v>
      </c>
      <c r="C226" s="231" t="s">
        <v>4360</v>
      </c>
      <c r="D226" s="231">
        <v>203</v>
      </c>
      <c r="E226" s="231" t="s">
        <v>4221</v>
      </c>
      <c r="F226" s="231">
        <v>0</v>
      </c>
      <c r="G226" s="316">
        <v>45791</v>
      </c>
      <c r="H226" s="231">
        <v>5</v>
      </c>
      <c r="I226" s="231">
        <v>0</v>
      </c>
      <c r="J226" s="231">
        <v>974</v>
      </c>
      <c r="K226" s="315">
        <v>1120</v>
      </c>
      <c r="L226" s="231" t="s">
        <v>507</v>
      </c>
    </row>
    <row r="227" spans="1:12">
      <c r="A227" s="231" t="s">
        <v>4361</v>
      </c>
      <c r="C227" s="231" t="s">
        <v>4362</v>
      </c>
      <c r="D227" s="231">
        <v>624</v>
      </c>
      <c r="E227" s="231" t="s">
        <v>4221</v>
      </c>
      <c r="F227" s="231">
        <v>0</v>
      </c>
      <c r="G227" s="316">
        <v>45763</v>
      </c>
      <c r="H227" s="231">
        <v>4</v>
      </c>
      <c r="I227" s="231">
        <v>0</v>
      </c>
      <c r="J227" s="315">
        <v>1575</v>
      </c>
      <c r="K227" s="315">
        <v>1475</v>
      </c>
      <c r="L227" s="231" t="s">
        <v>507</v>
      </c>
    </row>
    <row r="228" spans="1:12">
      <c r="A228" s="231" t="s">
        <v>4363</v>
      </c>
      <c r="C228" s="231" t="s">
        <v>4364</v>
      </c>
      <c r="D228" s="231">
        <v>439</v>
      </c>
      <c r="E228" s="231" t="s">
        <v>4308</v>
      </c>
      <c r="F228" s="231">
        <v>0</v>
      </c>
      <c r="G228" s="316">
        <v>45896</v>
      </c>
      <c r="H228" s="231">
        <v>7</v>
      </c>
      <c r="I228" s="231">
        <v>0</v>
      </c>
      <c r="J228" s="231">
        <v>920</v>
      </c>
      <c r="K228" s="315">
        <v>1005</v>
      </c>
      <c r="L228" s="231" t="s">
        <v>507</v>
      </c>
    </row>
    <row r="229" spans="1:12">
      <c r="A229" s="231">
        <v>3048</v>
      </c>
      <c r="C229" s="231" t="s">
        <v>4365</v>
      </c>
      <c r="D229" s="231">
        <v>327</v>
      </c>
      <c r="E229" s="231" t="s">
        <v>4221</v>
      </c>
      <c r="F229" s="231">
        <v>0</v>
      </c>
      <c r="G229" s="316">
        <v>45973</v>
      </c>
      <c r="H229" s="231">
        <v>11</v>
      </c>
      <c r="I229" s="231">
        <v>0</v>
      </c>
      <c r="J229" s="231">
        <v>832</v>
      </c>
      <c r="K229" s="231">
        <v>832</v>
      </c>
      <c r="L229" s="231" t="s">
        <v>507</v>
      </c>
    </row>
    <row r="230" spans="1:12">
      <c r="A230" s="231">
        <v>1012</v>
      </c>
      <c r="C230" s="231" t="s">
        <v>4366</v>
      </c>
      <c r="D230" s="231">
        <v>285</v>
      </c>
      <c r="E230" s="231" t="s">
        <v>4221</v>
      </c>
      <c r="F230" s="231">
        <v>0</v>
      </c>
      <c r="G230" s="316">
        <v>45854</v>
      </c>
      <c r="H230" s="231">
        <v>4</v>
      </c>
      <c r="I230" s="231">
        <v>0</v>
      </c>
      <c r="J230" s="315">
        <v>1210</v>
      </c>
      <c r="K230" s="315">
        <v>1275</v>
      </c>
      <c r="L230" s="231" t="s">
        <v>507</v>
      </c>
    </row>
    <row r="231" spans="1:12">
      <c r="A231" s="231">
        <v>3046</v>
      </c>
      <c r="C231" s="231" t="s">
        <v>4367</v>
      </c>
      <c r="D231" s="231">
        <v>193</v>
      </c>
      <c r="E231" s="231" t="s">
        <v>4221</v>
      </c>
      <c r="F231" s="231">
        <v>0</v>
      </c>
      <c r="G231" s="316">
        <v>45908</v>
      </c>
      <c r="H231" s="231">
        <v>5</v>
      </c>
      <c r="I231" s="231">
        <v>0</v>
      </c>
      <c r="J231" s="231">
        <v>832</v>
      </c>
      <c r="K231" s="231">
        <v>832</v>
      </c>
      <c r="L231" s="231" t="s">
        <v>507</v>
      </c>
    </row>
    <row r="232" spans="1:12">
      <c r="A232" s="231">
        <v>2039</v>
      </c>
      <c r="C232" s="231" t="s">
        <v>4368</v>
      </c>
      <c r="D232" s="231">
        <v>242</v>
      </c>
      <c r="E232" s="231" t="s">
        <v>4221</v>
      </c>
      <c r="F232" s="231">
        <v>0</v>
      </c>
      <c r="G232" s="316">
        <v>45812</v>
      </c>
      <c r="H232" s="231">
        <v>6</v>
      </c>
      <c r="I232" s="231">
        <v>0</v>
      </c>
      <c r="J232" s="231">
        <v>940</v>
      </c>
      <c r="K232" s="231">
        <v>905</v>
      </c>
      <c r="L232" s="231" t="s">
        <v>507</v>
      </c>
    </row>
    <row r="233" spans="1:12">
      <c r="A233" s="231">
        <v>3069</v>
      </c>
      <c r="C233" s="231" t="s">
        <v>4369</v>
      </c>
      <c r="D233" s="231">
        <v>187</v>
      </c>
      <c r="E233" s="231" t="s">
        <v>4221</v>
      </c>
      <c r="F233" s="231">
        <v>0</v>
      </c>
      <c r="G233" s="316">
        <v>45671</v>
      </c>
      <c r="H233" s="231">
        <v>4</v>
      </c>
      <c r="I233" s="231">
        <v>0</v>
      </c>
      <c r="J233" s="231">
        <v>960</v>
      </c>
      <c r="K233" s="231">
        <v>990</v>
      </c>
      <c r="L233" s="231" t="s">
        <v>507</v>
      </c>
    </row>
    <row r="234" spans="1:12">
      <c r="A234" s="231" t="s">
        <v>4370</v>
      </c>
      <c r="C234" s="231" t="s">
        <v>4371</v>
      </c>
      <c r="D234" s="231">
        <v>444</v>
      </c>
      <c r="E234" s="231" t="s">
        <v>4308</v>
      </c>
      <c r="F234" s="231">
        <v>0</v>
      </c>
      <c r="G234" s="316">
        <v>45887</v>
      </c>
      <c r="H234" s="231">
        <v>4</v>
      </c>
      <c r="I234" s="231">
        <v>0</v>
      </c>
      <c r="J234" s="231">
        <v>985</v>
      </c>
      <c r="K234" s="315">
        <v>1140</v>
      </c>
      <c r="L234" s="231" t="s">
        <v>507</v>
      </c>
    </row>
    <row r="235" spans="1:12">
      <c r="A235" s="231" t="s">
        <v>4372</v>
      </c>
      <c r="C235" s="231" t="s">
        <v>4373</v>
      </c>
      <c r="D235" s="231">
        <v>247</v>
      </c>
      <c r="E235" s="231" t="s">
        <v>4221</v>
      </c>
      <c r="F235" s="231">
        <v>0</v>
      </c>
      <c r="G235" s="316">
        <v>45845</v>
      </c>
      <c r="H235" s="231">
        <v>6</v>
      </c>
      <c r="I235" s="231">
        <v>2</v>
      </c>
      <c r="J235" s="315">
        <v>1135</v>
      </c>
      <c r="K235" s="231">
        <v>0</v>
      </c>
      <c r="L235" s="231" t="s">
        <v>507</v>
      </c>
    </row>
    <row r="236" spans="1:12">
      <c r="A236" s="231" t="s">
        <v>4374</v>
      </c>
      <c r="C236" s="231" t="s">
        <v>4375</v>
      </c>
      <c r="D236" s="231">
        <v>243</v>
      </c>
      <c r="E236" s="231" t="s">
        <v>4221</v>
      </c>
      <c r="F236" s="231">
        <v>0</v>
      </c>
      <c r="G236" s="316">
        <v>45958</v>
      </c>
      <c r="H236" s="231">
        <v>6</v>
      </c>
      <c r="I236" s="231">
        <v>2</v>
      </c>
      <c r="J236" s="315">
        <v>1035</v>
      </c>
      <c r="K236" s="315">
        <v>1035</v>
      </c>
      <c r="L236" s="231" t="s">
        <v>507</v>
      </c>
    </row>
    <row r="237" spans="1:12">
      <c r="A237" s="232">
        <v>42767</v>
      </c>
      <c r="C237" s="231" t="s">
        <v>4376</v>
      </c>
      <c r="D237" s="231">
        <v>598</v>
      </c>
      <c r="E237" s="231" t="s">
        <v>4221</v>
      </c>
      <c r="F237" s="231">
        <v>0</v>
      </c>
      <c r="G237" s="316">
        <v>45769</v>
      </c>
      <c r="H237" s="231">
        <v>15</v>
      </c>
      <c r="I237" s="231">
        <v>0</v>
      </c>
      <c r="J237" s="315">
        <v>1550</v>
      </c>
      <c r="K237" s="315">
        <v>1465</v>
      </c>
      <c r="L237" s="231" t="s">
        <v>507</v>
      </c>
    </row>
    <row r="238" spans="1:12">
      <c r="A238" s="231">
        <v>249</v>
      </c>
      <c r="C238" s="231" t="s">
        <v>4377</v>
      </c>
      <c r="D238" s="231">
        <v>939</v>
      </c>
      <c r="E238" s="231" t="s">
        <v>4308</v>
      </c>
      <c r="F238" s="231">
        <v>54</v>
      </c>
      <c r="G238" s="316">
        <v>45773</v>
      </c>
      <c r="H238" s="231">
        <v>15</v>
      </c>
      <c r="I238" s="231">
        <v>0</v>
      </c>
      <c r="J238" s="315">
        <v>1310</v>
      </c>
      <c r="K238" s="315">
        <v>1245</v>
      </c>
      <c r="L238" s="231" t="s">
        <v>507</v>
      </c>
    </row>
    <row r="239" spans="1:12">
      <c r="A239" s="231" t="s">
        <v>4378</v>
      </c>
      <c r="C239" s="231" t="s">
        <v>4379</v>
      </c>
      <c r="D239" s="231">
        <v>484</v>
      </c>
      <c r="E239" s="231" t="s">
        <v>4308</v>
      </c>
      <c r="F239" s="231">
        <v>0</v>
      </c>
      <c r="G239" s="316">
        <v>45896</v>
      </c>
      <c r="H239" s="231">
        <v>3</v>
      </c>
      <c r="I239" s="231">
        <v>0</v>
      </c>
      <c r="J239" s="231">
        <v>970</v>
      </c>
      <c r="K239" s="315">
        <v>1030</v>
      </c>
      <c r="L239" s="231" t="s">
        <v>507</v>
      </c>
    </row>
    <row r="240" spans="1:12">
      <c r="A240" s="232">
        <v>432846</v>
      </c>
      <c r="C240" s="231" t="s">
        <v>4380</v>
      </c>
      <c r="D240" s="231">
        <v>307</v>
      </c>
      <c r="E240" s="231" t="s">
        <v>4221</v>
      </c>
      <c r="F240" s="231">
        <v>0</v>
      </c>
      <c r="G240" s="316">
        <v>45828</v>
      </c>
      <c r="H240" s="231">
        <v>8</v>
      </c>
      <c r="I240" s="231">
        <v>0</v>
      </c>
      <c r="J240" s="315">
        <v>1120</v>
      </c>
      <c r="K240" s="315">
        <v>1190</v>
      </c>
      <c r="L240" s="231" t="s">
        <v>507</v>
      </c>
    </row>
    <row r="241" spans="1:12">
      <c r="A241" s="231" t="s">
        <v>4381</v>
      </c>
      <c r="C241" s="231" t="s">
        <v>4382</v>
      </c>
      <c r="D241" s="231">
        <v>265</v>
      </c>
      <c r="E241" s="231" t="s">
        <v>4221</v>
      </c>
      <c r="F241" s="231">
        <v>0</v>
      </c>
      <c r="G241" s="316">
        <v>45870</v>
      </c>
      <c r="H241" s="231">
        <v>5</v>
      </c>
      <c r="I241" s="231">
        <v>0</v>
      </c>
      <c r="J241" s="315">
        <v>1480</v>
      </c>
      <c r="K241" s="231">
        <v>0</v>
      </c>
      <c r="L241" s="231" t="s">
        <v>507</v>
      </c>
    </row>
    <row r="242" spans="1:12">
      <c r="A242" s="232">
        <v>59933</v>
      </c>
      <c r="C242" s="231" t="s">
        <v>4383</v>
      </c>
      <c r="D242" s="231">
        <v>192</v>
      </c>
      <c r="E242" s="231" t="s">
        <v>4221</v>
      </c>
      <c r="F242" s="231">
        <v>0</v>
      </c>
      <c r="G242" s="316">
        <v>45813</v>
      </c>
      <c r="H242" s="231">
        <v>4</v>
      </c>
      <c r="I242" s="231">
        <v>0</v>
      </c>
      <c r="J242" s="315">
        <v>1575</v>
      </c>
      <c r="K242" s="315">
        <v>1575</v>
      </c>
      <c r="L242" s="231" t="s">
        <v>507</v>
      </c>
    </row>
    <row r="243" spans="1:12">
      <c r="A243" s="232">
        <v>60664</v>
      </c>
      <c r="C243" s="231" t="s">
        <v>4384</v>
      </c>
      <c r="D243" s="231">
        <v>733</v>
      </c>
      <c r="E243" s="231" t="s">
        <v>4308</v>
      </c>
      <c r="F243" s="231">
        <v>81</v>
      </c>
      <c r="G243" s="316">
        <v>45780</v>
      </c>
      <c r="H243" s="231">
        <v>3</v>
      </c>
      <c r="I243" s="231">
        <v>2</v>
      </c>
      <c r="J243" s="315">
        <v>1530</v>
      </c>
      <c r="K243" s="315">
        <v>1560</v>
      </c>
      <c r="L243" s="231" t="s">
        <v>507</v>
      </c>
    </row>
    <row r="244" spans="1:12">
      <c r="A244" s="232">
        <v>55550</v>
      </c>
      <c r="C244" s="231" t="s">
        <v>4385</v>
      </c>
      <c r="D244" s="231">
        <v>153</v>
      </c>
      <c r="E244" s="231" t="s">
        <v>4221</v>
      </c>
      <c r="F244" s="231">
        <v>0</v>
      </c>
      <c r="G244" s="316">
        <v>45761</v>
      </c>
      <c r="H244" s="231">
        <v>5</v>
      </c>
      <c r="I244" s="231">
        <v>0</v>
      </c>
      <c r="J244" s="231">
        <v>822</v>
      </c>
      <c r="K244" s="231">
        <v>822</v>
      </c>
      <c r="L244" s="231" t="s">
        <v>507</v>
      </c>
    </row>
    <row r="245" spans="1:12">
      <c r="A245" s="231" t="s">
        <v>4340</v>
      </c>
      <c r="C245" s="231" t="s">
        <v>4386</v>
      </c>
      <c r="D245" s="231">
        <v>236</v>
      </c>
      <c r="E245" s="231" t="s">
        <v>4221</v>
      </c>
      <c r="F245" s="231">
        <v>0</v>
      </c>
      <c r="G245" s="316">
        <v>45673</v>
      </c>
      <c r="H245" s="231">
        <v>5</v>
      </c>
      <c r="I245" s="231">
        <v>2</v>
      </c>
      <c r="J245" s="315">
        <v>1585</v>
      </c>
      <c r="K245" s="315">
        <v>1325</v>
      </c>
      <c r="L245" s="231" t="s">
        <v>4253</v>
      </c>
    </row>
    <row r="246" spans="1:12">
      <c r="A246" s="231">
        <v>2049</v>
      </c>
      <c r="C246" s="231" t="s">
        <v>4387</v>
      </c>
      <c r="D246" s="231">
        <v>543</v>
      </c>
      <c r="E246" s="231" t="s">
        <v>4308</v>
      </c>
      <c r="F246" s="231">
        <v>0</v>
      </c>
      <c r="G246" s="316">
        <v>45751</v>
      </c>
      <c r="H246" s="231">
        <v>13</v>
      </c>
      <c r="I246" s="231">
        <v>0</v>
      </c>
      <c r="J246" s="231">
        <v>940</v>
      </c>
      <c r="K246" s="231">
        <v>965</v>
      </c>
      <c r="L246" s="231" t="s">
        <v>507</v>
      </c>
    </row>
    <row r="247" spans="1:12">
      <c r="A247" s="231">
        <v>1064</v>
      </c>
      <c r="C247" s="231" t="s">
        <v>4388</v>
      </c>
      <c r="D247" s="231">
        <v>350</v>
      </c>
      <c r="E247" s="231" t="s">
        <v>4221</v>
      </c>
      <c r="F247" s="231">
        <v>0</v>
      </c>
      <c r="G247" s="316">
        <v>45807</v>
      </c>
      <c r="H247" s="231">
        <v>3</v>
      </c>
      <c r="I247" s="231">
        <v>0</v>
      </c>
      <c r="J247" s="231">
        <v>980</v>
      </c>
      <c r="K247" s="231">
        <v>0</v>
      </c>
      <c r="L247" s="231" t="s">
        <v>507</v>
      </c>
    </row>
    <row r="248" spans="1:12">
      <c r="A248" s="231" t="s">
        <v>4226</v>
      </c>
      <c r="C248" s="231" t="s">
        <v>4389</v>
      </c>
      <c r="D248" s="231">
        <v>2740</v>
      </c>
      <c r="E248" s="231" t="s">
        <v>4221</v>
      </c>
      <c r="F248" s="231">
        <v>0</v>
      </c>
      <c r="G248" s="316">
        <v>45747</v>
      </c>
      <c r="H248" s="231">
        <v>2</v>
      </c>
      <c r="I248" s="231">
        <v>0</v>
      </c>
      <c r="J248" s="231">
        <v>975</v>
      </c>
      <c r="K248" s="231">
        <v>894</v>
      </c>
      <c r="L248" s="231" t="s">
        <v>507</v>
      </c>
    </row>
    <row r="249" spans="1:12">
      <c r="A249" s="232">
        <v>424445</v>
      </c>
      <c r="C249" s="231" t="s">
        <v>4390</v>
      </c>
      <c r="D249" s="231">
        <v>389</v>
      </c>
      <c r="E249" s="231" t="s">
        <v>4221</v>
      </c>
      <c r="F249" s="231">
        <v>0</v>
      </c>
      <c r="G249" s="316">
        <v>45888</v>
      </c>
      <c r="H249" s="231">
        <v>8</v>
      </c>
      <c r="I249" s="231">
        <v>0</v>
      </c>
      <c r="J249" s="315">
        <v>1585</v>
      </c>
      <c r="K249" s="315">
        <v>1405</v>
      </c>
      <c r="L249" s="231" t="s">
        <v>507</v>
      </c>
    </row>
    <row r="250" spans="1:12">
      <c r="A250" s="231">
        <v>2040</v>
      </c>
      <c r="C250" s="231" t="s">
        <v>4391</v>
      </c>
      <c r="D250" s="231">
        <v>156</v>
      </c>
      <c r="E250" s="231" t="s">
        <v>4221</v>
      </c>
      <c r="F250" s="231">
        <v>0</v>
      </c>
      <c r="G250" s="316">
        <v>45887</v>
      </c>
      <c r="H250" s="231">
        <v>3</v>
      </c>
      <c r="I250" s="231">
        <v>0</v>
      </c>
      <c r="J250" s="231">
        <v>950</v>
      </c>
      <c r="K250" s="315">
        <v>1045</v>
      </c>
      <c r="L250" s="231" t="s">
        <v>507</v>
      </c>
    </row>
    <row r="251" spans="1:12">
      <c r="A251" s="231">
        <v>2082</v>
      </c>
      <c r="C251" s="231" t="s">
        <v>4392</v>
      </c>
      <c r="D251" s="231">
        <v>269</v>
      </c>
      <c r="E251" s="231" t="s">
        <v>4221</v>
      </c>
      <c r="F251" s="231">
        <v>0</v>
      </c>
      <c r="G251" s="316">
        <v>45908</v>
      </c>
      <c r="H251" s="231">
        <v>5</v>
      </c>
      <c r="I251" s="231">
        <v>1</v>
      </c>
      <c r="J251" s="315">
        <v>1130</v>
      </c>
      <c r="K251" s="315">
        <v>1130</v>
      </c>
      <c r="L251" s="231" t="s">
        <v>507</v>
      </c>
    </row>
    <row r="252" spans="1:12">
      <c r="A252" s="231" t="s">
        <v>4393</v>
      </c>
      <c r="C252" s="231" t="s">
        <v>4394</v>
      </c>
      <c r="D252" s="231">
        <v>251</v>
      </c>
      <c r="E252" s="231" t="s">
        <v>4221</v>
      </c>
      <c r="F252" s="231">
        <v>0</v>
      </c>
      <c r="G252" s="316">
        <v>45847</v>
      </c>
      <c r="H252" s="231">
        <v>5</v>
      </c>
      <c r="I252" s="231">
        <v>0</v>
      </c>
      <c r="J252" s="231">
        <v>960</v>
      </c>
      <c r="K252" s="231">
        <v>975</v>
      </c>
      <c r="L252" s="231" t="s">
        <v>507</v>
      </c>
    </row>
    <row r="253" spans="1:12">
      <c r="A253" s="231">
        <v>2070</v>
      </c>
      <c r="C253" s="231" t="s">
        <v>4395</v>
      </c>
      <c r="D253" s="231">
        <v>1165</v>
      </c>
      <c r="E253" s="231" t="s">
        <v>4308</v>
      </c>
      <c r="F253" s="231">
        <v>0</v>
      </c>
      <c r="G253" s="316">
        <v>45751</v>
      </c>
      <c r="H253" s="231">
        <v>3</v>
      </c>
      <c r="I253" s="231">
        <v>0</v>
      </c>
      <c r="J253" s="315">
        <v>1650</v>
      </c>
      <c r="K253" s="315">
        <v>1543</v>
      </c>
      <c r="L253" s="231" t="s">
        <v>507</v>
      </c>
    </row>
    <row r="254" spans="1:12">
      <c r="A254" s="231" t="s">
        <v>4254</v>
      </c>
      <c r="C254" s="231" t="s">
        <v>4396</v>
      </c>
      <c r="D254" s="231">
        <v>417</v>
      </c>
      <c r="E254" s="231" t="s">
        <v>4221</v>
      </c>
      <c r="F254" s="231">
        <v>0</v>
      </c>
      <c r="G254" s="316">
        <v>45891</v>
      </c>
      <c r="H254" s="231">
        <v>3</v>
      </c>
      <c r="I254" s="231">
        <v>0</v>
      </c>
      <c r="J254" s="231">
        <v>935</v>
      </c>
      <c r="K254" s="231">
        <v>950</v>
      </c>
      <c r="L254" s="231" t="s">
        <v>507</v>
      </c>
    </row>
    <row r="255" spans="1:12">
      <c r="A255" s="231" t="s">
        <v>4397</v>
      </c>
      <c r="C255" s="231" t="s">
        <v>4398</v>
      </c>
      <c r="D255" s="231">
        <v>932</v>
      </c>
      <c r="E255" s="231" t="s">
        <v>4308</v>
      </c>
      <c r="F255" s="231">
        <v>0</v>
      </c>
      <c r="G255" s="316">
        <v>45828</v>
      </c>
      <c r="H255" s="231">
        <v>17</v>
      </c>
      <c r="I255" s="231">
        <v>0</v>
      </c>
      <c r="J255" s="231">
        <v>960</v>
      </c>
      <c r="K255" s="315">
        <v>1102</v>
      </c>
      <c r="L255" s="231" t="s">
        <v>507</v>
      </c>
    </row>
    <row r="256" spans="1:12">
      <c r="A256" s="231" t="s">
        <v>4188</v>
      </c>
      <c r="C256" s="231" t="s">
        <v>4399</v>
      </c>
      <c r="D256" s="231">
        <v>106</v>
      </c>
      <c r="E256" s="231" t="s">
        <v>4221</v>
      </c>
      <c r="F256" s="231">
        <v>0</v>
      </c>
      <c r="G256" s="316">
        <v>45891</v>
      </c>
      <c r="H256" s="231">
        <v>3</v>
      </c>
      <c r="I256" s="231">
        <v>0</v>
      </c>
      <c r="J256" s="231">
        <v>975</v>
      </c>
      <c r="K256" s="231">
        <v>975</v>
      </c>
      <c r="L256" s="231" t="s">
        <v>507</v>
      </c>
    </row>
    <row r="257" spans="1:12">
      <c r="A257" s="231" t="s">
        <v>4232</v>
      </c>
      <c r="C257" s="231" t="s">
        <v>4400</v>
      </c>
      <c r="D257" s="231">
        <v>469</v>
      </c>
      <c r="E257" s="231" t="s">
        <v>4308</v>
      </c>
      <c r="F257" s="231">
        <v>0</v>
      </c>
      <c r="G257" s="316">
        <v>45751</v>
      </c>
      <c r="H257" s="231">
        <v>9</v>
      </c>
      <c r="I257" s="231">
        <v>0</v>
      </c>
      <c r="J257" s="231">
        <v>975</v>
      </c>
      <c r="K257" s="315">
        <v>1015</v>
      </c>
      <c r="L257" s="231" t="s">
        <v>507</v>
      </c>
    </row>
    <row r="258" spans="1:12">
      <c r="A258" s="231">
        <v>428</v>
      </c>
      <c r="C258" s="231" t="s">
        <v>4401</v>
      </c>
      <c r="D258" s="231">
        <v>182</v>
      </c>
      <c r="E258" s="231" t="s">
        <v>4221</v>
      </c>
      <c r="F258" s="231">
        <v>0</v>
      </c>
      <c r="G258" s="316">
        <v>45888</v>
      </c>
      <c r="H258" s="231">
        <v>6</v>
      </c>
      <c r="I258" s="231">
        <v>0</v>
      </c>
      <c r="J258" s="315">
        <v>1700</v>
      </c>
      <c r="K258" s="315">
        <v>1571</v>
      </c>
      <c r="L258" s="231" t="s">
        <v>507</v>
      </c>
    </row>
    <row r="259" spans="1:12">
      <c r="A259" s="231">
        <v>352</v>
      </c>
      <c r="C259" s="231" t="s">
        <v>4402</v>
      </c>
      <c r="D259" s="231">
        <v>3256</v>
      </c>
      <c r="E259" s="231" t="s">
        <v>4308</v>
      </c>
      <c r="F259" s="231">
        <v>0</v>
      </c>
      <c r="G259" s="316">
        <v>45722</v>
      </c>
      <c r="H259" s="231">
        <v>9</v>
      </c>
      <c r="I259" s="231">
        <v>0</v>
      </c>
      <c r="J259" s="315">
        <v>1265</v>
      </c>
      <c r="K259" s="231">
        <v>979</v>
      </c>
      <c r="L259" s="231" t="s">
        <v>507</v>
      </c>
    </row>
    <row r="260" spans="1:12">
      <c r="A260" s="232">
        <v>49341</v>
      </c>
      <c r="C260" s="231" t="s">
        <v>4403</v>
      </c>
      <c r="D260" s="231">
        <v>1122</v>
      </c>
      <c r="E260" s="231" t="s">
        <v>4308</v>
      </c>
      <c r="F260" s="231">
        <v>0</v>
      </c>
      <c r="G260" s="316">
        <v>45747</v>
      </c>
      <c r="H260" s="231">
        <v>12</v>
      </c>
      <c r="I260" s="231">
        <v>0</v>
      </c>
      <c r="J260" s="315">
        <v>1110</v>
      </c>
      <c r="K260" s="315">
        <v>1155</v>
      </c>
      <c r="L260" s="231" t="s">
        <v>507</v>
      </c>
    </row>
    <row r="261" spans="1:12">
      <c r="A261" s="231">
        <v>2034</v>
      </c>
      <c r="C261" s="231" t="s">
        <v>4404</v>
      </c>
      <c r="D261" s="231">
        <v>694</v>
      </c>
      <c r="E261" s="231" t="s">
        <v>4221</v>
      </c>
      <c r="F261" s="231">
        <v>0</v>
      </c>
      <c r="G261" s="316">
        <v>45891</v>
      </c>
      <c r="H261" s="231">
        <v>10</v>
      </c>
      <c r="I261" s="231">
        <v>0</v>
      </c>
      <c r="J261" s="231">
        <v>940</v>
      </c>
      <c r="K261" s="231">
        <v>965</v>
      </c>
      <c r="L261" s="231" t="s">
        <v>507</v>
      </c>
    </row>
    <row r="262" spans="1:12">
      <c r="A262" s="231">
        <v>354</v>
      </c>
      <c r="C262" s="231" t="s">
        <v>4405</v>
      </c>
      <c r="D262" s="231">
        <v>323</v>
      </c>
      <c r="E262" s="231" t="s">
        <v>4221</v>
      </c>
      <c r="F262" s="231">
        <v>0</v>
      </c>
      <c r="G262" s="316">
        <v>45847</v>
      </c>
      <c r="H262" s="231">
        <v>10</v>
      </c>
      <c r="I262" s="231">
        <v>2</v>
      </c>
      <c r="J262" s="315">
        <v>1320</v>
      </c>
      <c r="K262" s="315">
        <v>1265</v>
      </c>
      <c r="L262" s="231" t="s">
        <v>507</v>
      </c>
    </row>
    <row r="263" spans="1:12">
      <c r="A263" s="231">
        <v>2093</v>
      </c>
      <c r="C263" s="231" t="s">
        <v>4406</v>
      </c>
      <c r="D263" s="231">
        <v>250</v>
      </c>
      <c r="E263" s="231" t="s">
        <v>4221</v>
      </c>
      <c r="F263" s="231">
        <v>0</v>
      </c>
      <c r="G263" s="316">
        <v>45896</v>
      </c>
      <c r="H263" s="231">
        <v>6</v>
      </c>
      <c r="I263" s="231">
        <v>0</v>
      </c>
      <c r="J263" s="231">
        <v>910</v>
      </c>
      <c r="K263" s="231">
        <v>910</v>
      </c>
      <c r="L263" s="231" t="s">
        <v>507</v>
      </c>
    </row>
    <row r="264" spans="1:12">
      <c r="A264" s="231" t="s">
        <v>4188</v>
      </c>
      <c r="C264" s="231" t="s">
        <v>4407</v>
      </c>
      <c r="D264" s="231">
        <v>314</v>
      </c>
      <c r="E264" s="231" t="s">
        <v>4221</v>
      </c>
      <c r="F264" s="231">
        <v>0</v>
      </c>
      <c r="G264" s="316">
        <v>45756</v>
      </c>
      <c r="H264" s="231">
        <v>6</v>
      </c>
      <c r="I264" s="231">
        <v>2</v>
      </c>
      <c r="J264" s="231">
        <v>975</v>
      </c>
      <c r="K264" s="231">
        <v>985</v>
      </c>
      <c r="L264" s="231" t="s">
        <v>507</v>
      </c>
    </row>
    <row r="265" spans="1:12">
      <c r="A265" s="231">
        <v>3058</v>
      </c>
      <c r="C265" s="231" t="s">
        <v>4408</v>
      </c>
      <c r="D265" s="231">
        <v>578</v>
      </c>
      <c r="E265" s="231" t="s">
        <v>4308</v>
      </c>
      <c r="F265" s="231">
        <v>0</v>
      </c>
      <c r="G265" s="316">
        <v>45887</v>
      </c>
      <c r="H265" s="231">
        <v>7</v>
      </c>
      <c r="I265" s="231">
        <v>1</v>
      </c>
      <c r="J265" s="231">
        <v>965</v>
      </c>
      <c r="K265" s="315">
        <v>1015</v>
      </c>
      <c r="L265" s="231" t="s">
        <v>507</v>
      </c>
    </row>
    <row r="266" spans="1:12">
      <c r="A266" s="231">
        <v>243</v>
      </c>
      <c r="C266" s="231" t="s">
        <v>4409</v>
      </c>
      <c r="D266" s="231">
        <v>581</v>
      </c>
      <c r="E266" s="231" t="s">
        <v>4308</v>
      </c>
      <c r="F266" s="231">
        <v>0</v>
      </c>
      <c r="G266" s="316">
        <v>45796</v>
      </c>
      <c r="H266" s="231">
        <v>16</v>
      </c>
      <c r="I266" s="231">
        <v>0</v>
      </c>
      <c r="J266" s="315">
        <v>1510</v>
      </c>
      <c r="K266" s="315">
        <v>1190</v>
      </c>
      <c r="L266" s="231" t="s">
        <v>507</v>
      </c>
    </row>
    <row r="267" spans="1:12">
      <c r="A267" s="231" t="s">
        <v>4410</v>
      </c>
      <c r="C267" s="231" t="s">
        <v>4411</v>
      </c>
      <c r="D267" s="231">
        <v>944</v>
      </c>
      <c r="E267" s="231" t="s">
        <v>4221</v>
      </c>
      <c r="F267" s="231">
        <v>0</v>
      </c>
      <c r="G267" s="316">
        <v>45751</v>
      </c>
      <c r="H267" s="231">
        <v>11</v>
      </c>
      <c r="I267" s="231">
        <v>3</v>
      </c>
      <c r="J267" s="231">
        <v>925</v>
      </c>
      <c r="K267" s="231">
        <v>987</v>
      </c>
      <c r="L267" s="231" t="s">
        <v>507</v>
      </c>
    </row>
    <row r="268" spans="1:12">
      <c r="A268" s="231" t="s">
        <v>4299</v>
      </c>
      <c r="C268" s="231" t="s">
        <v>4412</v>
      </c>
      <c r="D268" s="231">
        <v>181</v>
      </c>
      <c r="E268" s="231" t="s">
        <v>4221</v>
      </c>
      <c r="F268" s="231">
        <v>0</v>
      </c>
      <c r="G268" s="316">
        <v>45908</v>
      </c>
      <c r="H268" s="231">
        <v>5</v>
      </c>
      <c r="I268" s="231">
        <v>0</v>
      </c>
      <c r="J268" s="231">
        <v>925</v>
      </c>
      <c r="K268" s="231">
        <v>925</v>
      </c>
      <c r="L268" s="231" t="s">
        <v>507</v>
      </c>
    </row>
    <row r="269" spans="1:12">
      <c r="A269" s="231" t="s">
        <v>4413</v>
      </c>
      <c r="C269" s="231" t="s">
        <v>4414</v>
      </c>
      <c r="D269" s="231">
        <v>136</v>
      </c>
      <c r="E269" s="231" t="s">
        <v>4221</v>
      </c>
      <c r="F269" s="231">
        <v>0</v>
      </c>
      <c r="G269" s="316">
        <v>45684</v>
      </c>
      <c r="H269" s="231">
        <v>1</v>
      </c>
      <c r="I269" s="231">
        <v>1</v>
      </c>
      <c r="J269" s="315">
        <v>1010</v>
      </c>
      <c r="K269" s="231">
        <v>0</v>
      </c>
      <c r="L269" s="231" t="s">
        <v>4253</v>
      </c>
    </row>
    <row r="270" spans="1:12">
      <c r="A270" s="231">
        <v>123</v>
      </c>
      <c r="C270" s="231" t="s">
        <v>4415</v>
      </c>
      <c r="D270" s="231">
        <v>1830</v>
      </c>
      <c r="E270" s="231" t="s">
        <v>4308</v>
      </c>
      <c r="F270" s="231">
        <v>65</v>
      </c>
      <c r="G270" s="316">
        <v>45692</v>
      </c>
      <c r="H270" s="231">
        <v>0</v>
      </c>
      <c r="I270" s="231">
        <v>0</v>
      </c>
      <c r="J270" s="315">
        <v>1590</v>
      </c>
      <c r="K270" s="315">
        <v>1353</v>
      </c>
      <c r="L270" s="231" t="s">
        <v>4416</v>
      </c>
    </row>
    <row r="271" spans="1:12">
      <c r="A271" s="231">
        <v>2104</v>
      </c>
      <c r="C271" s="231" t="s">
        <v>4417</v>
      </c>
      <c r="D271" s="231">
        <v>367</v>
      </c>
      <c r="E271" s="231" t="s">
        <v>4308</v>
      </c>
      <c r="F271" s="231">
        <v>0</v>
      </c>
      <c r="G271" s="316">
        <v>45887</v>
      </c>
      <c r="H271" s="231">
        <v>10</v>
      </c>
      <c r="I271" s="231">
        <v>0</v>
      </c>
      <c r="J271" s="315">
        <v>1695</v>
      </c>
      <c r="K271" s="315">
        <v>1510</v>
      </c>
      <c r="L271" s="231" t="s">
        <v>4253</v>
      </c>
    </row>
    <row r="272" spans="1:12">
      <c r="A272" s="231" t="s">
        <v>4418</v>
      </c>
      <c r="C272" s="231" t="s">
        <v>4419</v>
      </c>
      <c r="D272" s="231">
        <v>355</v>
      </c>
      <c r="E272" s="231" t="s">
        <v>4221</v>
      </c>
      <c r="F272" s="231">
        <v>97</v>
      </c>
      <c r="G272" s="316">
        <v>45690</v>
      </c>
      <c r="H272" s="231">
        <v>2</v>
      </c>
      <c r="I272" s="231">
        <v>2</v>
      </c>
      <c r="J272" s="231">
        <v>980</v>
      </c>
      <c r="K272" s="315">
        <v>1100</v>
      </c>
      <c r="L272" s="231" t="s">
        <v>4153</v>
      </c>
    </row>
    <row r="273" spans="1:12">
      <c r="A273" s="231" t="s">
        <v>4108</v>
      </c>
      <c r="C273" s="231" t="s">
        <v>4420</v>
      </c>
      <c r="D273" s="231">
        <v>2585</v>
      </c>
      <c r="E273" s="231" t="s">
        <v>4308</v>
      </c>
      <c r="F273" s="231">
        <v>49</v>
      </c>
      <c r="G273" s="316">
        <v>45735</v>
      </c>
      <c r="H273" s="231">
        <v>11</v>
      </c>
      <c r="I273" s="231">
        <v>1</v>
      </c>
      <c r="J273" s="231">
        <v>975</v>
      </c>
      <c r="K273" s="231">
        <v>947</v>
      </c>
      <c r="L273" s="231" t="s">
        <v>4416</v>
      </c>
    </row>
    <row r="274" spans="1:12">
      <c r="A274" s="231" t="s">
        <v>4421</v>
      </c>
      <c r="C274" s="231" t="s">
        <v>4422</v>
      </c>
      <c r="D274" s="231">
        <v>3479</v>
      </c>
      <c r="E274" s="231" t="s">
        <v>4308</v>
      </c>
      <c r="F274" s="231">
        <v>84</v>
      </c>
      <c r="G274" s="316">
        <v>45695</v>
      </c>
      <c r="H274" s="231">
        <v>1</v>
      </c>
      <c r="I274" s="231">
        <v>0</v>
      </c>
      <c r="J274" s="315">
        <v>1575</v>
      </c>
      <c r="K274" s="315">
        <v>1410</v>
      </c>
      <c r="L274" s="231" t="s">
        <v>4130</v>
      </c>
    </row>
    <row r="275" spans="1:12">
      <c r="A275" s="231" t="s">
        <v>4423</v>
      </c>
      <c r="C275" s="231" t="s">
        <v>4424</v>
      </c>
      <c r="D275" s="231">
        <v>425</v>
      </c>
      <c r="E275" s="231" t="s">
        <v>4308</v>
      </c>
      <c r="F275" s="231">
        <v>68</v>
      </c>
      <c r="G275" s="316">
        <v>45794</v>
      </c>
      <c r="H275" s="231">
        <v>1</v>
      </c>
      <c r="I275" s="231">
        <v>0</v>
      </c>
      <c r="J275" s="231">
        <v>980</v>
      </c>
      <c r="K275" s="315">
        <v>1125</v>
      </c>
      <c r="L275" s="231" t="s">
        <v>4165</v>
      </c>
    </row>
    <row r="276" spans="1:12">
      <c r="A276" s="231">
        <v>3062</v>
      </c>
      <c r="C276" s="231" t="s">
        <v>4425</v>
      </c>
      <c r="D276" s="231">
        <v>426</v>
      </c>
      <c r="E276" s="231" t="s">
        <v>4308</v>
      </c>
      <c r="F276" s="231">
        <v>62</v>
      </c>
      <c r="G276" s="316">
        <v>45863</v>
      </c>
      <c r="H276" s="231">
        <v>1</v>
      </c>
      <c r="I276" s="231">
        <v>0</v>
      </c>
      <c r="J276" s="231">
        <v>920</v>
      </c>
      <c r="K276" s="231">
        <v>985</v>
      </c>
      <c r="L276" s="231" t="s">
        <v>4130</v>
      </c>
    </row>
    <row r="277" spans="1:12">
      <c r="A277" s="231">
        <v>1105</v>
      </c>
      <c r="C277" s="231" t="s">
        <v>4426</v>
      </c>
      <c r="D277" s="231">
        <v>1690</v>
      </c>
      <c r="E277" s="231" t="s">
        <v>4221</v>
      </c>
      <c r="F277" s="231">
        <v>0</v>
      </c>
      <c r="G277" s="316">
        <v>45856</v>
      </c>
      <c r="H277" s="231">
        <v>8</v>
      </c>
      <c r="I277" s="231">
        <v>1</v>
      </c>
      <c r="J277" s="315">
        <v>1720</v>
      </c>
      <c r="K277" s="315">
        <v>1271</v>
      </c>
      <c r="L277" s="231" t="s">
        <v>4253</v>
      </c>
    </row>
    <row r="278" spans="1:12">
      <c r="A278" s="231">
        <v>2048</v>
      </c>
      <c r="C278" s="231" t="s">
        <v>4427</v>
      </c>
      <c r="D278" s="231">
        <v>424</v>
      </c>
      <c r="E278" s="231" t="s">
        <v>4308</v>
      </c>
      <c r="F278" s="231">
        <v>61</v>
      </c>
      <c r="G278" s="316">
        <v>45966</v>
      </c>
      <c r="H278" s="231">
        <v>1</v>
      </c>
      <c r="I278" s="231">
        <v>0</v>
      </c>
      <c r="J278" s="231">
        <v>950</v>
      </c>
      <c r="K278" s="231">
        <v>990</v>
      </c>
      <c r="L278" s="231" t="s">
        <v>4428</v>
      </c>
    </row>
    <row r="279" spans="1:12">
      <c r="A279" s="231" t="s">
        <v>4429</v>
      </c>
      <c r="C279" s="231" t="s">
        <v>4430</v>
      </c>
      <c r="D279" s="231">
        <v>361</v>
      </c>
      <c r="E279" s="231" t="s">
        <v>4308</v>
      </c>
      <c r="F279" s="231">
        <v>0</v>
      </c>
      <c r="G279" s="316">
        <v>45839</v>
      </c>
      <c r="H279" s="231">
        <v>2</v>
      </c>
      <c r="I279" s="231">
        <v>0</v>
      </c>
      <c r="J279" s="315">
        <v>1645</v>
      </c>
      <c r="K279" s="315">
        <v>1550</v>
      </c>
      <c r="L279" s="231" t="s">
        <v>4130</v>
      </c>
    </row>
    <row r="280" spans="1:12">
      <c r="A280" s="231">
        <v>201</v>
      </c>
      <c r="C280" s="231" t="s">
        <v>4431</v>
      </c>
      <c r="D280" s="231">
        <v>360</v>
      </c>
      <c r="E280" s="231" t="s">
        <v>4308</v>
      </c>
      <c r="F280" s="231">
        <v>63</v>
      </c>
      <c r="G280" s="316">
        <v>45811</v>
      </c>
      <c r="H280" s="231">
        <v>3</v>
      </c>
      <c r="I280" s="231">
        <v>0</v>
      </c>
      <c r="J280" s="231">
        <v>980</v>
      </c>
      <c r="K280" s="315">
        <v>1140</v>
      </c>
      <c r="L280" s="231" t="s">
        <v>4163</v>
      </c>
    </row>
    <row r="281" spans="1:12">
      <c r="A281" s="231">
        <v>361</v>
      </c>
      <c r="C281" s="231" t="s">
        <v>4432</v>
      </c>
      <c r="D281" s="231">
        <v>746</v>
      </c>
      <c r="E281" s="231" t="s">
        <v>4308</v>
      </c>
      <c r="F281" s="231">
        <v>65</v>
      </c>
      <c r="G281" s="316">
        <v>45692</v>
      </c>
      <c r="H281" s="231">
        <v>1</v>
      </c>
      <c r="I281" s="231">
        <v>0</v>
      </c>
      <c r="J281" s="315">
        <v>1320</v>
      </c>
      <c r="K281" s="315">
        <v>1239</v>
      </c>
      <c r="L281" s="231" t="s">
        <v>4130</v>
      </c>
    </row>
    <row r="282" spans="1:12">
      <c r="A282" s="231" t="s">
        <v>4294</v>
      </c>
      <c r="C282" s="231" t="s">
        <v>4433</v>
      </c>
      <c r="D282" s="231">
        <v>276</v>
      </c>
      <c r="E282" s="231" t="s">
        <v>4221</v>
      </c>
      <c r="F282" s="231">
        <v>0</v>
      </c>
      <c r="G282" s="316">
        <v>45877</v>
      </c>
      <c r="H282" s="231">
        <v>6</v>
      </c>
      <c r="I282" s="231">
        <v>0</v>
      </c>
      <c r="J282" s="231">
        <v>848</v>
      </c>
      <c r="K282" s="231">
        <v>848</v>
      </c>
      <c r="L282" s="231" t="s">
        <v>4253</v>
      </c>
    </row>
    <row r="283" spans="1:12">
      <c r="A283" s="231" t="s">
        <v>4157</v>
      </c>
      <c r="C283" s="231" t="s">
        <v>4434</v>
      </c>
      <c r="D283" s="231">
        <v>425</v>
      </c>
      <c r="E283" s="231" t="s">
        <v>4308</v>
      </c>
      <c r="F283" s="231">
        <v>66</v>
      </c>
      <c r="G283" s="316">
        <v>45855</v>
      </c>
      <c r="H283" s="231">
        <v>2</v>
      </c>
      <c r="I283" s="231">
        <v>3</v>
      </c>
      <c r="J283" s="231">
        <v>970</v>
      </c>
      <c r="K283" s="315">
        <v>1140</v>
      </c>
      <c r="L283" s="231" t="s">
        <v>4130</v>
      </c>
    </row>
    <row r="284" spans="1:12">
      <c r="A284" s="231">
        <v>2094</v>
      </c>
      <c r="C284" s="231" t="s">
        <v>4435</v>
      </c>
      <c r="D284" s="231">
        <v>3058</v>
      </c>
      <c r="E284" s="231" t="s">
        <v>4221</v>
      </c>
      <c r="F284" s="231">
        <v>0</v>
      </c>
      <c r="G284" s="316">
        <v>45849</v>
      </c>
      <c r="H284" s="231">
        <v>3</v>
      </c>
      <c r="I284" s="231">
        <v>1</v>
      </c>
      <c r="J284" s="231">
        <v>910</v>
      </c>
      <c r="K284" s="231">
        <v>905</v>
      </c>
    </row>
    <row r="285" spans="1:12">
      <c r="A285" s="231">
        <v>3088</v>
      </c>
      <c r="C285" s="231" t="s">
        <v>4436</v>
      </c>
      <c r="D285" s="231">
        <v>799</v>
      </c>
      <c r="E285" s="231" t="s">
        <v>4308</v>
      </c>
      <c r="F285" s="231">
        <v>62</v>
      </c>
      <c r="G285" s="316">
        <v>45871</v>
      </c>
      <c r="H285" s="231">
        <v>7</v>
      </c>
      <c r="I285" s="231">
        <v>0</v>
      </c>
      <c r="J285" s="231">
        <v>965</v>
      </c>
      <c r="K285" s="315">
        <v>1015</v>
      </c>
      <c r="L285" s="231" t="s">
        <v>4165</v>
      </c>
    </row>
    <row r="286" spans="1:12">
      <c r="A286" s="231">
        <v>2068</v>
      </c>
      <c r="C286" s="231" t="s">
        <v>4437</v>
      </c>
      <c r="D286" s="231">
        <v>450</v>
      </c>
      <c r="E286" s="231" t="s">
        <v>4308</v>
      </c>
      <c r="F286" s="231">
        <v>61</v>
      </c>
      <c r="G286" s="316">
        <v>45880</v>
      </c>
      <c r="H286" s="231">
        <v>1</v>
      </c>
      <c r="I286" s="231">
        <v>0</v>
      </c>
      <c r="J286" s="231">
        <v>940</v>
      </c>
      <c r="K286" s="231">
        <v>965</v>
      </c>
      <c r="L286" s="231" t="s">
        <v>4153</v>
      </c>
    </row>
    <row r="287" spans="1:12">
      <c r="A287" s="231">
        <v>353</v>
      </c>
      <c r="C287" s="231" t="s">
        <v>4438</v>
      </c>
      <c r="D287" s="231">
        <v>1464</v>
      </c>
      <c r="E287" s="231" t="s">
        <v>4221</v>
      </c>
      <c r="F287" s="231">
        <v>80</v>
      </c>
      <c r="G287" s="316">
        <v>45990</v>
      </c>
      <c r="H287" s="231">
        <v>0</v>
      </c>
      <c r="I287" s="231">
        <v>0</v>
      </c>
      <c r="J287" s="315">
        <v>1320</v>
      </c>
      <c r="K287" s="315">
        <v>1362</v>
      </c>
      <c r="L287" s="231" t="s">
        <v>4163</v>
      </c>
    </row>
    <row r="288" spans="1:12">
      <c r="A288" s="231">
        <v>1053</v>
      </c>
      <c r="C288" s="231" t="s">
        <v>4439</v>
      </c>
      <c r="D288" s="231">
        <v>698</v>
      </c>
      <c r="E288" s="231" t="s">
        <v>4308</v>
      </c>
      <c r="F288" s="231">
        <v>106</v>
      </c>
      <c r="G288" s="316">
        <v>45930</v>
      </c>
      <c r="H288" s="231">
        <v>1</v>
      </c>
      <c r="I288" s="231">
        <v>0</v>
      </c>
      <c r="J288" s="315">
        <v>1155</v>
      </c>
      <c r="K288" s="315">
        <v>1148</v>
      </c>
      <c r="L288" s="231" t="s">
        <v>4163</v>
      </c>
    </row>
    <row r="289" spans="1:12">
      <c r="A289" s="231" t="s">
        <v>4440</v>
      </c>
      <c r="C289" s="231" t="s">
        <v>4441</v>
      </c>
      <c r="D289" s="231">
        <v>733</v>
      </c>
      <c r="E289" s="231" t="s">
        <v>4308</v>
      </c>
      <c r="F289" s="231">
        <v>73</v>
      </c>
      <c r="G289" s="316">
        <v>45719</v>
      </c>
      <c r="H289" s="231">
        <v>1</v>
      </c>
      <c r="I289" s="231">
        <v>0</v>
      </c>
      <c r="J289" s="315">
        <v>1380</v>
      </c>
      <c r="K289" s="315">
        <v>1406</v>
      </c>
      <c r="L289" s="231" t="s">
        <v>4442</v>
      </c>
    </row>
    <row r="290" spans="1:12">
      <c r="A290" s="231">
        <v>2076</v>
      </c>
      <c r="C290" s="231" t="s">
        <v>4443</v>
      </c>
      <c r="D290" s="231">
        <v>322</v>
      </c>
      <c r="E290" s="231" t="s">
        <v>4221</v>
      </c>
      <c r="F290" s="231">
        <v>0</v>
      </c>
      <c r="G290" s="316">
        <v>45807</v>
      </c>
      <c r="H290" s="231">
        <v>6</v>
      </c>
      <c r="I290" s="231">
        <v>1</v>
      </c>
      <c r="J290" s="315">
        <v>1185</v>
      </c>
      <c r="K290" s="315">
        <v>1275</v>
      </c>
      <c r="L290" s="231" t="s">
        <v>4143</v>
      </c>
    </row>
    <row r="291" spans="1:12">
      <c r="A291" s="231">
        <v>2091</v>
      </c>
      <c r="C291" s="231" t="s">
        <v>4177</v>
      </c>
      <c r="D291" s="231">
        <v>425</v>
      </c>
      <c r="E291" s="231" t="s">
        <v>4308</v>
      </c>
      <c r="F291" s="231">
        <v>47</v>
      </c>
      <c r="G291" s="316">
        <v>45959</v>
      </c>
      <c r="H291" s="231">
        <v>4</v>
      </c>
      <c r="I291" s="231">
        <v>0</v>
      </c>
      <c r="J291" s="231">
        <v>955</v>
      </c>
      <c r="K291" s="231">
        <v>950</v>
      </c>
      <c r="L291" s="231" t="s">
        <v>4163</v>
      </c>
    </row>
    <row r="292" spans="1:12">
      <c r="A292" s="231">
        <v>407</v>
      </c>
      <c r="C292" s="231" t="s">
        <v>4444</v>
      </c>
      <c r="D292" s="231">
        <v>904</v>
      </c>
      <c r="E292" s="231" t="s">
        <v>4221</v>
      </c>
      <c r="F292" s="231">
        <v>0</v>
      </c>
      <c r="G292" s="316">
        <v>45982</v>
      </c>
      <c r="H292" s="231">
        <v>5</v>
      </c>
      <c r="I292" s="231">
        <v>0</v>
      </c>
      <c r="J292" s="315">
        <v>1200</v>
      </c>
      <c r="K292" s="315">
        <v>1310</v>
      </c>
      <c r="L292" s="231" t="s">
        <v>4253</v>
      </c>
    </row>
    <row r="293" spans="1:12">
      <c r="A293" s="231">
        <v>1093</v>
      </c>
      <c r="C293" s="231" t="s">
        <v>4445</v>
      </c>
      <c r="D293" s="231">
        <v>445</v>
      </c>
      <c r="E293" s="231" t="s">
        <v>4308</v>
      </c>
      <c r="F293" s="231">
        <v>0</v>
      </c>
      <c r="G293" s="316">
        <v>45891</v>
      </c>
      <c r="H293" s="231">
        <v>5</v>
      </c>
      <c r="I293" s="231">
        <v>0</v>
      </c>
      <c r="J293" s="231">
        <v>935</v>
      </c>
      <c r="K293" s="231">
        <v>985</v>
      </c>
      <c r="L293" s="231" t="s">
        <v>4253</v>
      </c>
    </row>
    <row r="294" spans="1:12">
      <c r="A294" s="231" t="s">
        <v>4446</v>
      </c>
      <c r="C294" s="231" t="s">
        <v>4447</v>
      </c>
      <c r="D294" s="231">
        <v>1304</v>
      </c>
      <c r="E294" s="231" t="s">
        <v>4308</v>
      </c>
      <c r="F294" s="231">
        <v>41</v>
      </c>
      <c r="G294" s="316">
        <v>45969</v>
      </c>
      <c r="H294" s="231">
        <v>1</v>
      </c>
      <c r="I294" s="231">
        <v>1</v>
      </c>
      <c r="J294" s="231">
        <v>975</v>
      </c>
      <c r="K294" s="231">
        <v>981</v>
      </c>
      <c r="L294" s="231" t="s">
        <v>4448</v>
      </c>
    </row>
    <row r="295" spans="1:12">
      <c r="A295" s="231" t="s">
        <v>4449</v>
      </c>
      <c r="C295" s="231" t="s">
        <v>4450</v>
      </c>
      <c r="D295" s="231">
        <v>912</v>
      </c>
      <c r="E295" s="231" t="s">
        <v>4308</v>
      </c>
      <c r="F295" s="231">
        <v>28</v>
      </c>
      <c r="G295" s="316">
        <v>45747</v>
      </c>
      <c r="H295" s="231">
        <v>1</v>
      </c>
      <c r="I295" s="231">
        <v>0</v>
      </c>
      <c r="J295" s="315">
        <v>1405</v>
      </c>
      <c r="K295" s="315">
        <v>1520</v>
      </c>
      <c r="L295" s="231" t="s">
        <v>4133</v>
      </c>
    </row>
    <row r="296" spans="1:12">
      <c r="A296" s="231">
        <v>427</v>
      </c>
      <c r="C296" s="231" t="s">
        <v>4451</v>
      </c>
      <c r="D296" s="231">
        <v>738</v>
      </c>
      <c r="E296" s="231" t="s">
        <v>4308</v>
      </c>
      <c r="F296" s="231">
        <v>61</v>
      </c>
      <c r="G296" s="316">
        <v>45815</v>
      </c>
      <c r="H296" s="231">
        <v>4</v>
      </c>
      <c r="I296" s="231">
        <v>0</v>
      </c>
      <c r="J296" s="315">
        <v>1720</v>
      </c>
      <c r="K296" s="315">
        <v>1610</v>
      </c>
      <c r="L296" s="231" t="s">
        <v>4199</v>
      </c>
    </row>
    <row r="297" spans="1:12">
      <c r="A297" s="231">
        <v>408</v>
      </c>
      <c r="C297" s="231" t="s">
        <v>4452</v>
      </c>
      <c r="D297" s="231">
        <v>2603</v>
      </c>
      <c r="E297" s="231" t="s">
        <v>4308</v>
      </c>
      <c r="F297" s="231">
        <v>0</v>
      </c>
      <c r="G297" s="316">
        <v>45809</v>
      </c>
      <c r="H297" s="231">
        <v>1</v>
      </c>
      <c r="I297" s="231">
        <v>0</v>
      </c>
      <c r="J297" s="315">
        <v>1145</v>
      </c>
      <c r="K297" s="231">
        <v>970</v>
      </c>
      <c r="L297" s="231" t="s">
        <v>4253</v>
      </c>
    </row>
    <row r="298" spans="1:12">
      <c r="A298" s="231">
        <v>212</v>
      </c>
      <c r="C298" s="231" t="s">
        <v>4453</v>
      </c>
      <c r="D298" s="231">
        <v>365</v>
      </c>
      <c r="E298" s="231" t="s">
        <v>4308</v>
      </c>
      <c r="F298" s="231">
        <v>68</v>
      </c>
      <c r="G298" s="316">
        <v>45755</v>
      </c>
      <c r="H298" s="231">
        <v>10</v>
      </c>
      <c r="I298" s="231">
        <v>2</v>
      </c>
      <c r="J298" s="231">
        <v>980</v>
      </c>
      <c r="K298" s="315">
        <v>1165</v>
      </c>
      <c r="L298" s="231" t="s">
        <v>4130</v>
      </c>
    </row>
    <row r="299" spans="1:12">
      <c r="A299" s="232">
        <v>52994</v>
      </c>
      <c r="C299" s="231" t="s">
        <v>4454</v>
      </c>
      <c r="D299" s="231">
        <v>423</v>
      </c>
      <c r="E299" s="231" t="s">
        <v>4308</v>
      </c>
      <c r="F299" s="231">
        <v>65</v>
      </c>
      <c r="G299" s="316">
        <v>45775</v>
      </c>
      <c r="H299" s="231">
        <v>1</v>
      </c>
      <c r="I299" s="231">
        <v>0</v>
      </c>
      <c r="J299" s="231">
        <v>930</v>
      </c>
      <c r="K299" s="315">
        <v>1020</v>
      </c>
      <c r="L299" s="231" t="s">
        <v>4165</v>
      </c>
    </row>
    <row r="300" spans="1:12">
      <c r="A300" s="231">
        <v>2064</v>
      </c>
      <c r="C300" s="231" t="s">
        <v>4455</v>
      </c>
      <c r="D300" s="231">
        <v>972</v>
      </c>
      <c r="E300" s="231" t="s">
        <v>4221</v>
      </c>
      <c r="F300" s="231">
        <v>35</v>
      </c>
      <c r="G300" s="316">
        <v>45778</v>
      </c>
      <c r="H300" s="231">
        <v>2</v>
      </c>
      <c r="I300" s="231">
        <v>2</v>
      </c>
      <c r="J300" s="231">
        <v>955</v>
      </c>
      <c r="K300" s="315">
        <v>1138</v>
      </c>
      <c r="L300" s="231" t="s">
        <v>4253</v>
      </c>
    </row>
    <row r="301" spans="1:12">
      <c r="A301" s="231">
        <v>167</v>
      </c>
      <c r="C301" s="231" t="s">
        <v>4456</v>
      </c>
      <c r="D301" s="231">
        <v>1917</v>
      </c>
      <c r="E301" s="231" t="s">
        <v>4308</v>
      </c>
      <c r="F301" s="231">
        <v>89</v>
      </c>
      <c r="G301" s="316">
        <v>45869</v>
      </c>
      <c r="H301" s="231">
        <v>0</v>
      </c>
      <c r="I301" s="231">
        <v>0</v>
      </c>
      <c r="J301" s="315">
        <v>2000</v>
      </c>
      <c r="K301" s="315">
        <v>1650</v>
      </c>
    </row>
    <row r="302" spans="1:12">
      <c r="A302" s="231" t="s">
        <v>4457</v>
      </c>
      <c r="C302" s="231" t="s">
        <v>4458</v>
      </c>
      <c r="D302" s="231">
        <v>437</v>
      </c>
      <c r="E302" s="231" t="s">
        <v>4308</v>
      </c>
      <c r="F302" s="231">
        <v>60</v>
      </c>
      <c r="G302" s="316">
        <v>45738</v>
      </c>
      <c r="H302" s="231">
        <v>1</v>
      </c>
      <c r="I302" s="231">
        <v>0</v>
      </c>
      <c r="J302" s="315">
        <v>1555</v>
      </c>
      <c r="K302" s="315">
        <v>1475</v>
      </c>
      <c r="L302" s="231" t="s">
        <v>4428</v>
      </c>
    </row>
    <row r="303" spans="1:12">
      <c r="A303" s="231">
        <v>362</v>
      </c>
      <c r="C303" s="231" t="s">
        <v>4459</v>
      </c>
      <c r="D303" s="231">
        <v>736</v>
      </c>
      <c r="E303" s="231" t="s">
        <v>4308</v>
      </c>
      <c r="F303" s="231">
        <v>68</v>
      </c>
      <c r="G303" s="316">
        <v>45997</v>
      </c>
      <c r="H303" s="231">
        <v>1</v>
      </c>
      <c r="I303" s="231">
        <v>0</v>
      </c>
      <c r="J303" s="315">
        <v>1320</v>
      </c>
      <c r="K303" s="315">
        <v>1336</v>
      </c>
      <c r="L303" s="231" t="s">
        <v>4133</v>
      </c>
    </row>
    <row r="304" spans="1:12">
      <c r="A304" s="231" t="s">
        <v>4131</v>
      </c>
      <c r="C304" s="231" t="s">
        <v>4194</v>
      </c>
      <c r="D304" s="231">
        <v>1170</v>
      </c>
      <c r="E304" s="231" t="s">
        <v>4308</v>
      </c>
      <c r="F304" s="231">
        <v>64</v>
      </c>
      <c r="G304" s="316">
        <v>45930</v>
      </c>
      <c r="H304" s="231">
        <v>0</v>
      </c>
      <c r="I304" s="231">
        <v>1</v>
      </c>
      <c r="J304" s="231">
        <v>950</v>
      </c>
      <c r="K304" s="231">
        <v>920</v>
      </c>
      <c r="L304" s="231" t="s">
        <v>4448</v>
      </c>
    </row>
    <row r="305" spans="1:12">
      <c r="A305" s="231">
        <v>203</v>
      </c>
      <c r="C305" s="231" t="s">
        <v>4460</v>
      </c>
      <c r="D305" s="231">
        <v>1664</v>
      </c>
      <c r="E305" s="231" t="s">
        <v>4221</v>
      </c>
      <c r="F305" s="231">
        <v>0</v>
      </c>
      <c r="G305" s="316">
        <v>45861</v>
      </c>
      <c r="H305" s="231">
        <v>5</v>
      </c>
      <c r="I305" s="231">
        <v>1</v>
      </c>
      <c r="J305" s="231">
        <v>980</v>
      </c>
      <c r="K305" s="315">
        <v>1075</v>
      </c>
      <c r="L305" s="231" t="s">
        <v>4461</v>
      </c>
    </row>
    <row r="306" spans="1:12">
      <c r="A306" s="231" t="s">
        <v>4215</v>
      </c>
      <c r="C306" s="231" t="s">
        <v>4216</v>
      </c>
      <c r="D306" s="231">
        <v>651</v>
      </c>
      <c r="E306" s="231" t="s">
        <v>4221</v>
      </c>
      <c r="F306" s="231">
        <v>46</v>
      </c>
      <c r="G306" s="316">
        <v>45992</v>
      </c>
      <c r="H306" s="231">
        <v>0</v>
      </c>
      <c r="I306" s="231">
        <v>0</v>
      </c>
      <c r="J306" s="231">
        <v>940</v>
      </c>
      <c r="K306" s="315">
        <v>1049.5</v>
      </c>
      <c r="L306" s="231" t="s">
        <v>4461</v>
      </c>
    </row>
    <row r="307" spans="1:12">
      <c r="A307" s="231">
        <v>2047</v>
      </c>
      <c r="C307" s="231" t="s">
        <v>4462</v>
      </c>
      <c r="D307" s="231">
        <v>2073</v>
      </c>
      <c r="E307" s="231" t="s">
        <v>4308</v>
      </c>
      <c r="F307" s="231">
        <v>0</v>
      </c>
      <c r="G307" s="316">
        <v>45689</v>
      </c>
      <c r="H307" s="231">
        <v>8</v>
      </c>
      <c r="I307" s="231">
        <v>0</v>
      </c>
      <c r="J307" s="231">
        <v>940</v>
      </c>
      <c r="K307" s="231">
        <v>840</v>
      </c>
      <c r="L307" s="231" t="s">
        <v>4253</v>
      </c>
    </row>
    <row r="308" spans="1:12">
      <c r="A308" s="231">
        <v>154</v>
      </c>
      <c r="C308" s="231" t="s">
        <v>4463</v>
      </c>
      <c r="D308" s="231">
        <v>618</v>
      </c>
      <c r="E308" s="231" t="s">
        <v>4308</v>
      </c>
      <c r="F308" s="231">
        <v>0</v>
      </c>
      <c r="G308" s="316">
        <v>45854</v>
      </c>
      <c r="H308" s="231">
        <v>3</v>
      </c>
      <c r="I308" s="231">
        <v>0</v>
      </c>
      <c r="J308" s="315">
        <v>1335</v>
      </c>
      <c r="K308" s="315">
        <v>1240</v>
      </c>
      <c r="L308" s="231" t="s">
        <v>4253</v>
      </c>
    </row>
    <row r="309" spans="1:12">
      <c r="A309" s="231" t="s">
        <v>4464</v>
      </c>
      <c r="C309" s="231" t="s">
        <v>4076</v>
      </c>
      <c r="D309" s="231">
        <v>2233</v>
      </c>
      <c r="E309" s="231" t="s">
        <v>4308</v>
      </c>
      <c r="F309" s="231">
        <v>73</v>
      </c>
      <c r="G309" s="316">
        <v>45992</v>
      </c>
      <c r="H309" s="231">
        <v>6</v>
      </c>
      <c r="I309" s="231">
        <v>0</v>
      </c>
      <c r="J309" s="231">
        <v>960</v>
      </c>
      <c r="K309" s="231">
        <v>984</v>
      </c>
      <c r="L309" s="231" t="s">
        <v>4165</v>
      </c>
    </row>
    <row r="310" spans="1:12">
      <c r="A310" s="231">
        <v>3066</v>
      </c>
      <c r="C310" s="231" t="s">
        <v>4465</v>
      </c>
      <c r="D310" s="231">
        <v>251</v>
      </c>
      <c r="E310" s="231" t="s">
        <v>4221</v>
      </c>
      <c r="F310" s="231">
        <v>0</v>
      </c>
      <c r="G310" s="316">
        <v>45708</v>
      </c>
      <c r="H310" s="231">
        <v>5</v>
      </c>
      <c r="I310" s="231">
        <v>0</v>
      </c>
      <c r="J310" s="231">
        <v>960</v>
      </c>
      <c r="K310" s="315">
        <v>1025</v>
      </c>
      <c r="L310" s="231" t="s">
        <v>4253</v>
      </c>
    </row>
    <row r="311" spans="1:12">
      <c r="A311" s="231">
        <v>2038</v>
      </c>
      <c r="C311" s="231" t="s">
        <v>4466</v>
      </c>
      <c r="D311" s="231">
        <v>2035</v>
      </c>
      <c r="E311" s="231" t="s">
        <v>4308</v>
      </c>
      <c r="F311" s="231">
        <v>61</v>
      </c>
      <c r="G311" s="316">
        <v>45663</v>
      </c>
      <c r="H311" s="231">
        <v>2</v>
      </c>
      <c r="I311" s="231">
        <v>0</v>
      </c>
      <c r="J311" s="231">
        <v>895</v>
      </c>
      <c r="K311" s="231">
        <v>895</v>
      </c>
      <c r="L311" s="231" t="s">
        <v>4133</v>
      </c>
    </row>
    <row r="312" spans="1:12">
      <c r="A312" s="231">
        <v>2020</v>
      </c>
      <c r="C312" s="231" t="s">
        <v>4467</v>
      </c>
      <c r="D312" s="231">
        <v>950</v>
      </c>
      <c r="E312" s="231" t="s">
        <v>4308</v>
      </c>
      <c r="F312" s="231">
        <v>117</v>
      </c>
      <c r="G312" s="316">
        <v>45689</v>
      </c>
      <c r="H312" s="231">
        <v>0</v>
      </c>
      <c r="I312" s="231">
        <v>0</v>
      </c>
      <c r="J312" s="231">
        <v>955</v>
      </c>
      <c r="K312" s="231">
        <v>990</v>
      </c>
      <c r="L312" s="231" t="s">
        <v>4126</v>
      </c>
    </row>
    <row r="313" spans="1:12">
      <c r="A313" s="231">
        <v>404</v>
      </c>
      <c r="C313" s="231" t="s">
        <v>4468</v>
      </c>
      <c r="D313" s="231">
        <v>1130</v>
      </c>
      <c r="E313" s="231" t="s">
        <v>4308</v>
      </c>
      <c r="F313" s="231">
        <v>59</v>
      </c>
      <c r="G313" s="316">
        <v>45965</v>
      </c>
      <c r="H313" s="231">
        <v>3</v>
      </c>
      <c r="I313" s="231">
        <v>0</v>
      </c>
      <c r="J313" s="315">
        <v>1200</v>
      </c>
      <c r="K313" s="315">
        <v>1295</v>
      </c>
      <c r="L313" s="231" t="s">
        <v>4133</v>
      </c>
    </row>
    <row r="314" spans="1:12">
      <c r="A314" s="231">
        <v>1019</v>
      </c>
      <c r="C314" s="231" t="s">
        <v>4469</v>
      </c>
      <c r="D314" s="231">
        <v>1473</v>
      </c>
      <c r="E314" s="231" t="s">
        <v>4308</v>
      </c>
      <c r="F314" s="231">
        <v>111</v>
      </c>
      <c r="G314" s="316">
        <v>45992</v>
      </c>
      <c r="H314" s="231">
        <v>3</v>
      </c>
      <c r="I314" s="231">
        <v>1</v>
      </c>
      <c r="J314" s="231">
        <v>980</v>
      </c>
      <c r="K314" s="231">
        <v>950</v>
      </c>
      <c r="L314" s="231" t="s">
        <v>4153</v>
      </c>
    </row>
    <row r="315" spans="1:12">
      <c r="A315" s="231" t="s">
        <v>4284</v>
      </c>
      <c r="C315" s="231" t="s">
        <v>4470</v>
      </c>
      <c r="D315" s="231">
        <v>346</v>
      </c>
      <c r="E315" s="231" t="s">
        <v>4221</v>
      </c>
      <c r="F315" s="231">
        <v>41</v>
      </c>
      <c r="G315" s="316">
        <v>45670</v>
      </c>
      <c r="H315" s="231">
        <v>1</v>
      </c>
      <c r="I315" s="231">
        <v>0</v>
      </c>
      <c r="J315" s="315">
        <v>1555</v>
      </c>
      <c r="K315" s="315">
        <v>1341</v>
      </c>
      <c r="L315" s="231" t="s">
        <v>4199</v>
      </c>
    </row>
    <row r="316" spans="1:12">
      <c r="A316" s="231" t="s">
        <v>4471</v>
      </c>
      <c r="C316" s="231" t="s">
        <v>4472</v>
      </c>
      <c r="D316" s="231">
        <v>1491</v>
      </c>
      <c r="E316" s="231" t="s">
        <v>4308</v>
      </c>
      <c r="F316" s="231">
        <v>62</v>
      </c>
      <c r="G316" s="316">
        <v>45992</v>
      </c>
      <c r="H316" s="231">
        <v>7</v>
      </c>
      <c r="I316" s="231">
        <v>0</v>
      </c>
      <c r="J316" s="315">
        <v>1135</v>
      </c>
      <c r="K316" s="315">
        <v>1159</v>
      </c>
      <c r="L316" s="231" t="s">
        <v>4163</v>
      </c>
    </row>
    <row r="317" spans="1:12">
      <c r="A317" s="231">
        <v>2004</v>
      </c>
      <c r="C317" s="231" t="s">
        <v>4473</v>
      </c>
      <c r="D317" s="231">
        <v>353</v>
      </c>
      <c r="E317" s="231" t="s">
        <v>4221</v>
      </c>
      <c r="F317" s="231">
        <v>0</v>
      </c>
      <c r="G317" s="316">
        <v>45806</v>
      </c>
      <c r="H317" s="231">
        <v>1</v>
      </c>
      <c r="I317" s="231">
        <v>0</v>
      </c>
      <c r="J317" s="231">
        <v>895</v>
      </c>
      <c r="K317" s="231">
        <v>930</v>
      </c>
      <c r="L317" s="231" t="s">
        <v>4253</v>
      </c>
    </row>
    <row r="318" spans="1:12">
      <c r="A318" s="231">
        <v>3093</v>
      </c>
      <c r="C318" s="231" t="s">
        <v>4474</v>
      </c>
      <c r="D318" s="231">
        <v>426</v>
      </c>
      <c r="E318" s="231" t="s">
        <v>4308</v>
      </c>
      <c r="F318" s="231">
        <v>62</v>
      </c>
      <c r="G318" s="316">
        <v>45908</v>
      </c>
      <c r="H318" s="231">
        <v>2</v>
      </c>
      <c r="I318" s="231">
        <v>0</v>
      </c>
      <c r="J318" s="231">
        <v>965</v>
      </c>
      <c r="K318" s="231">
        <v>950</v>
      </c>
      <c r="L318" s="231" t="s">
        <v>4153</v>
      </c>
    </row>
    <row r="319" spans="1:12">
      <c r="A319" s="231">
        <v>415</v>
      </c>
      <c r="C319" s="231" t="s">
        <v>4475</v>
      </c>
      <c r="D319" s="231">
        <v>2475</v>
      </c>
      <c r="E319" s="231" t="s">
        <v>4308</v>
      </c>
      <c r="F319" s="231">
        <v>63</v>
      </c>
      <c r="G319" s="316">
        <v>45838</v>
      </c>
      <c r="H319" s="231">
        <v>10</v>
      </c>
      <c r="I319" s="231">
        <v>3</v>
      </c>
      <c r="J319" s="315">
        <v>1145</v>
      </c>
      <c r="K319" s="315">
        <v>1064</v>
      </c>
      <c r="L319" s="231" t="s">
        <v>4476</v>
      </c>
    </row>
    <row r="320" spans="1:12">
      <c r="A320" s="231" t="s">
        <v>4477</v>
      </c>
      <c r="C320" s="231" t="s">
        <v>4478</v>
      </c>
      <c r="D320" s="231">
        <v>1894</v>
      </c>
      <c r="E320" s="231" t="s">
        <v>4308</v>
      </c>
      <c r="F320" s="231">
        <v>63</v>
      </c>
      <c r="G320" s="316">
        <v>45992</v>
      </c>
      <c r="H320" s="231">
        <v>5</v>
      </c>
      <c r="I320" s="231">
        <v>0</v>
      </c>
      <c r="J320" s="231">
        <v>840</v>
      </c>
      <c r="K320" s="231">
        <v>838</v>
      </c>
      <c r="L320" s="231" t="s">
        <v>4133</v>
      </c>
    </row>
    <row r="321" spans="1:12">
      <c r="A321" s="231" t="s">
        <v>4479</v>
      </c>
      <c r="C321" s="231" t="s">
        <v>4480</v>
      </c>
      <c r="D321" s="231">
        <v>1346</v>
      </c>
      <c r="E321" s="231" t="s">
        <v>4221</v>
      </c>
      <c r="F321" s="231">
        <v>0</v>
      </c>
      <c r="G321" s="316">
        <v>45877</v>
      </c>
      <c r="H321" s="231">
        <v>7</v>
      </c>
      <c r="I321" s="231">
        <v>0</v>
      </c>
      <c r="J321" s="231">
        <v>915</v>
      </c>
      <c r="K321" s="231">
        <v>931</v>
      </c>
      <c r="L321" s="231" t="s">
        <v>4253</v>
      </c>
    </row>
    <row r="322" spans="1:12">
      <c r="A322" s="231">
        <v>2083</v>
      </c>
      <c r="C322" s="231" t="s">
        <v>4481</v>
      </c>
      <c r="D322" s="231">
        <v>693</v>
      </c>
      <c r="E322" s="231" t="s">
        <v>4221</v>
      </c>
      <c r="F322" s="231">
        <v>5</v>
      </c>
      <c r="G322" s="316">
        <v>45810</v>
      </c>
      <c r="H322" s="231">
        <v>3</v>
      </c>
      <c r="I322" s="231">
        <v>1</v>
      </c>
      <c r="J322" s="315">
        <v>1175</v>
      </c>
      <c r="K322" s="315">
        <v>1186</v>
      </c>
      <c r="L322" s="231" t="s">
        <v>4130</v>
      </c>
    </row>
    <row r="323" spans="1:12">
      <c r="A323" s="231">
        <v>430</v>
      </c>
      <c r="C323" s="231" t="s">
        <v>4482</v>
      </c>
      <c r="D323" s="231">
        <v>259</v>
      </c>
      <c r="E323" s="231" t="s">
        <v>4221</v>
      </c>
      <c r="F323" s="231">
        <v>0</v>
      </c>
      <c r="G323" s="316">
        <v>45973</v>
      </c>
      <c r="H323" s="231">
        <v>5</v>
      </c>
      <c r="I323" s="231">
        <v>0</v>
      </c>
      <c r="J323" s="315">
        <v>1700</v>
      </c>
      <c r="K323" s="315">
        <v>1488</v>
      </c>
      <c r="L323" s="231" t="s">
        <v>4253</v>
      </c>
    </row>
    <row r="324" spans="1:12">
      <c r="A324" s="231" t="s">
        <v>4483</v>
      </c>
      <c r="C324" s="231" t="s">
        <v>4484</v>
      </c>
      <c r="D324" s="231">
        <v>2319</v>
      </c>
      <c r="E324" s="231" t="s">
        <v>4221</v>
      </c>
      <c r="F324" s="231">
        <v>44</v>
      </c>
      <c r="G324" s="316">
        <v>45658</v>
      </c>
      <c r="H324" s="231">
        <v>1</v>
      </c>
      <c r="I324" s="231">
        <v>0</v>
      </c>
      <c r="J324" s="315">
        <v>1600</v>
      </c>
      <c r="K324" s="315">
        <v>1196</v>
      </c>
      <c r="L324" s="231" t="s">
        <v>4416</v>
      </c>
    </row>
    <row r="325" spans="1:12">
      <c r="A325" s="232">
        <v>45689</v>
      </c>
      <c r="C325" s="231" t="s">
        <v>4485</v>
      </c>
      <c r="D325" s="231">
        <v>683</v>
      </c>
      <c r="E325" s="231" t="s">
        <v>4221</v>
      </c>
      <c r="F325" s="231">
        <v>0</v>
      </c>
      <c r="G325" s="316">
        <v>45747</v>
      </c>
      <c r="H325" s="231">
        <v>0</v>
      </c>
      <c r="I325" s="231">
        <v>0</v>
      </c>
      <c r="J325" s="231">
        <v>930</v>
      </c>
      <c r="K325" s="315">
        <v>1095</v>
      </c>
      <c r="L325" s="231" t="s">
        <v>4253</v>
      </c>
    </row>
    <row r="326" spans="1:12">
      <c r="A326" s="231" t="s">
        <v>4486</v>
      </c>
      <c r="C326" s="231" t="s">
        <v>4487</v>
      </c>
      <c r="D326" s="231">
        <v>367</v>
      </c>
      <c r="E326" s="231" t="s">
        <v>4308</v>
      </c>
      <c r="F326" s="231">
        <v>93</v>
      </c>
      <c r="G326" s="316">
        <v>45841</v>
      </c>
      <c r="H326" s="231">
        <v>2</v>
      </c>
      <c r="I326" s="231">
        <v>0</v>
      </c>
      <c r="J326" s="231">
        <v>995</v>
      </c>
      <c r="K326" s="315">
        <v>1125</v>
      </c>
      <c r="L326" s="231" t="s">
        <v>4488</v>
      </c>
    </row>
    <row r="327" spans="1:12">
      <c r="A327" s="231" t="s">
        <v>4489</v>
      </c>
      <c r="C327" s="231" t="s">
        <v>4490</v>
      </c>
      <c r="D327" s="231">
        <v>795</v>
      </c>
      <c r="E327" s="231" t="s">
        <v>4308</v>
      </c>
      <c r="F327" s="231">
        <v>145</v>
      </c>
      <c r="G327" s="316">
        <v>45901</v>
      </c>
      <c r="H327" s="231">
        <v>3</v>
      </c>
      <c r="I327" s="231">
        <v>0</v>
      </c>
      <c r="J327" s="315">
        <v>1135</v>
      </c>
      <c r="K327" s="315">
        <v>1195</v>
      </c>
      <c r="L327" s="231" t="s">
        <v>4130</v>
      </c>
    </row>
    <row r="328" spans="1:12">
      <c r="A328" s="231">
        <v>418</v>
      </c>
      <c r="C328" s="231" t="s">
        <v>4491</v>
      </c>
      <c r="D328" s="231">
        <v>719</v>
      </c>
      <c r="E328" s="231" t="s">
        <v>4308</v>
      </c>
      <c r="F328" s="231">
        <v>89</v>
      </c>
      <c r="G328" s="316">
        <v>45809</v>
      </c>
      <c r="H328" s="231">
        <v>1</v>
      </c>
      <c r="I328" s="231">
        <v>0</v>
      </c>
      <c r="J328" s="315">
        <v>1145</v>
      </c>
      <c r="K328" s="315">
        <v>1117</v>
      </c>
      <c r="L328" s="231" t="s">
        <v>4130</v>
      </c>
    </row>
    <row r="329" spans="1:12">
      <c r="A329" s="231">
        <v>151</v>
      </c>
      <c r="C329" s="231" t="s">
        <v>4492</v>
      </c>
      <c r="D329" s="231">
        <v>371</v>
      </c>
      <c r="E329" s="231" t="s">
        <v>4308</v>
      </c>
      <c r="F329" s="231">
        <v>65</v>
      </c>
      <c r="G329" s="316">
        <v>45891</v>
      </c>
      <c r="H329" s="231">
        <v>6</v>
      </c>
      <c r="I329" s="231">
        <v>2</v>
      </c>
      <c r="J329" s="315">
        <v>1335</v>
      </c>
      <c r="K329" s="315">
        <v>1265</v>
      </c>
    </row>
    <row r="330" spans="1:12">
      <c r="A330" s="231" t="s">
        <v>4493</v>
      </c>
      <c r="C330" s="231" t="s">
        <v>4494</v>
      </c>
      <c r="D330" s="231">
        <v>821</v>
      </c>
      <c r="E330" s="231" t="s">
        <v>4308</v>
      </c>
      <c r="F330" s="231">
        <v>0</v>
      </c>
      <c r="G330" s="316">
        <v>45735</v>
      </c>
      <c r="H330" s="231">
        <v>6</v>
      </c>
      <c r="I330" s="231">
        <v>0</v>
      </c>
      <c r="J330" s="315">
        <v>1035</v>
      </c>
      <c r="K330" s="315">
        <v>1075</v>
      </c>
      <c r="L330" s="231" t="s">
        <v>4253</v>
      </c>
    </row>
    <row r="331" spans="1:12">
      <c r="A331" s="231" t="s">
        <v>4241</v>
      </c>
      <c r="C331" s="231" t="s">
        <v>4495</v>
      </c>
      <c r="D331" s="231">
        <v>436</v>
      </c>
      <c r="E331" s="231" t="s">
        <v>4308</v>
      </c>
      <c r="F331" s="231">
        <v>60</v>
      </c>
      <c r="G331" s="316">
        <v>45775</v>
      </c>
      <c r="H331" s="231">
        <v>0</v>
      </c>
      <c r="I331" s="231">
        <v>2</v>
      </c>
      <c r="J331" s="315">
        <v>1645</v>
      </c>
      <c r="K331" s="315">
        <v>1465</v>
      </c>
      <c r="L331" s="231" t="s">
        <v>4153</v>
      </c>
    </row>
    <row r="332" spans="1:12">
      <c r="A332" s="231">
        <v>3094</v>
      </c>
      <c r="C332" s="231" t="s">
        <v>4496</v>
      </c>
      <c r="D332" s="231">
        <v>431</v>
      </c>
      <c r="E332" s="231" t="s">
        <v>4308</v>
      </c>
      <c r="F332" s="231">
        <v>0</v>
      </c>
      <c r="G332" s="316">
        <v>45979</v>
      </c>
      <c r="H332" s="231">
        <v>3</v>
      </c>
      <c r="I332" s="231">
        <v>0</v>
      </c>
      <c r="J332" s="231">
        <v>965</v>
      </c>
      <c r="K332" s="231">
        <v>950</v>
      </c>
      <c r="L332" s="231" t="s">
        <v>4253</v>
      </c>
    </row>
    <row r="333" spans="1:12">
      <c r="A333" s="231">
        <v>1085</v>
      </c>
      <c r="C333" s="231" t="s">
        <v>4497</v>
      </c>
      <c r="D333" s="231">
        <v>1826</v>
      </c>
      <c r="E333" s="231" t="s">
        <v>4308</v>
      </c>
      <c r="F333" s="231">
        <v>63</v>
      </c>
      <c r="G333" s="316">
        <v>45962</v>
      </c>
      <c r="H333" s="231">
        <v>0</v>
      </c>
      <c r="I333" s="231">
        <v>0</v>
      </c>
      <c r="J333" s="315">
        <v>1675</v>
      </c>
      <c r="K333" s="315">
        <v>1368</v>
      </c>
      <c r="L333" s="231" t="s">
        <v>4163</v>
      </c>
    </row>
    <row r="334" spans="1:12">
      <c r="A334" s="231" t="s">
        <v>4498</v>
      </c>
      <c r="C334" s="231" t="s">
        <v>4499</v>
      </c>
      <c r="D334" s="231">
        <v>1383</v>
      </c>
      <c r="E334" s="231" t="s">
        <v>4308</v>
      </c>
      <c r="F334" s="231">
        <v>1</v>
      </c>
      <c r="G334" s="316">
        <v>45809</v>
      </c>
      <c r="H334" s="231">
        <v>1</v>
      </c>
      <c r="I334" s="231">
        <v>0</v>
      </c>
      <c r="J334" s="231">
        <v>960</v>
      </c>
      <c r="K334" s="231">
        <v>961</v>
      </c>
      <c r="L334" s="231" t="s">
        <v>4416</v>
      </c>
    </row>
    <row r="335" spans="1:12">
      <c r="A335" s="231" t="s">
        <v>4119</v>
      </c>
      <c r="C335" s="231" t="s">
        <v>4500</v>
      </c>
      <c r="D335" s="231">
        <v>247</v>
      </c>
      <c r="E335" s="231" t="s">
        <v>4221</v>
      </c>
      <c r="F335" s="231">
        <v>0</v>
      </c>
      <c r="G335" s="316">
        <v>45891</v>
      </c>
      <c r="H335" s="231">
        <v>3</v>
      </c>
      <c r="I335" s="231">
        <v>0</v>
      </c>
      <c r="J335" s="315">
        <v>1010</v>
      </c>
      <c r="K335" s="315">
        <v>1105</v>
      </c>
      <c r="L335" s="231" t="s">
        <v>4253</v>
      </c>
    </row>
    <row r="336" spans="1:12">
      <c r="A336" s="232">
        <v>47880</v>
      </c>
      <c r="C336" s="231" t="s">
        <v>4501</v>
      </c>
      <c r="D336" s="231">
        <v>425</v>
      </c>
      <c r="E336" s="231" t="s">
        <v>4308</v>
      </c>
      <c r="F336" s="231">
        <v>70</v>
      </c>
      <c r="G336" s="316">
        <v>45990</v>
      </c>
      <c r="H336" s="231">
        <v>0</v>
      </c>
      <c r="I336" s="231">
        <v>0</v>
      </c>
      <c r="J336" s="231">
        <v>930</v>
      </c>
      <c r="K336" s="231">
        <v>930</v>
      </c>
      <c r="L336" s="231" t="s">
        <v>4153</v>
      </c>
    </row>
    <row r="337" spans="1:12">
      <c r="A337" s="231" t="s">
        <v>4493</v>
      </c>
      <c r="C337" s="231" t="s">
        <v>4502</v>
      </c>
      <c r="D337" s="231">
        <v>225</v>
      </c>
      <c r="E337" s="231" t="s">
        <v>4221</v>
      </c>
      <c r="F337" s="231">
        <v>0</v>
      </c>
      <c r="G337" s="316">
        <v>45973</v>
      </c>
      <c r="H337" s="231">
        <v>6</v>
      </c>
      <c r="I337" s="231">
        <v>0</v>
      </c>
      <c r="J337" s="315">
        <v>1035</v>
      </c>
      <c r="K337" s="315">
        <v>1035</v>
      </c>
      <c r="L337" s="231" t="s">
        <v>4253</v>
      </c>
    </row>
    <row r="338" spans="1:12">
      <c r="A338" s="231">
        <v>1091</v>
      </c>
      <c r="C338" s="231" t="s">
        <v>4503</v>
      </c>
      <c r="D338" s="231">
        <v>431</v>
      </c>
      <c r="E338" s="231" t="s">
        <v>4221</v>
      </c>
      <c r="F338" s="231">
        <v>63</v>
      </c>
      <c r="G338" s="316">
        <v>45951</v>
      </c>
      <c r="H338" s="231">
        <v>5</v>
      </c>
      <c r="I338" s="231">
        <v>2</v>
      </c>
      <c r="J338" s="231">
        <v>990</v>
      </c>
      <c r="K338" s="315">
        <v>1040</v>
      </c>
      <c r="L338" s="231" t="s">
        <v>4428</v>
      </c>
    </row>
    <row r="339" spans="1:12">
      <c r="A339" s="231">
        <v>219</v>
      </c>
      <c r="C339" s="231" t="s">
        <v>4504</v>
      </c>
      <c r="D339" s="231">
        <v>364</v>
      </c>
      <c r="E339" s="231" t="s">
        <v>4308</v>
      </c>
      <c r="F339" s="231">
        <v>70</v>
      </c>
      <c r="G339" s="316">
        <v>45740</v>
      </c>
      <c r="H339" s="231">
        <v>1</v>
      </c>
      <c r="I339" s="231">
        <v>0</v>
      </c>
      <c r="J339" s="315">
        <v>1565</v>
      </c>
      <c r="K339" s="315">
        <v>1520</v>
      </c>
      <c r="L339" s="231" t="s">
        <v>4130</v>
      </c>
    </row>
    <row r="340" spans="1:12">
      <c r="A340" s="231">
        <v>414</v>
      </c>
      <c r="C340" s="231" t="s">
        <v>4505</v>
      </c>
      <c r="D340" s="231">
        <v>792</v>
      </c>
      <c r="E340" s="231" t="s">
        <v>4308</v>
      </c>
      <c r="F340" s="231">
        <v>0</v>
      </c>
      <c r="G340" s="316">
        <v>45778</v>
      </c>
      <c r="H340" s="231">
        <v>1</v>
      </c>
      <c r="I340" s="231">
        <v>0</v>
      </c>
      <c r="J340" s="315">
        <v>1200</v>
      </c>
      <c r="K340" s="315">
        <v>1368</v>
      </c>
      <c r="L340" s="231" t="s">
        <v>4253</v>
      </c>
    </row>
    <row r="341" spans="1:12">
      <c r="A341" s="231">
        <v>2103</v>
      </c>
      <c r="C341" s="231" t="s">
        <v>4506</v>
      </c>
      <c r="D341" s="231">
        <v>397</v>
      </c>
      <c r="E341" s="231" t="s">
        <v>4308</v>
      </c>
      <c r="F341" s="231">
        <v>62</v>
      </c>
      <c r="G341" s="316">
        <v>45916</v>
      </c>
      <c r="H341" s="231">
        <v>4</v>
      </c>
      <c r="I341" s="231">
        <v>0</v>
      </c>
      <c r="J341" s="315">
        <v>1650</v>
      </c>
      <c r="K341" s="315">
        <v>1745</v>
      </c>
      <c r="L341" s="231" t="s">
        <v>4448</v>
      </c>
    </row>
    <row r="342" spans="1:12">
      <c r="A342" s="231" t="s">
        <v>4507</v>
      </c>
      <c r="C342" s="231" t="s">
        <v>4508</v>
      </c>
      <c r="D342" s="231">
        <v>1275</v>
      </c>
      <c r="E342" s="231" t="s">
        <v>4221</v>
      </c>
      <c r="F342" s="231">
        <v>61</v>
      </c>
      <c r="G342" s="316">
        <v>45960</v>
      </c>
      <c r="H342" s="231">
        <v>13</v>
      </c>
      <c r="I342" s="231">
        <v>0</v>
      </c>
      <c r="J342" s="231">
        <v>895</v>
      </c>
      <c r="K342" s="231">
        <v>827</v>
      </c>
      <c r="L342" s="231" t="s">
        <v>4199</v>
      </c>
    </row>
    <row r="343" spans="1:12">
      <c r="A343" s="231">
        <v>2061</v>
      </c>
      <c r="C343" s="231" t="s">
        <v>4509</v>
      </c>
      <c r="D343" s="231">
        <v>434</v>
      </c>
      <c r="E343" s="231" t="s">
        <v>4308</v>
      </c>
      <c r="F343" s="231">
        <v>0</v>
      </c>
      <c r="G343" s="316">
        <v>45919</v>
      </c>
      <c r="H343" s="231">
        <v>6</v>
      </c>
      <c r="I343" s="231">
        <v>0</v>
      </c>
      <c r="J343" s="231">
        <v>965</v>
      </c>
      <c r="K343" s="315">
        <v>1060</v>
      </c>
      <c r="L343" s="231" t="s">
        <v>4199</v>
      </c>
    </row>
    <row r="344" spans="1:12">
      <c r="A344" s="231">
        <v>256</v>
      </c>
      <c r="C344" s="231" t="s">
        <v>4510</v>
      </c>
      <c r="D344" s="231">
        <v>1280</v>
      </c>
      <c r="E344" s="231" t="s">
        <v>4308</v>
      </c>
      <c r="F344" s="231">
        <v>62</v>
      </c>
      <c r="G344" s="316">
        <v>45901</v>
      </c>
      <c r="H344" s="231">
        <v>1</v>
      </c>
      <c r="I344" s="231">
        <v>0</v>
      </c>
      <c r="J344" s="315">
        <v>1975</v>
      </c>
      <c r="K344" s="315">
        <v>1682</v>
      </c>
      <c r="L344" s="231" t="s">
        <v>4130</v>
      </c>
    </row>
    <row r="345" spans="1:12">
      <c r="A345" s="231">
        <v>1069</v>
      </c>
      <c r="C345" s="231" t="s">
        <v>4193</v>
      </c>
      <c r="D345" s="231">
        <v>3112</v>
      </c>
      <c r="E345" s="231" t="s">
        <v>4308</v>
      </c>
      <c r="F345" s="231">
        <v>62</v>
      </c>
      <c r="G345" s="316">
        <v>45931</v>
      </c>
      <c r="H345" s="231">
        <v>0</v>
      </c>
      <c r="I345" s="231">
        <v>0</v>
      </c>
      <c r="J345" s="231">
        <v>920</v>
      </c>
      <c r="K345" s="231">
        <v>920</v>
      </c>
      <c r="L345" s="231" t="s">
        <v>4416</v>
      </c>
    </row>
    <row r="346" spans="1:12">
      <c r="A346" s="231" t="s">
        <v>4511</v>
      </c>
      <c r="C346" s="231" t="s">
        <v>4512</v>
      </c>
      <c r="D346" s="231">
        <v>3293</v>
      </c>
      <c r="E346" s="231" t="s">
        <v>4308</v>
      </c>
      <c r="F346" s="231">
        <v>69</v>
      </c>
      <c r="G346" s="316">
        <v>45876</v>
      </c>
      <c r="H346" s="231">
        <v>2</v>
      </c>
      <c r="I346" s="231">
        <v>1</v>
      </c>
      <c r="J346" s="315">
        <v>1000</v>
      </c>
      <c r="K346" s="315">
        <v>1000</v>
      </c>
      <c r="L346" s="231" t="s">
        <v>4153</v>
      </c>
    </row>
    <row r="347" spans="1:12">
      <c r="A347" s="231">
        <v>2058</v>
      </c>
      <c r="C347" s="231" t="s">
        <v>4098</v>
      </c>
      <c r="D347" s="231">
        <v>246</v>
      </c>
      <c r="E347" s="231" t="s">
        <v>4221</v>
      </c>
      <c r="F347" s="231">
        <v>0</v>
      </c>
      <c r="G347" s="316">
        <v>45944</v>
      </c>
      <c r="H347" s="231">
        <v>2</v>
      </c>
      <c r="I347" s="231">
        <v>0</v>
      </c>
      <c r="J347" s="231">
        <v>955</v>
      </c>
      <c r="K347" s="231">
        <v>955</v>
      </c>
      <c r="L347" s="231" t="s">
        <v>4253</v>
      </c>
    </row>
    <row r="348" spans="1:12">
      <c r="A348" s="231">
        <v>3038</v>
      </c>
      <c r="C348" s="231" t="s">
        <v>4513</v>
      </c>
      <c r="D348" s="231">
        <v>425</v>
      </c>
      <c r="E348" s="231" t="s">
        <v>4308</v>
      </c>
      <c r="F348" s="231">
        <v>57</v>
      </c>
      <c r="G348" s="316">
        <v>45946</v>
      </c>
      <c r="H348" s="231">
        <v>2</v>
      </c>
      <c r="I348" s="231">
        <v>0</v>
      </c>
      <c r="J348" s="231">
        <v>960</v>
      </c>
      <c r="K348" s="231">
        <v>990</v>
      </c>
      <c r="L348" s="231" t="s">
        <v>4130</v>
      </c>
    </row>
    <row r="349" spans="1:12">
      <c r="A349" s="231">
        <v>1074</v>
      </c>
      <c r="C349" s="231" t="s">
        <v>4514</v>
      </c>
      <c r="D349" s="231">
        <v>865</v>
      </c>
      <c r="E349" s="231" t="s">
        <v>4221</v>
      </c>
      <c r="F349" s="231">
        <v>0</v>
      </c>
      <c r="G349" s="316">
        <v>45944</v>
      </c>
      <c r="H349" s="231">
        <v>2</v>
      </c>
      <c r="I349" s="231">
        <v>0</v>
      </c>
      <c r="J349" s="315">
        <v>1675</v>
      </c>
      <c r="K349" s="315">
        <v>1489</v>
      </c>
      <c r="L349" s="231" t="s">
        <v>4253</v>
      </c>
    </row>
    <row r="350" spans="1:12">
      <c r="A350" s="231">
        <v>102</v>
      </c>
      <c r="C350" s="231" t="s">
        <v>4515</v>
      </c>
      <c r="D350" s="231">
        <v>630</v>
      </c>
      <c r="E350" s="231" t="s">
        <v>4308</v>
      </c>
      <c r="F350" s="231">
        <v>91</v>
      </c>
      <c r="G350" s="316">
        <v>45839</v>
      </c>
      <c r="H350" s="231">
        <v>7</v>
      </c>
      <c r="I350" s="231">
        <v>0</v>
      </c>
      <c r="J350" s="231">
        <v>950</v>
      </c>
      <c r="K350" s="231">
        <v>940</v>
      </c>
      <c r="L350" s="231" t="s">
        <v>4165</v>
      </c>
    </row>
    <row r="351" spans="1:12">
      <c r="A351" s="231" t="s">
        <v>4196</v>
      </c>
      <c r="C351" s="231" t="s">
        <v>4516</v>
      </c>
      <c r="D351" s="231">
        <v>424</v>
      </c>
      <c r="E351" s="231" t="s">
        <v>4308</v>
      </c>
      <c r="F351" s="231">
        <v>65</v>
      </c>
      <c r="G351" s="316">
        <v>45735</v>
      </c>
      <c r="H351" s="231">
        <v>2</v>
      </c>
      <c r="I351" s="231">
        <v>0</v>
      </c>
      <c r="J351" s="231">
        <v>995</v>
      </c>
      <c r="K351" s="315">
        <v>1140</v>
      </c>
      <c r="L351" s="231" t="s">
        <v>4165</v>
      </c>
    </row>
    <row r="352" spans="1:12">
      <c r="A352" s="231">
        <v>268</v>
      </c>
      <c r="C352" s="231" t="s">
        <v>4517</v>
      </c>
      <c r="D352" s="231">
        <v>1246</v>
      </c>
      <c r="E352" s="231" t="s">
        <v>4221</v>
      </c>
      <c r="F352" s="231">
        <v>0</v>
      </c>
      <c r="G352" s="316">
        <v>45839</v>
      </c>
      <c r="H352" s="231">
        <v>1</v>
      </c>
      <c r="I352" s="231">
        <v>0</v>
      </c>
      <c r="J352" s="315">
        <v>1975</v>
      </c>
      <c r="K352" s="315">
        <v>1794</v>
      </c>
    </row>
    <row r="353" spans="1:12">
      <c r="A353" s="231">
        <v>401</v>
      </c>
      <c r="C353" s="231" t="s">
        <v>4518</v>
      </c>
      <c r="D353" s="231">
        <v>725</v>
      </c>
      <c r="E353" s="231" t="s">
        <v>4221</v>
      </c>
      <c r="F353" s="231">
        <v>88</v>
      </c>
      <c r="G353" s="316">
        <v>45839</v>
      </c>
      <c r="H353" s="231">
        <v>0</v>
      </c>
      <c r="I353" s="231">
        <v>0</v>
      </c>
      <c r="J353" s="315">
        <v>1200</v>
      </c>
      <c r="K353" s="315">
        <v>1310</v>
      </c>
      <c r="L353" s="231" t="s">
        <v>4428</v>
      </c>
    </row>
    <row r="354" spans="1:12">
      <c r="A354" s="232">
        <v>54820</v>
      </c>
      <c r="C354" s="231" t="s">
        <v>4519</v>
      </c>
      <c r="D354" s="231">
        <v>376</v>
      </c>
      <c r="E354" s="231" t="s">
        <v>4221</v>
      </c>
      <c r="F354" s="231">
        <v>0</v>
      </c>
      <c r="G354" s="316">
        <v>45973</v>
      </c>
      <c r="H354" s="231">
        <v>5</v>
      </c>
      <c r="I354" s="231">
        <v>0</v>
      </c>
      <c r="J354" s="315">
        <v>1575</v>
      </c>
      <c r="K354" s="315">
        <v>1575</v>
      </c>
      <c r="L354" s="231" t="s">
        <v>4253</v>
      </c>
    </row>
    <row r="355" spans="1:12">
      <c r="A355" s="231">
        <v>402</v>
      </c>
      <c r="C355" s="231" t="s">
        <v>4520</v>
      </c>
      <c r="D355" s="231">
        <v>426</v>
      </c>
      <c r="E355" s="231" t="s">
        <v>4308</v>
      </c>
      <c r="F355" s="231">
        <v>75</v>
      </c>
      <c r="G355" s="316">
        <v>45894</v>
      </c>
      <c r="H355" s="231">
        <v>2</v>
      </c>
      <c r="I355" s="231">
        <v>0</v>
      </c>
      <c r="J355" s="315">
        <v>1200</v>
      </c>
      <c r="K355" s="315">
        <v>1280</v>
      </c>
      <c r="L355" s="231" t="s">
        <v>4133</v>
      </c>
    </row>
    <row r="356" spans="1:12">
      <c r="A356" s="231">
        <v>2071</v>
      </c>
      <c r="C356" s="231" t="s">
        <v>4521</v>
      </c>
      <c r="D356" s="231">
        <v>440</v>
      </c>
      <c r="E356" s="231" t="s">
        <v>4308</v>
      </c>
      <c r="F356" s="231">
        <v>63</v>
      </c>
      <c r="G356" s="316">
        <v>45918</v>
      </c>
      <c r="H356" s="231">
        <v>1</v>
      </c>
      <c r="I356" s="231">
        <v>0</v>
      </c>
      <c r="J356" s="315">
        <v>1650</v>
      </c>
      <c r="K356" s="315">
        <v>1745</v>
      </c>
      <c r="L356" s="231" t="s">
        <v>4448</v>
      </c>
    </row>
    <row r="357" spans="1:12">
      <c r="A357" s="231" t="s">
        <v>4522</v>
      </c>
      <c r="C357" s="231" t="s">
        <v>4523</v>
      </c>
      <c r="D357" s="231">
        <v>395</v>
      </c>
      <c r="E357" s="231" t="s">
        <v>4221</v>
      </c>
      <c r="F357" s="231">
        <v>0</v>
      </c>
      <c r="G357" s="316">
        <v>45684</v>
      </c>
      <c r="H357" s="231">
        <v>9</v>
      </c>
      <c r="I357" s="231">
        <v>4</v>
      </c>
      <c r="J357" s="231">
        <v>950</v>
      </c>
      <c r="K357" s="315">
        <v>1015</v>
      </c>
      <c r="L357" s="231" t="s">
        <v>4253</v>
      </c>
    </row>
    <row r="358" spans="1:12">
      <c r="A358" s="231">
        <v>3002</v>
      </c>
      <c r="C358" s="231" t="s">
        <v>4524</v>
      </c>
      <c r="D358" s="231">
        <v>1830</v>
      </c>
      <c r="E358" s="231" t="s">
        <v>4308</v>
      </c>
      <c r="F358" s="231">
        <v>67</v>
      </c>
      <c r="G358" s="316">
        <v>45838</v>
      </c>
      <c r="H358" s="231">
        <v>5</v>
      </c>
      <c r="I358" s="231">
        <v>0</v>
      </c>
      <c r="J358" s="231">
        <v>905</v>
      </c>
      <c r="K358" s="231">
        <v>872</v>
      </c>
      <c r="L358" s="231" t="s">
        <v>4130</v>
      </c>
    </row>
    <row r="359" spans="1:12">
      <c r="A359" s="232">
        <v>62490</v>
      </c>
      <c r="C359" s="231" t="s">
        <v>4525</v>
      </c>
      <c r="D359" s="231">
        <v>2372</v>
      </c>
      <c r="E359" s="231" t="s">
        <v>4308</v>
      </c>
      <c r="F359" s="231">
        <v>66</v>
      </c>
      <c r="G359" s="316">
        <v>45869</v>
      </c>
      <c r="H359" s="231">
        <v>0</v>
      </c>
      <c r="I359" s="231">
        <v>0</v>
      </c>
      <c r="J359" s="315">
        <v>1620</v>
      </c>
      <c r="K359" s="315">
        <v>1522</v>
      </c>
      <c r="L359" s="231" t="s">
        <v>4526</v>
      </c>
    </row>
    <row r="360" spans="1:12">
      <c r="A360" s="231" t="s">
        <v>4527</v>
      </c>
      <c r="C360" s="231" t="s">
        <v>4528</v>
      </c>
      <c r="D360" s="231">
        <v>2042</v>
      </c>
      <c r="E360" s="231" t="s">
        <v>4308</v>
      </c>
      <c r="F360" s="231">
        <v>79</v>
      </c>
      <c r="G360" s="316">
        <v>45901</v>
      </c>
      <c r="H360" s="231">
        <v>1</v>
      </c>
      <c r="I360" s="231">
        <v>0</v>
      </c>
      <c r="J360" s="315">
        <v>1035</v>
      </c>
      <c r="K360" s="315">
        <v>1035</v>
      </c>
      <c r="L360" s="231" t="s">
        <v>4130</v>
      </c>
    </row>
    <row r="361" spans="1:12">
      <c r="A361" s="231">
        <v>247</v>
      </c>
      <c r="C361" s="231" t="s">
        <v>4529</v>
      </c>
      <c r="D361" s="231">
        <v>1125</v>
      </c>
      <c r="E361" s="231" t="s">
        <v>4308</v>
      </c>
      <c r="F361" s="231">
        <v>92</v>
      </c>
      <c r="G361" s="316">
        <v>45689</v>
      </c>
      <c r="H361" s="231">
        <v>1</v>
      </c>
      <c r="I361" s="231">
        <v>0</v>
      </c>
      <c r="J361" s="315">
        <v>1565</v>
      </c>
      <c r="K361" s="315">
        <v>1395</v>
      </c>
      <c r="L361" s="231" t="s">
        <v>4416</v>
      </c>
    </row>
    <row r="362" spans="1:12">
      <c r="A362" s="231" t="s">
        <v>4530</v>
      </c>
      <c r="C362" s="231" t="s">
        <v>4531</v>
      </c>
      <c r="D362" s="231">
        <v>306</v>
      </c>
      <c r="E362" s="231" t="s">
        <v>4221</v>
      </c>
      <c r="F362" s="231">
        <v>0</v>
      </c>
      <c r="G362" s="316">
        <v>45866</v>
      </c>
      <c r="H362" s="231">
        <v>1</v>
      </c>
      <c r="I362" s="231">
        <v>0</v>
      </c>
      <c r="J362" s="315">
        <v>1405</v>
      </c>
      <c r="K362" s="315">
        <v>1530</v>
      </c>
      <c r="L362" s="231" t="s">
        <v>4130</v>
      </c>
    </row>
    <row r="363" spans="1:12">
      <c r="A363" s="231">
        <v>3041</v>
      </c>
      <c r="C363" s="231" t="s">
        <v>4532</v>
      </c>
      <c r="D363" s="231">
        <v>566</v>
      </c>
      <c r="E363" s="231" t="s">
        <v>4221</v>
      </c>
      <c r="F363" s="231">
        <v>0</v>
      </c>
      <c r="G363" s="316">
        <v>45827</v>
      </c>
      <c r="H363" s="231">
        <v>2</v>
      </c>
      <c r="I363" s="231">
        <v>0</v>
      </c>
      <c r="J363" s="231">
        <v>960</v>
      </c>
      <c r="K363" s="315">
        <v>1050</v>
      </c>
      <c r="L363" s="231" t="s">
        <v>4253</v>
      </c>
    </row>
    <row r="364" spans="1:12">
      <c r="A364" s="231">
        <v>122</v>
      </c>
      <c r="C364" s="231" t="s">
        <v>4533</v>
      </c>
      <c r="D364" s="231">
        <v>248</v>
      </c>
      <c r="E364" s="231" t="s">
        <v>4221</v>
      </c>
      <c r="F364" s="231">
        <v>0</v>
      </c>
      <c r="G364" s="316">
        <v>45944</v>
      </c>
      <c r="H364" s="231">
        <v>7</v>
      </c>
      <c r="I364" s="231">
        <v>0</v>
      </c>
      <c r="J364" s="315">
        <v>1590</v>
      </c>
      <c r="K364" s="315">
        <v>1474</v>
      </c>
      <c r="L364" s="231" t="s">
        <v>4253</v>
      </c>
    </row>
    <row r="365" spans="1:12">
      <c r="A365" s="231">
        <v>121</v>
      </c>
      <c r="C365" s="231" t="s">
        <v>4534</v>
      </c>
      <c r="D365" s="231">
        <v>426</v>
      </c>
      <c r="E365" s="231" t="s">
        <v>4308</v>
      </c>
      <c r="F365" s="231">
        <v>85</v>
      </c>
      <c r="G365" s="316">
        <v>45961</v>
      </c>
      <c r="H365" s="231">
        <v>3</v>
      </c>
      <c r="I365" s="231">
        <v>2</v>
      </c>
      <c r="J365" s="315">
        <v>1590</v>
      </c>
      <c r="K365" s="315">
        <v>1520</v>
      </c>
      <c r="L365" s="231" t="s">
        <v>4133</v>
      </c>
    </row>
    <row r="366" spans="1:12">
      <c r="A366" s="231">
        <v>425</v>
      </c>
      <c r="C366" s="231" t="s">
        <v>4535</v>
      </c>
      <c r="D366" s="231">
        <v>1096</v>
      </c>
      <c r="E366" s="231" t="s">
        <v>4308</v>
      </c>
      <c r="F366" s="231">
        <v>63</v>
      </c>
      <c r="G366" s="316">
        <v>45901</v>
      </c>
      <c r="H366" s="231">
        <v>2</v>
      </c>
      <c r="I366" s="231">
        <v>1</v>
      </c>
      <c r="J366" s="315">
        <v>1720</v>
      </c>
      <c r="K366" s="315">
        <v>1671</v>
      </c>
      <c r="L366" s="231" t="s">
        <v>4448</v>
      </c>
    </row>
    <row r="367" spans="1:12">
      <c r="A367" s="232">
        <v>52628</v>
      </c>
      <c r="C367" s="231" t="s">
        <v>4536</v>
      </c>
      <c r="D367" s="231">
        <v>203</v>
      </c>
      <c r="E367" s="231" t="s">
        <v>4221</v>
      </c>
      <c r="F367" s="231">
        <v>0</v>
      </c>
      <c r="G367" s="316">
        <v>45747</v>
      </c>
      <c r="H367" s="231">
        <v>2</v>
      </c>
      <c r="I367" s="231">
        <v>0</v>
      </c>
      <c r="J367" s="231">
        <v>975</v>
      </c>
      <c r="K367" s="315">
        <v>1050</v>
      </c>
      <c r="L367" s="231" t="s">
        <v>4253</v>
      </c>
    </row>
    <row r="368" spans="1:12">
      <c r="A368" s="231" t="s">
        <v>4537</v>
      </c>
      <c r="C368" s="231" t="s">
        <v>4538</v>
      </c>
      <c r="D368" s="231">
        <v>2220</v>
      </c>
      <c r="E368" s="231" t="s">
        <v>4308</v>
      </c>
      <c r="F368" s="231">
        <v>63</v>
      </c>
      <c r="G368" s="316">
        <v>45780</v>
      </c>
      <c r="H368" s="231">
        <v>1</v>
      </c>
      <c r="I368" s="231">
        <v>0</v>
      </c>
      <c r="J368" s="231">
        <v>985</v>
      </c>
      <c r="K368" s="231">
        <v>960</v>
      </c>
      <c r="L368" s="231" t="s">
        <v>4416</v>
      </c>
    </row>
    <row r="369" spans="1:12">
      <c r="A369" s="231">
        <v>3063</v>
      </c>
      <c r="C369" s="231" t="s">
        <v>4539</v>
      </c>
      <c r="D369" s="231">
        <v>2215</v>
      </c>
      <c r="E369" s="231" t="s">
        <v>4308</v>
      </c>
      <c r="F369" s="231">
        <v>63</v>
      </c>
      <c r="G369" s="316">
        <v>45789</v>
      </c>
      <c r="H369" s="231">
        <v>3</v>
      </c>
      <c r="I369" s="231">
        <v>0</v>
      </c>
      <c r="J369" s="231">
        <v>920</v>
      </c>
      <c r="K369" s="231">
        <v>933</v>
      </c>
      <c r="L369" s="231" t="s">
        <v>4153</v>
      </c>
    </row>
    <row r="370" spans="1:12">
      <c r="A370" s="231" t="s">
        <v>4540</v>
      </c>
      <c r="C370" s="231" t="s">
        <v>4541</v>
      </c>
      <c r="D370" s="231">
        <v>425</v>
      </c>
      <c r="E370" s="231" t="s">
        <v>4308</v>
      </c>
      <c r="F370" s="231">
        <v>66</v>
      </c>
      <c r="G370" s="316">
        <v>45815</v>
      </c>
      <c r="H370" s="231">
        <v>1</v>
      </c>
      <c r="I370" s="231">
        <v>0</v>
      </c>
      <c r="J370" s="231">
        <v>970</v>
      </c>
      <c r="K370" s="315">
        <v>1125</v>
      </c>
      <c r="L370" s="231" t="s">
        <v>4163</v>
      </c>
    </row>
    <row r="371" spans="1:12">
      <c r="A371" s="231">
        <v>2073</v>
      </c>
      <c r="C371" s="231" t="s">
        <v>4542</v>
      </c>
      <c r="D371" s="231">
        <v>941</v>
      </c>
      <c r="E371" s="231" t="s">
        <v>4308</v>
      </c>
      <c r="F371" s="231">
        <v>91</v>
      </c>
      <c r="G371" s="316">
        <v>45717</v>
      </c>
      <c r="H371" s="231">
        <v>2</v>
      </c>
      <c r="I371" s="231">
        <v>0</v>
      </c>
      <c r="J371" s="315">
        <v>1695</v>
      </c>
      <c r="K371" s="315">
        <v>1574</v>
      </c>
      <c r="L371" s="231" t="s">
        <v>4126</v>
      </c>
    </row>
    <row r="372" spans="1:12">
      <c r="A372" s="231" t="s">
        <v>4543</v>
      </c>
      <c r="C372" s="231" t="s">
        <v>4544</v>
      </c>
      <c r="D372" s="231">
        <v>332</v>
      </c>
      <c r="E372" s="231" t="s">
        <v>4221</v>
      </c>
      <c r="F372" s="231">
        <v>4</v>
      </c>
      <c r="G372" s="316">
        <v>45923</v>
      </c>
      <c r="H372" s="231">
        <v>3</v>
      </c>
      <c r="I372" s="231">
        <v>0</v>
      </c>
      <c r="J372" s="315">
        <v>1090</v>
      </c>
      <c r="K372" s="315">
        <v>1185</v>
      </c>
      <c r="L372" s="231" t="s">
        <v>4253</v>
      </c>
    </row>
    <row r="373" spans="1:12">
      <c r="A373" s="232">
        <v>52263</v>
      </c>
      <c r="C373" s="231" t="s">
        <v>4545</v>
      </c>
      <c r="D373" s="231">
        <v>396</v>
      </c>
      <c r="E373" s="231" t="s">
        <v>4308</v>
      </c>
      <c r="F373" s="231">
        <v>79</v>
      </c>
      <c r="G373" s="316">
        <v>45870</v>
      </c>
      <c r="H373" s="231">
        <v>1</v>
      </c>
      <c r="I373" s="231">
        <v>0</v>
      </c>
      <c r="J373" s="231">
        <v>985</v>
      </c>
      <c r="K373" s="315">
        <v>1180</v>
      </c>
      <c r="L373" s="231" t="s">
        <v>4093</v>
      </c>
    </row>
    <row r="374" spans="1:12">
      <c r="A374" s="231" t="s">
        <v>4546</v>
      </c>
      <c r="C374" s="231" t="s">
        <v>4547</v>
      </c>
      <c r="D374" s="231">
        <v>1141</v>
      </c>
      <c r="E374" s="231" t="s">
        <v>4308</v>
      </c>
      <c r="F374" s="231">
        <v>0</v>
      </c>
      <c r="G374" s="316">
        <v>45762</v>
      </c>
      <c r="H374" s="231">
        <v>2</v>
      </c>
      <c r="I374" s="231">
        <v>0</v>
      </c>
      <c r="J374" s="231">
        <v>960</v>
      </c>
      <c r="K374" s="315">
        <v>1122</v>
      </c>
      <c r="L374" s="231" t="s">
        <v>4143</v>
      </c>
    </row>
    <row r="375" spans="1:12">
      <c r="A375" s="231">
        <v>1007</v>
      </c>
      <c r="C375" s="231" t="s">
        <v>4548</v>
      </c>
      <c r="D375" s="231">
        <v>2191</v>
      </c>
      <c r="E375" s="231" t="s">
        <v>4308</v>
      </c>
      <c r="F375" s="231">
        <v>31</v>
      </c>
      <c r="G375" s="316">
        <v>45992</v>
      </c>
      <c r="H375" s="231">
        <v>7</v>
      </c>
      <c r="I375" s="231">
        <v>0</v>
      </c>
      <c r="J375" s="315">
        <v>1200</v>
      </c>
      <c r="K375" s="315">
        <v>1130</v>
      </c>
      <c r="L375" s="231" t="s">
        <v>4149</v>
      </c>
    </row>
    <row r="376" spans="1:12">
      <c r="A376" s="231">
        <v>1027</v>
      </c>
      <c r="C376" s="231" t="s">
        <v>4549</v>
      </c>
      <c r="D376" s="231">
        <v>3291</v>
      </c>
      <c r="E376" s="231" t="s">
        <v>4308</v>
      </c>
      <c r="F376" s="231">
        <v>63</v>
      </c>
      <c r="G376" s="316">
        <v>45869</v>
      </c>
      <c r="H376" s="231">
        <v>0</v>
      </c>
      <c r="I376" s="231">
        <v>0</v>
      </c>
      <c r="J376" s="315">
        <v>1720</v>
      </c>
      <c r="K376" s="315">
        <v>1469</v>
      </c>
      <c r="L376" s="231" t="s">
        <v>4165</v>
      </c>
    </row>
    <row r="377" spans="1:12">
      <c r="A377" s="231">
        <v>109</v>
      </c>
      <c r="C377" s="231" t="s">
        <v>4550</v>
      </c>
      <c r="D377" s="231">
        <v>626</v>
      </c>
      <c r="E377" s="231" t="s">
        <v>4308</v>
      </c>
      <c r="F377" s="231">
        <v>61</v>
      </c>
      <c r="G377" s="316">
        <v>45878</v>
      </c>
      <c r="H377" s="231">
        <v>1</v>
      </c>
      <c r="I377" s="231">
        <v>0</v>
      </c>
      <c r="J377" s="315">
        <v>1005</v>
      </c>
      <c r="K377" s="315">
        <v>1140</v>
      </c>
      <c r="L377" s="231" t="s">
        <v>4130</v>
      </c>
    </row>
    <row r="378" spans="1:12">
      <c r="A378" s="231" t="s">
        <v>4127</v>
      </c>
      <c r="C378" s="231" t="s">
        <v>4551</v>
      </c>
      <c r="D378" s="231">
        <v>348</v>
      </c>
      <c r="E378" s="231" t="s">
        <v>4221</v>
      </c>
      <c r="F378" s="231">
        <v>0</v>
      </c>
      <c r="G378" s="316">
        <v>45735</v>
      </c>
      <c r="H378" s="231">
        <v>9</v>
      </c>
      <c r="I378" s="231">
        <v>0</v>
      </c>
      <c r="J378" s="315">
        <v>1490</v>
      </c>
      <c r="K378" s="315">
        <v>1420</v>
      </c>
      <c r="L378" s="231" t="s">
        <v>4253</v>
      </c>
    </row>
    <row r="379" spans="1:12">
      <c r="A379" s="231">
        <v>431</v>
      </c>
      <c r="C379" s="231" t="s">
        <v>4552</v>
      </c>
      <c r="D379" s="231">
        <v>364</v>
      </c>
      <c r="E379" s="231" t="s">
        <v>4308</v>
      </c>
      <c r="F379" s="231">
        <v>62</v>
      </c>
      <c r="G379" s="316">
        <v>45961</v>
      </c>
      <c r="H379" s="231">
        <v>1</v>
      </c>
      <c r="I379" s="231">
        <v>0</v>
      </c>
      <c r="J379" s="315">
        <v>1700</v>
      </c>
      <c r="K379" s="315">
        <v>1795</v>
      </c>
      <c r="L379" s="231" t="s">
        <v>4133</v>
      </c>
    </row>
    <row r="380" spans="1:12">
      <c r="A380" s="231" t="s">
        <v>4553</v>
      </c>
      <c r="C380" s="231" t="s">
        <v>4554</v>
      </c>
      <c r="D380" s="231">
        <v>1428</v>
      </c>
      <c r="E380" s="231" t="s">
        <v>4308</v>
      </c>
      <c r="F380" s="231">
        <v>49</v>
      </c>
      <c r="G380" s="316">
        <v>45962</v>
      </c>
      <c r="H380" s="231">
        <v>0</v>
      </c>
      <c r="I380" s="231">
        <v>0</v>
      </c>
      <c r="J380" s="315">
        <v>1010</v>
      </c>
      <c r="K380" s="315">
        <v>1140</v>
      </c>
      <c r="L380" s="231" t="s">
        <v>4133</v>
      </c>
    </row>
    <row r="381" spans="1:12">
      <c r="A381" s="231" t="s">
        <v>4555</v>
      </c>
      <c r="C381" s="231" t="s">
        <v>4556</v>
      </c>
      <c r="D381" s="231">
        <v>497</v>
      </c>
      <c r="E381" s="231" t="s">
        <v>4221</v>
      </c>
      <c r="F381" s="231">
        <v>0</v>
      </c>
      <c r="G381" s="316">
        <v>45789</v>
      </c>
      <c r="H381" s="231">
        <v>3</v>
      </c>
      <c r="I381" s="231">
        <v>0</v>
      </c>
      <c r="J381" s="231">
        <v>960</v>
      </c>
      <c r="K381" s="315">
        <v>1025</v>
      </c>
      <c r="L381" s="231" t="s">
        <v>4253</v>
      </c>
    </row>
    <row r="382" spans="1:12">
      <c r="A382" s="231">
        <v>242</v>
      </c>
      <c r="C382" s="231" t="s">
        <v>4557</v>
      </c>
      <c r="D382" s="231">
        <v>2195</v>
      </c>
      <c r="E382" s="231" t="s">
        <v>4308</v>
      </c>
      <c r="F382" s="231">
        <v>63</v>
      </c>
      <c r="G382" s="316">
        <v>45933</v>
      </c>
      <c r="H382" s="231">
        <v>6</v>
      </c>
      <c r="I382" s="231">
        <v>0</v>
      </c>
      <c r="J382" s="315">
        <v>1565</v>
      </c>
      <c r="K382" s="315">
        <v>1660</v>
      </c>
      <c r="L382" s="231" t="s">
        <v>4133</v>
      </c>
    </row>
    <row r="383" spans="1:12">
      <c r="A383" s="231">
        <v>2102</v>
      </c>
      <c r="C383" s="231" t="s">
        <v>4558</v>
      </c>
      <c r="D383" s="231">
        <v>942</v>
      </c>
      <c r="E383" s="231" t="s">
        <v>4221</v>
      </c>
      <c r="F383" s="231">
        <v>0</v>
      </c>
      <c r="G383" s="316">
        <v>45777</v>
      </c>
      <c r="H383" s="231">
        <v>0</v>
      </c>
      <c r="I383" s="231">
        <v>0</v>
      </c>
      <c r="J383" s="315">
        <v>1695</v>
      </c>
      <c r="K383" s="315">
        <v>1540</v>
      </c>
      <c r="L383" s="231" t="s">
        <v>4199</v>
      </c>
    </row>
    <row r="384" spans="1:12">
      <c r="A384" s="231">
        <v>2033</v>
      </c>
      <c r="C384" s="231" t="s">
        <v>4559</v>
      </c>
      <c r="D384" s="231">
        <v>1531</v>
      </c>
      <c r="E384" s="231" t="s">
        <v>4308</v>
      </c>
      <c r="F384" s="231">
        <v>75</v>
      </c>
      <c r="G384" s="316">
        <v>45945</v>
      </c>
      <c r="H384" s="231">
        <v>17</v>
      </c>
      <c r="I384" s="231">
        <v>3</v>
      </c>
      <c r="J384" s="315">
        <v>1695</v>
      </c>
      <c r="K384" s="315">
        <v>1695</v>
      </c>
      <c r="L384" s="231" t="s">
        <v>4165</v>
      </c>
    </row>
    <row r="385" spans="1:12">
      <c r="A385" s="232">
        <v>37288</v>
      </c>
      <c r="C385" s="231" t="s">
        <v>4560</v>
      </c>
      <c r="D385" s="231">
        <v>3290</v>
      </c>
      <c r="E385" s="231" t="s">
        <v>4308</v>
      </c>
      <c r="F385" s="231">
        <v>84</v>
      </c>
      <c r="G385" s="316">
        <v>45869</v>
      </c>
      <c r="H385" s="231">
        <v>0</v>
      </c>
      <c r="I385" s="231">
        <v>0</v>
      </c>
      <c r="J385" s="231">
        <v>930</v>
      </c>
      <c r="K385" s="231">
        <v>947</v>
      </c>
      <c r="L385" s="231" t="s">
        <v>4428</v>
      </c>
    </row>
    <row r="386" spans="1:12">
      <c r="A386" s="231" t="s">
        <v>4069</v>
      </c>
      <c r="C386" s="231" t="s">
        <v>4561</v>
      </c>
      <c r="D386" s="231">
        <v>984</v>
      </c>
      <c r="E386" s="231" t="s">
        <v>4221</v>
      </c>
      <c r="F386" s="231">
        <v>0</v>
      </c>
      <c r="G386" s="316">
        <v>45666</v>
      </c>
      <c r="H386" s="231">
        <v>1</v>
      </c>
      <c r="I386" s="231">
        <v>0</v>
      </c>
      <c r="J386" s="231">
        <v>905</v>
      </c>
      <c r="K386" s="231">
        <v>996</v>
      </c>
      <c r="L386" s="231" t="s">
        <v>4253</v>
      </c>
    </row>
    <row r="387" spans="1:12">
      <c r="A387" s="231">
        <v>2059</v>
      </c>
      <c r="C387" s="231" t="s">
        <v>4562</v>
      </c>
      <c r="D387" s="231">
        <v>906</v>
      </c>
      <c r="E387" s="231" t="s">
        <v>4308</v>
      </c>
      <c r="F387" s="231">
        <v>92</v>
      </c>
      <c r="G387" s="316">
        <v>45870</v>
      </c>
      <c r="H387" s="231">
        <v>4</v>
      </c>
      <c r="I387" s="231">
        <v>0</v>
      </c>
      <c r="J387" s="231">
        <v>955</v>
      </c>
      <c r="K387" s="315">
        <v>1010</v>
      </c>
      <c r="L387" s="231" t="s">
        <v>4416</v>
      </c>
    </row>
    <row r="388" spans="1:12">
      <c r="A388" s="231">
        <v>2014</v>
      </c>
      <c r="C388" s="231" t="s">
        <v>4563</v>
      </c>
      <c r="D388" s="231">
        <v>251</v>
      </c>
      <c r="E388" s="231" t="s">
        <v>4221</v>
      </c>
      <c r="F388" s="231">
        <v>0</v>
      </c>
      <c r="G388" s="316">
        <v>45979</v>
      </c>
      <c r="H388" s="231">
        <v>4</v>
      </c>
      <c r="I388" s="231">
        <v>0</v>
      </c>
      <c r="J388" s="231">
        <v>955</v>
      </c>
      <c r="K388" s="231">
        <v>955</v>
      </c>
      <c r="L388" s="231" t="s">
        <v>4253</v>
      </c>
    </row>
    <row r="389" spans="1:12">
      <c r="A389" s="231">
        <v>2014</v>
      </c>
      <c r="C389" s="231" t="s">
        <v>4564</v>
      </c>
      <c r="D389" s="231">
        <v>554</v>
      </c>
      <c r="E389" s="231" t="s">
        <v>4308</v>
      </c>
      <c r="F389" s="231">
        <v>0</v>
      </c>
      <c r="G389" s="316">
        <v>45702</v>
      </c>
      <c r="H389" s="231">
        <v>5</v>
      </c>
      <c r="I389" s="231">
        <v>0</v>
      </c>
      <c r="J389" s="231">
        <v>955</v>
      </c>
      <c r="K389" s="315">
        <v>1015</v>
      </c>
      <c r="L389" s="231" t="s">
        <v>4253</v>
      </c>
    </row>
    <row r="390" spans="1:12">
      <c r="A390" s="231" t="s">
        <v>4565</v>
      </c>
      <c r="C390" s="231" t="s">
        <v>4566</v>
      </c>
      <c r="D390" s="231">
        <v>964</v>
      </c>
      <c r="E390" s="231" t="s">
        <v>4221</v>
      </c>
      <c r="F390" s="231">
        <v>26</v>
      </c>
      <c r="G390" s="316">
        <v>45922</v>
      </c>
      <c r="H390" s="231">
        <v>11</v>
      </c>
      <c r="I390" s="231">
        <v>0</v>
      </c>
      <c r="J390" s="315">
        <v>1090</v>
      </c>
      <c r="K390" s="315">
        <v>1275</v>
      </c>
      <c r="L390" s="231" t="s">
        <v>4253</v>
      </c>
    </row>
    <row r="391" spans="1:12">
      <c r="A391" s="231" t="s">
        <v>4567</v>
      </c>
      <c r="C391" s="231" t="s">
        <v>4568</v>
      </c>
      <c r="D391" s="231">
        <v>3318</v>
      </c>
      <c r="E391" s="231" t="s">
        <v>4308</v>
      </c>
      <c r="F391" s="231">
        <v>64</v>
      </c>
      <c r="G391" s="316">
        <v>45689</v>
      </c>
      <c r="H391" s="231">
        <v>1</v>
      </c>
      <c r="I391" s="231">
        <v>0</v>
      </c>
      <c r="J391" s="231">
        <v>915</v>
      </c>
      <c r="K391" s="231">
        <v>887</v>
      </c>
      <c r="L391" s="231" t="s">
        <v>4163</v>
      </c>
    </row>
    <row r="392" spans="1:12">
      <c r="A392" s="232">
        <v>47150</v>
      </c>
      <c r="C392" s="231" t="s">
        <v>4569</v>
      </c>
      <c r="D392" s="231">
        <v>425</v>
      </c>
      <c r="E392" s="231" t="s">
        <v>4308</v>
      </c>
      <c r="F392" s="231">
        <v>98</v>
      </c>
      <c r="G392" s="316">
        <v>45805</v>
      </c>
      <c r="H392" s="231">
        <v>0</v>
      </c>
      <c r="I392" s="231">
        <v>0</v>
      </c>
      <c r="J392" s="231">
        <v>985</v>
      </c>
      <c r="K392" s="315">
        <v>1180</v>
      </c>
      <c r="L392" s="231" t="s">
        <v>4133</v>
      </c>
    </row>
    <row r="393" spans="1:12">
      <c r="A393" s="232">
        <v>48245</v>
      </c>
      <c r="C393" s="231" t="s">
        <v>4570</v>
      </c>
      <c r="D393" s="231">
        <v>2380</v>
      </c>
      <c r="E393" s="231" t="s">
        <v>4221</v>
      </c>
      <c r="F393" s="231">
        <v>73</v>
      </c>
      <c r="G393" s="316">
        <v>45990</v>
      </c>
      <c r="H393" s="231">
        <v>0</v>
      </c>
      <c r="I393" s="231">
        <v>0</v>
      </c>
      <c r="J393" s="315">
        <v>1065</v>
      </c>
      <c r="K393" s="315">
        <v>1089</v>
      </c>
      <c r="L393" s="231" t="s">
        <v>4133</v>
      </c>
    </row>
    <row r="394" spans="1:12">
      <c r="A394" s="231" t="s">
        <v>4571</v>
      </c>
      <c r="C394" s="231" t="s">
        <v>4572</v>
      </c>
      <c r="D394" s="231">
        <v>1276</v>
      </c>
      <c r="E394" s="231" t="s">
        <v>4221</v>
      </c>
      <c r="F394" s="231">
        <v>0</v>
      </c>
      <c r="G394" s="316">
        <v>45838</v>
      </c>
      <c r="H394" s="231">
        <v>2</v>
      </c>
      <c r="I394" s="231">
        <v>0</v>
      </c>
      <c r="J394" s="315">
        <v>1575</v>
      </c>
      <c r="K394" s="315">
        <v>1584</v>
      </c>
      <c r="L394" s="231" t="s">
        <v>4253</v>
      </c>
    </row>
    <row r="395" spans="1:12">
      <c r="A395" s="231" t="s">
        <v>4573</v>
      </c>
      <c r="C395" s="231" t="s">
        <v>4574</v>
      </c>
      <c r="D395" s="231">
        <v>1128</v>
      </c>
      <c r="E395" s="231" t="s">
        <v>4308</v>
      </c>
      <c r="F395" s="231">
        <v>0</v>
      </c>
      <c r="G395" s="316">
        <v>45870</v>
      </c>
      <c r="H395" s="231">
        <v>18</v>
      </c>
      <c r="I395" s="231">
        <v>0</v>
      </c>
      <c r="J395" s="315">
        <v>1480</v>
      </c>
      <c r="K395" s="315">
        <v>1290</v>
      </c>
      <c r="L395" s="231" t="s">
        <v>4133</v>
      </c>
    </row>
    <row r="396" spans="1:12">
      <c r="A396" s="231" t="s">
        <v>4575</v>
      </c>
      <c r="C396" s="231" t="s">
        <v>4576</v>
      </c>
      <c r="D396" s="231">
        <v>371</v>
      </c>
      <c r="E396" s="231" t="s">
        <v>4221</v>
      </c>
      <c r="F396" s="231">
        <v>0</v>
      </c>
      <c r="G396" s="316">
        <v>45783</v>
      </c>
      <c r="H396" s="231">
        <v>5</v>
      </c>
      <c r="I396" s="231">
        <v>0</v>
      </c>
      <c r="J396" s="315">
        <v>1000</v>
      </c>
      <c r="K396" s="315">
        <v>1160</v>
      </c>
      <c r="L396" s="231" t="s">
        <v>4253</v>
      </c>
    </row>
    <row r="397" spans="1:12">
      <c r="A397" s="231" t="s">
        <v>4228</v>
      </c>
      <c r="C397" s="231" t="s">
        <v>4577</v>
      </c>
      <c r="D397" s="231">
        <v>158</v>
      </c>
      <c r="E397" s="231" t="s">
        <v>4221</v>
      </c>
      <c r="F397" s="231">
        <v>0</v>
      </c>
      <c r="G397" s="316">
        <v>45951</v>
      </c>
      <c r="H397" s="231">
        <v>3</v>
      </c>
      <c r="I397" s="231">
        <v>0</v>
      </c>
      <c r="J397" s="231">
        <v>960</v>
      </c>
      <c r="K397" s="231">
        <v>960</v>
      </c>
      <c r="L397" s="231" t="s">
        <v>4253</v>
      </c>
    </row>
    <row r="398" spans="1:12">
      <c r="A398" s="231">
        <v>1011</v>
      </c>
      <c r="C398" s="231" t="s">
        <v>4578</v>
      </c>
      <c r="D398" s="231">
        <v>976</v>
      </c>
      <c r="E398" s="231" t="s">
        <v>4308</v>
      </c>
      <c r="F398" s="231">
        <v>12</v>
      </c>
      <c r="G398" s="316">
        <v>45901</v>
      </c>
      <c r="H398" s="231">
        <v>2</v>
      </c>
      <c r="I398" s="231">
        <v>0</v>
      </c>
      <c r="J398" s="315">
        <v>1200</v>
      </c>
      <c r="K398" s="315">
        <v>1263</v>
      </c>
      <c r="L398" s="231" t="s">
        <v>4163</v>
      </c>
    </row>
    <row r="399" spans="1:12">
      <c r="A399" s="231">
        <v>262</v>
      </c>
      <c r="C399" s="231" t="s">
        <v>4579</v>
      </c>
      <c r="D399" s="231">
        <v>941</v>
      </c>
      <c r="E399" s="231" t="s">
        <v>4221</v>
      </c>
      <c r="F399" s="231">
        <v>63</v>
      </c>
      <c r="G399" s="316">
        <v>45705</v>
      </c>
      <c r="H399" s="231">
        <v>5</v>
      </c>
      <c r="I399" s="231">
        <v>0</v>
      </c>
      <c r="J399" s="315">
        <v>1310</v>
      </c>
      <c r="K399" s="315">
        <v>1283</v>
      </c>
      <c r="L399" s="231" t="s">
        <v>4133</v>
      </c>
    </row>
    <row r="400" spans="1:12">
      <c r="A400" s="231" t="s">
        <v>4275</v>
      </c>
      <c r="C400" s="231" t="s">
        <v>4580</v>
      </c>
      <c r="D400" s="231">
        <v>1826</v>
      </c>
      <c r="E400" s="231" t="s">
        <v>4308</v>
      </c>
      <c r="F400" s="231">
        <v>65</v>
      </c>
      <c r="G400" s="316">
        <v>45809</v>
      </c>
      <c r="H400" s="231">
        <v>9</v>
      </c>
      <c r="I400" s="231">
        <v>0</v>
      </c>
      <c r="J400" s="315">
        <v>1575</v>
      </c>
      <c r="K400" s="315">
        <v>1610</v>
      </c>
      <c r="L400" s="231" t="s">
        <v>4130</v>
      </c>
    </row>
    <row r="401" spans="1:12">
      <c r="A401" s="231">
        <v>1062</v>
      </c>
      <c r="C401" s="231" t="s">
        <v>4581</v>
      </c>
      <c r="D401" s="231">
        <v>600</v>
      </c>
      <c r="E401" s="231" t="s">
        <v>4221</v>
      </c>
      <c r="F401" s="231">
        <v>0</v>
      </c>
      <c r="G401" s="316">
        <v>45684</v>
      </c>
      <c r="H401" s="231">
        <v>10</v>
      </c>
      <c r="I401" s="231">
        <v>0</v>
      </c>
      <c r="J401" s="231">
        <v>990</v>
      </c>
      <c r="K401" s="315">
        <v>1370</v>
      </c>
      <c r="L401" s="231" t="s">
        <v>4253</v>
      </c>
    </row>
    <row r="402" spans="1:12">
      <c r="A402" s="231" t="s">
        <v>4244</v>
      </c>
      <c r="C402" s="231" t="s">
        <v>4582</v>
      </c>
      <c r="D402" s="231">
        <v>714</v>
      </c>
      <c r="E402" s="231" t="s">
        <v>4308</v>
      </c>
      <c r="F402" s="231">
        <v>65</v>
      </c>
      <c r="G402" s="316">
        <v>45838</v>
      </c>
      <c r="H402" s="231">
        <v>0</v>
      </c>
      <c r="I402" s="231">
        <v>0</v>
      </c>
      <c r="J402" s="231">
        <v>970</v>
      </c>
      <c r="K402" s="315">
        <v>1010</v>
      </c>
      <c r="L402" s="231" t="s">
        <v>4130</v>
      </c>
    </row>
    <row r="403" spans="1:12">
      <c r="A403" s="232">
        <v>58107</v>
      </c>
      <c r="C403" s="231" t="s">
        <v>4583</v>
      </c>
      <c r="D403" s="231">
        <v>688</v>
      </c>
      <c r="E403" s="231" t="s">
        <v>4221</v>
      </c>
      <c r="F403" s="231">
        <v>8</v>
      </c>
      <c r="G403" s="316">
        <v>45904</v>
      </c>
      <c r="H403" s="231">
        <v>8</v>
      </c>
      <c r="I403" s="231">
        <v>0</v>
      </c>
      <c r="J403" s="231">
        <v>945</v>
      </c>
      <c r="K403" s="231">
        <v>965</v>
      </c>
      <c r="L403" s="231" t="s">
        <v>4253</v>
      </c>
    </row>
    <row r="404" spans="1:12">
      <c r="A404" s="231" t="s">
        <v>4584</v>
      </c>
      <c r="C404" s="231" t="s">
        <v>4585</v>
      </c>
      <c r="D404" s="231">
        <v>2084</v>
      </c>
      <c r="E404" s="231" t="s">
        <v>4308</v>
      </c>
      <c r="F404" s="231">
        <v>75</v>
      </c>
      <c r="G404" s="316">
        <v>45945</v>
      </c>
      <c r="H404" s="231">
        <v>17</v>
      </c>
      <c r="I404" s="231">
        <v>0</v>
      </c>
      <c r="J404" s="315">
        <v>1410</v>
      </c>
      <c r="K404" s="315">
        <v>1410</v>
      </c>
      <c r="L404" s="231" t="s">
        <v>4163</v>
      </c>
    </row>
    <row r="405" spans="1:12">
      <c r="A405" s="231" t="s">
        <v>4586</v>
      </c>
      <c r="C405" s="231" t="s">
        <v>4587</v>
      </c>
      <c r="D405" s="231">
        <v>608</v>
      </c>
      <c r="E405" s="231" t="s">
        <v>4221</v>
      </c>
      <c r="F405" s="231">
        <v>0</v>
      </c>
      <c r="G405" s="316">
        <v>45986</v>
      </c>
      <c r="H405" s="231">
        <v>1</v>
      </c>
      <c r="I405" s="231">
        <v>0</v>
      </c>
      <c r="J405" s="231">
        <v>960</v>
      </c>
      <c r="K405" s="315">
        <v>1080</v>
      </c>
      <c r="L405" s="231" t="s">
        <v>4448</v>
      </c>
    </row>
    <row r="406" spans="1:12">
      <c r="A406" s="231">
        <v>139</v>
      </c>
      <c r="C406" s="231" t="s">
        <v>4588</v>
      </c>
      <c r="D406" s="231">
        <v>415</v>
      </c>
      <c r="E406" s="231" t="s">
        <v>4221</v>
      </c>
      <c r="F406" s="231">
        <v>61</v>
      </c>
      <c r="G406" s="316">
        <v>45667</v>
      </c>
      <c r="H406" s="231">
        <v>2</v>
      </c>
      <c r="I406" s="231">
        <v>0</v>
      </c>
      <c r="J406" s="231">
        <v>950</v>
      </c>
      <c r="K406" s="315">
        <v>1040</v>
      </c>
      <c r="L406" s="231" t="s">
        <v>4163</v>
      </c>
    </row>
    <row r="407" spans="1:12">
      <c r="A407" s="231" t="s">
        <v>4589</v>
      </c>
      <c r="C407" s="231" t="s">
        <v>4590</v>
      </c>
      <c r="D407" s="231">
        <v>705</v>
      </c>
      <c r="E407" s="231" t="s">
        <v>4308</v>
      </c>
      <c r="F407" s="231">
        <v>65</v>
      </c>
      <c r="G407" s="316">
        <v>45934</v>
      </c>
      <c r="H407" s="231">
        <v>2</v>
      </c>
      <c r="I407" s="231">
        <v>0</v>
      </c>
      <c r="J407" s="315">
        <v>1455</v>
      </c>
      <c r="K407" s="315">
        <v>1455</v>
      </c>
      <c r="L407" s="231" t="s">
        <v>4093</v>
      </c>
    </row>
    <row r="408" spans="1:12">
      <c r="A408" s="231" t="s">
        <v>4591</v>
      </c>
      <c r="C408" s="231" t="s">
        <v>4592</v>
      </c>
      <c r="D408" s="231">
        <v>466</v>
      </c>
      <c r="E408" s="231" t="s">
        <v>4308</v>
      </c>
      <c r="F408" s="231">
        <v>62</v>
      </c>
      <c r="G408" s="316">
        <v>45689</v>
      </c>
      <c r="H408" s="231">
        <v>2</v>
      </c>
      <c r="I408" s="231">
        <v>0</v>
      </c>
      <c r="J408" s="231">
        <v>955</v>
      </c>
      <c r="K408" s="315">
        <v>1065</v>
      </c>
      <c r="L408" s="231" t="s">
        <v>4416</v>
      </c>
    </row>
    <row r="409" spans="1:12">
      <c r="A409" s="231">
        <v>1017</v>
      </c>
      <c r="C409" s="231" t="s">
        <v>4593</v>
      </c>
      <c r="D409" s="231">
        <v>426</v>
      </c>
      <c r="E409" s="231" t="s">
        <v>4308</v>
      </c>
      <c r="F409" s="231">
        <v>102</v>
      </c>
      <c r="G409" s="316">
        <v>45898</v>
      </c>
      <c r="H409" s="231">
        <v>0</v>
      </c>
      <c r="I409" s="231">
        <v>0</v>
      </c>
      <c r="J409" s="231">
        <v>990</v>
      </c>
      <c r="K409" s="315">
        <v>1040</v>
      </c>
      <c r="L409" s="231" t="s">
        <v>4163</v>
      </c>
    </row>
    <row r="410" spans="1:12">
      <c r="A410" s="231" t="s">
        <v>4594</v>
      </c>
      <c r="C410" s="231" t="s">
        <v>4595</v>
      </c>
      <c r="D410" s="231">
        <v>1987</v>
      </c>
      <c r="E410" s="231" t="s">
        <v>4308</v>
      </c>
      <c r="F410" s="231">
        <v>77</v>
      </c>
      <c r="G410" s="316">
        <v>45869</v>
      </c>
      <c r="H410" s="231">
        <v>0</v>
      </c>
      <c r="I410" s="231">
        <v>0</v>
      </c>
      <c r="J410" s="231">
        <v>960</v>
      </c>
      <c r="K410" s="231">
        <v>964</v>
      </c>
      <c r="L410" s="231" t="s">
        <v>4448</v>
      </c>
    </row>
    <row r="411" spans="1:12">
      <c r="A411" s="231" t="s">
        <v>4596</v>
      </c>
      <c r="C411" s="231" t="s">
        <v>4597</v>
      </c>
      <c r="D411" s="231">
        <v>426</v>
      </c>
      <c r="E411" s="231" t="s">
        <v>4308</v>
      </c>
      <c r="F411" s="231">
        <v>77</v>
      </c>
      <c r="G411" s="316">
        <v>45883</v>
      </c>
      <c r="H411" s="231">
        <v>1</v>
      </c>
      <c r="I411" s="231">
        <v>0</v>
      </c>
      <c r="J411" s="231">
        <v>970</v>
      </c>
      <c r="K411" s="315">
        <v>1090</v>
      </c>
      <c r="L411" s="231" t="s">
        <v>4130</v>
      </c>
    </row>
    <row r="412" spans="1:12">
      <c r="A412" s="231">
        <v>3014</v>
      </c>
      <c r="C412" s="231" t="s">
        <v>4598</v>
      </c>
      <c r="D412" s="231">
        <v>364</v>
      </c>
      <c r="E412" s="231" t="s">
        <v>4308</v>
      </c>
      <c r="F412" s="231">
        <v>56</v>
      </c>
      <c r="G412" s="316">
        <v>45989</v>
      </c>
      <c r="H412" s="231">
        <v>1</v>
      </c>
      <c r="I412" s="231">
        <v>0</v>
      </c>
      <c r="J412" s="231">
        <v>839</v>
      </c>
      <c r="K412" s="231">
        <v>839</v>
      </c>
      <c r="L412" s="231" t="s">
        <v>4428</v>
      </c>
    </row>
    <row r="413" spans="1:12">
      <c r="A413" s="231">
        <v>107</v>
      </c>
      <c r="C413" s="231" t="s">
        <v>4599</v>
      </c>
      <c r="D413" s="231">
        <v>426</v>
      </c>
      <c r="E413" s="231" t="s">
        <v>4308</v>
      </c>
      <c r="F413" s="231">
        <v>57</v>
      </c>
      <c r="G413" s="316">
        <v>45930</v>
      </c>
      <c r="H413" s="231">
        <v>0</v>
      </c>
      <c r="I413" s="231">
        <v>0</v>
      </c>
      <c r="J413" s="315">
        <v>1005</v>
      </c>
      <c r="K413" s="315">
        <v>1125</v>
      </c>
      <c r="L413" s="231" t="s">
        <v>4133</v>
      </c>
    </row>
    <row r="414" spans="1:12">
      <c r="A414" s="231">
        <v>1070</v>
      </c>
      <c r="C414" s="231" t="s">
        <v>4600</v>
      </c>
      <c r="D414" s="231">
        <v>424</v>
      </c>
      <c r="E414" s="231" t="s">
        <v>4308</v>
      </c>
      <c r="F414" s="231">
        <v>61</v>
      </c>
      <c r="G414" s="316">
        <v>45769</v>
      </c>
      <c r="H414" s="231">
        <v>1</v>
      </c>
      <c r="I414" s="231">
        <v>0</v>
      </c>
      <c r="J414" s="315">
        <v>1675</v>
      </c>
      <c r="K414" s="315">
        <v>1590</v>
      </c>
      <c r="L414" s="231" t="s">
        <v>4199</v>
      </c>
    </row>
    <row r="415" spans="1:12">
      <c r="A415" s="231" t="s">
        <v>4116</v>
      </c>
      <c r="C415" s="231" t="s">
        <v>4601</v>
      </c>
      <c r="D415" s="231">
        <v>3867</v>
      </c>
      <c r="E415" s="231" t="s">
        <v>4308</v>
      </c>
      <c r="F415" s="231">
        <v>62</v>
      </c>
      <c r="G415" s="316">
        <v>45870</v>
      </c>
      <c r="H415" s="231">
        <v>2</v>
      </c>
      <c r="I415" s="231">
        <v>0</v>
      </c>
      <c r="J415" s="231">
        <v>915</v>
      </c>
      <c r="K415" s="231">
        <v>915</v>
      </c>
      <c r="L415" s="231" t="s">
        <v>4130</v>
      </c>
    </row>
    <row r="416" spans="1:12">
      <c r="A416" s="231">
        <v>2051</v>
      </c>
      <c r="C416" s="231" t="s">
        <v>4602</v>
      </c>
      <c r="D416" s="231">
        <v>261</v>
      </c>
      <c r="E416" s="231" t="s">
        <v>4221</v>
      </c>
      <c r="F416" s="231">
        <v>0</v>
      </c>
      <c r="G416" s="316">
        <v>45966</v>
      </c>
      <c r="H416" s="231">
        <v>6</v>
      </c>
      <c r="I416" s="231">
        <v>1</v>
      </c>
      <c r="J416" s="315">
        <v>1130</v>
      </c>
      <c r="K416" s="315">
        <v>1130</v>
      </c>
      <c r="L416" s="231" t="s">
        <v>4253</v>
      </c>
    </row>
    <row r="417" spans="1:12">
      <c r="A417" s="231">
        <v>124</v>
      </c>
      <c r="C417" s="231" t="s">
        <v>4107</v>
      </c>
      <c r="D417" s="231">
        <v>882</v>
      </c>
      <c r="E417" s="231" t="s">
        <v>4308</v>
      </c>
      <c r="F417" s="231">
        <v>90</v>
      </c>
      <c r="G417" s="316">
        <v>45717</v>
      </c>
      <c r="H417" s="231">
        <v>12</v>
      </c>
      <c r="I417" s="231">
        <v>0</v>
      </c>
      <c r="J417" s="315">
        <v>1590</v>
      </c>
      <c r="K417" s="315">
        <v>1504</v>
      </c>
      <c r="L417" s="231" t="s">
        <v>4416</v>
      </c>
    </row>
    <row r="418" spans="1:12">
      <c r="A418" s="231">
        <v>2097</v>
      </c>
      <c r="C418" s="231" t="s">
        <v>4603</v>
      </c>
      <c r="D418" s="231">
        <v>426</v>
      </c>
      <c r="E418" s="231" t="s">
        <v>4308</v>
      </c>
      <c r="F418" s="231">
        <v>58</v>
      </c>
      <c r="G418" s="316">
        <v>45925</v>
      </c>
      <c r="H418" s="231">
        <v>0</v>
      </c>
      <c r="I418" s="231">
        <v>0</v>
      </c>
      <c r="J418" s="315">
        <v>1650</v>
      </c>
      <c r="K418" s="315">
        <v>1625</v>
      </c>
      <c r="L418" s="231" t="s">
        <v>4604</v>
      </c>
    </row>
    <row r="419" spans="1:12">
      <c r="A419" s="231">
        <v>142</v>
      </c>
      <c r="C419" s="231" t="s">
        <v>4605</v>
      </c>
      <c r="D419" s="231">
        <v>193</v>
      </c>
      <c r="E419" s="231" t="s">
        <v>4221</v>
      </c>
      <c r="F419" s="231">
        <v>0</v>
      </c>
      <c r="G419" s="316">
        <v>45749</v>
      </c>
      <c r="H419" s="231">
        <v>0</v>
      </c>
      <c r="I419" s="231">
        <v>0</v>
      </c>
      <c r="J419" s="315">
        <v>1570</v>
      </c>
      <c r="K419" s="315">
        <v>1520</v>
      </c>
      <c r="L419" s="231" t="s">
        <v>4253</v>
      </c>
    </row>
    <row r="420" spans="1:12">
      <c r="A420" s="231" t="s">
        <v>4196</v>
      </c>
      <c r="C420" s="231" t="s">
        <v>4606</v>
      </c>
      <c r="D420" s="231">
        <v>221</v>
      </c>
      <c r="E420" s="231" t="s">
        <v>4221</v>
      </c>
      <c r="F420" s="231">
        <v>61</v>
      </c>
      <c r="G420" s="316">
        <v>45983</v>
      </c>
      <c r="H420" s="231">
        <v>1</v>
      </c>
      <c r="I420" s="231">
        <v>0</v>
      </c>
      <c r="J420" s="231">
        <v>995</v>
      </c>
      <c r="K420" s="315">
        <v>1080</v>
      </c>
      <c r="L420" s="231" t="s">
        <v>4133</v>
      </c>
    </row>
    <row r="421" spans="1:12">
      <c r="A421" s="231">
        <v>3004</v>
      </c>
      <c r="C421" s="231" t="s">
        <v>4607</v>
      </c>
      <c r="D421" s="231">
        <v>1472</v>
      </c>
      <c r="E421" s="231" t="s">
        <v>4308</v>
      </c>
      <c r="F421" s="231">
        <v>88</v>
      </c>
      <c r="G421" s="316">
        <v>45809</v>
      </c>
      <c r="H421" s="231">
        <v>5</v>
      </c>
      <c r="I421" s="231">
        <v>0</v>
      </c>
      <c r="J421" s="231">
        <v>950</v>
      </c>
      <c r="K421" s="231">
        <v>798</v>
      </c>
      <c r="L421" s="231" t="s">
        <v>4133</v>
      </c>
    </row>
    <row r="422" spans="1:12">
      <c r="A422" s="231" t="s">
        <v>4608</v>
      </c>
      <c r="C422" s="231" t="s">
        <v>4609</v>
      </c>
      <c r="D422" s="231">
        <v>2436</v>
      </c>
      <c r="E422" s="231" t="s">
        <v>4221</v>
      </c>
      <c r="F422" s="231">
        <v>111</v>
      </c>
      <c r="G422" s="316">
        <v>45902</v>
      </c>
      <c r="H422" s="231">
        <v>2</v>
      </c>
      <c r="I422" s="231">
        <v>0</v>
      </c>
      <c r="J422" s="231">
        <v>960</v>
      </c>
      <c r="K422" s="231">
        <v>897</v>
      </c>
      <c r="L422" s="231" t="s">
        <v>4153</v>
      </c>
    </row>
    <row r="423" spans="1:12">
      <c r="A423" s="232">
        <v>69795</v>
      </c>
      <c r="C423" s="231" t="s">
        <v>4610</v>
      </c>
      <c r="D423" s="231">
        <v>1513</v>
      </c>
      <c r="E423" s="231" t="s">
        <v>4221</v>
      </c>
      <c r="F423" s="231">
        <v>78</v>
      </c>
      <c r="G423" s="316">
        <v>45898</v>
      </c>
      <c r="H423" s="231">
        <v>0</v>
      </c>
      <c r="I423" s="231">
        <v>0</v>
      </c>
      <c r="J423" s="315">
        <v>1110</v>
      </c>
      <c r="K423" s="231">
        <v>925</v>
      </c>
      <c r="L423" s="231" t="s">
        <v>4153</v>
      </c>
    </row>
    <row r="424" spans="1:12">
      <c r="A424" s="231">
        <v>1058</v>
      </c>
      <c r="C424" s="231" t="s">
        <v>4611</v>
      </c>
      <c r="D424" s="231">
        <v>923</v>
      </c>
      <c r="E424" s="231" t="s">
        <v>4308</v>
      </c>
      <c r="F424" s="231">
        <v>62</v>
      </c>
      <c r="G424" s="316">
        <v>45789</v>
      </c>
      <c r="H424" s="231">
        <v>2</v>
      </c>
      <c r="I424" s="231">
        <v>1</v>
      </c>
      <c r="J424" s="231">
        <v>980</v>
      </c>
      <c r="K424" s="315">
        <v>1059</v>
      </c>
      <c r="L424" s="231" t="s">
        <v>4163</v>
      </c>
    </row>
    <row r="425" spans="1:12">
      <c r="A425" s="232">
        <v>43862</v>
      </c>
      <c r="C425" s="231" t="s">
        <v>4179</v>
      </c>
      <c r="D425" s="231">
        <v>402</v>
      </c>
      <c r="E425" s="231" t="s">
        <v>4308</v>
      </c>
      <c r="F425" s="231">
        <v>80</v>
      </c>
      <c r="G425" s="316">
        <v>45880</v>
      </c>
      <c r="H425" s="231">
        <v>12</v>
      </c>
      <c r="I425" s="231">
        <v>0</v>
      </c>
      <c r="J425" s="315">
        <v>1595</v>
      </c>
      <c r="K425" s="315">
        <v>1595</v>
      </c>
      <c r="L425" s="231" t="s">
        <v>4416</v>
      </c>
    </row>
    <row r="426" spans="1:12">
      <c r="A426" s="231" t="s">
        <v>4612</v>
      </c>
      <c r="C426" s="231" t="s">
        <v>4613</v>
      </c>
      <c r="D426" s="231">
        <v>427</v>
      </c>
      <c r="E426" s="231" t="s">
        <v>4308</v>
      </c>
      <c r="F426" s="231">
        <v>65</v>
      </c>
      <c r="G426" s="316">
        <v>45961</v>
      </c>
      <c r="H426" s="231">
        <v>6</v>
      </c>
      <c r="I426" s="231">
        <v>0</v>
      </c>
      <c r="J426" s="231">
        <v>995</v>
      </c>
      <c r="K426" s="315">
        <v>1050</v>
      </c>
      <c r="L426" s="231" t="s">
        <v>4133</v>
      </c>
    </row>
    <row r="427" spans="1:12">
      <c r="A427" s="232">
        <v>44593</v>
      </c>
      <c r="C427" s="231" t="s">
        <v>4614</v>
      </c>
      <c r="D427" s="231">
        <v>362</v>
      </c>
      <c r="E427" s="231" t="s">
        <v>4308</v>
      </c>
      <c r="F427" s="231">
        <v>73</v>
      </c>
      <c r="G427" s="316">
        <v>45981</v>
      </c>
      <c r="H427" s="231">
        <v>1</v>
      </c>
      <c r="I427" s="231">
        <v>0</v>
      </c>
      <c r="J427" s="315">
        <v>1595</v>
      </c>
      <c r="K427" s="315">
        <v>1595</v>
      </c>
      <c r="L427" s="231" t="s">
        <v>4163</v>
      </c>
    </row>
    <row r="428" spans="1:12">
      <c r="A428" s="231">
        <v>1022</v>
      </c>
      <c r="C428" s="231" t="s">
        <v>4615</v>
      </c>
      <c r="D428" s="231">
        <v>102</v>
      </c>
      <c r="E428" s="231" t="s">
        <v>4221</v>
      </c>
      <c r="F428" s="231">
        <v>0</v>
      </c>
      <c r="G428" s="316">
        <v>45971</v>
      </c>
      <c r="H428" s="231">
        <v>1</v>
      </c>
      <c r="I428" s="231">
        <v>0</v>
      </c>
      <c r="J428" s="315">
        <v>1675</v>
      </c>
      <c r="K428" s="315">
        <v>1695</v>
      </c>
      <c r="L428" s="231" t="s">
        <v>4253</v>
      </c>
    </row>
    <row r="429" spans="1:12">
      <c r="A429" s="231">
        <v>272</v>
      </c>
      <c r="C429" s="231" t="s">
        <v>4616</v>
      </c>
      <c r="D429" s="231">
        <v>383</v>
      </c>
      <c r="E429" s="231" t="s">
        <v>4221</v>
      </c>
      <c r="F429" s="231">
        <v>0</v>
      </c>
      <c r="G429" s="316">
        <v>45979</v>
      </c>
      <c r="H429" s="231">
        <v>11</v>
      </c>
      <c r="I429" s="231">
        <v>0</v>
      </c>
      <c r="J429" s="315">
        <v>1975</v>
      </c>
      <c r="K429" s="315">
        <v>2070</v>
      </c>
      <c r="L429" s="231" t="s">
        <v>4253</v>
      </c>
    </row>
    <row r="430" spans="1:12">
      <c r="A430" s="232">
        <v>46419</v>
      </c>
      <c r="C430" s="231" t="s">
        <v>4617</v>
      </c>
      <c r="D430" s="231">
        <v>425</v>
      </c>
      <c r="E430" s="231" t="s">
        <v>4308</v>
      </c>
      <c r="F430" s="231">
        <v>66</v>
      </c>
      <c r="G430" s="316">
        <v>45995</v>
      </c>
      <c r="H430" s="231">
        <v>2</v>
      </c>
      <c r="I430" s="231">
        <v>0</v>
      </c>
      <c r="J430" s="231">
        <v>985</v>
      </c>
      <c r="K430" s="315">
        <v>1080</v>
      </c>
      <c r="L430" s="231" t="s">
        <v>4153</v>
      </c>
    </row>
    <row r="431" spans="1:12">
      <c r="A431" s="232">
        <v>434307</v>
      </c>
      <c r="C431" s="231" t="s">
        <v>4618</v>
      </c>
      <c r="D431" s="231">
        <v>183</v>
      </c>
      <c r="E431" s="231" t="s">
        <v>4221</v>
      </c>
      <c r="F431" s="231">
        <v>0</v>
      </c>
      <c r="G431" s="316">
        <v>45735</v>
      </c>
      <c r="H431" s="231">
        <v>2</v>
      </c>
      <c r="I431" s="231">
        <v>0</v>
      </c>
      <c r="J431" s="315">
        <v>1120</v>
      </c>
      <c r="K431" s="315">
        <v>1120</v>
      </c>
      <c r="L431" s="231" t="s">
        <v>4253</v>
      </c>
    </row>
    <row r="432" spans="1:12">
      <c r="A432" s="231" t="s">
        <v>4619</v>
      </c>
      <c r="C432" s="231" t="s">
        <v>4620</v>
      </c>
      <c r="D432" s="231">
        <v>1629</v>
      </c>
      <c r="E432" s="231" t="s">
        <v>4221</v>
      </c>
      <c r="F432" s="231">
        <v>0</v>
      </c>
      <c r="G432" s="316">
        <v>45692</v>
      </c>
      <c r="H432" s="231">
        <v>2</v>
      </c>
      <c r="I432" s="231">
        <v>0</v>
      </c>
      <c r="J432" s="231">
        <v>985</v>
      </c>
      <c r="K432" s="231">
        <v>960</v>
      </c>
      <c r="L432" s="231" t="s">
        <v>4103</v>
      </c>
    </row>
    <row r="433" spans="1:12">
      <c r="A433" s="232">
        <v>40210</v>
      </c>
      <c r="C433" s="231" t="s">
        <v>4621</v>
      </c>
      <c r="D433" s="231">
        <v>450</v>
      </c>
      <c r="E433" s="231" t="s">
        <v>4308</v>
      </c>
      <c r="F433" s="231">
        <v>62</v>
      </c>
      <c r="G433" s="316">
        <v>45838</v>
      </c>
      <c r="H433" s="231">
        <v>0</v>
      </c>
      <c r="I433" s="231">
        <v>0</v>
      </c>
      <c r="J433" s="231">
        <v>985</v>
      </c>
      <c r="K433" s="315">
        <v>1180</v>
      </c>
      <c r="L433" s="231" t="s">
        <v>4133</v>
      </c>
    </row>
    <row r="434" spans="1:12">
      <c r="A434" s="231">
        <v>3095</v>
      </c>
      <c r="C434" s="231" t="s">
        <v>4622</v>
      </c>
      <c r="D434" s="231">
        <v>387</v>
      </c>
      <c r="E434" s="231" t="s">
        <v>4221</v>
      </c>
      <c r="F434" s="231">
        <v>7</v>
      </c>
      <c r="G434" s="316">
        <v>45922</v>
      </c>
      <c r="H434" s="231">
        <v>5</v>
      </c>
      <c r="I434" s="231">
        <v>0</v>
      </c>
      <c r="J434" s="231">
        <v>965</v>
      </c>
      <c r="K434" s="231">
        <v>950</v>
      </c>
      <c r="L434" s="231" t="s">
        <v>4253</v>
      </c>
    </row>
    <row r="435" spans="1:12">
      <c r="A435" s="231" t="s">
        <v>4623</v>
      </c>
      <c r="C435" s="231" t="s">
        <v>4624</v>
      </c>
      <c r="D435" s="231">
        <v>1041</v>
      </c>
      <c r="E435" s="231" t="s">
        <v>4308</v>
      </c>
      <c r="F435" s="231">
        <v>63</v>
      </c>
      <c r="G435" s="316">
        <v>45782</v>
      </c>
      <c r="H435" s="231">
        <v>9</v>
      </c>
      <c r="I435" s="231">
        <v>0</v>
      </c>
      <c r="J435" s="231">
        <v>960</v>
      </c>
      <c r="K435" s="315">
        <v>1026</v>
      </c>
      <c r="L435" s="231" t="s">
        <v>4133</v>
      </c>
    </row>
    <row r="436" spans="1:12">
      <c r="A436" s="232">
        <v>42036</v>
      </c>
      <c r="C436" s="231" t="s">
        <v>4625</v>
      </c>
      <c r="D436" s="231">
        <v>1523</v>
      </c>
      <c r="E436" s="231" t="s">
        <v>4221</v>
      </c>
      <c r="F436" s="231">
        <v>0</v>
      </c>
      <c r="G436" s="316">
        <v>45840</v>
      </c>
      <c r="H436" s="231">
        <v>7</v>
      </c>
      <c r="I436" s="231">
        <v>0</v>
      </c>
      <c r="J436" s="315">
        <v>1620</v>
      </c>
      <c r="K436" s="315">
        <v>1383</v>
      </c>
      <c r="L436" s="231" t="s">
        <v>4253</v>
      </c>
    </row>
    <row r="437" spans="1:12">
      <c r="A437" s="232">
        <v>433211</v>
      </c>
      <c r="C437" s="231" t="s">
        <v>4626</v>
      </c>
      <c r="D437" s="231">
        <v>1434</v>
      </c>
      <c r="E437" s="231" t="s">
        <v>4308</v>
      </c>
      <c r="F437" s="231">
        <v>79</v>
      </c>
      <c r="G437" s="316">
        <v>45869</v>
      </c>
      <c r="H437" s="231">
        <v>8</v>
      </c>
      <c r="I437" s="231">
        <v>0</v>
      </c>
      <c r="J437" s="315">
        <v>1120</v>
      </c>
      <c r="K437" s="315">
        <v>1056</v>
      </c>
      <c r="L437" s="231" t="s">
        <v>4133</v>
      </c>
    </row>
    <row r="438" spans="1:12">
      <c r="A438" s="231" t="s">
        <v>4134</v>
      </c>
      <c r="C438" s="231" t="s">
        <v>4146</v>
      </c>
      <c r="D438" s="231">
        <v>1360</v>
      </c>
      <c r="E438" s="231" t="s">
        <v>4308</v>
      </c>
      <c r="F438" s="231">
        <v>67</v>
      </c>
      <c r="G438" s="316">
        <v>45809</v>
      </c>
      <c r="H438" s="231">
        <v>2</v>
      </c>
      <c r="I438" s="231">
        <v>0</v>
      </c>
      <c r="J438" s="315">
        <v>1135</v>
      </c>
      <c r="K438" s="315">
        <v>1090</v>
      </c>
      <c r="L438" s="231" t="s">
        <v>4199</v>
      </c>
    </row>
    <row r="439" spans="1:12">
      <c r="A439" s="231" t="s">
        <v>4089</v>
      </c>
      <c r="C439" s="231" t="s">
        <v>4627</v>
      </c>
      <c r="D439" s="231">
        <v>466</v>
      </c>
      <c r="E439" s="231" t="s">
        <v>4221</v>
      </c>
      <c r="F439" s="231">
        <v>0</v>
      </c>
      <c r="G439" s="316">
        <v>45950</v>
      </c>
      <c r="H439" s="231">
        <v>8</v>
      </c>
      <c r="I439" s="231">
        <v>0</v>
      </c>
      <c r="J439" s="231">
        <v>970</v>
      </c>
      <c r="K439" s="231">
        <v>970</v>
      </c>
      <c r="L439" s="231" t="s">
        <v>4253</v>
      </c>
    </row>
    <row r="440" spans="1:12">
      <c r="A440" s="231" t="s">
        <v>4628</v>
      </c>
      <c r="C440" s="231" t="s">
        <v>4629</v>
      </c>
      <c r="D440" s="231">
        <v>703</v>
      </c>
      <c r="E440" s="231" t="s">
        <v>4221</v>
      </c>
      <c r="F440" s="231">
        <v>0</v>
      </c>
      <c r="G440" s="316">
        <v>45684</v>
      </c>
      <c r="H440" s="231">
        <v>4</v>
      </c>
      <c r="I440" s="231">
        <v>0</v>
      </c>
      <c r="J440" s="315">
        <v>1455</v>
      </c>
      <c r="K440" s="315">
        <v>1405</v>
      </c>
      <c r="L440" s="231" t="s">
        <v>4253</v>
      </c>
    </row>
    <row r="441" spans="1:12">
      <c r="A441" s="231">
        <v>160</v>
      </c>
      <c r="C441" s="231" t="s">
        <v>4630</v>
      </c>
      <c r="D441" s="231">
        <v>916</v>
      </c>
      <c r="E441" s="231" t="s">
        <v>4308</v>
      </c>
      <c r="F441" s="231">
        <v>73</v>
      </c>
      <c r="G441" s="316">
        <v>45869</v>
      </c>
      <c r="H441" s="231">
        <v>0</v>
      </c>
      <c r="I441" s="231">
        <v>0</v>
      </c>
      <c r="J441" s="315">
        <v>1335</v>
      </c>
      <c r="K441" s="315">
        <v>1330</v>
      </c>
      <c r="L441" s="231" t="s">
        <v>4130</v>
      </c>
    </row>
    <row r="442" spans="1:12">
      <c r="A442" s="231" t="s">
        <v>4631</v>
      </c>
      <c r="C442" s="231" t="s">
        <v>4632</v>
      </c>
      <c r="D442" s="231">
        <v>1461</v>
      </c>
      <c r="E442" s="231" t="s">
        <v>4308</v>
      </c>
      <c r="F442" s="231">
        <v>90</v>
      </c>
      <c r="G442" s="316">
        <v>45870</v>
      </c>
      <c r="H442" s="231">
        <v>14</v>
      </c>
      <c r="I442" s="231">
        <v>0</v>
      </c>
      <c r="J442" s="315">
        <v>1395</v>
      </c>
      <c r="K442" s="315">
        <v>1395</v>
      </c>
      <c r="L442" s="231" t="s">
        <v>4416</v>
      </c>
    </row>
    <row r="443" spans="1:12">
      <c r="A443" s="231" t="s">
        <v>4633</v>
      </c>
      <c r="C443" s="231" t="s">
        <v>4634</v>
      </c>
      <c r="D443" s="231">
        <v>1357</v>
      </c>
      <c r="E443" s="231" t="s">
        <v>4308</v>
      </c>
      <c r="F443" s="231">
        <v>0</v>
      </c>
      <c r="G443" s="316">
        <v>45778</v>
      </c>
      <c r="H443" s="231">
        <v>4</v>
      </c>
      <c r="I443" s="231">
        <v>0</v>
      </c>
      <c r="J443" s="231">
        <v>985</v>
      </c>
      <c r="K443" s="315">
        <v>1173</v>
      </c>
      <c r="L443" s="231" t="s">
        <v>4253</v>
      </c>
    </row>
    <row r="444" spans="1:12">
      <c r="A444" s="231">
        <v>2040</v>
      </c>
      <c r="C444" s="231" t="s">
        <v>4635</v>
      </c>
      <c r="D444" s="231">
        <v>174</v>
      </c>
      <c r="E444" s="231" t="s">
        <v>4221</v>
      </c>
      <c r="F444" s="231">
        <v>0</v>
      </c>
      <c r="G444" s="316">
        <v>45684</v>
      </c>
      <c r="H444" s="231">
        <v>3</v>
      </c>
      <c r="I444" s="231">
        <v>0</v>
      </c>
      <c r="J444" s="231">
        <v>950</v>
      </c>
      <c r="K444" s="231">
        <v>990</v>
      </c>
      <c r="L444" s="231" t="s">
        <v>4253</v>
      </c>
    </row>
    <row r="445" spans="1:12">
      <c r="A445" s="231" t="s">
        <v>4286</v>
      </c>
      <c r="C445" s="231" t="s">
        <v>4636</v>
      </c>
      <c r="D445" s="231">
        <v>1461</v>
      </c>
      <c r="E445" s="231" t="s">
        <v>4308</v>
      </c>
      <c r="F445" s="231">
        <v>61</v>
      </c>
      <c r="G445" s="316">
        <v>45748</v>
      </c>
      <c r="H445" s="231">
        <v>1</v>
      </c>
      <c r="I445" s="231">
        <v>0</v>
      </c>
      <c r="J445" s="231">
        <v>995</v>
      </c>
      <c r="K445" s="315">
        <v>1165</v>
      </c>
      <c r="L445" s="231" t="s">
        <v>4133</v>
      </c>
    </row>
    <row r="446" spans="1:12">
      <c r="A446" s="231" t="s">
        <v>4637</v>
      </c>
      <c r="C446" s="231" t="s">
        <v>4638</v>
      </c>
      <c r="D446" s="231">
        <v>2650</v>
      </c>
      <c r="E446" s="231" t="s">
        <v>4308</v>
      </c>
      <c r="F446" s="231">
        <v>0</v>
      </c>
      <c r="G446" s="316">
        <v>45735</v>
      </c>
      <c r="H446" s="231">
        <v>14</v>
      </c>
      <c r="I446" s="231">
        <v>0</v>
      </c>
      <c r="J446" s="315">
        <v>1645</v>
      </c>
      <c r="K446" s="315">
        <v>1450</v>
      </c>
      <c r="L446" s="231" t="s">
        <v>507</v>
      </c>
    </row>
    <row r="447" spans="1:12">
      <c r="A447" s="231" t="s">
        <v>4639</v>
      </c>
      <c r="C447" s="231" t="s">
        <v>4640</v>
      </c>
      <c r="D447" s="231">
        <v>1467</v>
      </c>
      <c r="E447" s="231" t="s">
        <v>4308</v>
      </c>
      <c r="F447" s="231">
        <v>117</v>
      </c>
      <c r="G447" s="316">
        <v>45748</v>
      </c>
      <c r="H447" s="231">
        <v>1</v>
      </c>
      <c r="I447" s="231">
        <v>0</v>
      </c>
      <c r="J447" s="231">
        <v>970</v>
      </c>
      <c r="K447" s="231">
        <v>989</v>
      </c>
      <c r="L447" s="231" t="s">
        <v>4133</v>
      </c>
    </row>
    <row r="448" spans="1:12">
      <c r="A448" s="231">
        <v>2089</v>
      </c>
      <c r="C448" s="231" t="s">
        <v>4641</v>
      </c>
      <c r="D448" s="231">
        <v>2138</v>
      </c>
      <c r="E448" s="231" t="s">
        <v>4308</v>
      </c>
      <c r="F448" s="231">
        <v>65</v>
      </c>
      <c r="G448" s="316">
        <v>45747</v>
      </c>
      <c r="H448" s="231">
        <v>1</v>
      </c>
      <c r="I448" s="231">
        <v>0</v>
      </c>
      <c r="J448" s="231">
        <v>955</v>
      </c>
      <c r="K448" s="231">
        <v>968</v>
      </c>
      <c r="L448" s="231" t="s">
        <v>4153</v>
      </c>
    </row>
    <row r="449" spans="1:12">
      <c r="A449" s="231" t="s">
        <v>4642</v>
      </c>
      <c r="C449" s="231" t="s">
        <v>4643</v>
      </c>
      <c r="D449" s="231">
        <v>1158</v>
      </c>
      <c r="E449" s="231" t="s">
        <v>4221</v>
      </c>
      <c r="F449" s="231">
        <v>59</v>
      </c>
      <c r="G449" s="316">
        <v>45990</v>
      </c>
      <c r="H449" s="231">
        <v>0</v>
      </c>
      <c r="I449" s="231">
        <v>0</v>
      </c>
      <c r="J449" s="231">
        <v>960</v>
      </c>
      <c r="K449" s="231">
        <v>995</v>
      </c>
      <c r="L449" s="231" t="s">
        <v>4130</v>
      </c>
    </row>
    <row r="450" spans="1:12">
      <c r="A450" s="231">
        <v>1102</v>
      </c>
      <c r="C450" s="231" t="s">
        <v>4644</v>
      </c>
      <c r="D450" s="231">
        <v>2402</v>
      </c>
      <c r="E450" s="231" t="s">
        <v>4308</v>
      </c>
      <c r="F450" s="231">
        <v>0</v>
      </c>
      <c r="G450" s="316">
        <v>45684</v>
      </c>
      <c r="H450" s="231">
        <v>2</v>
      </c>
      <c r="I450" s="231">
        <v>2</v>
      </c>
      <c r="J450" s="315">
        <v>1720</v>
      </c>
      <c r="K450" s="315">
        <v>1304</v>
      </c>
      <c r="L450" s="231" t="s">
        <v>4253</v>
      </c>
    </row>
    <row r="451" spans="1:12">
      <c r="A451" s="231" t="s">
        <v>4645</v>
      </c>
      <c r="C451" s="231" t="s">
        <v>4646</v>
      </c>
      <c r="D451" s="231">
        <v>218</v>
      </c>
      <c r="E451" s="231" t="s">
        <v>4221</v>
      </c>
      <c r="F451" s="231">
        <v>0</v>
      </c>
      <c r="G451" s="316">
        <v>45769</v>
      </c>
      <c r="H451" s="231">
        <v>4</v>
      </c>
      <c r="I451" s="231">
        <v>2</v>
      </c>
      <c r="J451" s="315">
        <v>1645</v>
      </c>
      <c r="K451" s="315">
        <v>1550</v>
      </c>
      <c r="L451" s="231" t="s">
        <v>4253</v>
      </c>
    </row>
    <row r="452" spans="1:12">
      <c r="A452" s="231" t="s">
        <v>4647</v>
      </c>
      <c r="C452" s="231" t="s">
        <v>4648</v>
      </c>
      <c r="D452" s="231">
        <v>426</v>
      </c>
      <c r="E452" s="231" t="s">
        <v>4308</v>
      </c>
      <c r="F452" s="231">
        <v>60</v>
      </c>
      <c r="G452" s="316">
        <v>45877</v>
      </c>
      <c r="H452" s="231">
        <v>1</v>
      </c>
      <c r="I452" s="231">
        <v>0</v>
      </c>
      <c r="J452" s="231">
        <v>955</v>
      </c>
      <c r="K452" s="315">
        <v>1020</v>
      </c>
      <c r="L452" s="231" t="s">
        <v>4130</v>
      </c>
    </row>
    <row r="453" spans="1:12">
      <c r="A453" s="231">
        <v>244</v>
      </c>
      <c r="C453" s="231" t="s">
        <v>4649</v>
      </c>
      <c r="D453" s="231">
        <v>1096</v>
      </c>
      <c r="E453" s="231" t="s">
        <v>4308</v>
      </c>
      <c r="F453" s="231">
        <v>70</v>
      </c>
      <c r="G453" s="316">
        <v>45992</v>
      </c>
      <c r="H453" s="231">
        <v>5</v>
      </c>
      <c r="I453" s="231">
        <v>1</v>
      </c>
      <c r="J453" s="315">
        <v>1565</v>
      </c>
      <c r="K453" s="315">
        <v>1517</v>
      </c>
      <c r="L453" s="231" t="s">
        <v>4130</v>
      </c>
    </row>
    <row r="454" spans="1:12">
      <c r="A454" s="231">
        <v>1104</v>
      </c>
      <c r="C454" s="231" t="s">
        <v>4650</v>
      </c>
      <c r="D454" s="231">
        <v>561</v>
      </c>
      <c r="E454" s="231" t="s">
        <v>4221</v>
      </c>
      <c r="F454" s="231">
        <v>0</v>
      </c>
      <c r="G454" s="316">
        <v>45944</v>
      </c>
      <c r="H454" s="231">
        <v>2</v>
      </c>
      <c r="I454" s="231">
        <v>0</v>
      </c>
      <c r="J454" s="315">
        <v>1720</v>
      </c>
      <c r="K454" s="315">
        <v>1460</v>
      </c>
      <c r="L454" s="231" t="s">
        <v>4253</v>
      </c>
    </row>
    <row r="455" spans="1:12">
      <c r="A455" s="231" t="s">
        <v>4299</v>
      </c>
      <c r="C455" s="231" t="s">
        <v>4651</v>
      </c>
      <c r="D455" s="231">
        <v>136</v>
      </c>
      <c r="E455" s="231" t="s">
        <v>4221</v>
      </c>
      <c r="F455" s="231">
        <v>0</v>
      </c>
      <c r="G455" s="316">
        <v>45708</v>
      </c>
      <c r="H455" s="231">
        <v>2</v>
      </c>
      <c r="I455" s="231">
        <v>0</v>
      </c>
      <c r="J455" s="231">
        <v>925</v>
      </c>
      <c r="K455" s="231">
        <v>0</v>
      </c>
      <c r="L455" s="231" t="s">
        <v>4253</v>
      </c>
    </row>
    <row r="456" spans="1:12">
      <c r="A456" s="231">
        <v>1018</v>
      </c>
      <c r="C456" s="231" t="s">
        <v>4652</v>
      </c>
      <c r="D456" s="231">
        <v>426</v>
      </c>
      <c r="E456" s="231" t="s">
        <v>4308</v>
      </c>
      <c r="F456" s="231">
        <v>63</v>
      </c>
      <c r="G456" s="316">
        <v>45908</v>
      </c>
      <c r="H456" s="231">
        <v>1</v>
      </c>
      <c r="I456" s="231">
        <v>0</v>
      </c>
      <c r="J456" s="231">
        <v>980</v>
      </c>
      <c r="K456" s="231">
        <v>950</v>
      </c>
      <c r="L456" s="231" t="s">
        <v>4130</v>
      </c>
    </row>
    <row r="457" spans="1:12">
      <c r="A457" s="232">
        <v>54455</v>
      </c>
      <c r="C457" s="231" t="s">
        <v>4653</v>
      </c>
      <c r="D457" s="231">
        <v>1773</v>
      </c>
      <c r="E457" s="231" t="s">
        <v>4221</v>
      </c>
      <c r="F457" s="231">
        <v>19</v>
      </c>
      <c r="G457" s="316">
        <v>45878</v>
      </c>
      <c r="H457" s="231">
        <v>2</v>
      </c>
      <c r="I457" s="231">
        <v>0</v>
      </c>
      <c r="J457" s="315">
        <v>1530</v>
      </c>
      <c r="K457" s="315">
        <v>1425</v>
      </c>
      <c r="L457" s="231" t="s">
        <v>4153</v>
      </c>
    </row>
    <row r="458" spans="1:12">
      <c r="A458" s="231">
        <v>162</v>
      </c>
      <c r="C458" s="231" t="s">
        <v>4654</v>
      </c>
      <c r="D458" s="231">
        <v>376</v>
      </c>
      <c r="E458" s="231" t="s">
        <v>4308</v>
      </c>
      <c r="F458" s="231">
        <v>0</v>
      </c>
      <c r="G458" s="316">
        <v>45973</v>
      </c>
      <c r="H458" s="231">
        <v>6</v>
      </c>
      <c r="I458" s="231">
        <v>2</v>
      </c>
      <c r="J458" s="315">
        <v>1148</v>
      </c>
      <c r="K458" s="315">
        <v>1377</v>
      </c>
      <c r="L458" s="231" t="s">
        <v>4253</v>
      </c>
    </row>
    <row r="459" spans="1:12">
      <c r="A459" s="231" t="s">
        <v>4655</v>
      </c>
      <c r="C459" s="231" t="s">
        <v>4656</v>
      </c>
      <c r="D459" s="231">
        <v>744</v>
      </c>
      <c r="E459" s="231" t="s">
        <v>4308</v>
      </c>
      <c r="F459" s="231">
        <v>68</v>
      </c>
      <c r="G459" s="316">
        <v>45809</v>
      </c>
      <c r="H459" s="231">
        <v>1</v>
      </c>
      <c r="I459" s="231">
        <v>0</v>
      </c>
      <c r="J459" s="315">
        <v>1620</v>
      </c>
      <c r="K459" s="315">
        <v>1500</v>
      </c>
      <c r="L459" s="231" t="s">
        <v>4130</v>
      </c>
    </row>
    <row r="460" spans="1:12">
      <c r="A460" s="231" t="s">
        <v>4657</v>
      </c>
      <c r="C460" s="231" t="s">
        <v>4658</v>
      </c>
      <c r="D460" s="231">
        <v>2004</v>
      </c>
      <c r="E460" s="231" t="s">
        <v>4308</v>
      </c>
      <c r="F460" s="231">
        <v>62</v>
      </c>
      <c r="G460" s="316">
        <v>45838</v>
      </c>
      <c r="H460" s="231">
        <v>0</v>
      </c>
      <c r="I460" s="231">
        <v>0</v>
      </c>
      <c r="J460" s="231">
        <v>925</v>
      </c>
      <c r="K460" s="231">
        <v>868</v>
      </c>
      <c r="L460" s="231" t="s">
        <v>4448</v>
      </c>
    </row>
    <row r="461" spans="1:12">
      <c r="A461" s="231" t="s">
        <v>4067</v>
      </c>
      <c r="C461" s="231" t="s">
        <v>4068</v>
      </c>
      <c r="D461" s="231">
        <v>2114</v>
      </c>
      <c r="E461" s="231" t="s">
        <v>4308</v>
      </c>
      <c r="F461" s="231">
        <v>10</v>
      </c>
      <c r="G461" s="316">
        <v>45967</v>
      </c>
      <c r="H461" s="231">
        <v>4</v>
      </c>
      <c r="I461" s="231">
        <v>0</v>
      </c>
      <c r="J461" s="315">
        <v>1380</v>
      </c>
      <c r="K461" s="315">
        <v>1231</v>
      </c>
      <c r="L461" s="231" t="s">
        <v>4199</v>
      </c>
    </row>
    <row r="462" spans="1:12">
      <c r="A462" s="231">
        <v>2105</v>
      </c>
      <c r="C462" s="231" t="s">
        <v>4659</v>
      </c>
      <c r="D462" s="231">
        <v>432</v>
      </c>
      <c r="E462" s="231" t="s">
        <v>4308</v>
      </c>
      <c r="F462" s="231">
        <v>78</v>
      </c>
      <c r="G462" s="316">
        <v>45951</v>
      </c>
      <c r="H462" s="231">
        <v>2</v>
      </c>
      <c r="I462" s="231">
        <v>0</v>
      </c>
      <c r="J462" s="315">
        <v>1650</v>
      </c>
      <c r="K462" s="315">
        <v>1485</v>
      </c>
      <c r="L462" s="231" t="s">
        <v>4199</v>
      </c>
    </row>
    <row r="463" spans="1:12">
      <c r="A463" s="231" t="s">
        <v>4660</v>
      </c>
      <c r="C463" s="231" t="s">
        <v>4661</v>
      </c>
      <c r="D463" s="231">
        <v>316</v>
      </c>
      <c r="E463" s="231" t="s">
        <v>4221</v>
      </c>
      <c r="F463" s="231">
        <v>0</v>
      </c>
      <c r="G463" s="316">
        <v>45948</v>
      </c>
      <c r="H463" s="231">
        <v>2</v>
      </c>
      <c r="I463" s="231">
        <v>0</v>
      </c>
      <c r="J463" s="231">
        <v>915</v>
      </c>
      <c r="K463" s="231">
        <v>915</v>
      </c>
      <c r="L463" s="231" t="s">
        <v>4253</v>
      </c>
    </row>
    <row r="464" spans="1:12">
      <c r="A464" s="231">
        <v>435</v>
      </c>
      <c r="C464" s="231" t="s">
        <v>4662</v>
      </c>
      <c r="D464" s="231">
        <v>426</v>
      </c>
      <c r="E464" s="231" t="s">
        <v>4308</v>
      </c>
      <c r="F464" s="231">
        <v>62</v>
      </c>
      <c r="G464" s="316">
        <v>45930</v>
      </c>
      <c r="H464" s="231">
        <v>0</v>
      </c>
      <c r="I464" s="231">
        <v>0</v>
      </c>
      <c r="J464" s="315">
        <v>1720</v>
      </c>
      <c r="K464" s="315">
        <v>1665</v>
      </c>
      <c r="L464" s="231" t="s">
        <v>4663</v>
      </c>
    </row>
    <row r="465" spans="1:12">
      <c r="A465" s="231" t="s">
        <v>4664</v>
      </c>
      <c r="C465" s="231" t="s">
        <v>4665</v>
      </c>
      <c r="D465" s="231">
        <v>379</v>
      </c>
      <c r="E465" s="231" t="s">
        <v>4221</v>
      </c>
      <c r="F465" s="231">
        <v>0</v>
      </c>
      <c r="G465" s="316">
        <v>45986</v>
      </c>
      <c r="H465" s="231">
        <v>6</v>
      </c>
      <c r="I465" s="231">
        <v>0</v>
      </c>
      <c r="J465" s="231">
        <v>955</v>
      </c>
      <c r="K465" s="231">
        <v>955</v>
      </c>
      <c r="L465" s="231" t="s">
        <v>4253</v>
      </c>
    </row>
    <row r="466" spans="1:12">
      <c r="A466" s="232">
        <v>63951</v>
      </c>
      <c r="C466" s="231" t="s">
        <v>4666</v>
      </c>
      <c r="D466" s="231">
        <v>723</v>
      </c>
      <c r="E466" s="231" t="s">
        <v>4308</v>
      </c>
      <c r="F466" s="231">
        <v>63</v>
      </c>
      <c r="G466" s="316">
        <v>45689</v>
      </c>
      <c r="H466" s="231">
        <v>0</v>
      </c>
      <c r="I466" s="231">
        <v>0</v>
      </c>
      <c r="J466" s="315">
        <v>1595</v>
      </c>
      <c r="K466" s="315">
        <v>1455</v>
      </c>
      <c r="L466" s="231" t="s">
        <v>4130</v>
      </c>
    </row>
    <row r="467" spans="1:12">
      <c r="A467" s="231" t="s">
        <v>4286</v>
      </c>
      <c r="C467" s="231" t="s">
        <v>4667</v>
      </c>
      <c r="D467" s="231">
        <v>115</v>
      </c>
      <c r="E467" s="231" t="s">
        <v>4221</v>
      </c>
      <c r="F467" s="231">
        <v>0</v>
      </c>
      <c r="G467" s="316">
        <v>45877</v>
      </c>
      <c r="H467" s="231">
        <v>4</v>
      </c>
      <c r="I467" s="231">
        <v>0</v>
      </c>
      <c r="J467" s="231">
        <v>995</v>
      </c>
      <c r="K467" s="315">
        <v>1090</v>
      </c>
      <c r="L467" s="231" t="s">
        <v>4253</v>
      </c>
    </row>
    <row r="468" spans="1:12">
      <c r="A468" s="231" t="s">
        <v>4668</v>
      </c>
      <c r="C468" s="231" t="s">
        <v>4669</v>
      </c>
      <c r="D468" s="231">
        <v>281</v>
      </c>
      <c r="E468" s="231" t="s">
        <v>4221</v>
      </c>
      <c r="F468" s="231">
        <v>0</v>
      </c>
      <c r="G468" s="316">
        <v>45877</v>
      </c>
      <c r="H468" s="231">
        <v>3</v>
      </c>
      <c r="I468" s="231">
        <v>1</v>
      </c>
      <c r="J468" s="231">
        <v>925</v>
      </c>
      <c r="K468" s="231">
        <v>925</v>
      </c>
      <c r="L468" s="231" t="s">
        <v>4253</v>
      </c>
    </row>
    <row r="469" spans="1:12">
      <c r="A469" s="232">
        <v>70160</v>
      </c>
      <c r="C469" s="231" t="s">
        <v>4670</v>
      </c>
      <c r="D469" s="231">
        <v>399</v>
      </c>
      <c r="E469" s="231" t="s">
        <v>4221</v>
      </c>
      <c r="F469" s="231">
        <v>0</v>
      </c>
      <c r="G469" s="316">
        <v>45986</v>
      </c>
      <c r="H469" s="231">
        <v>5</v>
      </c>
      <c r="I469" s="231">
        <v>0</v>
      </c>
      <c r="J469" s="315">
        <v>1065</v>
      </c>
      <c r="K469" s="315">
        <v>1160</v>
      </c>
      <c r="L469" s="231" t="s">
        <v>4253</v>
      </c>
    </row>
    <row r="470" spans="1:12">
      <c r="A470" s="231">
        <v>1100</v>
      </c>
      <c r="C470" s="231" t="s">
        <v>4671</v>
      </c>
      <c r="D470" s="231">
        <v>317</v>
      </c>
      <c r="E470" s="231" t="s">
        <v>4221</v>
      </c>
      <c r="F470" s="231">
        <v>0</v>
      </c>
      <c r="G470" s="316">
        <v>45684</v>
      </c>
      <c r="H470" s="231">
        <v>9</v>
      </c>
      <c r="I470" s="231">
        <v>1</v>
      </c>
      <c r="J470" s="315">
        <v>1675</v>
      </c>
      <c r="K470" s="315">
        <v>1485</v>
      </c>
      <c r="L470" s="231" t="s">
        <v>4253</v>
      </c>
    </row>
    <row r="471" spans="1:12">
      <c r="A471" s="231">
        <v>1022</v>
      </c>
      <c r="C471" s="231" t="s">
        <v>4672</v>
      </c>
      <c r="D471" s="231">
        <v>459</v>
      </c>
      <c r="E471" s="231" t="s">
        <v>4221</v>
      </c>
      <c r="F471" s="231">
        <v>0</v>
      </c>
      <c r="G471" s="316">
        <v>45751</v>
      </c>
      <c r="H471" s="231">
        <v>3</v>
      </c>
      <c r="I471" s="231">
        <v>0</v>
      </c>
      <c r="J471" s="315">
        <v>1675</v>
      </c>
      <c r="K471" s="315">
        <v>1590</v>
      </c>
      <c r="L471" s="231" t="s">
        <v>4253</v>
      </c>
    </row>
    <row r="472" spans="1:12">
      <c r="A472" s="231">
        <v>204</v>
      </c>
      <c r="C472" s="231" t="s">
        <v>4673</v>
      </c>
      <c r="D472" s="231">
        <v>364</v>
      </c>
      <c r="E472" s="231" t="s">
        <v>4308</v>
      </c>
      <c r="F472" s="231">
        <v>67</v>
      </c>
      <c r="G472" s="316">
        <v>45793</v>
      </c>
      <c r="H472" s="231">
        <v>1</v>
      </c>
      <c r="I472" s="231">
        <v>0</v>
      </c>
      <c r="J472" s="231">
        <v>980</v>
      </c>
      <c r="K472" s="315">
        <v>1115</v>
      </c>
      <c r="L472" s="231" t="s">
        <v>4130</v>
      </c>
    </row>
    <row r="473" spans="1:12">
      <c r="A473" s="231">
        <v>1101</v>
      </c>
      <c r="C473" s="231" t="s">
        <v>4674</v>
      </c>
      <c r="D473" s="231">
        <v>432</v>
      </c>
      <c r="E473" s="231" t="s">
        <v>4308</v>
      </c>
      <c r="F473" s="231">
        <v>0</v>
      </c>
      <c r="G473" s="316">
        <v>45967</v>
      </c>
      <c r="H473" s="231">
        <v>13</v>
      </c>
      <c r="I473" s="231">
        <v>0</v>
      </c>
      <c r="J473" s="315">
        <v>1675</v>
      </c>
      <c r="K473" s="315">
        <v>1675</v>
      </c>
      <c r="L473" s="231" t="s">
        <v>4253</v>
      </c>
    </row>
    <row r="474" spans="1:12">
      <c r="A474" s="231">
        <v>2021</v>
      </c>
      <c r="C474" s="231" t="s">
        <v>4675</v>
      </c>
      <c r="D474" s="231">
        <v>1488</v>
      </c>
      <c r="E474" s="231" t="s">
        <v>4308</v>
      </c>
      <c r="F474" s="231">
        <v>62</v>
      </c>
      <c r="G474" s="316">
        <v>45747</v>
      </c>
      <c r="H474" s="231">
        <v>1</v>
      </c>
      <c r="I474" s="231">
        <v>2</v>
      </c>
      <c r="J474" s="231">
        <v>910</v>
      </c>
      <c r="K474" s="231">
        <v>870</v>
      </c>
      <c r="L474" s="231" t="s">
        <v>4133</v>
      </c>
    </row>
    <row r="475" spans="1:12">
      <c r="A475" s="231" t="s">
        <v>4676</v>
      </c>
      <c r="C475" s="231" t="s">
        <v>4677</v>
      </c>
      <c r="D475" s="231">
        <v>389</v>
      </c>
      <c r="E475" s="231" t="s">
        <v>4221</v>
      </c>
      <c r="F475" s="231">
        <v>0</v>
      </c>
      <c r="G475" s="316">
        <v>45986</v>
      </c>
      <c r="H475" s="231">
        <v>6</v>
      </c>
      <c r="I475" s="231">
        <v>3</v>
      </c>
      <c r="J475" s="231">
        <v>970</v>
      </c>
      <c r="K475" s="231">
        <v>970</v>
      </c>
      <c r="L475" s="231" t="s">
        <v>4253</v>
      </c>
    </row>
    <row r="476" spans="1:12">
      <c r="A476" s="231">
        <v>2084</v>
      </c>
      <c r="C476" s="231" t="s">
        <v>4678</v>
      </c>
      <c r="D476" s="231">
        <v>396</v>
      </c>
      <c r="E476" s="231" t="s">
        <v>4308</v>
      </c>
      <c r="F476" s="231">
        <v>130</v>
      </c>
      <c r="G476" s="316">
        <v>45717</v>
      </c>
      <c r="H476" s="231">
        <v>2</v>
      </c>
      <c r="I476" s="231">
        <v>0</v>
      </c>
      <c r="J476" s="315">
        <v>1650</v>
      </c>
      <c r="K476" s="231">
        <v>0</v>
      </c>
      <c r="L476" s="231" t="s">
        <v>4679</v>
      </c>
    </row>
    <row r="477" spans="1:12">
      <c r="A477" s="231">
        <v>1057</v>
      </c>
      <c r="C477" s="231" t="s">
        <v>4680</v>
      </c>
      <c r="D477" s="231">
        <v>1489</v>
      </c>
      <c r="E477" s="231" t="s">
        <v>4308</v>
      </c>
      <c r="F477" s="231">
        <v>38</v>
      </c>
      <c r="G477" s="316">
        <v>45837</v>
      </c>
      <c r="H477" s="231">
        <v>2</v>
      </c>
      <c r="I477" s="231">
        <v>0</v>
      </c>
      <c r="J477" s="315">
        <v>1155</v>
      </c>
      <c r="K477" s="315">
        <v>1081</v>
      </c>
      <c r="L477" s="231" t="s">
        <v>4133</v>
      </c>
    </row>
    <row r="478" spans="1:12">
      <c r="A478" s="231">
        <v>169</v>
      </c>
      <c r="C478" s="231" t="s">
        <v>4681</v>
      </c>
      <c r="D478" s="231">
        <v>428</v>
      </c>
      <c r="E478" s="231" t="s">
        <v>4308</v>
      </c>
      <c r="F478" s="231">
        <v>33</v>
      </c>
      <c r="G478" s="316">
        <v>45689</v>
      </c>
      <c r="H478" s="231">
        <v>2</v>
      </c>
      <c r="I478" s="231">
        <v>0</v>
      </c>
      <c r="J478" s="315">
        <v>2000</v>
      </c>
      <c r="K478" s="315">
        <v>1895</v>
      </c>
      <c r="L478" s="231" t="s">
        <v>4416</v>
      </c>
    </row>
    <row r="479" spans="1:12">
      <c r="A479" s="231" t="s">
        <v>4682</v>
      </c>
      <c r="C479" s="231" t="s">
        <v>4683</v>
      </c>
      <c r="D479" s="231">
        <v>1098</v>
      </c>
      <c r="E479" s="231" t="s">
        <v>4308</v>
      </c>
      <c r="F479" s="231">
        <v>61</v>
      </c>
      <c r="G479" s="316">
        <v>45782</v>
      </c>
      <c r="H479" s="231">
        <v>5</v>
      </c>
      <c r="I479" s="231">
        <v>0</v>
      </c>
      <c r="J479" s="315">
        <v>1455</v>
      </c>
      <c r="K479" s="315">
        <v>1303</v>
      </c>
      <c r="L479" s="231" t="s">
        <v>4133</v>
      </c>
    </row>
    <row r="480" spans="1:12">
      <c r="A480" s="231" t="s">
        <v>4175</v>
      </c>
      <c r="C480" s="231" t="s">
        <v>4684</v>
      </c>
      <c r="D480" s="231">
        <v>263</v>
      </c>
      <c r="E480" s="231" t="s">
        <v>4221</v>
      </c>
      <c r="F480" s="231">
        <v>0</v>
      </c>
      <c r="G480" s="316">
        <v>45944</v>
      </c>
      <c r="H480" s="231">
        <v>7</v>
      </c>
      <c r="I480" s="231">
        <v>0</v>
      </c>
      <c r="J480" s="315">
        <v>1410</v>
      </c>
      <c r="K480" s="315">
        <v>1410</v>
      </c>
      <c r="L480" s="231" t="s">
        <v>4253</v>
      </c>
    </row>
    <row r="481" spans="1:12">
      <c r="A481" s="231" t="s">
        <v>4121</v>
      </c>
      <c r="C481" s="231" t="s">
        <v>4685</v>
      </c>
      <c r="D481" s="231">
        <v>533</v>
      </c>
      <c r="E481" s="231" t="s">
        <v>4308</v>
      </c>
      <c r="F481" s="231">
        <v>0</v>
      </c>
      <c r="G481" s="316">
        <v>45891</v>
      </c>
      <c r="H481" s="231">
        <v>4</v>
      </c>
      <c r="I481" s="231">
        <v>0</v>
      </c>
      <c r="J481" s="231">
        <v>905</v>
      </c>
      <c r="K481" s="231">
        <v>980</v>
      </c>
      <c r="L481" s="231" t="s">
        <v>4253</v>
      </c>
    </row>
    <row r="482" spans="1:12">
      <c r="A482" s="231">
        <v>1009</v>
      </c>
      <c r="C482" s="231" t="s">
        <v>4686</v>
      </c>
      <c r="D482" s="231">
        <v>1704</v>
      </c>
      <c r="E482" s="231" t="s">
        <v>4308</v>
      </c>
      <c r="F482" s="231">
        <v>63</v>
      </c>
      <c r="G482" s="316">
        <v>45869</v>
      </c>
      <c r="H482" s="231">
        <v>1</v>
      </c>
      <c r="I482" s="231">
        <v>1</v>
      </c>
      <c r="J482" s="315">
        <v>1200</v>
      </c>
      <c r="K482" s="315">
        <v>1300</v>
      </c>
      <c r="L482" s="231" t="s">
        <v>4416</v>
      </c>
    </row>
    <row r="483" spans="1:12">
      <c r="A483" s="232">
        <v>48611</v>
      </c>
      <c r="C483" s="231" t="s">
        <v>4687</v>
      </c>
      <c r="D483" s="231">
        <v>188</v>
      </c>
      <c r="E483" s="231" t="s">
        <v>4221</v>
      </c>
      <c r="F483" s="231">
        <v>94</v>
      </c>
      <c r="G483" s="316">
        <v>45660</v>
      </c>
      <c r="H483" s="231">
        <v>0</v>
      </c>
      <c r="I483" s="231">
        <v>1</v>
      </c>
      <c r="J483" s="315">
        <v>1065</v>
      </c>
      <c r="K483" s="315">
        <v>1200</v>
      </c>
      <c r="L483" s="231" t="s">
        <v>4416</v>
      </c>
    </row>
    <row r="484" spans="1:12">
      <c r="A484" s="232">
        <v>67604</v>
      </c>
      <c r="C484" s="231" t="s">
        <v>4688</v>
      </c>
      <c r="D484" s="231">
        <v>426</v>
      </c>
      <c r="E484" s="231" t="s">
        <v>4308</v>
      </c>
      <c r="F484" s="231">
        <v>59</v>
      </c>
      <c r="G484" s="316">
        <v>45736</v>
      </c>
      <c r="H484" s="231">
        <v>0</v>
      </c>
      <c r="I484" s="231">
        <v>0</v>
      </c>
      <c r="J484" s="315">
        <v>1065</v>
      </c>
      <c r="K484" s="315">
        <v>1250</v>
      </c>
      <c r="L484" s="231" t="s">
        <v>4130</v>
      </c>
    </row>
    <row r="485" spans="1:12">
      <c r="A485" s="232">
        <v>44228</v>
      </c>
      <c r="C485" s="231" t="s">
        <v>4689</v>
      </c>
      <c r="D485" s="231">
        <v>731</v>
      </c>
      <c r="E485" s="231" t="s">
        <v>4308</v>
      </c>
      <c r="F485" s="231">
        <v>102</v>
      </c>
      <c r="G485" s="316">
        <v>45689</v>
      </c>
      <c r="H485" s="231">
        <v>2</v>
      </c>
      <c r="I485" s="231">
        <v>0</v>
      </c>
      <c r="J485" s="315">
        <v>1550</v>
      </c>
      <c r="K485" s="315">
        <v>1545</v>
      </c>
      <c r="L485" s="231" t="s">
        <v>4448</v>
      </c>
    </row>
    <row r="486" spans="1:12">
      <c r="A486" s="231" t="s">
        <v>4097</v>
      </c>
      <c r="C486" s="231" t="s">
        <v>4690</v>
      </c>
      <c r="D486" s="231">
        <v>426</v>
      </c>
      <c r="E486" s="231" t="s">
        <v>4308</v>
      </c>
      <c r="F486" s="231">
        <v>79</v>
      </c>
      <c r="G486" s="316">
        <v>45868</v>
      </c>
      <c r="H486" s="231">
        <v>0</v>
      </c>
      <c r="I486" s="231">
        <v>0</v>
      </c>
      <c r="J486" s="231">
        <v>980</v>
      </c>
      <c r="K486" s="315">
        <v>1125</v>
      </c>
      <c r="L486" s="231" t="s">
        <v>4448</v>
      </c>
    </row>
    <row r="487" spans="1:12">
      <c r="A487" s="231" t="s">
        <v>4691</v>
      </c>
      <c r="C487" s="231" t="s">
        <v>4692</v>
      </c>
      <c r="D487" s="231">
        <v>526</v>
      </c>
      <c r="E487" s="231" t="s">
        <v>4221</v>
      </c>
      <c r="F487" s="231">
        <v>0</v>
      </c>
      <c r="G487" s="316">
        <v>45951</v>
      </c>
      <c r="H487" s="231">
        <v>3</v>
      </c>
      <c r="I487" s="231">
        <v>0</v>
      </c>
      <c r="J487" s="231">
        <v>910</v>
      </c>
      <c r="K487" s="231">
        <v>940</v>
      </c>
      <c r="L487" s="231" t="s">
        <v>4253</v>
      </c>
    </row>
    <row r="488" spans="1:12">
      <c r="A488" s="231">
        <v>104</v>
      </c>
      <c r="C488" s="231" t="s">
        <v>4693</v>
      </c>
      <c r="D488" s="231">
        <v>375</v>
      </c>
      <c r="E488" s="231" t="s">
        <v>4308</v>
      </c>
      <c r="F488" s="231">
        <v>90</v>
      </c>
      <c r="G488" s="316">
        <v>45717</v>
      </c>
      <c r="H488" s="231">
        <v>2</v>
      </c>
      <c r="I488" s="231">
        <v>0</v>
      </c>
      <c r="J488" s="315">
        <v>1005</v>
      </c>
      <c r="K488" s="315">
        <v>1140</v>
      </c>
      <c r="L488" s="231" t="s">
        <v>4130</v>
      </c>
    </row>
    <row r="489" spans="1:12">
      <c r="A489" s="232">
        <v>427002</v>
      </c>
      <c r="C489" s="231" t="s">
        <v>4694</v>
      </c>
      <c r="D489" s="231">
        <v>1075</v>
      </c>
      <c r="E489" s="231" t="s">
        <v>4221</v>
      </c>
      <c r="F489" s="231">
        <v>0</v>
      </c>
      <c r="G489" s="316">
        <v>45839</v>
      </c>
      <c r="H489" s="231">
        <v>2</v>
      </c>
      <c r="I489" s="231">
        <v>0</v>
      </c>
      <c r="J489" s="315">
        <v>1585</v>
      </c>
      <c r="K489" s="315">
        <v>1468</v>
      </c>
      <c r="L489" s="231" t="s">
        <v>4253</v>
      </c>
    </row>
    <row r="490" spans="1:12">
      <c r="A490" s="231" t="s">
        <v>4695</v>
      </c>
      <c r="C490" s="231" t="s">
        <v>4696</v>
      </c>
      <c r="D490" s="231">
        <v>213</v>
      </c>
      <c r="E490" s="231" t="s">
        <v>4221</v>
      </c>
      <c r="F490" s="231">
        <v>0</v>
      </c>
      <c r="G490" s="316">
        <v>45761</v>
      </c>
      <c r="H490" s="231">
        <v>2</v>
      </c>
      <c r="I490" s="231">
        <v>1</v>
      </c>
      <c r="J490" s="231">
        <v>970</v>
      </c>
      <c r="K490" s="231">
        <v>0</v>
      </c>
      <c r="L490" s="231" t="s">
        <v>4253</v>
      </c>
    </row>
    <row r="491" spans="1:12">
      <c r="A491" s="231" t="s">
        <v>4206</v>
      </c>
      <c r="C491" s="231" t="s">
        <v>4697</v>
      </c>
      <c r="D491" s="231">
        <v>175</v>
      </c>
      <c r="E491" s="231" t="s">
        <v>4221</v>
      </c>
      <c r="F491" s="231">
        <v>0</v>
      </c>
      <c r="G491" s="316">
        <v>45877</v>
      </c>
      <c r="H491" s="231">
        <v>2</v>
      </c>
      <c r="I491" s="231">
        <v>0</v>
      </c>
      <c r="J491" s="231">
        <v>848</v>
      </c>
      <c r="K491" s="231">
        <v>848</v>
      </c>
      <c r="L491" s="231" t="s">
        <v>4253</v>
      </c>
    </row>
    <row r="492" spans="1:12">
      <c r="A492" s="231" t="s">
        <v>4698</v>
      </c>
      <c r="C492" s="231" t="s">
        <v>4699</v>
      </c>
      <c r="D492" s="231">
        <v>823</v>
      </c>
      <c r="E492" s="231" t="s">
        <v>4308</v>
      </c>
      <c r="F492" s="231">
        <v>63</v>
      </c>
      <c r="G492" s="316">
        <v>45901</v>
      </c>
      <c r="H492" s="231">
        <v>2</v>
      </c>
      <c r="I492" s="231">
        <v>0</v>
      </c>
      <c r="J492" s="231">
        <v>970</v>
      </c>
      <c r="K492" s="315">
        <v>1155</v>
      </c>
      <c r="L492" s="231" t="s">
        <v>4130</v>
      </c>
    </row>
    <row r="493" spans="1:12">
      <c r="A493" s="231" t="s">
        <v>4700</v>
      </c>
      <c r="C493" s="231" t="s">
        <v>4701</v>
      </c>
      <c r="D493" s="231">
        <v>1095</v>
      </c>
      <c r="E493" s="231" t="s">
        <v>4308</v>
      </c>
      <c r="F493" s="231">
        <v>62</v>
      </c>
      <c r="G493" s="316">
        <v>45869</v>
      </c>
      <c r="H493" s="231">
        <v>0</v>
      </c>
      <c r="I493" s="231">
        <v>0</v>
      </c>
      <c r="J493" s="231">
        <v>950</v>
      </c>
      <c r="K493" s="315">
        <v>1014</v>
      </c>
      <c r="L493" s="231" t="s">
        <v>4153</v>
      </c>
    </row>
    <row r="494" spans="1:12">
      <c r="A494" s="231">
        <v>159</v>
      </c>
      <c r="C494" s="231" t="s">
        <v>4702</v>
      </c>
      <c r="D494" s="231">
        <v>257</v>
      </c>
      <c r="E494" s="231" t="s">
        <v>4221</v>
      </c>
      <c r="F494" s="231">
        <v>0</v>
      </c>
      <c r="G494" s="316">
        <v>45973</v>
      </c>
      <c r="H494" s="231">
        <v>8</v>
      </c>
      <c r="I494" s="231">
        <v>1</v>
      </c>
      <c r="J494" s="315">
        <v>1335</v>
      </c>
      <c r="K494" s="315">
        <v>1252</v>
      </c>
      <c r="L494" s="231" t="s">
        <v>4253</v>
      </c>
    </row>
    <row r="495" spans="1:12">
      <c r="A495" s="231">
        <v>1084</v>
      </c>
      <c r="C495" s="231" t="s">
        <v>4703</v>
      </c>
      <c r="D495" s="231">
        <v>1096</v>
      </c>
      <c r="E495" s="231" t="s">
        <v>4221</v>
      </c>
      <c r="F495" s="231">
        <v>66</v>
      </c>
      <c r="G495" s="316">
        <v>45689</v>
      </c>
      <c r="H495" s="231">
        <v>0</v>
      </c>
      <c r="I495" s="231">
        <v>0</v>
      </c>
      <c r="J495" s="315">
        <v>1675</v>
      </c>
      <c r="K495" s="315">
        <v>1635</v>
      </c>
      <c r="L495" s="231" t="s">
        <v>4165</v>
      </c>
    </row>
    <row r="496" spans="1:12">
      <c r="A496" s="231">
        <v>432</v>
      </c>
      <c r="C496" s="231" t="s">
        <v>4704</v>
      </c>
      <c r="D496" s="231">
        <v>913</v>
      </c>
      <c r="E496" s="231" t="s">
        <v>4308</v>
      </c>
      <c r="F496" s="231">
        <v>69</v>
      </c>
      <c r="G496" s="316">
        <v>45809</v>
      </c>
      <c r="H496" s="231">
        <v>1</v>
      </c>
      <c r="I496" s="231">
        <v>0</v>
      </c>
      <c r="J496" s="315">
        <v>1720</v>
      </c>
      <c r="K496" s="315">
        <v>1625</v>
      </c>
      <c r="L496" s="231" t="s">
        <v>4153</v>
      </c>
    </row>
    <row r="497" spans="1:12">
      <c r="A497" s="231">
        <v>1038</v>
      </c>
      <c r="C497" s="231" t="s">
        <v>4705</v>
      </c>
      <c r="D497" s="231">
        <v>244</v>
      </c>
      <c r="E497" s="231" t="s">
        <v>4221</v>
      </c>
      <c r="F497" s="231">
        <v>10</v>
      </c>
      <c r="G497" s="316">
        <v>45904</v>
      </c>
      <c r="H497" s="231">
        <v>7</v>
      </c>
      <c r="I497" s="231">
        <v>0</v>
      </c>
      <c r="J497" s="231">
        <v>844</v>
      </c>
      <c r="K497" s="231">
        <v>844</v>
      </c>
      <c r="L497" s="231" t="s">
        <v>4253</v>
      </c>
    </row>
    <row r="498" spans="1:12">
      <c r="A498" s="231" t="s">
        <v>4706</v>
      </c>
      <c r="C498" s="231" t="s">
        <v>4707</v>
      </c>
      <c r="D498" s="231">
        <v>363</v>
      </c>
      <c r="E498" s="231" t="s">
        <v>4221</v>
      </c>
      <c r="F498" s="231">
        <v>60</v>
      </c>
      <c r="G498" s="316">
        <v>45975</v>
      </c>
      <c r="H498" s="231">
        <v>1</v>
      </c>
      <c r="I498" s="231">
        <v>0</v>
      </c>
      <c r="J498" s="315">
        <v>1409</v>
      </c>
      <c r="K498" s="315">
        <v>1409</v>
      </c>
      <c r="L498" s="231" t="s">
        <v>4130</v>
      </c>
    </row>
    <row r="499" spans="1:12">
      <c r="A499" s="231" t="s">
        <v>4708</v>
      </c>
      <c r="C499" s="231" t="s">
        <v>4709</v>
      </c>
      <c r="D499" s="231">
        <v>591</v>
      </c>
      <c r="E499" s="231" t="s">
        <v>4308</v>
      </c>
      <c r="F499" s="231">
        <v>0</v>
      </c>
      <c r="G499" s="316">
        <v>45909</v>
      </c>
      <c r="H499" s="231">
        <v>5</v>
      </c>
      <c r="I499" s="231">
        <v>0</v>
      </c>
      <c r="J499" s="315">
        <v>1455</v>
      </c>
      <c r="K499" s="315">
        <v>1455</v>
      </c>
      <c r="L499" s="231" t="s">
        <v>4253</v>
      </c>
    </row>
    <row r="500" spans="1:12">
      <c r="A500" s="231">
        <v>1041</v>
      </c>
      <c r="C500" s="231" t="s">
        <v>4710</v>
      </c>
      <c r="D500" s="231">
        <v>832</v>
      </c>
      <c r="E500" s="231" t="s">
        <v>4221</v>
      </c>
      <c r="F500" s="231">
        <v>0</v>
      </c>
      <c r="G500" s="316">
        <v>45772</v>
      </c>
      <c r="H500" s="231">
        <v>1</v>
      </c>
      <c r="I500" s="231">
        <v>0</v>
      </c>
      <c r="J500" s="231">
        <v>965</v>
      </c>
      <c r="K500" s="315">
        <v>1057</v>
      </c>
      <c r="L500" s="231" t="s">
        <v>4133</v>
      </c>
    </row>
    <row r="501" spans="1:12">
      <c r="A501" s="232">
        <v>54089</v>
      </c>
      <c r="C501" s="231" t="s">
        <v>4711</v>
      </c>
      <c r="D501" s="231">
        <v>1247</v>
      </c>
      <c r="E501" s="231" t="s">
        <v>4221</v>
      </c>
      <c r="F501" s="231">
        <v>0</v>
      </c>
      <c r="G501" s="316">
        <v>45791</v>
      </c>
      <c r="H501" s="231">
        <v>0</v>
      </c>
      <c r="I501" s="231">
        <v>0</v>
      </c>
      <c r="J501" s="315">
        <v>1575</v>
      </c>
      <c r="K501" s="315">
        <v>1351</v>
      </c>
      <c r="L501" s="231" t="s">
        <v>4153</v>
      </c>
    </row>
    <row r="502" spans="1:12">
      <c r="A502" s="232">
        <v>50437</v>
      </c>
      <c r="C502" s="231" t="s">
        <v>4712</v>
      </c>
      <c r="D502" s="231">
        <v>425</v>
      </c>
      <c r="E502" s="231" t="s">
        <v>4308</v>
      </c>
      <c r="F502" s="231">
        <v>64</v>
      </c>
      <c r="G502" s="316">
        <v>45791</v>
      </c>
      <c r="H502" s="231">
        <v>3</v>
      </c>
      <c r="I502" s="231">
        <v>0</v>
      </c>
      <c r="J502" s="315">
        <v>1065</v>
      </c>
      <c r="K502" s="315">
        <v>1200</v>
      </c>
      <c r="L502" s="231" t="s">
        <v>4143</v>
      </c>
    </row>
    <row r="503" spans="1:12">
      <c r="A503" s="232">
        <v>39845</v>
      </c>
      <c r="C503" s="231" t="s">
        <v>4713</v>
      </c>
      <c r="D503" s="231">
        <v>527</v>
      </c>
      <c r="E503" s="231" t="s">
        <v>4221</v>
      </c>
      <c r="F503" s="231">
        <v>0</v>
      </c>
      <c r="G503" s="316">
        <v>45927</v>
      </c>
      <c r="H503" s="231">
        <v>1</v>
      </c>
      <c r="I503" s="231">
        <v>0</v>
      </c>
      <c r="J503" s="231">
        <v>985</v>
      </c>
      <c r="K503" s="315">
        <v>1180</v>
      </c>
      <c r="L503" s="231" t="s">
        <v>4253</v>
      </c>
    </row>
    <row r="504" spans="1:12">
      <c r="A504" s="231" t="s">
        <v>4714</v>
      </c>
      <c r="C504" s="231" t="s">
        <v>4715</v>
      </c>
      <c r="D504" s="231">
        <v>349</v>
      </c>
      <c r="E504" s="231" t="s">
        <v>4221</v>
      </c>
      <c r="F504" s="231">
        <v>4</v>
      </c>
      <c r="G504" s="316">
        <v>45923</v>
      </c>
      <c r="H504" s="231">
        <v>9</v>
      </c>
      <c r="I504" s="231">
        <v>0</v>
      </c>
      <c r="J504" s="231">
        <v>850</v>
      </c>
      <c r="K504" s="231">
        <v>840</v>
      </c>
      <c r="L504" s="231" t="s">
        <v>4253</v>
      </c>
    </row>
    <row r="505" spans="1:12">
      <c r="A505" s="231" t="s">
        <v>4716</v>
      </c>
      <c r="C505" s="231" t="s">
        <v>4717</v>
      </c>
      <c r="D505" s="231">
        <v>1127</v>
      </c>
      <c r="E505" s="231" t="s">
        <v>4308</v>
      </c>
      <c r="F505" s="231">
        <v>77</v>
      </c>
      <c r="G505" s="316">
        <v>45962</v>
      </c>
      <c r="H505" s="231">
        <v>2</v>
      </c>
      <c r="I505" s="231">
        <v>1</v>
      </c>
      <c r="J505" s="315">
        <v>1465</v>
      </c>
      <c r="K505" s="315">
        <v>1560</v>
      </c>
      <c r="L505" s="231" t="s">
        <v>4163</v>
      </c>
    </row>
    <row r="506" spans="1:12">
      <c r="A506" s="231" t="s">
        <v>4718</v>
      </c>
      <c r="C506" s="231" t="s">
        <v>4719</v>
      </c>
      <c r="D506" s="231">
        <v>710</v>
      </c>
      <c r="E506" s="231" t="s">
        <v>4308</v>
      </c>
      <c r="F506" s="231">
        <v>62</v>
      </c>
      <c r="G506" s="316">
        <v>45691</v>
      </c>
      <c r="H506" s="231">
        <v>1</v>
      </c>
      <c r="I506" s="231">
        <v>0</v>
      </c>
      <c r="J506" s="231">
        <v>850</v>
      </c>
      <c r="K506" s="231">
        <v>964</v>
      </c>
      <c r="L506" s="231" t="s">
        <v>4448</v>
      </c>
    </row>
    <row r="507" spans="1:12">
      <c r="A507" s="231" t="s">
        <v>4720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4AA46-C7CE-49B3-B531-5F785C23EB4E}">
  <sheetPr>
    <tabColor theme="6" tint="-0.499984740745262"/>
  </sheetPr>
  <dimension ref="A1:I149"/>
  <sheetViews>
    <sheetView topLeftCell="A12" workbookViewId="0">
      <selection activeCell="E24" sqref="E24"/>
    </sheetView>
  </sheetViews>
  <sheetFormatPr defaultColWidth="30.54296875" defaultRowHeight="14.5"/>
  <cols>
    <col min="1" max="16384" width="30.54296875" style="465"/>
  </cols>
  <sheetData>
    <row r="1" spans="1:9" ht="18.5">
      <c r="A1" s="468" t="s">
        <v>3834</v>
      </c>
      <c r="B1" s="468" t="s">
        <v>4721</v>
      </c>
      <c r="C1" s="468" t="s">
        <v>4722</v>
      </c>
      <c r="D1" s="468" t="s">
        <v>4723</v>
      </c>
      <c r="E1" s="468" t="s">
        <v>4724</v>
      </c>
      <c r="F1" s="468" t="s">
        <v>1536</v>
      </c>
      <c r="G1" s="468" t="s">
        <v>4725</v>
      </c>
      <c r="H1" s="468" t="s">
        <v>4726</v>
      </c>
      <c r="I1" s="468" t="s">
        <v>4727</v>
      </c>
    </row>
    <row r="2" spans="1:9">
      <c r="A2" s="966"/>
      <c r="B2" s="966"/>
      <c r="C2" s="465" t="s">
        <v>4728</v>
      </c>
      <c r="D2" s="465" t="s">
        <v>1888</v>
      </c>
      <c r="E2" s="465" t="s">
        <v>4729</v>
      </c>
      <c r="F2" s="465" t="s">
        <v>1414</v>
      </c>
      <c r="G2" s="465" t="s">
        <v>4730</v>
      </c>
      <c r="H2" s="465" t="s">
        <v>4731</v>
      </c>
      <c r="I2" s="966"/>
    </row>
    <row r="3" spans="1:9">
      <c r="A3" s="966"/>
      <c r="B3" s="966"/>
      <c r="D3" s="465" t="s">
        <v>1888</v>
      </c>
      <c r="E3" s="465" t="s">
        <v>4732</v>
      </c>
      <c r="F3" s="465" t="s">
        <v>1414</v>
      </c>
      <c r="G3" s="465" t="s">
        <v>4730</v>
      </c>
      <c r="H3" s="465" t="s">
        <v>4733</v>
      </c>
      <c r="I3" s="966" t="s">
        <v>4734</v>
      </c>
    </row>
    <row r="4" spans="1:9">
      <c r="A4" s="966"/>
      <c r="B4" s="966"/>
      <c r="C4" s="465" t="s">
        <v>4728</v>
      </c>
      <c r="D4" s="465" t="s">
        <v>1888</v>
      </c>
      <c r="E4" s="465" t="s">
        <v>4735</v>
      </c>
      <c r="F4" s="465" t="s">
        <v>1414</v>
      </c>
      <c r="G4" s="465" t="s">
        <v>4730</v>
      </c>
      <c r="H4" s="465" t="s">
        <v>4736</v>
      </c>
      <c r="I4" s="966"/>
    </row>
    <row r="5" spans="1:9">
      <c r="A5" s="966"/>
      <c r="B5" s="966"/>
      <c r="C5" s="465" t="s">
        <v>4728</v>
      </c>
      <c r="D5" s="465" t="s">
        <v>1888</v>
      </c>
      <c r="E5" s="465" t="s">
        <v>4737</v>
      </c>
      <c r="F5" s="465" t="s">
        <v>1414</v>
      </c>
      <c r="G5" s="465" t="s">
        <v>4730</v>
      </c>
      <c r="H5" s="465" t="s">
        <v>4738</v>
      </c>
      <c r="I5" s="966"/>
    </row>
    <row r="6" spans="1:9">
      <c r="A6" s="966"/>
      <c r="B6" s="966"/>
      <c r="C6" s="465" t="s">
        <v>4739</v>
      </c>
      <c r="D6" s="465" t="s">
        <v>1888</v>
      </c>
      <c r="E6" s="465" t="s">
        <v>4740</v>
      </c>
      <c r="F6" s="465" t="s">
        <v>1414</v>
      </c>
      <c r="G6" s="465" t="s">
        <v>4730</v>
      </c>
      <c r="H6" s="465" t="s">
        <v>4741</v>
      </c>
      <c r="I6" s="966" t="s">
        <v>4742</v>
      </c>
    </row>
    <row r="7" spans="1:9">
      <c r="A7" s="966"/>
      <c r="B7" s="966"/>
      <c r="C7" s="465" t="s">
        <v>4739</v>
      </c>
      <c r="D7" s="465" t="s">
        <v>1888</v>
      </c>
      <c r="E7" s="465" t="s">
        <v>4743</v>
      </c>
      <c r="F7" s="465" t="s">
        <v>1414</v>
      </c>
      <c r="G7" s="465" t="s">
        <v>4730</v>
      </c>
      <c r="H7" s="465" t="s">
        <v>4744</v>
      </c>
      <c r="I7" s="966" t="s">
        <v>4742</v>
      </c>
    </row>
    <row r="9" spans="1:9" ht="17">
      <c r="A9" s="467">
        <v>46035</v>
      </c>
      <c r="B9" s="466" t="s">
        <v>4745</v>
      </c>
      <c r="C9" s="466"/>
      <c r="D9" s="466"/>
      <c r="E9" s="466"/>
      <c r="F9" s="466"/>
      <c r="G9" s="466"/>
      <c r="H9" s="466"/>
      <c r="I9" s="466"/>
    </row>
    <row r="10" spans="1:9">
      <c r="A10" s="967">
        <v>46035</v>
      </c>
      <c r="B10" s="966" t="s">
        <v>4745</v>
      </c>
      <c r="C10" s="465" t="s">
        <v>4728</v>
      </c>
      <c r="D10" s="465" t="s">
        <v>1888</v>
      </c>
      <c r="E10" s="465" t="s">
        <v>4746</v>
      </c>
      <c r="F10" s="465" t="s">
        <v>1414</v>
      </c>
      <c r="G10" s="465" t="s">
        <v>4730</v>
      </c>
      <c r="H10" s="465" t="s">
        <v>4747</v>
      </c>
      <c r="I10" s="966" t="s">
        <v>4748</v>
      </c>
    </row>
    <row r="11" spans="1:9">
      <c r="A11" s="967">
        <v>46035</v>
      </c>
      <c r="B11" s="966" t="s">
        <v>4745</v>
      </c>
      <c r="C11" s="465" t="s">
        <v>4728</v>
      </c>
      <c r="D11" s="465" t="s">
        <v>1888</v>
      </c>
      <c r="E11" s="465" t="s">
        <v>4749</v>
      </c>
      <c r="F11" s="465" t="s">
        <v>1414</v>
      </c>
      <c r="G11" s="465" t="s">
        <v>4730</v>
      </c>
      <c r="H11" s="465" t="s">
        <v>4750</v>
      </c>
      <c r="I11" s="966" t="s">
        <v>4751</v>
      </c>
    </row>
    <row r="12" spans="1:9">
      <c r="A12" s="967">
        <v>46035</v>
      </c>
      <c r="B12" s="966" t="s">
        <v>4745</v>
      </c>
      <c r="C12" s="465" t="s">
        <v>4728</v>
      </c>
      <c r="D12" s="465" t="s">
        <v>1888</v>
      </c>
      <c r="E12" s="465" t="s">
        <v>4752</v>
      </c>
      <c r="F12" s="465" t="s">
        <v>1414</v>
      </c>
      <c r="G12" s="465" t="s">
        <v>4730</v>
      </c>
      <c r="H12" s="465" t="s">
        <v>4753</v>
      </c>
      <c r="I12" s="966" t="s">
        <v>4754</v>
      </c>
    </row>
    <row r="14" spans="1:9" ht="17">
      <c r="A14" s="467">
        <v>46036</v>
      </c>
      <c r="B14" s="466" t="s">
        <v>4755</v>
      </c>
      <c r="C14" s="466"/>
      <c r="D14" s="466"/>
      <c r="E14" s="466"/>
      <c r="F14" s="466"/>
      <c r="G14" s="466"/>
      <c r="H14" s="466"/>
      <c r="I14" s="466"/>
    </row>
    <row r="15" spans="1:9">
      <c r="A15" s="967">
        <v>46036</v>
      </c>
      <c r="B15" s="966" t="s">
        <v>4755</v>
      </c>
      <c r="C15" s="465" t="s">
        <v>4728</v>
      </c>
      <c r="D15" s="465" t="s">
        <v>1888</v>
      </c>
      <c r="E15" s="465" t="s">
        <v>4665</v>
      </c>
      <c r="F15" s="465" t="s">
        <v>1414</v>
      </c>
      <c r="G15" s="465" t="s">
        <v>4730</v>
      </c>
      <c r="H15" s="465" t="s">
        <v>4756</v>
      </c>
      <c r="I15" s="966" t="s">
        <v>4757</v>
      </c>
    </row>
    <row r="16" spans="1:9">
      <c r="A16" s="967">
        <v>46036</v>
      </c>
      <c r="B16" s="966" t="s">
        <v>4755</v>
      </c>
      <c r="C16" s="465" t="s">
        <v>4728</v>
      </c>
      <c r="D16" s="465" t="s">
        <v>1888</v>
      </c>
      <c r="E16" s="465" t="s">
        <v>4758</v>
      </c>
      <c r="F16" s="465" t="s">
        <v>1414</v>
      </c>
      <c r="G16" s="465" t="s">
        <v>4730</v>
      </c>
      <c r="H16" s="465" t="s">
        <v>4759</v>
      </c>
      <c r="I16" s="966" t="s">
        <v>4760</v>
      </c>
    </row>
    <row r="17" spans="1:9">
      <c r="A17" s="967">
        <v>46036</v>
      </c>
      <c r="B17" s="966" t="s">
        <v>4755</v>
      </c>
      <c r="C17" s="465" t="s">
        <v>4728</v>
      </c>
      <c r="D17" s="465" t="s">
        <v>1888</v>
      </c>
      <c r="E17" s="465" t="s">
        <v>4761</v>
      </c>
      <c r="F17" s="465" t="s">
        <v>1414</v>
      </c>
      <c r="G17" s="465" t="s">
        <v>4730</v>
      </c>
      <c r="H17" s="465" t="s">
        <v>4762</v>
      </c>
      <c r="I17" s="966" t="s">
        <v>4763</v>
      </c>
    </row>
    <row r="19" spans="1:9" ht="17">
      <c r="A19" s="467">
        <v>46037</v>
      </c>
      <c r="B19" s="466" t="s">
        <v>4755</v>
      </c>
      <c r="C19" s="466"/>
      <c r="D19" s="466"/>
      <c r="E19" s="466"/>
      <c r="F19" s="466"/>
      <c r="G19" s="466"/>
      <c r="H19" s="466"/>
      <c r="I19" s="466"/>
    </row>
    <row r="20" spans="1:9">
      <c r="A20" s="967">
        <v>46037</v>
      </c>
      <c r="B20" s="966" t="s">
        <v>4755</v>
      </c>
      <c r="C20" s="465" t="s">
        <v>4728</v>
      </c>
      <c r="D20" s="465" t="s">
        <v>1888</v>
      </c>
      <c r="E20" s="465" t="s">
        <v>4764</v>
      </c>
      <c r="F20" s="465" t="s">
        <v>1414</v>
      </c>
      <c r="G20" s="465" t="s">
        <v>4730</v>
      </c>
      <c r="H20" s="465" t="s">
        <v>4765</v>
      </c>
      <c r="I20" s="966" t="s">
        <v>4766</v>
      </c>
    </row>
    <row r="22" spans="1:9" ht="17">
      <c r="A22" s="466"/>
      <c r="B22" s="466" t="s">
        <v>4745</v>
      </c>
      <c r="C22" s="466"/>
      <c r="D22" s="466"/>
      <c r="E22" s="466"/>
      <c r="F22" s="466"/>
      <c r="G22" s="466"/>
      <c r="H22" s="466"/>
      <c r="I22" s="466"/>
    </row>
    <row r="23" spans="1:9">
      <c r="A23" s="967">
        <v>46037</v>
      </c>
      <c r="B23" s="966" t="s">
        <v>4745</v>
      </c>
      <c r="C23" s="465" t="s">
        <v>4728</v>
      </c>
      <c r="D23" s="465" t="s">
        <v>1888</v>
      </c>
      <c r="E23" s="465" t="s">
        <v>4767</v>
      </c>
      <c r="F23" s="465" t="s">
        <v>1414</v>
      </c>
      <c r="G23" s="465" t="s">
        <v>4730</v>
      </c>
      <c r="H23" s="465" t="s">
        <v>4768</v>
      </c>
      <c r="I23" s="966" t="s">
        <v>4769</v>
      </c>
    </row>
    <row r="24" spans="1:9">
      <c r="A24" s="967">
        <v>46037</v>
      </c>
      <c r="B24" s="966" t="s">
        <v>4745</v>
      </c>
      <c r="C24" s="465" t="s">
        <v>4728</v>
      </c>
      <c r="D24" s="465" t="s">
        <v>1888</v>
      </c>
      <c r="E24" s="465" t="s">
        <v>4770</v>
      </c>
      <c r="F24" s="465" t="s">
        <v>1414</v>
      </c>
      <c r="G24" s="465" t="s">
        <v>4730</v>
      </c>
      <c r="H24" s="465" t="s">
        <v>4771</v>
      </c>
      <c r="I24" s="966" t="s">
        <v>4772</v>
      </c>
    </row>
    <row r="26" spans="1:9" ht="17">
      <c r="A26" s="467">
        <v>46062</v>
      </c>
      <c r="B26" s="466" t="s">
        <v>4755</v>
      </c>
      <c r="C26" s="466"/>
      <c r="D26" s="466"/>
      <c r="E26" s="466"/>
      <c r="F26" s="466"/>
      <c r="G26" s="466"/>
      <c r="H26" s="466"/>
      <c r="I26" s="466"/>
    </row>
    <row r="27" spans="1:9">
      <c r="A27" s="967">
        <v>46062</v>
      </c>
      <c r="B27" s="966" t="s">
        <v>4755</v>
      </c>
      <c r="C27" s="465" t="s">
        <v>4728</v>
      </c>
      <c r="D27" s="465" t="s">
        <v>1888</v>
      </c>
      <c r="E27" s="465" t="s">
        <v>4737</v>
      </c>
      <c r="F27" s="465" t="s">
        <v>1414</v>
      </c>
      <c r="G27" s="465" t="s">
        <v>4730</v>
      </c>
      <c r="H27" s="465" t="s">
        <v>4773</v>
      </c>
      <c r="I27" s="966" t="s">
        <v>4774</v>
      </c>
    </row>
    <row r="28" spans="1:9">
      <c r="A28" s="967">
        <v>46062</v>
      </c>
      <c r="B28" s="966" t="s">
        <v>4755</v>
      </c>
      <c r="C28" s="465" t="s">
        <v>4728</v>
      </c>
      <c r="D28" s="465" t="s">
        <v>1888</v>
      </c>
      <c r="E28" s="465" t="s">
        <v>4775</v>
      </c>
      <c r="F28" s="465" t="s">
        <v>1414</v>
      </c>
      <c r="G28" s="465" t="s">
        <v>4730</v>
      </c>
      <c r="H28" s="465" t="s">
        <v>4776</v>
      </c>
      <c r="I28" s="966" t="s">
        <v>4777</v>
      </c>
    </row>
    <row r="29" spans="1:9">
      <c r="A29" s="967">
        <v>46062</v>
      </c>
      <c r="B29" s="966" t="s">
        <v>4755</v>
      </c>
      <c r="C29" s="465" t="s">
        <v>4728</v>
      </c>
      <c r="D29" s="465" t="s">
        <v>1888</v>
      </c>
      <c r="E29" s="465" t="s">
        <v>4729</v>
      </c>
      <c r="F29" s="465" t="s">
        <v>1414</v>
      </c>
      <c r="G29" s="465" t="s">
        <v>4730</v>
      </c>
      <c r="H29" s="465" t="s">
        <v>4778</v>
      </c>
      <c r="I29" s="966" t="s">
        <v>4779</v>
      </c>
    </row>
    <row r="30" spans="1:9">
      <c r="A30" s="967">
        <v>46062</v>
      </c>
      <c r="B30" s="966" t="s">
        <v>4755</v>
      </c>
      <c r="C30" s="465" t="s">
        <v>4728</v>
      </c>
      <c r="D30" s="465" t="s">
        <v>1888</v>
      </c>
      <c r="E30" s="465" t="s">
        <v>4780</v>
      </c>
      <c r="F30" s="465" t="s">
        <v>1414</v>
      </c>
      <c r="G30" s="465" t="s">
        <v>4730</v>
      </c>
      <c r="H30" s="465" t="s">
        <v>4781</v>
      </c>
      <c r="I30" s="966" t="s">
        <v>4782</v>
      </c>
    </row>
    <row r="32" spans="1:9" ht="17">
      <c r="A32" s="467">
        <v>46072</v>
      </c>
      <c r="B32" s="466" t="s">
        <v>4745</v>
      </c>
      <c r="C32" s="466"/>
      <c r="D32" s="466"/>
      <c r="E32" s="466"/>
      <c r="F32" s="466"/>
      <c r="G32" s="466"/>
      <c r="H32" s="466"/>
      <c r="I32" s="466"/>
    </row>
    <row r="33" spans="1:9">
      <c r="A33" s="967">
        <v>46072</v>
      </c>
      <c r="B33" s="966" t="s">
        <v>4745</v>
      </c>
      <c r="C33" s="465" t="s">
        <v>4728</v>
      </c>
      <c r="D33" s="465" t="s">
        <v>1888</v>
      </c>
      <c r="E33" s="465" t="s">
        <v>4783</v>
      </c>
      <c r="F33" s="465" t="s">
        <v>1414</v>
      </c>
      <c r="G33" s="465" t="s">
        <v>4730</v>
      </c>
      <c r="H33" s="465" t="s">
        <v>4784</v>
      </c>
      <c r="I33" s="966" t="s">
        <v>4785</v>
      </c>
    </row>
    <row r="34" spans="1:9">
      <c r="A34" s="967">
        <v>46072</v>
      </c>
      <c r="B34" s="966" t="s">
        <v>4745</v>
      </c>
      <c r="C34" s="465" t="s">
        <v>4728</v>
      </c>
      <c r="D34" s="465" t="s">
        <v>1888</v>
      </c>
      <c r="E34" s="465" t="s">
        <v>4786</v>
      </c>
      <c r="F34" s="465" t="s">
        <v>1414</v>
      </c>
      <c r="G34" s="465" t="s">
        <v>4730</v>
      </c>
      <c r="H34" s="465" t="s">
        <v>4787</v>
      </c>
      <c r="I34" s="966" t="s">
        <v>4788</v>
      </c>
    </row>
    <row r="35" spans="1:9">
      <c r="A35" s="967">
        <v>46072</v>
      </c>
      <c r="B35" s="966" t="s">
        <v>4745</v>
      </c>
      <c r="C35" s="465" t="s">
        <v>4728</v>
      </c>
      <c r="D35" s="465" t="s">
        <v>1888</v>
      </c>
      <c r="E35" s="465" t="s">
        <v>4789</v>
      </c>
      <c r="F35" s="465" t="s">
        <v>1414</v>
      </c>
      <c r="G35" s="465" t="s">
        <v>4730</v>
      </c>
      <c r="H35" s="465" t="s">
        <v>4790</v>
      </c>
      <c r="I35" s="966" t="s">
        <v>4791</v>
      </c>
    </row>
    <row r="36" spans="1:9">
      <c r="A36" s="967">
        <v>46072</v>
      </c>
      <c r="B36" s="966" t="s">
        <v>4745</v>
      </c>
      <c r="C36" s="465" t="s">
        <v>4728</v>
      </c>
      <c r="D36" s="465" t="s">
        <v>1888</v>
      </c>
      <c r="E36" s="465" t="s">
        <v>4792</v>
      </c>
      <c r="F36" s="465" t="s">
        <v>1414</v>
      </c>
      <c r="G36" s="465" t="s">
        <v>4730</v>
      </c>
      <c r="H36" s="465" t="s">
        <v>4793</v>
      </c>
      <c r="I36" s="966" t="s">
        <v>4794</v>
      </c>
    </row>
    <row r="37" spans="1:9">
      <c r="A37" s="967">
        <v>46072</v>
      </c>
      <c r="B37" s="966" t="s">
        <v>4745</v>
      </c>
      <c r="C37" s="465" t="s">
        <v>4728</v>
      </c>
      <c r="D37" s="465" t="s">
        <v>1888</v>
      </c>
      <c r="E37" s="465" t="s">
        <v>4795</v>
      </c>
      <c r="F37" s="465" t="s">
        <v>1414</v>
      </c>
      <c r="G37" s="465" t="s">
        <v>4730</v>
      </c>
      <c r="H37" s="465" t="s">
        <v>4796</v>
      </c>
      <c r="I37" s="966" t="s">
        <v>4797</v>
      </c>
    </row>
    <row r="39" spans="1:9" ht="17">
      <c r="A39" s="467">
        <v>45876</v>
      </c>
      <c r="B39" s="466" t="s">
        <v>4755</v>
      </c>
      <c r="C39" s="466"/>
      <c r="D39" s="466"/>
      <c r="E39" s="466"/>
      <c r="F39" s="466"/>
      <c r="G39" s="466"/>
      <c r="H39" s="466"/>
      <c r="I39" s="466"/>
    </row>
    <row r="40" spans="1:9">
      <c r="A40" s="967">
        <v>45876</v>
      </c>
      <c r="B40" s="966" t="s">
        <v>4755</v>
      </c>
      <c r="C40" s="465" t="s">
        <v>4728</v>
      </c>
      <c r="D40" s="465" t="s">
        <v>4798</v>
      </c>
      <c r="E40" s="465" t="s">
        <v>4344</v>
      </c>
      <c r="F40" s="465" t="s">
        <v>1414</v>
      </c>
      <c r="G40" s="465" t="s">
        <v>4730</v>
      </c>
      <c r="H40" s="465" t="s">
        <v>4799</v>
      </c>
      <c r="I40" s="966" t="s">
        <v>4800</v>
      </c>
    </row>
    <row r="42" spans="1:9" ht="17">
      <c r="A42" s="466"/>
      <c r="B42" s="466" t="s">
        <v>4745</v>
      </c>
      <c r="C42" s="466"/>
      <c r="D42" s="466"/>
      <c r="E42" s="466"/>
      <c r="F42" s="466"/>
      <c r="G42" s="466"/>
      <c r="H42" s="466"/>
      <c r="I42" s="466"/>
    </row>
    <row r="43" spans="1:9">
      <c r="A43" s="967">
        <v>45876</v>
      </c>
      <c r="B43" s="966" t="s">
        <v>4745</v>
      </c>
      <c r="C43" s="465" t="s">
        <v>4728</v>
      </c>
      <c r="D43" s="465" t="s">
        <v>4798</v>
      </c>
      <c r="E43" s="465" t="s">
        <v>4391</v>
      </c>
      <c r="F43" s="465" t="s">
        <v>1414</v>
      </c>
      <c r="G43" s="465" t="s">
        <v>4730</v>
      </c>
      <c r="H43" s="465" t="s">
        <v>4801</v>
      </c>
      <c r="I43" s="966" t="s">
        <v>4802</v>
      </c>
    </row>
    <row r="44" spans="1:9">
      <c r="A44" s="967">
        <v>45876</v>
      </c>
      <c r="B44" s="966" t="s">
        <v>4745</v>
      </c>
      <c r="C44" s="465" t="s">
        <v>4728</v>
      </c>
      <c r="D44" s="465" t="s">
        <v>4798</v>
      </c>
      <c r="E44" s="465" t="s">
        <v>4315</v>
      </c>
      <c r="F44" s="465" t="s">
        <v>1414</v>
      </c>
      <c r="G44" s="465" t="s">
        <v>4730</v>
      </c>
      <c r="H44" s="465" t="s">
        <v>4803</v>
      </c>
      <c r="I44" s="966" t="s">
        <v>4804</v>
      </c>
    </row>
    <row r="45" spans="1:9">
      <c r="A45" s="967">
        <v>45876</v>
      </c>
      <c r="B45" s="966" t="s">
        <v>4745</v>
      </c>
      <c r="C45" s="465" t="s">
        <v>4728</v>
      </c>
      <c r="D45" s="465" t="s">
        <v>4798</v>
      </c>
      <c r="E45" s="465" t="s">
        <v>4408</v>
      </c>
      <c r="F45" s="465" t="s">
        <v>1414</v>
      </c>
      <c r="G45" s="465" t="s">
        <v>4730</v>
      </c>
      <c r="H45" s="465" t="s">
        <v>4805</v>
      </c>
      <c r="I45" s="966" t="s">
        <v>4806</v>
      </c>
    </row>
    <row r="47" spans="1:9" ht="17">
      <c r="A47" s="467">
        <v>45881</v>
      </c>
      <c r="B47" s="466" t="s">
        <v>4745</v>
      </c>
      <c r="C47" s="466"/>
      <c r="D47" s="466"/>
      <c r="E47" s="466"/>
      <c r="F47" s="466"/>
      <c r="G47" s="466"/>
      <c r="H47" s="466"/>
      <c r="I47" s="466"/>
    </row>
    <row r="48" spans="1:9">
      <c r="A48" s="967">
        <v>45881</v>
      </c>
      <c r="B48" s="966" t="s">
        <v>4745</v>
      </c>
      <c r="C48" s="465" t="s">
        <v>4728</v>
      </c>
      <c r="D48" s="465" t="s">
        <v>4798</v>
      </c>
      <c r="E48" s="465" t="s">
        <v>4404</v>
      </c>
      <c r="F48" s="465" t="s">
        <v>1414</v>
      </c>
      <c r="G48" s="465" t="s">
        <v>4730</v>
      </c>
      <c r="H48" s="465" t="s">
        <v>4807</v>
      </c>
      <c r="I48" s="966" t="s">
        <v>4808</v>
      </c>
    </row>
    <row r="49" spans="1:9">
      <c r="A49" s="967">
        <v>45881</v>
      </c>
      <c r="B49" s="966" t="s">
        <v>4745</v>
      </c>
      <c r="C49" s="465" t="s">
        <v>4728</v>
      </c>
      <c r="D49" s="465" t="s">
        <v>4798</v>
      </c>
      <c r="E49" s="465" t="s">
        <v>4367</v>
      </c>
      <c r="F49" s="465" t="s">
        <v>1414</v>
      </c>
      <c r="G49" s="465" t="s">
        <v>4730</v>
      </c>
      <c r="H49" s="465" t="s">
        <v>4809</v>
      </c>
      <c r="I49" s="966" t="s">
        <v>4810</v>
      </c>
    </row>
    <row r="50" spans="1:9">
      <c r="A50" s="967">
        <v>45881</v>
      </c>
      <c r="B50" s="966" t="s">
        <v>4745</v>
      </c>
      <c r="C50" s="465" t="s">
        <v>4728</v>
      </c>
      <c r="D50" s="465" t="s">
        <v>4798</v>
      </c>
      <c r="E50" s="465" t="s">
        <v>4392</v>
      </c>
      <c r="F50" s="465" t="s">
        <v>1414</v>
      </c>
      <c r="G50" s="465" t="s">
        <v>4730</v>
      </c>
      <c r="H50" s="465" t="s">
        <v>4811</v>
      </c>
      <c r="I50" s="966" t="s">
        <v>4812</v>
      </c>
    </row>
    <row r="51" spans="1:9">
      <c r="A51" s="967">
        <v>45881</v>
      </c>
      <c r="B51" s="966" t="s">
        <v>4745</v>
      </c>
      <c r="C51" s="465" t="s">
        <v>4728</v>
      </c>
      <c r="D51" s="465" t="s">
        <v>4798</v>
      </c>
      <c r="E51" s="465" t="s">
        <v>4406</v>
      </c>
      <c r="F51" s="465" t="s">
        <v>1414</v>
      </c>
      <c r="G51" s="465" t="s">
        <v>4730</v>
      </c>
      <c r="H51" s="465" t="s">
        <v>4813</v>
      </c>
      <c r="I51" s="966" t="s">
        <v>4814</v>
      </c>
    </row>
    <row r="52" spans="1:9">
      <c r="A52" s="967">
        <v>45881</v>
      </c>
      <c r="B52" s="966" t="s">
        <v>4745</v>
      </c>
      <c r="C52" s="465" t="s">
        <v>4728</v>
      </c>
      <c r="D52" s="465" t="s">
        <v>4798</v>
      </c>
      <c r="E52" s="465" t="s">
        <v>4309</v>
      </c>
      <c r="F52" s="465" t="s">
        <v>1414</v>
      </c>
      <c r="G52" s="465" t="s">
        <v>4730</v>
      </c>
      <c r="H52" s="465" t="s">
        <v>4815</v>
      </c>
      <c r="I52" s="966" t="s">
        <v>4816</v>
      </c>
    </row>
    <row r="54" spans="1:9" ht="17">
      <c r="A54" s="467">
        <v>45882</v>
      </c>
      <c r="B54" s="466" t="s">
        <v>4817</v>
      </c>
      <c r="C54" s="466"/>
      <c r="D54" s="466"/>
      <c r="E54" s="466"/>
      <c r="F54" s="466"/>
      <c r="G54" s="466"/>
      <c r="H54" s="466"/>
      <c r="I54" s="466"/>
    </row>
    <row r="55" spans="1:9">
      <c r="A55" s="967">
        <v>45882</v>
      </c>
      <c r="B55" s="966" t="s">
        <v>4817</v>
      </c>
      <c r="C55" s="465" t="s">
        <v>4728</v>
      </c>
      <c r="D55" s="465" t="s">
        <v>4798</v>
      </c>
      <c r="E55" s="465" t="s">
        <v>4332</v>
      </c>
      <c r="F55" s="465" t="s">
        <v>1414</v>
      </c>
      <c r="G55" s="465" t="s">
        <v>4730</v>
      </c>
      <c r="H55" s="465" t="s">
        <v>4818</v>
      </c>
      <c r="I55" s="966" t="s">
        <v>4819</v>
      </c>
    </row>
    <row r="57" spans="1:9" ht="17">
      <c r="A57" s="467">
        <v>45904</v>
      </c>
      <c r="B57" s="466" t="s">
        <v>4755</v>
      </c>
      <c r="C57" s="466"/>
      <c r="D57" s="466"/>
      <c r="E57" s="466"/>
      <c r="F57" s="466"/>
      <c r="G57" s="466"/>
      <c r="H57" s="466"/>
      <c r="I57" s="466"/>
    </row>
    <row r="58" spans="1:9">
      <c r="A58" s="967">
        <v>45904</v>
      </c>
      <c r="B58" s="966" t="s">
        <v>4755</v>
      </c>
      <c r="C58" s="465" t="s">
        <v>4728</v>
      </c>
      <c r="D58" s="465" t="s">
        <v>4798</v>
      </c>
      <c r="E58" s="465" t="s">
        <v>4705</v>
      </c>
      <c r="F58" s="465" t="s">
        <v>1414</v>
      </c>
      <c r="G58" s="465" t="s">
        <v>4730</v>
      </c>
      <c r="H58" s="465" t="s">
        <v>4820</v>
      </c>
      <c r="I58" s="966" t="s">
        <v>4821</v>
      </c>
    </row>
    <row r="59" spans="1:9">
      <c r="A59" s="967">
        <v>45904</v>
      </c>
      <c r="B59" s="966" t="s">
        <v>4755</v>
      </c>
      <c r="C59" s="465" t="s">
        <v>4728</v>
      </c>
      <c r="D59" s="465" t="s">
        <v>4798</v>
      </c>
      <c r="E59" s="465" t="s">
        <v>4509</v>
      </c>
      <c r="F59" s="465" t="s">
        <v>1414</v>
      </c>
      <c r="G59" s="465" t="s">
        <v>4730</v>
      </c>
      <c r="H59" s="465" t="s">
        <v>4822</v>
      </c>
      <c r="I59" s="966" t="s">
        <v>4823</v>
      </c>
    </row>
    <row r="61" spans="1:9" ht="17">
      <c r="A61" s="467">
        <v>45952</v>
      </c>
      <c r="B61" s="466" t="s">
        <v>4755</v>
      </c>
      <c r="C61" s="466"/>
      <c r="D61" s="466"/>
      <c r="E61" s="466"/>
      <c r="F61" s="466"/>
      <c r="G61" s="466"/>
      <c r="H61" s="466"/>
      <c r="I61" s="466"/>
    </row>
    <row r="62" spans="1:9">
      <c r="A62" s="967">
        <v>45952</v>
      </c>
      <c r="B62" s="966" t="s">
        <v>4755</v>
      </c>
      <c r="C62" s="465" t="s">
        <v>4728</v>
      </c>
      <c r="D62" s="465" t="s">
        <v>1888</v>
      </c>
      <c r="E62" s="465" t="s">
        <v>4824</v>
      </c>
      <c r="F62" s="465" t="s">
        <v>1414</v>
      </c>
      <c r="G62" s="465" t="s">
        <v>4730</v>
      </c>
      <c r="H62" s="465" t="s">
        <v>4825</v>
      </c>
      <c r="I62" s="966" t="s">
        <v>4826</v>
      </c>
    </row>
    <row r="63" spans="1:9">
      <c r="A63" s="967">
        <v>45952</v>
      </c>
      <c r="B63" s="966" t="s">
        <v>4755</v>
      </c>
      <c r="C63" s="465" t="s">
        <v>4728</v>
      </c>
      <c r="D63" s="465" t="s">
        <v>1888</v>
      </c>
      <c r="E63" s="465" t="s">
        <v>4684</v>
      </c>
      <c r="F63" s="465" t="s">
        <v>1414</v>
      </c>
      <c r="G63" s="465" t="s">
        <v>4730</v>
      </c>
      <c r="H63" s="465" t="s">
        <v>4827</v>
      </c>
      <c r="I63" s="966" t="s">
        <v>4828</v>
      </c>
    </row>
    <row r="64" spans="1:9">
      <c r="A64" s="967">
        <v>45952</v>
      </c>
      <c r="B64" s="966" t="s">
        <v>4755</v>
      </c>
      <c r="C64" s="465" t="s">
        <v>4728</v>
      </c>
      <c r="D64" s="465" t="s">
        <v>1888</v>
      </c>
      <c r="E64" s="465" t="s">
        <v>4350</v>
      </c>
      <c r="F64" s="465" t="s">
        <v>1414</v>
      </c>
      <c r="G64" s="465" t="s">
        <v>4730</v>
      </c>
      <c r="H64" s="465" t="s">
        <v>4829</v>
      </c>
      <c r="I64" s="966" t="s">
        <v>4830</v>
      </c>
    </row>
    <row r="65" spans="1:9">
      <c r="A65" s="967">
        <v>45952</v>
      </c>
      <c r="B65" s="966" t="s">
        <v>4755</v>
      </c>
      <c r="C65" s="465" t="s">
        <v>4728</v>
      </c>
      <c r="D65" s="465" t="s">
        <v>1888</v>
      </c>
      <c r="E65" s="465" t="s">
        <v>4831</v>
      </c>
      <c r="F65" s="465" t="s">
        <v>1414</v>
      </c>
      <c r="G65" s="465" t="s">
        <v>4730</v>
      </c>
      <c r="H65" s="465" t="s">
        <v>4832</v>
      </c>
      <c r="I65" s="966" t="s">
        <v>4833</v>
      </c>
    </row>
    <row r="66" spans="1:9">
      <c r="A66" s="967">
        <v>45952</v>
      </c>
      <c r="B66" s="966" t="s">
        <v>4755</v>
      </c>
      <c r="C66" s="465" t="s">
        <v>4728</v>
      </c>
      <c r="D66" s="465" t="s">
        <v>1888</v>
      </c>
      <c r="E66" s="465" t="s">
        <v>4834</v>
      </c>
      <c r="F66" s="465" t="s">
        <v>1414</v>
      </c>
      <c r="G66" s="465" t="s">
        <v>4730</v>
      </c>
      <c r="H66" s="465" t="s">
        <v>4835</v>
      </c>
      <c r="I66" s="966" t="s">
        <v>4836</v>
      </c>
    </row>
    <row r="67" spans="1:9">
      <c r="A67" s="967">
        <v>45952</v>
      </c>
      <c r="B67" s="966" t="s">
        <v>4755</v>
      </c>
      <c r="C67" s="465" t="s">
        <v>4728</v>
      </c>
      <c r="D67" s="465" t="s">
        <v>1888</v>
      </c>
      <c r="E67" s="465" t="s">
        <v>4749</v>
      </c>
      <c r="F67" s="465" t="s">
        <v>1414</v>
      </c>
      <c r="G67" s="465" t="s">
        <v>4730</v>
      </c>
      <c r="H67" s="465" t="s">
        <v>4750</v>
      </c>
      <c r="I67" s="966" t="s">
        <v>4837</v>
      </c>
    </row>
    <row r="69" spans="1:9" ht="17">
      <c r="A69" s="466"/>
      <c r="B69" s="466" t="s">
        <v>4745</v>
      </c>
      <c r="C69" s="466"/>
      <c r="D69" s="466"/>
      <c r="E69" s="466"/>
      <c r="F69" s="466"/>
      <c r="G69" s="466"/>
      <c r="H69" s="466"/>
      <c r="I69" s="466"/>
    </row>
    <row r="70" spans="1:9">
      <c r="A70" s="967">
        <v>45952</v>
      </c>
      <c r="B70" s="966" t="s">
        <v>4745</v>
      </c>
      <c r="C70" s="465" t="s">
        <v>4728</v>
      </c>
      <c r="D70" s="465" t="s">
        <v>1888</v>
      </c>
      <c r="E70" s="465" t="s">
        <v>4327</v>
      </c>
      <c r="F70" s="465" t="s">
        <v>1414</v>
      </c>
      <c r="G70" s="465" t="s">
        <v>4730</v>
      </c>
      <c r="H70" s="465" t="s">
        <v>4838</v>
      </c>
      <c r="I70" s="966" t="s">
        <v>4839</v>
      </c>
    </row>
    <row r="72" spans="1:9" ht="17">
      <c r="A72" s="467">
        <v>45953</v>
      </c>
      <c r="B72" s="466" t="s">
        <v>4745</v>
      </c>
      <c r="C72" s="466"/>
      <c r="D72" s="466"/>
      <c r="E72" s="466"/>
      <c r="F72" s="466"/>
      <c r="G72" s="466"/>
      <c r="H72" s="466"/>
      <c r="I72" s="466"/>
    </row>
    <row r="73" spans="1:9">
      <c r="A73" s="967">
        <v>45953</v>
      </c>
      <c r="B73" s="966" t="s">
        <v>4745</v>
      </c>
      <c r="C73" s="465" t="s">
        <v>4728</v>
      </c>
      <c r="D73" s="465" t="s">
        <v>1888</v>
      </c>
      <c r="E73" s="465" t="s">
        <v>4375</v>
      </c>
      <c r="F73" s="465" t="s">
        <v>1414</v>
      </c>
      <c r="G73" s="465" t="s">
        <v>4730</v>
      </c>
      <c r="H73" s="465" t="s">
        <v>4840</v>
      </c>
      <c r="I73" s="966" t="s">
        <v>4841</v>
      </c>
    </row>
    <row r="75" spans="1:9" ht="17">
      <c r="A75" s="467">
        <v>45957</v>
      </c>
      <c r="B75" s="466" t="s">
        <v>4745</v>
      </c>
      <c r="C75" s="466"/>
      <c r="D75" s="466"/>
      <c r="E75" s="466"/>
      <c r="F75" s="466"/>
      <c r="G75" s="466"/>
      <c r="H75" s="466"/>
      <c r="I75" s="466"/>
    </row>
    <row r="76" spans="1:9">
      <c r="A76" s="967">
        <v>45957</v>
      </c>
      <c r="B76" s="966" t="s">
        <v>4745</v>
      </c>
      <c r="C76" s="465" t="s">
        <v>4728</v>
      </c>
      <c r="D76" s="465" t="s">
        <v>1888</v>
      </c>
      <c r="E76" s="465" t="s">
        <v>4842</v>
      </c>
      <c r="F76" s="465" t="s">
        <v>1414</v>
      </c>
      <c r="G76" s="465" t="s">
        <v>4730</v>
      </c>
      <c r="H76" s="465" t="s">
        <v>4843</v>
      </c>
      <c r="I76" s="966" t="s">
        <v>4844</v>
      </c>
    </row>
    <row r="77" spans="1:9">
      <c r="A77" s="967">
        <v>45957</v>
      </c>
      <c r="B77" s="966" t="s">
        <v>4745</v>
      </c>
      <c r="C77" s="465" t="s">
        <v>4728</v>
      </c>
      <c r="D77" s="465" t="s">
        <v>1888</v>
      </c>
      <c r="E77" s="465" t="s">
        <v>4365</v>
      </c>
      <c r="F77" s="465" t="s">
        <v>1414</v>
      </c>
      <c r="G77" s="465" t="s">
        <v>4730</v>
      </c>
      <c r="H77" s="465" t="s">
        <v>4845</v>
      </c>
      <c r="I77" s="966" t="s">
        <v>4846</v>
      </c>
    </row>
    <row r="78" spans="1:9">
      <c r="A78" s="967">
        <v>45957</v>
      </c>
      <c r="B78" s="966" t="s">
        <v>4745</v>
      </c>
      <c r="C78" s="465" t="s">
        <v>4728</v>
      </c>
      <c r="D78" s="465" t="s">
        <v>1888</v>
      </c>
      <c r="E78" s="465" t="s">
        <v>4502</v>
      </c>
      <c r="F78" s="465" t="s">
        <v>1414</v>
      </c>
      <c r="G78" s="465" t="s">
        <v>4730</v>
      </c>
      <c r="H78" s="465" t="s">
        <v>4847</v>
      </c>
      <c r="I78" s="966" t="s">
        <v>4848</v>
      </c>
    </row>
    <row r="79" spans="1:9">
      <c r="A79" s="967">
        <v>45957</v>
      </c>
      <c r="B79" s="966" t="s">
        <v>4745</v>
      </c>
      <c r="C79" s="465" t="s">
        <v>4728</v>
      </c>
      <c r="D79" s="465" t="s">
        <v>1888</v>
      </c>
      <c r="E79" s="465" t="s">
        <v>4849</v>
      </c>
      <c r="F79" s="465" t="s">
        <v>1414</v>
      </c>
      <c r="G79" s="465" t="s">
        <v>4730</v>
      </c>
      <c r="H79" s="465" t="s">
        <v>4850</v>
      </c>
      <c r="I79" s="966" t="s">
        <v>4851</v>
      </c>
    </row>
    <row r="80" spans="1:9">
      <c r="A80" s="967">
        <v>45957</v>
      </c>
      <c r="B80" s="966" t="s">
        <v>4745</v>
      </c>
      <c r="C80" s="465" t="s">
        <v>4728</v>
      </c>
      <c r="D80" s="465" t="s">
        <v>1888</v>
      </c>
      <c r="E80" s="465" t="s">
        <v>4338</v>
      </c>
      <c r="F80" s="465" t="s">
        <v>1414</v>
      </c>
      <c r="G80" s="465" t="s">
        <v>4730</v>
      </c>
      <c r="H80" s="465" t="s">
        <v>4852</v>
      </c>
      <c r="I80" s="966" t="s">
        <v>4853</v>
      </c>
    </row>
    <row r="81" spans="1:9">
      <c r="A81" s="967">
        <v>45957</v>
      </c>
      <c r="B81" s="966" t="s">
        <v>4745</v>
      </c>
      <c r="C81" s="465" t="s">
        <v>4728</v>
      </c>
      <c r="D81" s="465" t="s">
        <v>1888</v>
      </c>
      <c r="E81" s="465" t="s">
        <v>4854</v>
      </c>
      <c r="F81" s="465" t="s">
        <v>1414</v>
      </c>
      <c r="G81" s="465" t="s">
        <v>4730</v>
      </c>
      <c r="H81" s="465" t="s">
        <v>4855</v>
      </c>
      <c r="I81" s="966" t="s">
        <v>4856</v>
      </c>
    </row>
    <row r="82" spans="1:9">
      <c r="A82" s="967">
        <v>45957</v>
      </c>
      <c r="B82" s="966" t="s">
        <v>4745</v>
      </c>
      <c r="C82" s="465" t="s">
        <v>4728</v>
      </c>
      <c r="D82" s="465" t="s">
        <v>1888</v>
      </c>
      <c r="E82" s="465" t="s">
        <v>4857</v>
      </c>
      <c r="F82" s="465" t="s">
        <v>1414</v>
      </c>
      <c r="G82" s="465" t="s">
        <v>4730</v>
      </c>
      <c r="H82" s="465" t="s">
        <v>4858</v>
      </c>
      <c r="I82" s="966" t="s">
        <v>4859</v>
      </c>
    </row>
    <row r="84" spans="1:9" ht="17">
      <c r="A84" s="467">
        <v>45967</v>
      </c>
      <c r="B84" s="466" t="s">
        <v>4745</v>
      </c>
      <c r="C84" s="466"/>
      <c r="D84" s="466"/>
      <c r="E84" s="466"/>
      <c r="F84" s="466"/>
      <c r="G84" s="466"/>
      <c r="H84" s="466"/>
      <c r="I84" s="466"/>
    </row>
    <row r="85" spans="1:9">
      <c r="A85" s="967">
        <v>45967</v>
      </c>
      <c r="B85" s="966" t="s">
        <v>4745</v>
      </c>
      <c r="C85" s="465" t="s">
        <v>4728</v>
      </c>
      <c r="D85" s="465" t="s">
        <v>1888</v>
      </c>
      <c r="E85" s="465" t="s">
        <v>4860</v>
      </c>
      <c r="F85" s="465" t="s">
        <v>1414</v>
      </c>
      <c r="G85" s="465" t="s">
        <v>4730</v>
      </c>
      <c r="H85" s="465" t="s">
        <v>4861</v>
      </c>
      <c r="I85" s="966" t="s">
        <v>4862</v>
      </c>
    </row>
    <row r="86" spans="1:9">
      <c r="A86" s="967">
        <v>45967</v>
      </c>
      <c r="B86" s="966" t="s">
        <v>4745</v>
      </c>
      <c r="C86" s="465" t="s">
        <v>4728</v>
      </c>
      <c r="D86" s="465" t="s">
        <v>1888</v>
      </c>
      <c r="E86" s="465" t="s">
        <v>4863</v>
      </c>
      <c r="F86" s="465" t="s">
        <v>1414</v>
      </c>
      <c r="G86" s="465" t="s">
        <v>4730</v>
      </c>
      <c r="H86" s="465" t="s">
        <v>4864</v>
      </c>
      <c r="I86" s="966" t="s">
        <v>4865</v>
      </c>
    </row>
    <row r="88" spans="1:9" ht="17">
      <c r="A88" s="467">
        <v>45972</v>
      </c>
      <c r="B88" s="466" t="s">
        <v>4755</v>
      </c>
      <c r="C88" s="466"/>
      <c r="D88" s="466"/>
      <c r="E88" s="466"/>
      <c r="F88" s="466"/>
      <c r="G88" s="466"/>
      <c r="H88" s="466"/>
      <c r="I88" s="466"/>
    </row>
    <row r="89" spans="1:9">
      <c r="A89" s="967">
        <v>45972</v>
      </c>
      <c r="B89" s="966" t="s">
        <v>4755</v>
      </c>
      <c r="C89" s="465" t="s">
        <v>4728</v>
      </c>
      <c r="D89" s="465" t="s">
        <v>1888</v>
      </c>
      <c r="E89" s="465" t="s">
        <v>4775</v>
      </c>
      <c r="F89" s="465" t="s">
        <v>1414</v>
      </c>
      <c r="G89" s="465" t="s">
        <v>4730</v>
      </c>
      <c r="H89" s="465" t="s">
        <v>4776</v>
      </c>
      <c r="I89" s="966" t="s">
        <v>4866</v>
      </c>
    </row>
    <row r="90" spans="1:9">
      <c r="A90" s="967">
        <v>45972</v>
      </c>
      <c r="B90" s="966" t="s">
        <v>4755</v>
      </c>
      <c r="C90" s="465" t="s">
        <v>4728</v>
      </c>
      <c r="D90" s="465" t="s">
        <v>1888</v>
      </c>
      <c r="E90" s="465" t="s">
        <v>4780</v>
      </c>
      <c r="F90" s="465" t="s">
        <v>1414</v>
      </c>
      <c r="G90" s="465" t="s">
        <v>4730</v>
      </c>
      <c r="H90" s="465" t="s">
        <v>4781</v>
      </c>
      <c r="I90" s="966" t="s">
        <v>4867</v>
      </c>
    </row>
    <row r="91" spans="1:9">
      <c r="A91" s="967">
        <v>45972</v>
      </c>
      <c r="B91" s="966" t="s">
        <v>4755</v>
      </c>
      <c r="C91" s="465" t="s">
        <v>4728</v>
      </c>
      <c r="D91" s="465" t="s">
        <v>1888</v>
      </c>
      <c r="E91" s="465" t="s">
        <v>4509</v>
      </c>
      <c r="F91" s="465" t="s">
        <v>1414</v>
      </c>
      <c r="G91" s="465" t="s">
        <v>4730</v>
      </c>
      <c r="H91" s="465" t="s">
        <v>4822</v>
      </c>
      <c r="I91" s="966" t="s">
        <v>4868</v>
      </c>
    </row>
    <row r="92" spans="1:9">
      <c r="A92" s="967">
        <v>45972</v>
      </c>
      <c r="B92" s="966" t="s">
        <v>4755</v>
      </c>
      <c r="C92" s="465" t="s">
        <v>4728</v>
      </c>
      <c r="D92" s="465" t="s">
        <v>1888</v>
      </c>
      <c r="E92" s="465" t="s">
        <v>4869</v>
      </c>
      <c r="F92" s="465" t="s">
        <v>1414</v>
      </c>
      <c r="G92" s="465" t="s">
        <v>4730</v>
      </c>
      <c r="H92" s="465" t="s">
        <v>4870</v>
      </c>
      <c r="I92" s="966" t="s">
        <v>4871</v>
      </c>
    </row>
    <row r="93" spans="1:9">
      <c r="A93" s="967">
        <v>45972</v>
      </c>
      <c r="B93" s="966" t="s">
        <v>4755</v>
      </c>
      <c r="C93" s="465" t="s">
        <v>4728</v>
      </c>
      <c r="D93" s="465" t="s">
        <v>1888</v>
      </c>
      <c r="E93" s="465" t="s">
        <v>4872</v>
      </c>
      <c r="F93" s="465" t="s">
        <v>1414</v>
      </c>
      <c r="G93" s="465" t="s">
        <v>4730</v>
      </c>
      <c r="H93" s="465" t="s">
        <v>4873</v>
      </c>
      <c r="I93" s="966" t="s">
        <v>4874</v>
      </c>
    </row>
    <row r="95" spans="1:9" ht="17">
      <c r="A95" s="466"/>
      <c r="B95" s="466" t="s">
        <v>4745</v>
      </c>
      <c r="C95" s="466"/>
      <c r="D95" s="466"/>
      <c r="E95" s="466"/>
      <c r="F95" s="466"/>
      <c r="G95" s="466"/>
      <c r="H95" s="466"/>
      <c r="I95" s="466"/>
    </row>
    <row r="96" spans="1:9">
      <c r="A96" s="967">
        <v>45972</v>
      </c>
      <c r="B96" s="966" t="s">
        <v>4745</v>
      </c>
      <c r="C96" s="465" t="s">
        <v>4728</v>
      </c>
      <c r="D96" s="465" t="s">
        <v>1888</v>
      </c>
      <c r="E96" s="465" t="s">
        <v>4758</v>
      </c>
      <c r="F96" s="465" t="s">
        <v>1414</v>
      </c>
      <c r="G96" s="465" t="s">
        <v>4730</v>
      </c>
      <c r="H96" s="465" t="s">
        <v>4759</v>
      </c>
      <c r="I96" s="966" t="s">
        <v>4875</v>
      </c>
    </row>
    <row r="97" spans="1:9">
      <c r="A97" s="967">
        <v>45972</v>
      </c>
      <c r="B97" s="966" t="s">
        <v>4745</v>
      </c>
      <c r="C97" s="465" t="s">
        <v>4728</v>
      </c>
      <c r="D97" s="465" t="s">
        <v>1888</v>
      </c>
      <c r="E97" s="465" t="s">
        <v>4602</v>
      </c>
      <c r="F97" s="465" t="s">
        <v>1414</v>
      </c>
      <c r="G97" s="465" t="s">
        <v>4730</v>
      </c>
      <c r="H97" s="465" t="s">
        <v>4876</v>
      </c>
      <c r="I97" s="966" t="s">
        <v>4877</v>
      </c>
    </row>
    <row r="98" spans="1:9">
      <c r="A98" s="967">
        <v>45972</v>
      </c>
      <c r="B98" s="966" t="s">
        <v>4745</v>
      </c>
      <c r="C98" s="465" t="s">
        <v>4728</v>
      </c>
      <c r="D98" s="465" t="s">
        <v>1888</v>
      </c>
      <c r="E98" s="465" t="s">
        <v>4878</v>
      </c>
      <c r="F98" s="465" t="s">
        <v>1414</v>
      </c>
      <c r="G98" s="465" t="s">
        <v>4730</v>
      </c>
      <c r="H98" s="465" t="s">
        <v>4879</v>
      </c>
      <c r="I98" s="966" t="s">
        <v>4880</v>
      </c>
    </row>
    <row r="99" spans="1:9">
      <c r="A99" s="967">
        <v>45972</v>
      </c>
      <c r="B99" s="966" t="s">
        <v>4745</v>
      </c>
      <c r="C99" s="465" t="s">
        <v>4728</v>
      </c>
      <c r="D99" s="465" t="s">
        <v>1888</v>
      </c>
      <c r="E99" s="465" t="s">
        <v>4881</v>
      </c>
      <c r="F99" s="465" t="s">
        <v>1414</v>
      </c>
      <c r="G99" s="465" t="s">
        <v>4730</v>
      </c>
      <c r="H99" s="465" t="s">
        <v>4882</v>
      </c>
      <c r="I99" s="966" t="s">
        <v>4883</v>
      </c>
    </row>
    <row r="100" spans="1:9">
      <c r="A100" s="967">
        <v>45972</v>
      </c>
      <c r="B100" s="966" t="s">
        <v>4745</v>
      </c>
      <c r="C100" s="465" t="s">
        <v>4728</v>
      </c>
      <c r="D100" s="465" t="s">
        <v>1888</v>
      </c>
      <c r="E100" s="465" t="s">
        <v>4884</v>
      </c>
      <c r="F100" s="465" t="s">
        <v>1414</v>
      </c>
      <c r="G100" s="465" t="s">
        <v>4730</v>
      </c>
      <c r="H100" s="465" t="s">
        <v>4885</v>
      </c>
      <c r="I100" s="966" t="s">
        <v>4886</v>
      </c>
    </row>
    <row r="101" spans="1:9">
      <c r="A101" s="967">
        <v>45972</v>
      </c>
      <c r="B101" s="966" t="s">
        <v>4745</v>
      </c>
      <c r="C101" s="465" t="s">
        <v>4728</v>
      </c>
      <c r="D101" s="465" t="s">
        <v>1888</v>
      </c>
      <c r="E101" s="465" t="s">
        <v>4887</v>
      </c>
      <c r="F101" s="465" t="s">
        <v>1414</v>
      </c>
      <c r="G101" s="465" t="s">
        <v>4730</v>
      </c>
      <c r="H101" s="465" t="s">
        <v>4888</v>
      </c>
      <c r="I101" s="966" t="s">
        <v>4889</v>
      </c>
    </row>
    <row r="102" spans="1:9">
      <c r="A102" s="967">
        <v>45972</v>
      </c>
      <c r="B102" s="966" t="s">
        <v>4745</v>
      </c>
      <c r="C102" s="465" t="s">
        <v>4728</v>
      </c>
      <c r="D102" s="465" t="s">
        <v>1888</v>
      </c>
      <c r="E102" s="465" t="s">
        <v>4890</v>
      </c>
      <c r="F102" s="465" t="s">
        <v>1414</v>
      </c>
      <c r="G102" s="465" t="s">
        <v>4730</v>
      </c>
      <c r="H102" s="465" t="s">
        <v>4891</v>
      </c>
      <c r="I102" s="966" t="s">
        <v>4892</v>
      </c>
    </row>
    <row r="103" spans="1:9">
      <c r="A103" s="967">
        <v>45972</v>
      </c>
      <c r="B103" s="966" t="s">
        <v>4745</v>
      </c>
      <c r="C103" s="465" t="s">
        <v>4728</v>
      </c>
      <c r="D103" s="465" t="s">
        <v>1888</v>
      </c>
      <c r="E103" s="465" t="s">
        <v>4893</v>
      </c>
      <c r="F103" s="465" t="s">
        <v>1414</v>
      </c>
      <c r="G103" s="465" t="s">
        <v>4730</v>
      </c>
      <c r="H103" s="465" t="s">
        <v>4894</v>
      </c>
      <c r="I103" s="966" t="s">
        <v>4895</v>
      </c>
    </row>
    <row r="104" spans="1:9">
      <c r="A104" s="967">
        <v>45972</v>
      </c>
      <c r="B104" s="966" t="s">
        <v>4745</v>
      </c>
      <c r="C104" s="465" t="s">
        <v>4728</v>
      </c>
      <c r="D104" s="465" t="s">
        <v>1888</v>
      </c>
      <c r="E104" s="465" t="s">
        <v>4896</v>
      </c>
      <c r="F104" s="465" t="s">
        <v>1414</v>
      </c>
      <c r="G104" s="465" t="s">
        <v>4730</v>
      </c>
      <c r="H104" s="465" t="s">
        <v>4897</v>
      </c>
      <c r="I104" s="966" t="s">
        <v>4898</v>
      </c>
    </row>
    <row r="105" spans="1:9">
      <c r="A105" s="967">
        <v>45972</v>
      </c>
      <c r="B105" s="966" t="s">
        <v>4745</v>
      </c>
      <c r="C105" s="465" t="s">
        <v>4728</v>
      </c>
      <c r="D105" s="465" t="s">
        <v>1888</v>
      </c>
      <c r="E105" s="465" t="s">
        <v>4899</v>
      </c>
      <c r="F105" s="465" t="s">
        <v>1414</v>
      </c>
      <c r="G105" s="465" t="s">
        <v>4730</v>
      </c>
      <c r="H105" s="465" t="s">
        <v>4900</v>
      </c>
      <c r="I105" s="966" t="s">
        <v>4901</v>
      </c>
    </row>
    <row r="107" spans="1:9" ht="17">
      <c r="A107" s="467">
        <v>45973</v>
      </c>
      <c r="B107" s="466" t="s">
        <v>4755</v>
      </c>
      <c r="C107" s="466"/>
      <c r="D107" s="466"/>
      <c r="E107" s="466"/>
      <c r="F107" s="466"/>
      <c r="G107" s="466"/>
      <c r="H107" s="466"/>
      <c r="I107" s="466"/>
    </row>
    <row r="108" spans="1:9">
      <c r="A108" s="967">
        <v>45973</v>
      </c>
      <c r="B108" s="966" t="s">
        <v>4755</v>
      </c>
      <c r="C108" s="465" t="s">
        <v>4728</v>
      </c>
      <c r="D108" s="465" t="s">
        <v>1888</v>
      </c>
      <c r="E108" s="465" t="s">
        <v>4482</v>
      </c>
      <c r="F108" s="465" t="s">
        <v>1414</v>
      </c>
      <c r="G108" s="465" t="s">
        <v>4730</v>
      </c>
      <c r="H108" s="465" t="s">
        <v>4902</v>
      </c>
      <c r="I108" s="966" t="s">
        <v>4903</v>
      </c>
    </row>
    <row r="110" spans="1:9" ht="17">
      <c r="A110" s="467">
        <v>45981</v>
      </c>
      <c r="B110" s="466" t="s">
        <v>4755</v>
      </c>
      <c r="C110" s="466"/>
      <c r="D110" s="466"/>
      <c r="E110" s="466"/>
      <c r="F110" s="466"/>
      <c r="G110" s="466"/>
      <c r="H110" s="466"/>
      <c r="I110" s="466"/>
    </row>
    <row r="111" spans="1:9">
      <c r="A111" s="967">
        <v>45981</v>
      </c>
      <c r="B111" s="966" t="s">
        <v>4755</v>
      </c>
      <c r="C111" s="465" t="s">
        <v>4728</v>
      </c>
      <c r="D111" s="465" t="s">
        <v>1888</v>
      </c>
      <c r="E111" s="465" t="s">
        <v>4904</v>
      </c>
      <c r="F111" s="465" t="s">
        <v>1414</v>
      </c>
      <c r="G111" s="465" t="s">
        <v>4730</v>
      </c>
      <c r="H111" s="465" t="s">
        <v>4905</v>
      </c>
      <c r="I111" s="966" t="s">
        <v>4906</v>
      </c>
    </row>
    <row r="112" spans="1:9">
      <c r="A112" s="967">
        <v>45981</v>
      </c>
      <c r="B112" s="966" t="s">
        <v>4755</v>
      </c>
      <c r="C112" s="465" t="s">
        <v>4728</v>
      </c>
      <c r="D112" s="465" t="s">
        <v>1888</v>
      </c>
      <c r="E112" s="465" t="s">
        <v>4907</v>
      </c>
      <c r="F112" s="465" t="s">
        <v>1414</v>
      </c>
      <c r="G112" s="465" t="s">
        <v>4730</v>
      </c>
      <c r="H112" s="465" t="s">
        <v>4908</v>
      </c>
      <c r="I112" s="966" t="s">
        <v>4909</v>
      </c>
    </row>
    <row r="113" spans="1:9">
      <c r="A113" s="967">
        <v>45981</v>
      </c>
      <c r="B113" s="966" t="s">
        <v>4755</v>
      </c>
      <c r="C113" s="465" t="s">
        <v>4728</v>
      </c>
      <c r="D113" s="465" t="s">
        <v>1888</v>
      </c>
      <c r="E113" s="465" t="s">
        <v>4577</v>
      </c>
      <c r="F113" s="465" t="s">
        <v>1414</v>
      </c>
      <c r="G113" s="465" t="s">
        <v>4730</v>
      </c>
      <c r="H113" s="465" t="s">
        <v>4910</v>
      </c>
      <c r="I113" s="966" t="s">
        <v>4911</v>
      </c>
    </row>
    <row r="114" spans="1:9">
      <c r="A114" s="967">
        <v>45981</v>
      </c>
      <c r="B114" s="966" t="s">
        <v>4755</v>
      </c>
      <c r="C114" s="465" t="s">
        <v>4728</v>
      </c>
      <c r="D114" s="465" t="s">
        <v>1888</v>
      </c>
      <c r="E114" s="465" t="s">
        <v>4912</v>
      </c>
      <c r="F114" s="465" t="s">
        <v>1414</v>
      </c>
      <c r="G114" s="465" t="s">
        <v>4730</v>
      </c>
      <c r="H114" s="465" t="s">
        <v>4913</v>
      </c>
      <c r="I114" s="966" t="s">
        <v>4914</v>
      </c>
    </row>
    <row r="115" spans="1:9">
      <c r="A115" s="967">
        <v>45981</v>
      </c>
      <c r="B115" s="966" t="s">
        <v>4755</v>
      </c>
      <c r="C115" s="465" t="s">
        <v>4728</v>
      </c>
      <c r="D115" s="465" t="s">
        <v>1888</v>
      </c>
      <c r="E115" s="465" t="s">
        <v>4915</v>
      </c>
      <c r="F115" s="465" t="s">
        <v>1414</v>
      </c>
      <c r="G115" s="465" t="s">
        <v>4730</v>
      </c>
      <c r="H115" s="465" t="s">
        <v>4916</v>
      </c>
      <c r="I115" s="966" t="s">
        <v>4917</v>
      </c>
    </row>
    <row r="117" spans="1:9" ht="17">
      <c r="A117" s="467">
        <v>45985</v>
      </c>
      <c r="B117" s="466" t="s">
        <v>4745</v>
      </c>
      <c r="C117" s="466"/>
      <c r="D117" s="466"/>
      <c r="E117" s="466"/>
      <c r="F117" s="466"/>
      <c r="G117" s="466"/>
      <c r="H117" s="466"/>
      <c r="I117" s="466"/>
    </row>
    <row r="118" spans="1:9">
      <c r="A118" s="967">
        <v>45985</v>
      </c>
      <c r="B118" s="966" t="s">
        <v>4745</v>
      </c>
      <c r="C118" s="465" t="s">
        <v>4728</v>
      </c>
      <c r="D118" s="465" t="s">
        <v>1888</v>
      </c>
      <c r="E118" s="465" t="s">
        <v>4112</v>
      </c>
      <c r="F118" s="465" t="s">
        <v>1414</v>
      </c>
      <c r="G118" s="465" t="s">
        <v>4730</v>
      </c>
      <c r="H118" s="465" t="s">
        <v>4918</v>
      </c>
      <c r="I118" s="966" t="s">
        <v>4919</v>
      </c>
    </row>
    <row r="119" spans="1:9">
      <c r="A119" s="967">
        <v>45985</v>
      </c>
      <c r="B119" s="966" t="s">
        <v>4745</v>
      </c>
      <c r="C119" s="465" t="s">
        <v>4728</v>
      </c>
      <c r="D119" s="465" t="s">
        <v>1888</v>
      </c>
      <c r="E119" s="465" t="s">
        <v>4670</v>
      </c>
      <c r="F119" s="465" t="s">
        <v>1414</v>
      </c>
      <c r="G119" s="465" t="s">
        <v>4730</v>
      </c>
      <c r="H119" s="465" t="s">
        <v>4920</v>
      </c>
      <c r="I119" s="966" t="s">
        <v>4921</v>
      </c>
    </row>
    <row r="120" spans="1:9">
      <c r="A120" s="967">
        <v>45985</v>
      </c>
      <c r="B120" s="966" t="s">
        <v>4745</v>
      </c>
      <c r="C120" s="465" t="s">
        <v>4728</v>
      </c>
      <c r="D120" s="465" t="s">
        <v>1888</v>
      </c>
      <c r="E120" s="465" t="s">
        <v>4922</v>
      </c>
      <c r="F120" s="465" t="s">
        <v>1414</v>
      </c>
      <c r="G120" s="465" t="s">
        <v>4730</v>
      </c>
      <c r="H120" s="465" t="s">
        <v>4923</v>
      </c>
      <c r="I120" s="966" t="s">
        <v>4924</v>
      </c>
    </row>
    <row r="121" spans="1:9">
      <c r="A121" s="967">
        <v>45985</v>
      </c>
      <c r="B121" s="966" t="s">
        <v>4745</v>
      </c>
      <c r="C121" s="465" t="s">
        <v>4728</v>
      </c>
      <c r="D121" s="465" t="s">
        <v>1888</v>
      </c>
      <c r="E121" s="465" t="s">
        <v>4925</v>
      </c>
      <c r="F121" s="465" t="s">
        <v>1414</v>
      </c>
      <c r="G121" s="465" t="s">
        <v>4730</v>
      </c>
      <c r="H121" s="465" t="s">
        <v>4926</v>
      </c>
      <c r="I121" s="966" t="s">
        <v>4927</v>
      </c>
    </row>
    <row r="122" spans="1:9">
      <c r="A122" s="967">
        <v>45985</v>
      </c>
      <c r="B122" s="966" t="s">
        <v>4745</v>
      </c>
      <c r="C122" s="465" t="s">
        <v>4728</v>
      </c>
      <c r="D122" s="465" t="s">
        <v>1888</v>
      </c>
      <c r="E122" s="465" t="s">
        <v>4928</v>
      </c>
      <c r="F122" s="465" t="s">
        <v>1414</v>
      </c>
      <c r="G122" s="465" t="s">
        <v>4730</v>
      </c>
      <c r="H122" s="465" t="s">
        <v>4929</v>
      </c>
      <c r="I122" s="966" t="s">
        <v>4930</v>
      </c>
    </row>
    <row r="123" spans="1:9">
      <c r="A123" s="967">
        <v>45985</v>
      </c>
      <c r="B123" s="966" t="s">
        <v>4745</v>
      </c>
      <c r="C123" s="465" t="s">
        <v>4728</v>
      </c>
      <c r="D123" s="465" t="s">
        <v>1888</v>
      </c>
      <c r="E123" s="465" t="s">
        <v>4931</v>
      </c>
      <c r="F123" s="465" t="s">
        <v>1414</v>
      </c>
      <c r="G123" s="465" t="s">
        <v>4730</v>
      </c>
      <c r="H123" s="465" t="s">
        <v>4932</v>
      </c>
      <c r="I123" s="966" t="s">
        <v>4933</v>
      </c>
    </row>
    <row r="125" spans="1:9" ht="17">
      <c r="A125" s="467">
        <v>45995</v>
      </c>
      <c r="B125" s="466" t="s">
        <v>4745</v>
      </c>
      <c r="C125" s="466"/>
      <c r="D125" s="466"/>
      <c r="E125" s="466"/>
      <c r="F125" s="466"/>
      <c r="G125" s="466"/>
      <c r="H125" s="466"/>
      <c r="I125" s="466"/>
    </row>
    <row r="126" spans="1:9">
      <c r="A126" s="967">
        <v>45995</v>
      </c>
      <c r="B126" s="966" t="s">
        <v>4745</v>
      </c>
      <c r="C126" s="465" t="s">
        <v>4728</v>
      </c>
      <c r="D126" s="465" t="s">
        <v>1888</v>
      </c>
      <c r="E126" s="465" t="s">
        <v>4934</v>
      </c>
      <c r="F126" s="465" t="s">
        <v>1414</v>
      </c>
      <c r="G126" s="465" t="s">
        <v>4730</v>
      </c>
      <c r="H126" s="465" t="s">
        <v>4935</v>
      </c>
      <c r="I126" s="966" t="s">
        <v>4936</v>
      </c>
    </row>
    <row r="127" spans="1:9">
      <c r="A127" s="967">
        <v>45995</v>
      </c>
      <c r="B127" s="966" t="s">
        <v>4745</v>
      </c>
      <c r="C127" s="465" t="s">
        <v>4728</v>
      </c>
      <c r="D127" s="465" t="s">
        <v>1888</v>
      </c>
      <c r="E127" s="465" t="s">
        <v>4937</v>
      </c>
      <c r="F127" s="465" t="s">
        <v>1414</v>
      </c>
      <c r="G127" s="465" t="s">
        <v>4730</v>
      </c>
      <c r="H127" s="465" t="s">
        <v>4938</v>
      </c>
      <c r="I127" s="966" t="s">
        <v>4939</v>
      </c>
    </row>
    <row r="128" spans="1:9">
      <c r="A128" s="967">
        <v>45995</v>
      </c>
      <c r="B128" s="966" t="s">
        <v>4745</v>
      </c>
      <c r="C128" s="465" t="s">
        <v>4728</v>
      </c>
      <c r="D128" s="465" t="s">
        <v>1888</v>
      </c>
      <c r="E128" s="465" t="s">
        <v>4563</v>
      </c>
      <c r="F128" s="465" t="s">
        <v>1414</v>
      </c>
      <c r="G128" s="465" t="s">
        <v>4730</v>
      </c>
      <c r="H128" s="465" t="s">
        <v>4940</v>
      </c>
      <c r="I128" s="966" t="s">
        <v>4941</v>
      </c>
    </row>
    <row r="129" spans="1:9">
      <c r="A129" s="967">
        <v>45995</v>
      </c>
      <c r="B129" s="966" t="s">
        <v>4745</v>
      </c>
      <c r="C129" s="465" t="s">
        <v>4728</v>
      </c>
      <c r="D129" s="465" t="s">
        <v>1888</v>
      </c>
      <c r="E129" s="465" t="s">
        <v>4942</v>
      </c>
      <c r="F129" s="465" t="s">
        <v>1414</v>
      </c>
      <c r="G129" s="465" t="s">
        <v>4730</v>
      </c>
      <c r="H129" s="465" t="s">
        <v>4943</v>
      </c>
      <c r="I129" s="966" t="s">
        <v>4944</v>
      </c>
    </row>
    <row r="130" spans="1:9">
      <c r="A130" s="967">
        <v>45995</v>
      </c>
      <c r="B130" s="966" t="s">
        <v>4745</v>
      </c>
      <c r="C130" s="465" t="s">
        <v>4728</v>
      </c>
      <c r="D130" s="465" t="s">
        <v>1888</v>
      </c>
      <c r="E130" s="465" t="s">
        <v>4945</v>
      </c>
      <c r="F130" s="465" t="s">
        <v>1414</v>
      </c>
      <c r="G130" s="465" t="s">
        <v>4730</v>
      </c>
      <c r="H130" s="465" t="s">
        <v>4946</v>
      </c>
      <c r="I130" s="966" t="s">
        <v>4947</v>
      </c>
    </row>
    <row r="131" spans="1:9">
      <c r="A131" s="967">
        <v>45995</v>
      </c>
      <c r="B131" s="966" t="s">
        <v>4745</v>
      </c>
      <c r="C131" s="465" t="s">
        <v>4728</v>
      </c>
      <c r="D131" s="465" t="s">
        <v>1888</v>
      </c>
      <c r="E131" s="465" t="s">
        <v>4948</v>
      </c>
      <c r="F131" s="465" t="s">
        <v>1414</v>
      </c>
      <c r="G131" s="465" t="s">
        <v>4730</v>
      </c>
      <c r="H131" s="465" t="s">
        <v>4949</v>
      </c>
      <c r="I131" s="966" t="s">
        <v>4950</v>
      </c>
    </row>
    <row r="132" spans="1:9">
      <c r="A132" s="967">
        <v>45995</v>
      </c>
      <c r="B132" s="966" t="s">
        <v>4745</v>
      </c>
      <c r="C132" s="465" t="s">
        <v>4728</v>
      </c>
      <c r="D132" s="465" t="s">
        <v>1888</v>
      </c>
      <c r="E132" s="465" t="s">
        <v>4496</v>
      </c>
      <c r="F132" s="465" t="s">
        <v>1414</v>
      </c>
      <c r="G132" s="465" t="s">
        <v>4730</v>
      </c>
      <c r="H132" s="465" t="s">
        <v>4951</v>
      </c>
      <c r="I132" s="966" t="s">
        <v>4952</v>
      </c>
    </row>
    <row r="133" spans="1:9">
      <c r="A133" s="967">
        <v>45995</v>
      </c>
      <c r="B133" s="966" t="s">
        <v>4745</v>
      </c>
      <c r="C133" s="465" t="s">
        <v>4728</v>
      </c>
      <c r="D133" s="465" t="s">
        <v>1888</v>
      </c>
      <c r="E133" s="465" t="s">
        <v>4677</v>
      </c>
      <c r="F133" s="465" t="s">
        <v>1414</v>
      </c>
      <c r="G133" s="465" t="s">
        <v>4730</v>
      </c>
      <c r="H133" s="465" t="s">
        <v>4953</v>
      </c>
      <c r="I133" s="966" t="s">
        <v>4954</v>
      </c>
    </row>
    <row r="134" spans="1:9">
      <c r="A134" s="967">
        <v>45995</v>
      </c>
      <c r="B134" s="966" t="s">
        <v>4745</v>
      </c>
      <c r="C134" s="465" t="s">
        <v>4728</v>
      </c>
      <c r="D134" s="465" t="s">
        <v>1888</v>
      </c>
      <c r="E134" s="465" t="s">
        <v>4955</v>
      </c>
      <c r="F134" s="465" t="s">
        <v>1414</v>
      </c>
      <c r="G134" s="465" t="s">
        <v>4730</v>
      </c>
      <c r="H134" s="465" t="s">
        <v>4956</v>
      </c>
      <c r="I134" s="966" t="s">
        <v>4957</v>
      </c>
    </row>
    <row r="136" spans="1:9" ht="17">
      <c r="A136" s="467">
        <v>45999</v>
      </c>
      <c r="B136" s="466" t="s">
        <v>4755</v>
      </c>
      <c r="C136" s="466"/>
      <c r="D136" s="466"/>
      <c r="E136" s="466"/>
      <c r="F136" s="466"/>
      <c r="G136" s="466"/>
      <c r="H136" s="466"/>
      <c r="I136" s="466"/>
    </row>
    <row r="137" spans="1:9">
      <c r="A137" s="967">
        <v>45999</v>
      </c>
      <c r="B137" s="966" t="s">
        <v>4755</v>
      </c>
      <c r="C137" s="465" t="s">
        <v>4728</v>
      </c>
      <c r="D137" s="465" t="s">
        <v>1888</v>
      </c>
      <c r="E137" s="465" t="s">
        <v>4789</v>
      </c>
      <c r="F137" s="465" t="s">
        <v>1414</v>
      </c>
      <c r="G137" s="465" t="s">
        <v>4730</v>
      </c>
      <c r="H137" s="465" t="s">
        <v>4790</v>
      </c>
      <c r="I137" s="966" t="s">
        <v>4958</v>
      </c>
    </row>
    <row r="138" spans="1:9">
      <c r="A138" s="967">
        <v>45999</v>
      </c>
      <c r="B138" s="966" t="s">
        <v>4755</v>
      </c>
      <c r="C138" s="465" t="s">
        <v>4728</v>
      </c>
      <c r="D138" s="465" t="s">
        <v>1888</v>
      </c>
      <c r="E138" s="465" t="s">
        <v>4959</v>
      </c>
      <c r="F138" s="465" t="s">
        <v>1414</v>
      </c>
      <c r="G138" s="465" t="s">
        <v>4730</v>
      </c>
      <c r="H138" s="465" t="s">
        <v>4960</v>
      </c>
      <c r="I138" s="966" t="s">
        <v>4961</v>
      </c>
    </row>
    <row r="139" spans="1:9">
      <c r="A139" s="967">
        <v>45999</v>
      </c>
      <c r="B139" s="966" t="s">
        <v>4755</v>
      </c>
      <c r="C139" s="465" t="s">
        <v>4728</v>
      </c>
      <c r="D139" s="465" t="s">
        <v>1888</v>
      </c>
      <c r="E139" s="465" t="s">
        <v>4767</v>
      </c>
      <c r="F139" s="465" t="s">
        <v>1414</v>
      </c>
      <c r="G139" s="465" t="s">
        <v>4730</v>
      </c>
      <c r="H139" s="465" t="s">
        <v>4962</v>
      </c>
      <c r="I139" s="966" t="s">
        <v>4963</v>
      </c>
    </row>
    <row r="140" spans="1:9">
      <c r="A140" s="967">
        <v>45999</v>
      </c>
      <c r="B140" s="966" t="s">
        <v>4755</v>
      </c>
      <c r="C140" s="465" t="s">
        <v>4728</v>
      </c>
      <c r="D140" s="465" t="s">
        <v>1888</v>
      </c>
      <c r="E140" s="465" t="s">
        <v>4964</v>
      </c>
      <c r="F140" s="465" t="s">
        <v>1414</v>
      </c>
      <c r="G140" s="465" t="s">
        <v>4730</v>
      </c>
      <c r="H140" s="465" t="s">
        <v>4965</v>
      </c>
      <c r="I140" s="966" t="s">
        <v>4966</v>
      </c>
    </row>
    <row r="142" spans="1:9" ht="17">
      <c r="A142" s="467">
        <v>46000</v>
      </c>
      <c r="B142" s="466" t="s">
        <v>4745</v>
      </c>
      <c r="C142" s="466"/>
      <c r="D142" s="466"/>
      <c r="E142" s="466"/>
      <c r="F142" s="466"/>
      <c r="G142" s="466"/>
      <c r="H142" s="466"/>
      <c r="I142" s="466"/>
    </row>
    <row r="143" spans="1:9">
      <c r="A143" s="967">
        <v>46000</v>
      </c>
      <c r="B143" s="966" t="s">
        <v>4745</v>
      </c>
      <c r="C143" s="465" t="s">
        <v>4728</v>
      </c>
      <c r="D143" s="465" t="s">
        <v>1888</v>
      </c>
      <c r="E143" s="465" t="s">
        <v>4752</v>
      </c>
      <c r="F143" s="465" t="s">
        <v>1414</v>
      </c>
      <c r="G143" s="465" t="s">
        <v>4730</v>
      </c>
      <c r="H143" s="465" t="s">
        <v>4753</v>
      </c>
      <c r="I143" s="966" t="s">
        <v>4967</v>
      </c>
    </row>
    <row r="144" spans="1:9">
      <c r="A144" s="967">
        <v>46000</v>
      </c>
      <c r="B144" s="966" t="s">
        <v>4745</v>
      </c>
      <c r="C144" s="465" t="s">
        <v>4728</v>
      </c>
      <c r="D144" s="465" t="s">
        <v>1888</v>
      </c>
      <c r="E144" s="465" t="s">
        <v>4968</v>
      </c>
      <c r="F144" s="465" t="s">
        <v>1414</v>
      </c>
      <c r="G144" s="465" t="s">
        <v>4730</v>
      </c>
      <c r="H144" s="465" t="s">
        <v>4969</v>
      </c>
      <c r="I144" s="966" t="s">
        <v>4970</v>
      </c>
    </row>
    <row r="145" spans="1:9">
      <c r="A145" s="967">
        <v>46000</v>
      </c>
      <c r="B145" s="966" t="s">
        <v>4745</v>
      </c>
      <c r="C145" s="465" t="s">
        <v>4728</v>
      </c>
      <c r="D145" s="465" t="s">
        <v>1888</v>
      </c>
      <c r="E145" s="465" t="s">
        <v>4971</v>
      </c>
      <c r="F145" s="465" t="s">
        <v>1414</v>
      </c>
      <c r="G145" s="465" t="s">
        <v>4730</v>
      </c>
      <c r="H145" s="465" t="s">
        <v>4972</v>
      </c>
      <c r="I145" s="966" t="s">
        <v>4973</v>
      </c>
    </row>
    <row r="146" spans="1:9">
      <c r="A146" s="967">
        <v>46000</v>
      </c>
      <c r="B146" s="966" t="s">
        <v>4745</v>
      </c>
      <c r="C146" s="465" t="s">
        <v>4728</v>
      </c>
      <c r="D146" s="465" t="s">
        <v>1888</v>
      </c>
      <c r="E146" s="465" t="s">
        <v>4616</v>
      </c>
      <c r="F146" s="465" t="s">
        <v>1414</v>
      </c>
      <c r="G146" s="465" t="s">
        <v>4730</v>
      </c>
      <c r="H146" s="465" t="s">
        <v>4974</v>
      </c>
      <c r="I146" s="966" t="s">
        <v>4975</v>
      </c>
    </row>
    <row r="147" spans="1:9">
      <c r="A147" s="967">
        <v>46000</v>
      </c>
      <c r="B147" s="966" t="s">
        <v>4745</v>
      </c>
      <c r="C147" s="465" t="s">
        <v>4728</v>
      </c>
      <c r="D147" s="465" t="s">
        <v>1888</v>
      </c>
      <c r="E147" s="465" t="s">
        <v>4976</v>
      </c>
      <c r="F147" s="465" t="s">
        <v>1414</v>
      </c>
      <c r="G147" s="465" t="s">
        <v>4730</v>
      </c>
      <c r="H147" s="465" t="s">
        <v>4835</v>
      </c>
      <c r="I147" s="966" t="s">
        <v>4977</v>
      </c>
    </row>
    <row r="148" spans="1:9">
      <c r="A148" s="967">
        <v>46000</v>
      </c>
      <c r="B148" s="966" t="s">
        <v>4745</v>
      </c>
      <c r="C148" s="465" t="s">
        <v>4728</v>
      </c>
      <c r="D148" s="465" t="s">
        <v>1888</v>
      </c>
      <c r="E148" s="465" t="s">
        <v>4978</v>
      </c>
      <c r="F148" s="465" t="s">
        <v>1414</v>
      </c>
      <c r="G148" s="465" t="s">
        <v>4730</v>
      </c>
      <c r="H148" s="465" t="s">
        <v>4979</v>
      </c>
      <c r="I148" s="966" t="s">
        <v>4980</v>
      </c>
    </row>
    <row r="149" spans="1:9">
      <c r="A149" s="967">
        <v>46000</v>
      </c>
      <c r="B149" s="966" t="s">
        <v>4745</v>
      </c>
      <c r="C149" s="465" t="s">
        <v>4728</v>
      </c>
      <c r="D149" s="465" t="s">
        <v>1888</v>
      </c>
      <c r="E149" s="465" t="s">
        <v>4981</v>
      </c>
      <c r="F149" s="465" t="s">
        <v>1414</v>
      </c>
      <c r="G149" s="465" t="s">
        <v>4730</v>
      </c>
      <c r="H149" s="465" t="s">
        <v>4982</v>
      </c>
      <c r="I149" s="966" t="s">
        <v>4983</v>
      </c>
    </row>
  </sheetData>
  <pageMargins left="0.75" right="0.75" top="0.75" bottom="0.5" header="0.5" footer="0.7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2E4DC-9928-4D84-BDD3-E3135A652A22}">
  <sheetPr>
    <tabColor theme="6" tint="-0.499984740745262"/>
  </sheetPr>
  <dimension ref="A1:R93"/>
  <sheetViews>
    <sheetView workbookViewId="0">
      <selection activeCell="E24" sqref="E24"/>
    </sheetView>
  </sheetViews>
  <sheetFormatPr defaultColWidth="8.7265625" defaultRowHeight="31.75" customHeight="1"/>
  <cols>
    <col min="1" max="7" width="8.7265625" style="469"/>
    <col min="8" max="8" width="17.54296875" style="469" customWidth="1"/>
    <col min="9" max="15" width="8.7265625" style="469"/>
    <col min="16" max="16" width="15.453125" style="469" customWidth="1"/>
    <col min="17" max="16384" width="8.7265625" style="469"/>
  </cols>
  <sheetData>
    <row r="1" spans="1:18" ht="31.75" customHeight="1">
      <c r="A1" s="469" t="s">
        <v>4984</v>
      </c>
      <c r="B1" s="469" t="s">
        <v>3831</v>
      </c>
      <c r="C1" s="469" t="s">
        <v>1536</v>
      </c>
      <c r="D1" s="469" t="s">
        <v>4985</v>
      </c>
      <c r="E1" s="469" t="s">
        <v>4986</v>
      </c>
      <c r="F1" s="469" t="s">
        <v>496</v>
      </c>
      <c r="G1" s="469" t="s">
        <v>4987</v>
      </c>
      <c r="H1" s="469" t="s">
        <v>4988</v>
      </c>
      <c r="I1" s="469" t="s">
        <v>340</v>
      </c>
      <c r="J1" s="469" t="s">
        <v>4989</v>
      </c>
      <c r="K1" s="469" t="s">
        <v>3834</v>
      </c>
      <c r="L1" s="469" t="s">
        <v>4990</v>
      </c>
      <c r="M1" s="469" t="s">
        <v>4991</v>
      </c>
      <c r="N1" s="469" t="s">
        <v>4992</v>
      </c>
      <c r="O1" s="469" t="s">
        <v>4993</v>
      </c>
      <c r="P1" s="469" t="s">
        <v>4994</v>
      </c>
      <c r="Q1" s="469" t="s">
        <v>4995</v>
      </c>
      <c r="R1" s="469" t="s">
        <v>4996</v>
      </c>
    </row>
    <row r="2" spans="1:18" ht="31.75" customHeight="1">
      <c r="A2" s="469" t="s">
        <v>4997</v>
      </c>
      <c r="B2" s="469" t="s">
        <v>4998</v>
      </c>
      <c r="C2" s="469" t="s">
        <v>1414</v>
      </c>
      <c r="D2" s="469" t="s">
        <v>4999</v>
      </c>
      <c r="E2" s="469" t="s">
        <v>5000</v>
      </c>
      <c r="F2" s="469" t="s">
        <v>5001</v>
      </c>
      <c r="G2" s="469" t="s">
        <v>5002</v>
      </c>
      <c r="H2" s="471" t="s">
        <v>5003</v>
      </c>
      <c r="I2" s="469" t="s">
        <v>5004</v>
      </c>
      <c r="J2" s="469" t="s">
        <v>5005</v>
      </c>
      <c r="K2" s="471" t="s">
        <v>5006</v>
      </c>
      <c r="L2" s="469" t="s">
        <v>5007</v>
      </c>
      <c r="M2" s="469" t="s">
        <v>5008</v>
      </c>
      <c r="N2" s="469" t="s">
        <v>5009</v>
      </c>
      <c r="O2" s="469" t="s">
        <v>5010</v>
      </c>
      <c r="P2" s="469" t="s">
        <v>5006</v>
      </c>
      <c r="Q2" s="469" t="s">
        <v>638</v>
      </c>
      <c r="R2" s="470" t="s">
        <v>5011</v>
      </c>
    </row>
    <row r="3" spans="1:18" ht="31.75" customHeight="1">
      <c r="A3" s="469" t="s">
        <v>4997</v>
      </c>
      <c r="B3" s="469" t="s">
        <v>4998</v>
      </c>
      <c r="C3" s="469" t="s">
        <v>1414</v>
      </c>
      <c r="D3" s="469" t="s">
        <v>4999</v>
      </c>
      <c r="E3" s="469" t="s">
        <v>5012</v>
      </c>
      <c r="F3" s="469" t="s">
        <v>5013</v>
      </c>
      <c r="G3" s="469" t="s">
        <v>5014</v>
      </c>
      <c r="H3" s="471" t="s">
        <v>5015</v>
      </c>
      <c r="I3" s="469" t="s">
        <v>5004</v>
      </c>
      <c r="J3" s="469" t="s">
        <v>4742</v>
      </c>
      <c r="K3" s="471" t="s">
        <v>5006</v>
      </c>
      <c r="L3" s="469" t="s">
        <v>5007</v>
      </c>
      <c r="M3" s="469" t="s">
        <v>5008</v>
      </c>
      <c r="N3" s="469" t="s">
        <v>5009</v>
      </c>
      <c r="O3" s="469" t="s">
        <v>5016</v>
      </c>
      <c r="P3" s="469" t="s">
        <v>5006</v>
      </c>
      <c r="Q3" s="469" t="s">
        <v>638</v>
      </c>
      <c r="R3" s="470" t="s">
        <v>5017</v>
      </c>
    </row>
    <row r="4" spans="1:18" ht="31.75" customHeight="1">
      <c r="A4" s="469" t="s">
        <v>4997</v>
      </c>
      <c r="B4" s="469" t="s">
        <v>4998</v>
      </c>
      <c r="C4" s="469" t="s">
        <v>1414</v>
      </c>
      <c r="D4" s="469" t="s">
        <v>4999</v>
      </c>
      <c r="E4" s="469" t="s">
        <v>5000</v>
      </c>
      <c r="F4" s="469" t="s">
        <v>5018</v>
      </c>
      <c r="G4" s="469" t="s">
        <v>5019</v>
      </c>
      <c r="H4" s="471" t="s">
        <v>5020</v>
      </c>
      <c r="I4" s="469" t="s">
        <v>5004</v>
      </c>
      <c r="J4" s="469" t="s">
        <v>4742</v>
      </c>
      <c r="K4" s="471" t="s">
        <v>5006</v>
      </c>
      <c r="L4" s="469" t="s">
        <v>5007</v>
      </c>
      <c r="M4" s="469" t="s">
        <v>5008</v>
      </c>
      <c r="N4" s="469" t="s">
        <v>5009</v>
      </c>
      <c r="O4" s="469" t="s">
        <v>5021</v>
      </c>
      <c r="P4" s="469" t="s">
        <v>5006</v>
      </c>
      <c r="Q4" s="469" t="s">
        <v>638</v>
      </c>
      <c r="R4" s="470" t="s">
        <v>5022</v>
      </c>
    </row>
    <row r="5" spans="1:18" ht="31.75" customHeight="1">
      <c r="A5" s="469" t="s">
        <v>4997</v>
      </c>
      <c r="B5" s="469" t="s">
        <v>4998</v>
      </c>
      <c r="C5" s="469" t="s">
        <v>1414</v>
      </c>
      <c r="D5" s="469" t="s">
        <v>4999</v>
      </c>
      <c r="E5" s="469" t="s">
        <v>5000</v>
      </c>
      <c r="F5" s="469" t="s">
        <v>5001</v>
      </c>
      <c r="G5" s="469" t="s">
        <v>5014</v>
      </c>
      <c r="H5" s="471" t="s">
        <v>5023</v>
      </c>
      <c r="I5" s="469" t="s">
        <v>5004</v>
      </c>
      <c r="J5" s="469" t="s">
        <v>4742</v>
      </c>
      <c r="K5" s="471" t="s">
        <v>5006</v>
      </c>
      <c r="L5" s="469" t="s">
        <v>5007</v>
      </c>
      <c r="M5" s="469" t="s">
        <v>5008</v>
      </c>
      <c r="N5" s="469" t="s">
        <v>5009</v>
      </c>
      <c r="O5" s="469" t="s">
        <v>5024</v>
      </c>
      <c r="P5" s="469" t="s">
        <v>5006</v>
      </c>
      <c r="Q5" s="469" t="s">
        <v>638</v>
      </c>
      <c r="R5" s="470" t="s">
        <v>5025</v>
      </c>
    </row>
    <row r="6" spans="1:18" ht="31.75" customHeight="1">
      <c r="A6" s="469" t="s">
        <v>4997</v>
      </c>
      <c r="B6" s="469" t="s">
        <v>4998</v>
      </c>
      <c r="C6" s="469" t="s">
        <v>1414</v>
      </c>
      <c r="D6" s="469" t="s">
        <v>4999</v>
      </c>
      <c r="E6" s="469" t="s">
        <v>4863</v>
      </c>
      <c r="F6" s="469" t="s">
        <v>5026</v>
      </c>
      <c r="G6" s="469" t="s">
        <v>5027</v>
      </c>
      <c r="H6" s="471" t="s">
        <v>5028</v>
      </c>
      <c r="I6" s="469" t="s">
        <v>5029</v>
      </c>
      <c r="J6" s="469" t="s">
        <v>4865</v>
      </c>
      <c r="K6" s="471" t="s">
        <v>5030</v>
      </c>
      <c r="L6" s="469" t="s">
        <v>5031</v>
      </c>
      <c r="M6" s="469" t="s">
        <v>5008</v>
      </c>
      <c r="N6" s="469" t="s">
        <v>5009</v>
      </c>
      <c r="O6" s="469" t="s">
        <v>5024</v>
      </c>
      <c r="P6" s="469" t="s">
        <v>5006</v>
      </c>
      <c r="Q6" s="469" t="s">
        <v>638</v>
      </c>
      <c r="R6" s="470" t="s">
        <v>5032</v>
      </c>
    </row>
    <row r="7" spans="1:18" ht="31.75" customHeight="1">
      <c r="A7" s="469" t="s">
        <v>4997</v>
      </c>
      <c r="B7" s="469" t="s">
        <v>4998</v>
      </c>
      <c r="C7" s="469" t="s">
        <v>1414</v>
      </c>
      <c r="D7" s="469" t="s">
        <v>4999</v>
      </c>
      <c r="E7" s="469" t="s">
        <v>4907</v>
      </c>
      <c r="F7" s="469" t="s">
        <v>5033</v>
      </c>
      <c r="G7" s="469" t="s">
        <v>5034</v>
      </c>
      <c r="H7" s="471" t="s">
        <v>5035</v>
      </c>
      <c r="I7" s="469" t="s">
        <v>5029</v>
      </c>
      <c r="J7" s="469" t="s">
        <v>4909</v>
      </c>
      <c r="K7" s="471" t="s">
        <v>5036</v>
      </c>
      <c r="L7" s="469" t="s">
        <v>5031</v>
      </c>
      <c r="M7" s="469" t="s">
        <v>5008</v>
      </c>
      <c r="N7" s="469" t="s">
        <v>5009</v>
      </c>
      <c r="O7" s="469" t="s">
        <v>5037</v>
      </c>
      <c r="P7" s="469" t="s">
        <v>5006</v>
      </c>
      <c r="Q7" s="469" t="s">
        <v>638</v>
      </c>
      <c r="R7" s="470" t="s">
        <v>5038</v>
      </c>
    </row>
    <row r="8" spans="1:18" ht="31.75" customHeight="1">
      <c r="A8" s="469" t="s">
        <v>4997</v>
      </c>
      <c r="B8" s="469" t="s">
        <v>4998</v>
      </c>
      <c r="C8" s="469" t="s">
        <v>1414</v>
      </c>
      <c r="D8" s="469" t="s">
        <v>4999</v>
      </c>
      <c r="E8" s="469" t="s">
        <v>4964</v>
      </c>
      <c r="F8" s="469" t="s">
        <v>5039</v>
      </c>
      <c r="G8" s="469" t="s">
        <v>5040</v>
      </c>
      <c r="H8" s="471" t="s">
        <v>5041</v>
      </c>
      <c r="I8" s="469" t="s">
        <v>5029</v>
      </c>
      <c r="J8" s="469" t="s">
        <v>4966</v>
      </c>
      <c r="K8" s="471" t="s">
        <v>5042</v>
      </c>
      <c r="L8" s="469" t="s">
        <v>5031</v>
      </c>
      <c r="M8" s="469" t="s">
        <v>5008</v>
      </c>
      <c r="N8" s="469" t="s">
        <v>5009</v>
      </c>
      <c r="O8" s="469" t="s">
        <v>5043</v>
      </c>
      <c r="P8" s="469" t="s">
        <v>5006</v>
      </c>
      <c r="Q8" s="469" t="s">
        <v>638</v>
      </c>
      <c r="R8" s="470" t="s">
        <v>5044</v>
      </c>
    </row>
    <row r="9" spans="1:18" ht="31.75" customHeight="1">
      <c r="A9" s="469" t="s">
        <v>4997</v>
      </c>
      <c r="B9" s="469" t="s">
        <v>4998</v>
      </c>
      <c r="C9" s="469" t="s">
        <v>1414</v>
      </c>
      <c r="D9" s="469" t="s">
        <v>4999</v>
      </c>
      <c r="E9" s="469" t="s">
        <v>4904</v>
      </c>
      <c r="F9" s="469" t="s">
        <v>5045</v>
      </c>
      <c r="G9" s="469" t="s">
        <v>5046</v>
      </c>
      <c r="H9" s="471" t="s">
        <v>5047</v>
      </c>
      <c r="I9" s="469" t="s">
        <v>5029</v>
      </c>
      <c r="J9" s="469" t="s">
        <v>4906</v>
      </c>
      <c r="K9" s="471" t="s">
        <v>5036</v>
      </c>
      <c r="L9" s="469" t="s">
        <v>5031</v>
      </c>
      <c r="M9" s="469" t="s">
        <v>5008</v>
      </c>
      <c r="N9" s="469" t="s">
        <v>5009</v>
      </c>
      <c r="O9" s="469" t="s">
        <v>5048</v>
      </c>
      <c r="P9" s="469" t="s">
        <v>5006</v>
      </c>
      <c r="Q9" s="469" t="s">
        <v>638</v>
      </c>
      <c r="R9" s="470" t="s">
        <v>5049</v>
      </c>
    </row>
    <row r="10" spans="1:18" ht="31.75" customHeight="1">
      <c r="A10" s="469" t="s">
        <v>4997</v>
      </c>
      <c r="B10" s="469" t="s">
        <v>4998</v>
      </c>
      <c r="C10" s="469" t="s">
        <v>1414</v>
      </c>
      <c r="D10" s="469" t="s">
        <v>4999</v>
      </c>
      <c r="E10" s="469" t="s">
        <v>4752</v>
      </c>
      <c r="F10" s="469" t="s">
        <v>5050</v>
      </c>
      <c r="G10" s="469" t="s">
        <v>5051</v>
      </c>
      <c r="H10" s="471" t="s">
        <v>5052</v>
      </c>
      <c r="I10" s="469" t="s">
        <v>5029</v>
      </c>
      <c r="J10" s="469" t="s">
        <v>4754</v>
      </c>
      <c r="K10" s="471" t="s">
        <v>5053</v>
      </c>
      <c r="L10" s="469" t="s">
        <v>5031</v>
      </c>
      <c r="M10" s="469" t="s">
        <v>5008</v>
      </c>
      <c r="N10" s="469" t="s">
        <v>5009</v>
      </c>
      <c r="O10" s="469" t="s">
        <v>5054</v>
      </c>
      <c r="P10" s="469" t="s">
        <v>5006</v>
      </c>
      <c r="Q10" s="469" t="s">
        <v>638</v>
      </c>
      <c r="R10" s="470" t="s">
        <v>5055</v>
      </c>
    </row>
    <row r="11" spans="1:18" ht="31.75" customHeight="1">
      <c r="A11" s="469" t="s">
        <v>4997</v>
      </c>
      <c r="B11" s="469" t="s">
        <v>4998</v>
      </c>
      <c r="C11" s="469" t="s">
        <v>1414</v>
      </c>
      <c r="D11" s="469" t="s">
        <v>4999</v>
      </c>
      <c r="E11" s="469" t="s">
        <v>4767</v>
      </c>
      <c r="F11" s="469" t="s">
        <v>5056</v>
      </c>
      <c r="G11" s="469" t="s">
        <v>5057</v>
      </c>
      <c r="H11" s="471" t="s">
        <v>5023</v>
      </c>
      <c r="I11" s="469" t="s">
        <v>5029</v>
      </c>
      <c r="J11" s="469" t="s">
        <v>4769</v>
      </c>
      <c r="K11" s="471" t="s">
        <v>5058</v>
      </c>
      <c r="L11" s="469" t="s">
        <v>5031</v>
      </c>
      <c r="M11" s="469" t="s">
        <v>5008</v>
      </c>
      <c r="N11" s="469" t="s">
        <v>5009</v>
      </c>
      <c r="O11" s="469" t="s">
        <v>5059</v>
      </c>
      <c r="P11" s="469" t="s">
        <v>5006</v>
      </c>
      <c r="Q11" s="469" t="s">
        <v>638</v>
      </c>
      <c r="R11" s="470" t="s">
        <v>5060</v>
      </c>
    </row>
    <row r="12" spans="1:18" ht="31.75" customHeight="1">
      <c r="A12" s="469" t="s">
        <v>4997</v>
      </c>
      <c r="B12" s="469" t="s">
        <v>4998</v>
      </c>
      <c r="C12" s="469" t="s">
        <v>1414</v>
      </c>
      <c r="D12" s="469" t="s">
        <v>4999</v>
      </c>
      <c r="E12" s="469" t="s">
        <v>4770</v>
      </c>
      <c r="F12" s="469" t="s">
        <v>5061</v>
      </c>
      <c r="G12" s="469" t="s">
        <v>5062</v>
      </c>
      <c r="H12" s="471" t="s">
        <v>5063</v>
      </c>
      <c r="I12" s="469" t="s">
        <v>5029</v>
      </c>
      <c r="J12" s="469" t="s">
        <v>4772</v>
      </c>
      <c r="K12" s="471" t="s">
        <v>5058</v>
      </c>
      <c r="L12" s="469" t="s">
        <v>5031</v>
      </c>
      <c r="M12" s="469" t="s">
        <v>5008</v>
      </c>
      <c r="N12" s="469" t="s">
        <v>5009</v>
      </c>
      <c r="O12" s="469" t="s">
        <v>5064</v>
      </c>
      <c r="P12" s="469" t="s">
        <v>5006</v>
      </c>
      <c r="Q12" s="469" t="s">
        <v>638</v>
      </c>
      <c r="R12" s="470" t="s">
        <v>5065</v>
      </c>
    </row>
    <row r="13" spans="1:18" ht="31.75" customHeight="1">
      <c r="A13" s="469" t="s">
        <v>4997</v>
      </c>
      <c r="B13" s="469" t="s">
        <v>4998</v>
      </c>
      <c r="C13" s="469" t="s">
        <v>1414</v>
      </c>
      <c r="D13" s="469" t="s">
        <v>5009</v>
      </c>
      <c r="E13" s="469" t="s">
        <v>4327</v>
      </c>
      <c r="F13" s="469" t="s">
        <v>5066</v>
      </c>
      <c r="G13" s="469" t="s">
        <v>5067</v>
      </c>
      <c r="H13" s="471" t="s">
        <v>5068</v>
      </c>
      <c r="I13" s="469" t="s">
        <v>5029</v>
      </c>
      <c r="J13" s="469" t="s">
        <v>4839</v>
      </c>
      <c r="K13" s="471" t="s">
        <v>5069</v>
      </c>
      <c r="L13" s="469" t="s">
        <v>5070</v>
      </c>
      <c r="M13" s="469" t="s">
        <v>5008</v>
      </c>
      <c r="N13" s="469" t="s">
        <v>5023</v>
      </c>
      <c r="O13" s="469" t="s">
        <v>5071</v>
      </c>
      <c r="P13" s="469" t="s">
        <v>5006</v>
      </c>
      <c r="Q13" s="469" t="s">
        <v>638</v>
      </c>
      <c r="R13" s="470" t="s">
        <v>5072</v>
      </c>
    </row>
    <row r="14" spans="1:18" ht="31.75" customHeight="1">
      <c r="A14" s="469" t="s">
        <v>4997</v>
      </c>
      <c r="B14" s="469" t="s">
        <v>4998</v>
      </c>
      <c r="C14" s="469" t="s">
        <v>1414</v>
      </c>
      <c r="D14" s="469" t="s">
        <v>4999</v>
      </c>
      <c r="E14" s="469" t="s">
        <v>4375</v>
      </c>
      <c r="F14" s="469" t="s">
        <v>5073</v>
      </c>
      <c r="G14" s="469" t="s">
        <v>5074</v>
      </c>
      <c r="H14" s="471" t="s">
        <v>5075</v>
      </c>
      <c r="I14" s="469" t="s">
        <v>5029</v>
      </c>
      <c r="J14" s="469" t="s">
        <v>4841</v>
      </c>
      <c r="K14" s="471" t="s">
        <v>5021</v>
      </c>
      <c r="L14" s="469" t="s">
        <v>5070</v>
      </c>
      <c r="M14" s="469" t="s">
        <v>5008</v>
      </c>
      <c r="N14" s="469" t="s">
        <v>5009</v>
      </c>
      <c r="O14" s="469" t="s">
        <v>5023</v>
      </c>
      <c r="P14" s="469" t="s">
        <v>5076</v>
      </c>
      <c r="Q14" s="469" t="s">
        <v>638</v>
      </c>
      <c r="R14" s="470" t="s">
        <v>5077</v>
      </c>
    </row>
    <row r="15" spans="1:18" ht="31.75" customHeight="1">
      <c r="A15" s="469" t="s">
        <v>4997</v>
      </c>
      <c r="B15" s="469" t="s">
        <v>4998</v>
      </c>
      <c r="C15" s="469" t="s">
        <v>1414</v>
      </c>
      <c r="D15" s="469" t="s">
        <v>4999</v>
      </c>
      <c r="E15" s="469" t="s">
        <v>4365</v>
      </c>
      <c r="F15" s="469" t="s">
        <v>5078</v>
      </c>
      <c r="G15" s="469" t="s">
        <v>5079</v>
      </c>
      <c r="H15" s="471" t="s">
        <v>5075</v>
      </c>
      <c r="I15" s="469" t="s">
        <v>5029</v>
      </c>
      <c r="J15" s="469" t="s">
        <v>4846</v>
      </c>
      <c r="K15" s="471" t="s">
        <v>5080</v>
      </c>
      <c r="L15" s="469" t="s">
        <v>5070</v>
      </c>
      <c r="M15" s="469" t="s">
        <v>5008</v>
      </c>
      <c r="N15" s="469" t="s">
        <v>5081</v>
      </c>
      <c r="O15" s="469" t="s">
        <v>5082</v>
      </c>
      <c r="P15" s="469" t="s">
        <v>5076</v>
      </c>
      <c r="Q15" s="469" t="s">
        <v>638</v>
      </c>
      <c r="R15" s="470" t="s">
        <v>5083</v>
      </c>
    </row>
    <row r="16" spans="1:18" ht="31.75" customHeight="1">
      <c r="A16" s="469" t="s">
        <v>4997</v>
      </c>
      <c r="B16" s="469" t="s">
        <v>4998</v>
      </c>
      <c r="C16" s="469" t="s">
        <v>1414</v>
      </c>
      <c r="D16" s="469" t="s">
        <v>4999</v>
      </c>
      <c r="E16" s="469" t="s">
        <v>4849</v>
      </c>
      <c r="F16" s="469" t="s">
        <v>5084</v>
      </c>
      <c r="G16" s="469" t="s">
        <v>5085</v>
      </c>
      <c r="H16" s="471" t="s">
        <v>5086</v>
      </c>
      <c r="I16" s="469" t="s">
        <v>5029</v>
      </c>
      <c r="J16" s="469" t="s">
        <v>4851</v>
      </c>
      <c r="K16" s="471" t="s">
        <v>5080</v>
      </c>
      <c r="L16" s="469" t="s">
        <v>5070</v>
      </c>
      <c r="M16" s="469" t="s">
        <v>5008</v>
      </c>
      <c r="N16" s="469" t="s">
        <v>5081</v>
      </c>
      <c r="O16" s="469" t="s">
        <v>5082</v>
      </c>
      <c r="P16" s="469" t="s">
        <v>5076</v>
      </c>
      <c r="Q16" s="469" t="s">
        <v>638</v>
      </c>
      <c r="R16" s="470" t="s">
        <v>5083</v>
      </c>
    </row>
    <row r="17" spans="1:18" ht="31.75" customHeight="1">
      <c r="A17" s="469" t="s">
        <v>4997</v>
      </c>
      <c r="B17" s="469" t="s">
        <v>4998</v>
      </c>
      <c r="C17" s="469" t="s">
        <v>1414</v>
      </c>
      <c r="D17" s="469" t="s">
        <v>4999</v>
      </c>
      <c r="E17" s="469" t="s">
        <v>4502</v>
      </c>
      <c r="F17" s="469" t="s">
        <v>5087</v>
      </c>
      <c r="G17" s="469" t="s">
        <v>5088</v>
      </c>
      <c r="H17" s="471" t="s">
        <v>5086</v>
      </c>
      <c r="I17" s="469" t="s">
        <v>5029</v>
      </c>
      <c r="J17" s="469" t="s">
        <v>4848</v>
      </c>
      <c r="K17" s="471" t="s">
        <v>5080</v>
      </c>
      <c r="L17" s="469" t="s">
        <v>5070</v>
      </c>
      <c r="M17" s="469" t="s">
        <v>5008</v>
      </c>
      <c r="N17" s="469" t="s">
        <v>5081</v>
      </c>
      <c r="O17" s="469" t="s">
        <v>5082</v>
      </c>
      <c r="P17" s="469" t="s">
        <v>5076</v>
      </c>
      <c r="Q17" s="469" t="s">
        <v>638</v>
      </c>
      <c r="R17" s="470" t="s">
        <v>5083</v>
      </c>
    </row>
    <row r="18" spans="1:18" ht="31.75" customHeight="1">
      <c r="A18" s="469" t="s">
        <v>4997</v>
      </c>
      <c r="B18" s="469" t="s">
        <v>4998</v>
      </c>
      <c r="C18" s="469" t="s">
        <v>1414</v>
      </c>
      <c r="D18" s="469" t="s">
        <v>4999</v>
      </c>
      <c r="E18" s="469" t="s">
        <v>4338</v>
      </c>
      <c r="F18" s="469" t="s">
        <v>5089</v>
      </c>
      <c r="G18" s="469" t="s">
        <v>5090</v>
      </c>
      <c r="H18" s="471" t="s">
        <v>5086</v>
      </c>
      <c r="I18" s="469" t="s">
        <v>5029</v>
      </c>
      <c r="J18" s="469" t="s">
        <v>4853</v>
      </c>
      <c r="K18" s="471" t="s">
        <v>5080</v>
      </c>
      <c r="L18" s="469" t="s">
        <v>5070</v>
      </c>
      <c r="M18" s="469" t="s">
        <v>5008</v>
      </c>
      <c r="N18" s="469" t="s">
        <v>5081</v>
      </c>
      <c r="O18" s="469" t="s">
        <v>5082</v>
      </c>
      <c r="P18" s="469" t="s">
        <v>5076</v>
      </c>
      <c r="Q18" s="469" t="s">
        <v>638</v>
      </c>
      <c r="R18" s="470" t="s">
        <v>5083</v>
      </c>
    </row>
    <row r="19" spans="1:18" ht="31.75" customHeight="1">
      <c r="A19" s="469" t="s">
        <v>4997</v>
      </c>
      <c r="B19" s="469" t="s">
        <v>4998</v>
      </c>
      <c r="C19" s="469" t="s">
        <v>1414</v>
      </c>
      <c r="D19" s="469" t="s">
        <v>5009</v>
      </c>
      <c r="E19" s="469" t="s">
        <v>4890</v>
      </c>
      <c r="F19" s="469" t="s">
        <v>5091</v>
      </c>
      <c r="G19" s="469" t="s">
        <v>5092</v>
      </c>
      <c r="H19" s="471" t="s">
        <v>5028</v>
      </c>
      <c r="I19" s="469" t="s">
        <v>5029</v>
      </c>
      <c r="J19" s="469" t="s">
        <v>4892</v>
      </c>
      <c r="K19" s="471" t="s">
        <v>5093</v>
      </c>
      <c r="L19" s="469" t="s">
        <v>5070</v>
      </c>
      <c r="M19" s="469" t="s">
        <v>5008</v>
      </c>
      <c r="N19" s="469" t="s">
        <v>5094</v>
      </c>
      <c r="O19" s="469" t="s">
        <v>5071</v>
      </c>
      <c r="P19" s="469" t="s">
        <v>5006</v>
      </c>
      <c r="Q19" s="469" t="s">
        <v>638</v>
      </c>
      <c r="R19" s="470" t="s">
        <v>5006</v>
      </c>
    </row>
    <row r="20" spans="1:18" ht="31.75" customHeight="1">
      <c r="A20" s="469" t="s">
        <v>4997</v>
      </c>
      <c r="B20" s="469" t="s">
        <v>4998</v>
      </c>
      <c r="C20" s="469" t="s">
        <v>1414</v>
      </c>
      <c r="D20" s="469" t="s">
        <v>5009</v>
      </c>
      <c r="E20" s="469" t="s">
        <v>4857</v>
      </c>
      <c r="F20" s="469" t="s">
        <v>5095</v>
      </c>
      <c r="G20" s="469" t="s">
        <v>5096</v>
      </c>
      <c r="H20" s="471" t="s">
        <v>5028</v>
      </c>
      <c r="I20" s="469" t="s">
        <v>5029</v>
      </c>
      <c r="J20" s="469" t="s">
        <v>4859</v>
      </c>
      <c r="K20" s="471" t="s">
        <v>5080</v>
      </c>
      <c r="L20" s="469" t="s">
        <v>5070</v>
      </c>
      <c r="M20" s="469" t="s">
        <v>5008</v>
      </c>
      <c r="N20" s="469" t="s">
        <v>5081</v>
      </c>
      <c r="O20" s="469" t="s">
        <v>5071</v>
      </c>
      <c r="P20" s="469" t="s">
        <v>5006</v>
      </c>
      <c r="Q20" s="469" t="s">
        <v>638</v>
      </c>
      <c r="R20" s="470" t="s">
        <v>5083</v>
      </c>
    </row>
    <row r="21" spans="1:18" ht="31.75" customHeight="1">
      <c r="A21" s="469" t="s">
        <v>4997</v>
      </c>
      <c r="B21" s="469" t="s">
        <v>4998</v>
      </c>
      <c r="C21" s="469" t="s">
        <v>1414</v>
      </c>
      <c r="D21" s="469" t="s">
        <v>5009</v>
      </c>
      <c r="E21" s="469" t="s">
        <v>4896</v>
      </c>
      <c r="F21" s="469" t="s">
        <v>5097</v>
      </c>
      <c r="G21" s="469" t="s">
        <v>5098</v>
      </c>
      <c r="H21" s="471" t="s">
        <v>5035</v>
      </c>
      <c r="I21" s="469" t="s">
        <v>5029</v>
      </c>
      <c r="J21" s="469" t="s">
        <v>4898</v>
      </c>
      <c r="K21" s="471" t="s">
        <v>5093</v>
      </c>
      <c r="L21" s="469" t="s">
        <v>5070</v>
      </c>
      <c r="M21" s="469" t="s">
        <v>5008</v>
      </c>
      <c r="N21" s="469" t="s">
        <v>5094</v>
      </c>
      <c r="O21" s="469" t="s">
        <v>5071</v>
      </c>
      <c r="P21" s="469" t="s">
        <v>5006</v>
      </c>
      <c r="Q21" s="469" t="s">
        <v>638</v>
      </c>
      <c r="R21" s="470" t="s">
        <v>5006</v>
      </c>
    </row>
    <row r="22" spans="1:18" ht="31.75" customHeight="1">
      <c r="A22" s="469" t="s">
        <v>4997</v>
      </c>
      <c r="B22" s="469" t="s">
        <v>4998</v>
      </c>
      <c r="C22" s="469" t="s">
        <v>1414</v>
      </c>
      <c r="D22" s="469" t="s">
        <v>5009</v>
      </c>
      <c r="E22" s="469" t="s">
        <v>4899</v>
      </c>
      <c r="F22" s="469" t="s">
        <v>5099</v>
      </c>
      <c r="G22" s="469" t="s">
        <v>5100</v>
      </c>
      <c r="H22" s="471" t="s">
        <v>5101</v>
      </c>
      <c r="I22" s="469" t="s">
        <v>5029</v>
      </c>
      <c r="J22" s="469" t="s">
        <v>4901</v>
      </c>
      <c r="K22" s="471" t="s">
        <v>5093</v>
      </c>
      <c r="L22" s="469" t="s">
        <v>5070</v>
      </c>
      <c r="M22" s="469" t="s">
        <v>5008</v>
      </c>
      <c r="N22" s="469" t="s">
        <v>5094</v>
      </c>
      <c r="O22" s="469" t="s">
        <v>5071</v>
      </c>
      <c r="P22" s="469" t="s">
        <v>5006</v>
      </c>
      <c r="Q22" s="469" t="s">
        <v>638</v>
      </c>
      <c r="R22" s="470" t="s">
        <v>5006</v>
      </c>
    </row>
    <row r="23" spans="1:18" ht="31.75" customHeight="1">
      <c r="A23" s="469" t="s">
        <v>4997</v>
      </c>
      <c r="B23" s="469" t="s">
        <v>4998</v>
      </c>
      <c r="C23" s="469" t="s">
        <v>1414</v>
      </c>
      <c r="D23" s="469" t="s">
        <v>5009</v>
      </c>
      <c r="E23" s="469" t="s">
        <v>4893</v>
      </c>
      <c r="F23" s="469" t="s">
        <v>5102</v>
      </c>
      <c r="G23" s="469" t="s">
        <v>5103</v>
      </c>
      <c r="H23" s="471" t="s">
        <v>5101</v>
      </c>
      <c r="I23" s="469" t="s">
        <v>5029</v>
      </c>
      <c r="J23" s="469" t="s">
        <v>4895</v>
      </c>
      <c r="K23" s="471" t="s">
        <v>5093</v>
      </c>
      <c r="L23" s="469" t="s">
        <v>5070</v>
      </c>
      <c r="M23" s="469" t="s">
        <v>5008</v>
      </c>
      <c r="N23" s="469" t="s">
        <v>5094</v>
      </c>
      <c r="O23" s="469" t="s">
        <v>5071</v>
      </c>
      <c r="P23" s="469" t="s">
        <v>5006</v>
      </c>
      <c r="Q23" s="469" t="s">
        <v>638</v>
      </c>
      <c r="R23" s="470" t="s">
        <v>5006</v>
      </c>
    </row>
    <row r="24" spans="1:18" ht="31.75" customHeight="1">
      <c r="A24" s="469" t="s">
        <v>4997</v>
      </c>
      <c r="B24" s="469" t="s">
        <v>4998</v>
      </c>
      <c r="C24" s="469" t="s">
        <v>1414</v>
      </c>
      <c r="D24" s="469" t="s">
        <v>5009</v>
      </c>
      <c r="E24" s="469" t="s">
        <v>4887</v>
      </c>
      <c r="F24" s="469" t="s">
        <v>5104</v>
      </c>
      <c r="G24" s="469" t="s">
        <v>5105</v>
      </c>
      <c r="H24" s="471" t="s">
        <v>5106</v>
      </c>
      <c r="I24" s="469" t="s">
        <v>5029</v>
      </c>
      <c r="J24" s="469" t="s">
        <v>4889</v>
      </c>
      <c r="K24" s="471" t="s">
        <v>5093</v>
      </c>
      <c r="L24" s="469" t="s">
        <v>5070</v>
      </c>
      <c r="M24" s="469" t="s">
        <v>5008</v>
      </c>
      <c r="N24" s="469" t="s">
        <v>5094</v>
      </c>
      <c r="O24" s="469" t="s">
        <v>5071</v>
      </c>
      <c r="P24" s="469" t="s">
        <v>5006</v>
      </c>
      <c r="Q24" s="469" t="s">
        <v>638</v>
      </c>
      <c r="R24" s="470" t="s">
        <v>5006</v>
      </c>
    </row>
    <row r="25" spans="1:18" ht="31.75" customHeight="1">
      <c r="A25" s="469" t="s">
        <v>4997</v>
      </c>
      <c r="B25" s="469" t="s">
        <v>4998</v>
      </c>
      <c r="C25" s="469" t="s">
        <v>1414</v>
      </c>
      <c r="D25" s="469" t="s">
        <v>5009</v>
      </c>
      <c r="E25" s="469" t="s">
        <v>4869</v>
      </c>
      <c r="F25" s="469" t="s">
        <v>5107</v>
      </c>
      <c r="G25" s="469" t="s">
        <v>5108</v>
      </c>
      <c r="H25" s="471" t="s">
        <v>5041</v>
      </c>
      <c r="I25" s="469" t="s">
        <v>5029</v>
      </c>
      <c r="J25" s="469" t="s">
        <v>4871</v>
      </c>
      <c r="K25" s="471" t="s">
        <v>5093</v>
      </c>
      <c r="L25" s="469" t="s">
        <v>5070</v>
      </c>
      <c r="M25" s="469" t="s">
        <v>5008</v>
      </c>
      <c r="N25" s="469" t="s">
        <v>5094</v>
      </c>
      <c r="O25" s="469" t="s">
        <v>5071</v>
      </c>
      <c r="P25" s="469" t="s">
        <v>5006</v>
      </c>
      <c r="Q25" s="469" t="s">
        <v>638</v>
      </c>
      <c r="R25" s="470" t="s">
        <v>5006</v>
      </c>
    </row>
    <row r="26" spans="1:18" ht="31.75" customHeight="1">
      <c r="A26" s="469" t="s">
        <v>4997</v>
      </c>
      <c r="B26" s="469" t="s">
        <v>4998</v>
      </c>
      <c r="C26" s="469" t="s">
        <v>1414</v>
      </c>
      <c r="D26" s="469" t="s">
        <v>5009</v>
      </c>
      <c r="E26" s="469" t="s">
        <v>4872</v>
      </c>
      <c r="F26" s="469" t="s">
        <v>5109</v>
      </c>
      <c r="G26" s="469" t="s">
        <v>5110</v>
      </c>
      <c r="H26" s="471" t="s">
        <v>5041</v>
      </c>
      <c r="I26" s="469" t="s">
        <v>5029</v>
      </c>
      <c r="J26" s="469" t="s">
        <v>4874</v>
      </c>
      <c r="K26" s="471" t="s">
        <v>5093</v>
      </c>
      <c r="L26" s="469" t="s">
        <v>5070</v>
      </c>
      <c r="M26" s="469" t="s">
        <v>5008</v>
      </c>
      <c r="N26" s="469" t="s">
        <v>5094</v>
      </c>
      <c r="O26" s="469" t="s">
        <v>5071</v>
      </c>
      <c r="P26" s="469" t="s">
        <v>5006</v>
      </c>
      <c r="Q26" s="469" t="s">
        <v>638</v>
      </c>
      <c r="R26" s="470" t="s">
        <v>5006</v>
      </c>
    </row>
    <row r="27" spans="1:18" ht="31.75" customHeight="1">
      <c r="A27" s="469" t="s">
        <v>4997</v>
      </c>
      <c r="B27" s="469" t="s">
        <v>4998</v>
      </c>
      <c r="C27" s="469" t="s">
        <v>1414</v>
      </c>
      <c r="D27" s="469" t="s">
        <v>4999</v>
      </c>
      <c r="E27" s="469" t="s">
        <v>4792</v>
      </c>
      <c r="F27" s="469" t="s">
        <v>5111</v>
      </c>
      <c r="G27" s="469" t="s">
        <v>5112</v>
      </c>
      <c r="H27" s="471" t="s">
        <v>5041</v>
      </c>
      <c r="I27" s="469" t="s">
        <v>5029</v>
      </c>
      <c r="J27" s="469" t="s">
        <v>4794</v>
      </c>
      <c r="K27" s="471" t="s">
        <v>5113</v>
      </c>
      <c r="L27" s="469" t="s">
        <v>5070</v>
      </c>
      <c r="M27" s="469" t="s">
        <v>5008</v>
      </c>
      <c r="N27" s="469" t="s">
        <v>5009</v>
      </c>
      <c r="O27" s="469" t="s">
        <v>5114</v>
      </c>
      <c r="P27" s="469" t="s">
        <v>5076</v>
      </c>
      <c r="Q27" s="469" t="s">
        <v>638</v>
      </c>
      <c r="R27" s="470" t="s">
        <v>5115</v>
      </c>
    </row>
    <row r="28" spans="1:18" ht="31.75" customHeight="1">
      <c r="A28" s="469" t="s">
        <v>4997</v>
      </c>
      <c r="B28" s="469" t="s">
        <v>4998</v>
      </c>
      <c r="C28" s="469" t="s">
        <v>1414</v>
      </c>
      <c r="D28" s="469" t="s">
        <v>5009</v>
      </c>
      <c r="E28" s="469" t="s">
        <v>4931</v>
      </c>
      <c r="F28" s="469" t="s">
        <v>5116</v>
      </c>
      <c r="G28" s="469" t="s">
        <v>5117</v>
      </c>
      <c r="H28" s="471" t="s">
        <v>5020</v>
      </c>
      <c r="I28" s="469" t="s">
        <v>5029</v>
      </c>
      <c r="J28" s="469" t="s">
        <v>4933</v>
      </c>
      <c r="K28" s="471" t="s">
        <v>5037</v>
      </c>
      <c r="L28" s="469" t="s">
        <v>5070</v>
      </c>
      <c r="M28" s="469" t="s">
        <v>5008</v>
      </c>
      <c r="N28" s="469" t="s">
        <v>5118</v>
      </c>
      <c r="O28" s="469" t="s">
        <v>5071</v>
      </c>
      <c r="P28" s="469" t="s">
        <v>5006</v>
      </c>
      <c r="Q28" s="469" t="s">
        <v>638</v>
      </c>
      <c r="R28" s="470" t="s">
        <v>5119</v>
      </c>
    </row>
    <row r="29" spans="1:18" ht="31.75" customHeight="1">
      <c r="A29" s="469" t="s">
        <v>4997</v>
      </c>
      <c r="B29" s="469" t="s">
        <v>4998</v>
      </c>
      <c r="C29" s="469" t="s">
        <v>1414</v>
      </c>
      <c r="D29" s="469" t="s">
        <v>4999</v>
      </c>
      <c r="E29" s="469" t="s">
        <v>4670</v>
      </c>
      <c r="F29" s="469" t="s">
        <v>5120</v>
      </c>
      <c r="G29" s="469" t="s">
        <v>5121</v>
      </c>
      <c r="H29" s="471" t="s">
        <v>5020</v>
      </c>
      <c r="I29" s="469" t="s">
        <v>5029</v>
      </c>
      <c r="J29" s="469" t="s">
        <v>4921</v>
      </c>
      <c r="K29" s="471" t="s">
        <v>5037</v>
      </c>
      <c r="L29" s="469" t="s">
        <v>5070</v>
      </c>
      <c r="M29" s="469" t="s">
        <v>5008</v>
      </c>
      <c r="N29" s="469" t="s">
        <v>5009</v>
      </c>
      <c r="O29" s="469" t="s">
        <v>5122</v>
      </c>
      <c r="P29" s="469" t="s">
        <v>5076</v>
      </c>
      <c r="Q29" s="469" t="s">
        <v>638</v>
      </c>
      <c r="R29" s="470" t="s">
        <v>5119</v>
      </c>
    </row>
    <row r="30" spans="1:18" ht="31.75" customHeight="1">
      <c r="A30" s="469" t="s">
        <v>4997</v>
      </c>
      <c r="B30" s="469" t="s">
        <v>4998</v>
      </c>
      <c r="C30" s="469" t="s">
        <v>1414</v>
      </c>
      <c r="D30" s="469" t="s">
        <v>5009</v>
      </c>
      <c r="E30" s="469" t="s">
        <v>4928</v>
      </c>
      <c r="F30" s="469" t="s">
        <v>5123</v>
      </c>
      <c r="G30" s="469" t="s">
        <v>5124</v>
      </c>
      <c r="H30" s="471" t="s">
        <v>5020</v>
      </c>
      <c r="I30" s="469" t="s">
        <v>5029</v>
      </c>
      <c r="J30" s="469" t="s">
        <v>4930</v>
      </c>
      <c r="K30" s="471" t="s">
        <v>5037</v>
      </c>
      <c r="L30" s="469" t="s">
        <v>5070</v>
      </c>
      <c r="M30" s="469" t="s">
        <v>5008</v>
      </c>
      <c r="N30" s="469" t="s">
        <v>5118</v>
      </c>
      <c r="O30" s="469" t="s">
        <v>5071</v>
      </c>
      <c r="P30" s="469" t="s">
        <v>5006</v>
      </c>
      <c r="Q30" s="469" t="s">
        <v>638</v>
      </c>
      <c r="R30" s="470" t="s">
        <v>5119</v>
      </c>
    </row>
    <row r="31" spans="1:18" ht="31.75" customHeight="1">
      <c r="A31" s="469" t="s">
        <v>4997</v>
      </c>
      <c r="B31" s="469" t="s">
        <v>4998</v>
      </c>
      <c r="C31" s="469" t="s">
        <v>1414</v>
      </c>
      <c r="D31" s="469" t="s">
        <v>4999</v>
      </c>
      <c r="E31" s="469" t="s">
        <v>4737</v>
      </c>
      <c r="F31" s="469" t="s">
        <v>5125</v>
      </c>
      <c r="G31" s="469" t="s">
        <v>5126</v>
      </c>
      <c r="H31" s="471" t="s">
        <v>5052</v>
      </c>
      <c r="I31" s="469" t="s">
        <v>5029</v>
      </c>
      <c r="J31" s="469" t="s">
        <v>4774</v>
      </c>
      <c r="K31" s="471" t="s">
        <v>5127</v>
      </c>
      <c r="L31" s="472" t="s">
        <v>5070</v>
      </c>
      <c r="M31" s="469" t="s">
        <v>5008</v>
      </c>
      <c r="N31" s="469" t="s">
        <v>5009</v>
      </c>
      <c r="O31" s="469" t="s">
        <v>5114</v>
      </c>
      <c r="P31" s="469" t="s">
        <v>5076</v>
      </c>
      <c r="Q31" s="469" t="s">
        <v>638</v>
      </c>
      <c r="R31" s="470" t="s">
        <v>5128</v>
      </c>
    </row>
    <row r="32" spans="1:18" ht="31.75" customHeight="1">
      <c r="A32" s="469" t="s">
        <v>4997</v>
      </c>
      <c r="B32" s="469" t="s">
        <v>4998</v>
      </c>
      <c r="C32" s="469" t="s">
        <v>1414</v>
      </c>
      <c r="D32" s="469" t="s">
        <v>5009</v>
      </c>
      <c r="E32" s="469" t="s">
        <v>4981</v>
      </c>
      <c r="F32" s="469" t="s">
        <v>5129</v>
      </c>
      <c r="G32" s="469" t="s">
        <v>5130</v>
      </c>
      <c r="H32" s="471" t="s">
        <v>5052</v>
      </c>
      <c r="I32" s="469" t="s">
        <v>5029</v>
      </c>
      <c r="J32" s="469" t="s">
        <v>4983</v>
      </c>
      <c r="K32" s="471" t="s">
        <v>5131</v>
      </c>
      <c r="L32" s="469" t="s">
        <v>5070</v>
      </c>
      <c r="M32" s="469" t="s">
        <v>5008</v>
      </c>
      <c r="N32" s="469" t="s">
        <v>5132</v>
      </c>
      <c r="O32" s="469" t="s">
        <v>5071</v>
      </c>
      <c r="P32" s="469" t="s">
        <v>5006</v>
      </c>
      <c r="Q32" s="469" t="s">
        <v>638</v>
      </c>
      <c r="R32" s="470" t="s">
        <v>5133</v>
      </c>
    </row>
    <row r="33" spans="1:18" ht="31.75" customHeight="1">
      <c r="A33" s="469" t="s">
        <v>4997</v>
      </c>
      <c r="B33" s="469" t="s">
        <v>4998</v>
      </c>
      <c r="C33" s="469" t="s">
        <v>1414</v>
      </c>
      <c r="D33" s="469" t="s">
        <v>5134</v>
      </c>
      <c r="E33" s="469" t="s">
        <v>4976</v>
      </c>
      <c r="F33" s="469" t="s">
        <v>5135</v>
      </c>
      <c r="G33" s="469" t="s">
        <v>5136</v>
      </c>
      <c r="H33" s="471" t="s">
        <v>5052</v>
      </c>
      <c r="I33" s="469" t="s">
        <v>5029</v>
      </c>
      <c r="J33" s="469" t="s">
        <v>4977</v>
      </c>
      <c r="K33" s="471" t="s">
        <v>5131</v>
      </c>
      <c r="L33" s="469" t="s">
        <v>5070</v>
      </c>
      <c r="M33" s="469" t="s">
        <v>5137</v>
      </c>
      <c r="N33" s="469" t="s">
        <v>5138</v>
      </c>
      <c r="O33" s="469" t="s">
        <v>5137</v>
      </c>
      <c r="P33" s="469" t="s">
        <v>5076</v>
      </c>
      <c r="Q33" s="469" t="s">
        <v>638</v>
      </c>
      <c r="R33" s="470" t="s">
        <v>5133</v>
      </c>
    </row>
    <row r="34" spans="1:18" ht="31.75" customHeight="1">
      <c r="A34" s="469" t="s">
        <v>4997</v>
      </c>
      <c r="B34" s="469" t="s">
        <v>4998</v>
      </c>
      <c r="C34" s="469" t="s">
        <v>1414</v>
      </c>
      <c r="D34" s="469" t="s">
        <v>5009</v>
      </c>
      <c r="E34" s="469" t="s">
        <v>4780</v>
      </c>
      <c r="F34" s="469" t="s">
        <v>5139</v>
      </c>
      <c r="G34" s="469" t="s">
        <v>5140</v>
      </c>
      <c r="H34" s="471" t="s">
        <v>5052</v>
      </c>
      <c r="I34" s="469" t="s">
        <v>5029</v>
      </c>
      <c r="J34" s="469" t="s">
        <v>4782</v>
      </c>
      <c r="K34" s="471" t="s">
        <v>5127</v>
      </c>
      <c r="L34" s="469" t="s">
        <v>5070</v>
      </c>
      <c r="M34" s="469" t="s">
        <v>5008</v>
      </c>
      <c r="N34" s="469" t="s">
        <v>5114</v>
      </c>
      <c r="O34" s="469" t="s">
        <v>5071</v>
      </c>
      <c r="P34" s="469" t="s">
        <v>5006</v>
      </c>
      <c r="Q34" s="469" t="s">
        <v>638</v>
      </c>
      <c r="R34" s="470" t="s">
        <v>5141</v>
      </c>
    </row>
    <row r="35" spans="1:18" ht="31.75" customHeight="1">
      <c r="A35" s="469" t="s">
        <v>4997</v>
      </c>
      <c r="B35" s="469" t="s">
        <v>4998</v>
      </c>
      <c r="C35" s="469" t="s">
        <v>1414</v>
      </c>
      <c r="D35" s="469" t="s">
        <v>4999</v>
      </c>
      <c r="E35" s="469" t="s">
        <v>4789</v>
      </c>
      <c r="F35" s="469" t="s">
        <v>5142</v>
      </c>
      <c r="G35" s="469" t="s">
        <v>5143</v>
      </c>
      <c r="H35" s="471" t="s">
        <v>5094</v>
      </c>
      <c r="I35" s="469" t="s">
        <v>5029</v>
      </c>
      <c r="J35" s="469" t="s">
        <v>4791</v>
      </c>
      <c r="K35" s="471" t="s">
        <v>5113</v>
      </c>
      <c r="L35" s="469" t="s">
        <v>5070</v>
      </c>
      <c r="M35" s="469" t="s">
        <v>5008</v>
      </c>
      <c r="N35" s="469" t="s">
        <v>5144</v>
      </c>
      <c r="O35" s="469" t="s">
        <v>5145</v>
      </c>
      <c r="P35" s="469" t="s">
        <v>5146</v>
      </c>
      <c r="Q35" s="469" t="s">
        <v>638</v>
      </c>
      <c r="R35" s="470" t="s">
        <v>5147</v>
      </c>
    </row>
    <row r="36" spans="1:18" ht="31.75" customHeight="1">
      <c r="A36" s="469" t="s">
        <v>4997</v>
      </c>
      <c r="B36" s="469" t="s">
        <v>4998</v>
      </c>
      <c r="C36" s="469" t="s">
        <v>1414</v>
      </c>
      <c r="D36" s="469" t="s">
        <v>5009</v>
      </c>
      <c r="E36" s="469" t="s">
        <v>4761</v>
      </c>
      <c r="F36" s="469" t="s">
        <v>5148</v>
      </c>
      <c r="G36" s="469" t="s">
        <v>5149</v>
      </c>
      <c r="H36" s="471" t="s">
        <v>5150</v>
      </c>
      <c r="I36" s="469" t="s">
        <v>5029</v>
      </c>
      <c r="J36" s="469" t="s">
        <v>4763</v>
      </c>
      <c r="K36" s="471" t="s">
        <v>5151</v>
      </c>
      <c r="L36" s="472" t="s">
        <v>5070</v>
      </c>
      <c r="M36" s="469" t="s">
        <v>5008</v>
      </c>
      <c r="N36" s="469" t="s">
        <v>5138</v>
      </c>
      <c r="O36" s="469" t="s">
        <v>5071</v>
      </c>
      <c r="P36" s="469" t="s">
        <v>5006</v>
      </c>
      <c r="Q36" s="469" t="s">
        <v>638</v>
      </c>
      <c r="R36" s="470" t="s">
        <v>5152</v>
      </c>
    </row>
    <row r="37" spans="1:18" ht="31.75" customHeight="1">
      <c r="A37" s="469" t="s">
        <v>4997</v>
      </c>
      <c r="B37" s="469" t="s">
        <v>4998</v>
      </c>
      <c r="C37" s="469" t="s">
        <v>1414</v>
      </c>
      <c r="D37" s="469" t="s">
        <v>4999</v>
      </c>
      <c r="E37" s="469" t="s">
        <v>4934</v>
      </c>
      <c r="F37" s="469" t="s">
        <v>5153</v>
      </c>
      <c r="G37" s="469" t="s">
        <v>5154</v>
      </c>
      <c r="H37" s="471" t="s">
        <v>5047</v>
      </c>
      <c r="I37" s="469" t="s">
        <v>5029</v>
      </c>
      <c r="J37" s="469" t="s">
        <v>4936</v>
      </c>
      <c r="K37" s="471" t="s">
        <v>5155</v>
      </c>
      <c r="L37" s="469" t="s">
        <v>5006</v>
      </c>
      <c r="M37" s="469" t="s">
        <v>5008</v>
      </c>
      <c r="N37" s="469" t="s">
        <v>5009</v>
      </c>
      <c r="O37" s="469" t="s">
        <v>5063</v>
      </c>
      <c r="P37" s="469" t="s">
        <v>5146</v>
      </c>
      <c r="Q37" s="469" t="s">
        <v>638</v>
      </c>
      <c r="R37" s="470" t="s">
        <v>5006</v>
      </c>
    </row>
    <row r="38" spans="1:18" ht="31.75" customHeight="1">
      <c r="A38" s="469" t="s">
        <v>4997</v>
      </c>
      <c r="B38" s="469" t="s">
        <v>4998</v>
      </c>
      <c r="C38" s="469" t="s">
        <v>1414</v>
      </c>
      <c r="D38" s="469" t="s">
        <v>4999</v>
      </c>
      <c r="E38" s="469" t="s">
        <v>4743</v>
      </c>
      <c r="F38" s="469" t="s">
        <v>5156</v>
      </c>
      <c r="G38" s="469" t="s">
        <v>5157</v>
      </c>
      <c r="H38" s="471" t="s">
        <v>5047</v>
      </c>
      <c r="I38" s="469" t="s">
        <v>5029</v>
      </c>
      <c r="J38" s="469" t="s">
        <v>4742</v>
      </c>
      <c r="K38" s="471" t="s">
        <v>5006</v>
      </c>
      <c r="L38" s="469" t="s">
        <v>5006</v>
      </c>
      <c r="M38" s="469" t="s">
        <v>5008</v>
      </c>
      <c r="N38" s="469" t="s">
        <v>5009</v>
      </c>
      <c r="O38" s="469" t="s">
        <v>5020</v>
      </c>
      <c r="P38" s="469" t="s">
        <v>5076</v>
      </c>
      <c r="Q38" s="469" t="s">
        <v>638</v>
      </c>
      <c r="R38" s="470" t="s">
        <v>5006</v>
      </c>
    </row>
    <row r="39" spans="1:18" ht="31.75" customHeight="1">
      <c r="A39" s="469" t="s">
        <v>4997</v>
      </c>
      <c r="B39" s="469" t="s">
        <v>4998</v>
      </c>
      <c r="C39" s="469" t="s">
        <v>1414</v>
      </c>
      <c r="D39" s="469" t="s">
        <v>4999</v>
      </c>
      <c r="E39" s="469" t="s">
        <v>4912</v>
      </c>
      <c r="F39" s="469" t="s">
        <v>5158</v>
      </c>
      <c r="G39" s="469" t="s">
        <v>5159</v>
      </c>
      <c r="H39" s="471" t="s">
        <v>5047</v>
      </c>
      <c r="I39" s="469" t="s">
        <v>5029</v>
      </c>
      <c r="J39" s="469" t="s">
        <v>4914</v>
      </c>
      <c r="K39" s="471" t="s">
        <v>5036</v>
      </c>
      <c r="L39" s="469" t="s">
        <v>5006</v>
      </c>
      <c r="M39" s="469" t="s">
        <v>5008</v>
      </c>
      <c r="N39" s="469" t="s">
        <v>5009</v>
      </c>
      <c r="O39" s="469" t="s">
        <v>5160</v>
      </c>
      <c r="P39" s="469" t="s">
        <v>5146</v>
      </c>
      <c r="Q39" s="469" t="s">
        <v>638</v>
      </c>
      <c r="R39" s="470" t="s">
        <v>5006</v>
      </c>
    </row>
    <row r="40" spans="1:18" ht="31.75" customHeight="1">
      <c r="A40" s="469" t="s">
        <v>4997</v>
      </c>
      <c r="B40" s="469" t="s">
        <v>4998</v>
      </c>
      <c r="C40" s="469" t="s">
        <v>1414</v>
      </c>
      <c r="D40" s="469" t="s">
        <v>4999</v>
      </c>
      <c r="E40" s="469" t="s">
        <v>4740</v>
      </c>
      <c r="F40" s="469" t="s">
        <v>5161</v>
      </c>
      <c r="G40" s="469" t="s">
        <v>5162</v>
      </c>
      <c r="H40" s="471" t="s">
        <v>5047</v>
      </c>
      <c r="I40" s="469" t="s">
        <v>5029</v>
      </c>
      <c r="J40" s="469" t="s">
        <v>4742</v>
      </c>
      <c r="K40" s="471" t="s">
        <v>5006</v>
      </c>
      <c r="L40" s="469" t="s">
        <v>5006</v>
      </c>
      <c r="M40" s="469" t="s">
        <v>5008</v>
      </c>
      <c r="N40" s="469" t="s">
        <v>5009</v>
      </c>
      <c r="O40" s="469" t="s">
        <v>5020</v>
      </c>
      <c r="P40" s="469" t="s">
        <v>5146</v>
      </c>
      <c r="Q40" s="469" t="s">
        <v>638</v>
      </c>
      <c r="R40" s="470" t="s">
        <v>5006</v>
      </c>
    </row>
    <row r="41" spans="1:18" ht="31.75" customHeight="1">
      <c r="A41" s="469" t="s">
        <v>4997</v>
      </c>
      <c r="B41" s="469" t="s">
        <v>4998</v>
      </c>
      <c r="C41" s="469" t="s">
        <v>1414</v>
      </c>
      <c r="D41" s="469" t="s">
        <v>4999</v>
      </c>
      <c r="E41" s="469" t="s">
        <v>4922</v>
      </c>
      <c r="F41" s="469" t="s">
        <v>5163</v>
      </c>
      <c r="G41" s="469" t="s">
        <v>5164</v>
      </c>
      <c r="H41" s="471" t="s">
        <v>5047</v>
      </c>
      <c r="I41" s="469" t="s">
        <v>5029</v>
      </c>
      <c r="J41" s="469" t="s">
        <v>4924</v>
      </c>
      <c r="K41" s="471" t="s">
        <v>5037</v>
      </c>
      <c r="L41" s="469" t="s">
        <v>5006</v>
      </c>
      <c r="M41" s="469" t="s">
        <v>5008</v>
      </c>
      <c r="N41" s="469" t="s">
        <v>5009</v>
      </c>
      <c r="O41" s="469" t="s">
        <v>5080</v>
      </c>
      <c r="P41" s="469" t="s">
        <v>5146</v>
      </c>
      <c r="Q41" s="469" t="s">
        <v>638</v>
      </c>
      <c r="R41" s="470" t="s">
        <v>5006</v>
      </c>
    </row>
    <row r="42" spans="1:18" ht="31.75" customHeight="1">
      <c r="A42" s="469" t="s">
        <v>4997</v>
      </c>
      <c r="B42" s="469" t="s">
        <v>4998</v>
      </c>
      <c r="C42" s="469" t="s">
        <v>1414</v>
      </c>
      <c r="D42" s="469" t="s">
        <v>4999</v>
      </c>
      <c r="E42" s="469" t="s">
        <v>4945</v>
      </c>
      <c r="F42" s="469" t="s">
        <v>5165</v>
      </c>
      <c r="G42" s="469" t="s">
        <v>5166</v>
      </c>
      <c r="H42" s="471" t="s">
        <v>5020</v>
      </c>
      <c r="I42" s="469" t="s">
        <v>5029</v>
      </c>
      <c r="J42" s="469" t="s">
        <v>4947</v>
      </c>
      <c r="K42" s="471" t="s">
        <v>5155</v>
      </c>
      <c r="L42" s="469" t="s">
        <v>5006</v>
      </c>
      <c r="M42" s="469" t="s">
        <v>5008</v>
      </c>
      <c r="N42" s="469" t="s">
        <v>5009</v>
      </c>
      <c r="O42" s="469" t="s">
        <v>5160</v>
      </c>
      <c r="P42" s="469" t="s">
        <v>5146</v>
      </c>
      <c r="Q42" s="469" t="s">
        <v>638</v>
      </c>
      <c r="R42" s="470" t="s">
        <v>5006</v>
      </c>
    </row>
    <row r="43" spans="1:18" ht="31.75" customHeight="1">
      <c r="A43" s="469" t="s">
        <v>4997</v>
      </c>
      <c r="B43" s="469" t="s">
        <v>4998</v>
      </c>
      <c r="C43" s="469" t="s">
        <v>1414</v>
      </c>
      <c r="D43" s="469" t="s">
        <v>4999</v>
      </c>
      <c r="E43" s="469" t="s">
        <v>4955</v>
      </c>
      <c r="F43" s="469" t="s">
        <v>5167</v>
      </c>
      <c r="G43" s="469" t="s">
        <v>5168</v>
      </c>
      <c r="H43" s="471" t="s">
        <v>5020</v>
      </c>
      <c r="I43" s="469" t="s">
        <v>5029</v>
      </c>
      <c r="J43" s="469" t="s">
        <v>4957</v>
      </c>
      <c r="K43" s="471" t="s">
        <v>5155</v>
      </c>
      <c r="L43" s="469" t="s">
        <v>5006</v>
      </c>
      <c r="M43" s="469" t="s">
        <v>5008</v>
      </c>
      <c r="N43" s="469" t="s">
        <v>5009</v>
      </c>
      <c r="O43" s="469" t="s">
        <v>5160</v>
      </c>
      <c r="P43" s="469" t="s">
        <v>5146</v>
      </c>
      <c r="Q43" s="469" t="s">
        <v>638</v>
      </c>
      <c r="R43" s="470" t="s">
        <v>5006</v>
      </c>
    </row>
    <row r="44" spans="1:18" ht="31.75" customHeight="1">
      <c r="A44" s="469" t="s">
        <v>4997</v>
      </c>
      <c r="B44" s="469" t="s">
        <v>4998</v>
      </c>
      <c r="C44" s="469" t="s">
        <v>1414</v>
      </c>
      <c r="D44" s="469" t="s">
        <v>4999</v>
      </c>
      <c r="E44" s="469" t="s">
        <v>4937</v>
      </c>
      <c r="F44" s="469" t="s">
        <v>5169</v>
      </c>
      <c r="G44" s="469" t="s">
        <v>5170</v>
      </c>
      <c r="H44" s="471" t="s">
        <v>5020</v>
      </c>
      <c r="I44" s="469" t="s">
        <v>5029</v>
      </c>
      <c r="J44" s="469" t="s">
        <v>4939</v>
      </c>
      <c r="K44" s="471" t="s">
        <v>5155</v>
      </c>
      <c r="L44" s="469" t="s">
        <v>5006</v>
      </c>
      <c r="M44" s="469" t="s">
        <v>5008</v>
      </c>
      <c r="N44" s="469" t="s">
        <v>5009</v>
      </c>
      <c r="O44" s="469" t="s">
        <v>5171</v>
      </c>
      <c r="P44" s="469" t="s">
        <v>5146</v>
      </c>
      <c r="Q44" s="469" t="s">
        <v>638</v>
      </c>
      <c r="R44" s="470" t="s">
        <v>5006</v>
      </c>
    </row>
    <row r="45" spans="1:18" ht="31.75" customHeight="1">
      <c r="A45" s="469" t="s">
        <v>4997</v>
      </c>
      <c r="B45" s="469" t="s">
        <v>4998</v>
      </c>
      <c r="C45" s="469" t="s">
        <v>1414</v>
      </c>
      <c r="D45" s="469" t="s">
        <v>4999</v>
      </c>
      <c r="E45" s="469" t="s">
        <v>4925</v>
      </c>
      <c r="F45" s="469" t="s">
        <v>5172</v>
      </c>
      <c r="G45" s="469" t="s">
        <v>5173</v>
      </c>
      <c r="H45" s="471" t="s">
        <v>5020</v>
      </c>
      <c r="I45" s="469" t="s">
        <v>5029</v>
      </c>
      <c r="J45" s="469" t="s">
        <v>4927</v>
      </c>
      <c r="K45" s="471" t="s">
        <v>5037</v>
      </c>
      <c r="L45" s="469" t="s">
        <v>5006</v>
      </c>
      <c r="M45" s="469" t="s">
        <v>5008</v>
      </c>
      <c r="N45" s="469" t="s">
        <v>5009</v>
      </c>
      <c r="O45" s="469" t="s">
        <v>5174</v>
      </c>
      <c r="P45" s="469" t="s">
        <v>5146</v>
      </c>
      <c r="Q45" s="469" t="s">
        <v>638</v>
      </c>
      <c r="R45" s="470" t="s">
        <v>5006</v>
      </c>
    </row>
    <row r="46" spans="1:18" ht="31.75" customHeight="1">
      <c r="A46" s="469" t="s">
        <v>4997</v>
      </c>
      <c r="B46" s="469" t="s">
        <v>4998</v>
      </c>
      <c r="C46" s="469" t="s">
        <v>1414</v>
      </c>
      <c r="D46" s="469" t="s">
        <v>4999</v>
      </c>
      <c r="E46" s="469" t="s">
        <v>4112</v>
      </c>
      <c r="F46" s="469" t="s">
        <v>5175</v>
      </c>
      <c r="G46" s="469" t="s">
        <v>5176</v>
      </c>
      <c r="H46" s="471" t="s">
        <v>5020</v>
      </c>
      <c r="I46" s="469" t="s">
        <v>5029</v>
      </c>
      <c r="J46" s="469" t="s">
        <v>4919</v>
      </c>
      <c r="K46" s="471" t="s">
        <v>5037</v>
      </c>
      <c r="L46" s="469" t="s">
        <v>5006</v>
      </c>
      <c r="M46" s="469" t="s">
        <v>5008</v>
      </c>
      <c r="N46" s="469" t="s">
        <v>5009</v>
      </c>
      <c r="O46" s="469" t="s">
        <v>5177</v>
      </c>
      <c r="P46" s="469" t="s">
        <v>5146</v>
      </c>
      <c r="Q46" s="469" t="s">
        <v>638</v>
      </c>
      <c r="R46" s="470" t="s">
        <v>5006</v>
      </c>
    </row>
    <row r="47" spans="1:18" ht="31.75" customHeight="1">
      <c r="A47" s="469" t="s">
        <v>4997</v>
      </c>
      <c r="B47" s="469" t="s">
        <v>4998</v>
      </c>
      <c r="C47" s="469" t="s">
        <v>1414</v>
      </c>
      <c r="D47" s="469" t="s">
        <v>4999</v>
      </c>
      <c r="E47" s="469" t="s">
        <v>4942</v>
      </c>
      <c r="F47" s="469" t="s">
        <v>5178</v>
      </c>
      <c r="G47" s="469" t="s">
        <v>5179</v>
      </c>
      <c r="H47" s="471" t="s">
        <v>5180</v>
      </c>
      <c r="I47" s="469" t="s">
        <v>5029</v>
      </c>
      <c r="J47" s="469" t="s">
        <v>4944</v>
      </c>
      <c r="K47" s="471" t="s">
        <v>5155</v>
      </c>
      <c r="L47" s="469" t="s">
        <v>5006</v>
      </c>
      <c r="M47" s="469" t="s">
        <v>5008</v>
      </c>
      <c r="N47" s="469" t="s">
        <v>5009</v>
      </c>
      <c r="O47" s="469" t="s">
        <v>5181</v>
      </c>
      <c r="P47" s="469" t="s">
        <v>5146</v>
      </c>
      <c r="Q47" s="469" t="s">
        <v>638</v>
      </c>
      <c r="R47" s="470" t="s">
        <v>5006</v>
      </c>
    </row>
    <row r="48" spans="1:18" ht="31.75" customHeight="1">
      <c r="A48" s="469" t="s">
        <v>4997</v>
      </c>
      <c r="B48" s="469" t="s">
        <v>4998</v>
      </c>
      <c r="C48" s="469" t="s">
        <v>1414</v>
      </c>
      <c r="D48" s="469" t="s">
        <v>4999</v>
      </c>
      <c r="E48" s="469" t="s">
        <v>4948</v>
      </c>
      <c r="F48" s="469" t="s">
        <v>5182</v>
      </c>
      <c r="G48" s="469" t="s">
        <v>5183</v>
      </c>
      <c r="H48" s="471" t="s">
        <v>5180</v>
      </c>
      <c r="I48" s="469" t="s">
        <v>5029</v>
      </c>
      <c r="J48" s="469" t="s">
        <v>4950</v>
      </c>
      <c r="K48" s="471" t="s">
        <v>5155</v>
      </c>
      <c r="L48" s="469" t="s">
        <v>5006</v>
      </c>
      <c r="M48" s="469" t="s">
        <v>5008</v>
      </c>
      <c r="N48" s="469" t="s">
        <v>5009</v>
      </c>
      <c r="O48" s="469" t="s">
        <v>5160</v>
      </c>
      <c r="P48" s="469" t="s">
        <v>5146</v>
      </c>
      <c r="Q48" s="469" t="s">
        <v>638</v>
      </c>
      <c r="R48" s="470" t="s">
        <v>5006</v>
      </c>
    </row>
    <row r="49" spans="1:18" ht="31.75" customHeight="1">
      <c r="A49" s="469" t="s">
        <v>4997</v>
      </c>
      <c r="B49" s="469" t="s">
        <v>4998</v>
      </c>
      <c r="C49" s="469" t="s">
        <v>1414</v>
      </c>
      <c r="D49" s="469" t="s">
        <v>4999</v>
      </c>
      <c r="E49" s="469" t="s">
        <v>4767</v>
      </c>
      <c r="F49" s="469" t="s">
        <v>5184</v>
      </c>
      <c r="G49" s="469" t="s">
        <v>5057</v>
      </c>
      <c r="H49" s="471" t="s">
        <v>5171</v>
      </c>
      <c r="I49" s="469" t="s">
        <v>5029</v>
      </c>
      <c r="J49" s="469" t="s">
        <v>4963</v>
      </c>
      <c r="K49" s="471" t="s">
        <v>5042</v>
      </c>
      <c r="L49" s="469" t="s">
        <v>5006</v>
      </c>
      <c r="M49" s="469" t="s">
        <v>5008</v>
      </c>
      <c r="N49" s="469" t="s">
        <v>5009</v>
      </c>
      <c r="O49" s="469" t="s">
        <v>5023</v>
      </c>
      <c r="P49" s="469" t="s">
        <v>5185</v>
      </c>
      <c r="Q49" s="469" t="s">
        <v>638</v>
      </c>
      <c r="R49" s="470" t="s">
        <v>5006</v>
      </c>
    </row>
    <row r="50" spans="1:18" ht="31.75" customHeight="1">
      <c r="A50" s="469" t="s">
        <v>4997</v>
      </c>
      <c r="B50" s="469" t="s">
        <v>4998</v>
      </c>
      <c r="C50" s="469" t="s">
        <v>1414</v>
      </c>
      <c r="D50" s="469" t="s">
        <v>4999</v>
      </c>
      <c r="E50" s="469" t="s">
        <v>4789</v>
      </c>
      <c r="F50" s="469" t="s">
        <v>5186</v>
      </c>
      <c r="G50" s="469" t="s">
        <v>5187</v>
      </c>
      <c r="H50" s="471" t="s">
        <v>5171</v>
      </c>
      <c r="I50" s="469" t="s">
        <v>5029</v>
      </c>
      <c r="J50" s="469" t="s">
        <v>4958</v>
      </c>
      <c r="K50" s="471" t="s">
        <v>5042</v>
      </c>
      <c r="L50" s="469" t="s">
        <v>5006</v>
      </c>
      <c r="M50" s="469" t="s">
        <v>5008</v>
      </c>
      <c r="N50" s="469" t="s">
        <v>5009</v>
      </c>
      <c r="O50" s="469" t="s">
        <v>5188</v>
      </c>
      <c r="P50" s="469" t="s">
        <v>5146</v>
      </c>
      <c r="Q50" s="469" t="s">
        <v>638</v>
      </c>
      <c r="R50" s="470" t="s">
        <v>5006</v>
      </c>
    </row>
    <row r="51" spans="1:18" ht="31.75" customHeight="1">
      <c r="A51" s="469" t="s">
        <v>4997</v>
      </c>
      <c r="B51" s="469" t="s">
        <v>4998</v>
      </c>
      <c r="C51" s="469" t="s">
        <v>1414</v>
      </c>
      <c r="D51" s="469" t="s">
        <v>4999</v>
      </c>
      <c r="E51" s="469" t="s">
        <v>4959</v>
      </c>
      <c r="F51" s="469" t="s">
        <v>5189</v>
      </c>
      <c r="G51" s="469" t="s">
        <v>5190</v>
      </c>
      <c r="H51" s="471" t="s">
        <v>5171</v>
      </c>
      <c r="I51" s="469" t="s">
        <v>5029</v>
      </c>
      <c r="J51" s="469" t="s">
        <v>4961</v>
      </c>
      <c r="K51" s="471" t="s">
        <v>5042</v>
      </c>
      <c r="L51" s="469" t="s">
        <v>5006</v>
      </c>
      <c r="M51" s="469" t="s">
        <v>5008</v>
      </c>
      <c r="N51" s="469" t="s">
        <v>5009</v>
      </c>
      <c r="O51" s="469" t="s">
        <v>5191</v>
      </c>
      <c r="P51" s="469" t="s">
        <v>5146</v>
      </c>
      <c r="Q51" s="469" t="s">
        <v>638</v>
      </c>
      <c r="R51" s="470" t="s">
        <v>5006</v>
      </c>
    </row>
    <row r="52" spans="1:18" ht="31.75" customHeight="1">
      <c r="A52" s="469" t="s">
        <v>4997</v>
      </c>
      <c r="B52" s="469" t="s">
        <v>4998</v>
      </c>
      <c r="C52" s="469" t="s">
        <v>1414</v>
      </c>
      <c r="D52" s="469" t="s">
        <v>4999</v>
      </c>
      <c r="E52" s="469" t="s">
        <v>4732</v>
      </c>
      <c r="F52" s="469" t="s">
        <v>5192</v>
      </c>
      <c r="G52" s="469" t="s">
        <v>5193</v>
      </c>
      <c r="H52" s="471" t="s">
        <v>5052</v>
      </c>
      <c r="I52" s="469" t="s">
        <v>5029</v>
      </c>
      <c r="J52" s="469" t="s">
        <v>4734</v>
      </c>
      <c r="K52" s="471" t="s">
        <v>5006</v>
      </c>
      <c r="L52" s="469" t="s">
        <v>5006</v>
      </c>
      <c r="M52" s="469" t="s">
        <v>5008</v>
      </c>
      <c r="N52" s="469" t="s">
        <v>5009</v>
      </c>
      <c r="O52" s="469" t="s">
        <v>5160</v>
      </c>
      <c r="P52" s="469" t="s">
        <v>5146</v>
      </c>
      <c r="Q52" s="469" t="s">
        <v>638</v>
      </c>
      <c r="R52" s="470" t="s">
        <v>5006</v>
      </c>
    </row>
    <row r="53" spans="1:18" ht="31.75" customHeight="1">
      <c r="A53" s="469" t="s">
        <v>4997</v>
      </c>
      <c r="B53" s="469" t="s">
        <v>4998</v>
      </c>
      <c r="C53" s="469" t="s">
        <v>1414</v>
      </c>
      <c r="D53" s="469" t="s">
        <v>4999</v>
      </c>
      <c r="E53" s="469" t="s">
        <v>4783</v>
      </c>
      <c r="F53" s="469" t="s">
        <v>5194</v>
      </c>
      <c r="G53" s="469" t="s">
        <v>5195</v>
      </c>
      <c r="H53" s="471" t="s">
        <v>5094</v>
      </c>
      <c r="I53" s="469" t="s">
        <v>5029</v>
      </c>
      <c r="J53" s="469" t="s">
        <v>4785</v>
      </c>
      <c r="K53" s="471" t="s">
        <v>5113</v>
      </c>
      <c r="L53" s="469" t="s">
        <v>5006</v>
      </c>
      <c r="M53" s="469" t="s">
        <v>5008</v>
      </c>
      <c r="N53" s="469" t="s">
        <v>5009</v>
      </c>
      <c r="O53" s="469" t="s">
        <v>5196</v>
      </c>
      <c r="P53" s="469" t="s">
        <v>5076</v>
      </c>
      <c r="Q53" s="469" t="s">
        <v>638</v>
      </c>
      <c r="R53" s="470" t="s">
        <v>5197</v>
      </c>
    </row>
    <row r="54" spans="1:18" ht="31.75" customHeight="1">
      <c r="A54" s="469" t="s">
        <v>4997</v>
      </c>
      <c r="B54" s="469" t="s">
        <v>4998</v>
      </c>
      <c r="C54" s="469" t="s">
        <v>1414</v>
      </c>
      <c r="D54" s="469" t="s">
        <v>4999</v>
      </c>
      <c r="E54" s="469" t="s">
        <v>4764</v>
      </c>
      <c r="F54" s="469" t="s">
        <v>5198</v>
      </c>
      <c r="G54" s="469" t="s">
        <v>5199</v>
      </c>
      <c r="H54" s="471" t="s">
        <v>5094</v>
      </c>
      <c r="I54" s="469" t="s">
        <v>5029</v>
      </c>
      <c r="J54" s="469" t="s">
        <v>4766</v>
      </c>
      <c r="K54" s="471" t="s">
        <v>5058</v>
      </c>
      <c r="L54" s="469" t="s">
        <v>5006</v>
      </c>
      <c r="M54" s="469" t="s">
        <v>5008</v>
      </c>
      <c r="N54" s="469" t="s">
        <v>5009</v>
      </c>
      <c r="O54" s="469" t="s">
        <v>5058</v>
      </c>
      <c r="P54" s="469" t="s">
        <v>5076</v>
      </c>
      <c r="Q54" s="469" t="s">
        <v>638</v>
      </c>
      <c r="R54" s="470" t="s">
        <v>5200</v>
      </c>
    </row>
    <row r="55" spans="1:18" ht="31.75" customHeight="1">
      <c r="A55" s="469" t="s">
        <v>4997</v>
      </c>
      <c r="B55" s="469" t="s">
        <v>4998</v>
      </c>
      <c r="C55" s="469" t="s">
        <v>1414</v>
      </c>
      <c r="D55" s="469" t="s">
        <v>4999</v>
      </c>
      <c r="E55" s="469" t="s">
        <v>4795</v>
      </c>
      <c r="F55" s="469" t="s">
        <v>5201</v>
      </c>
      <c r="G55" s="469" t="s">
        <v>5202</v>
      </c>
      <c r="H55" s="471" t="s">
        <v>5063</v>
      </c>
      <c r="I55" s="469" t="s">
        <v>5029</v>
      </c>
      <c r="J55" s="469" t="s">
        <v>4797</v>
      </c>
      <c r="K55" s="471" t="s">
        <v>5113</v>
      </c>
      <c r="L55" s="469" t="s">
        <v>5006</v>
      </c>
      <c r="M55" s="469" t="s">
        <v>5008</v>
      </c>
      <c r="N55" s="469" t="s">
        <v>5009</v>
      </c>
      <c r="O55" s="469" t="s">
        <v>5196</v>
      </c>
      <c r="P55" s="469" t="s">
        <v>5076</v>
      </c>
      <c r="Q55" s="469" t="s">
        <v>638</v>
      </c>
      <c r="R55" s="470" t="s">
        <v>5197</v>
      </c>
    </row>
    <row r="56" spans="1:18" ht="31.75" customHeight="1">
      <c r="A56" s="469" t="s">
        <v>4997</v>
      </c>
      <c r="B56" s="469" t="s">
        <v>4998</v>
      </c>
      <c r="C56" s="469" t="s">
        <v>1414</v>
      </c>
      <c r="D56" s="469" t="s">
        <v>4999</v>
      </c>
      <c r="E56" s="469" t="s">
        <v>4665</v>
      </c>
      <c r="F56" s="469" t="s">
        <v>5203</v>
      </c>
      <c r="G56" s="469" t="s">
        <v>5204</v>
      </c>
      <c r="H56" s="471" t="s">
        <v>5150</v>
      </c>
      <c r="I56" s="469" t="s">
        <v>5029</v>
      </c>
      <c r="J56" s="469" t="s">
        <v>4757</v>
      </c>
      <c r="K56" s="471" t="s">
        <v>5151</v>
      </c>
      <c r="L56" s="469" t="s">
        <v>5006</v>
      </c>
      <c r="M56" s="469" t="s">
        <v>5008</v>
      </c>
      <c r="N56" s="469" t="s">
        <v>5009</v>
      </c>
      <c r="O56" s="469" t="s">
        <v>5122</v>
      </c>
      <c r="P56" s="469" t="s">
        <v>5076</v>
      </c>
      <c r="Q56" s="469" t="s">
        <v>638</v>
      </c>
      <c r="R56" s="470" t="s">
        <v>5006</v>
      </c>
    </row>
    <row r="57" spans="1:18" ht="31.75" customHeight="1">
      <c r="A57" s="469" t="s">
        <v>4997</v>
      </c>
      <c r="B57" s="469" t="s">
        <v>4998</v>
      </c>
      <c r="C57" s="469" t="s">
        <v>1414</v>
      </c>
      <c r="D57" s="469" t="s">
        <v>4999</v>
      </c>
      <c r="E57" s="469" t="s">
        <v>4616</v>
      </c>
      <c r="F57" s="469" t="s">
        <v>5205</v>
      </c>
      <c r="G57" s="469" t="s">
        <v>5206</v>
      </c>
      <c r="H57" s="471" t="s">
        <v>5068</v>
      </c>
      <c r="I57" s="469" t="s">
        <v>5029</v>
      </c>
      <c r="J57" s="469" t="s">
        <v>4975</v>
      </c>
      <c r="K57" s="471" t="s">
        <v>5131</v>
      </c>
      <c r="L57" s="469" t="s">
        <v>5005</v>
      </c>
      <c r="M57" s="469" t="s">
        <v>5008</v>
      </c>
      <c r="N57" s="469" t="s">
        <v>5009</v>
      </c>
      <c r="O57" s="469" t="s">
        <v>5207</v>
      </c>
      <c r="P57" s="469" t="s">
        <v>5185</v>
      </c>
      <c r="Q57" s="469" t="s">
        <v>638</v>
      </c>
      <c r="R57" s="470" t="s">
        <v>5208</v>
      </c>
    </row>
    <row r="58" spans="1:18" ht="31.75" customHeight="1">
      <c r="A58" s="469" t="s">
        <v>4997</v>
      </c>
      <c r="B58" s="469" t="s">
        <v>4998</v>
      </c>
      <c r="C58" s="469" t="s">
        <v>1414</v>
      </c>
      <c r="D58" s="469" t="s">
        <v>4999</v>
      </c>
      <c r="E58" s="469" t="s">
        <v>4968</v>
      </c>
      <c r="F58" s="469" t="s">
        <v>5209</v>
      </c>
      <c r="G58" s="469" t="s">
        <v>5210</v>
      </c>
      <c r="H58" s="471" t="s">
        <v>5068</v>
      </c>
      <c r="I58" s="469" t="s">
        <v>5029</v>
      </c>
      <c r="J58" s="469" t="s">
        <v>4970</v>
      </c>
      <c r="K58" s="471" t="s">
        <v>5131</v>
      </c>
      <c r="L58" s="469" t="s">
        <v>5005</v>
      </c>
      <c r="M58" s="469" t="s">
        <v>5008</v>
      </c>
      <c r="N58" s="469" t="s">
        <v>5009</v>
      </c>
      <c r="O58" s="469" t="s">
        <v>5207</v>
      </c>
      <c r="P58" s="469" t="s">
        <v>5185</v>
      </c>
      <c r="Q58" s="469" t="s">
        <v>638</v>
      </c>
      <c r="R58" s="470" t="s">
        <v>5211</v>
      </c>
    </row>
    <row r="59" spans="1:18" ht="31.75" customHeight="1">
      <c r="A59" s="469" t="s">
        <v>4997</v>
      </c>
      <c r="B59" s="469" t="s">
        <v>4998</v>
      </c>
      <c r="C59" s="469" t="s">
        <v>1414</v>
      </c>
      <c r="D59" s="469" t="s">
        <v>4999</v>
      </c>
      <c r="E59" s="469" t="s">
        <v>4831</v>
      </c>
      <c r="F59" s="469" t="s">
        <v>5212</v>
      </c>
      <c r="G59" s="469" t="s">
        <v>5213</v>
      </c>
      <c r="H59" s="471" t="s">
        <v>5003</v>
      </c>
      <c r="I59" s="469" t="s">
        <v>5029</v>
      </c>
      <c r="J59" s="469" t="s">
        <v>4833</v>
      </c>
      <c r="K59" s="471" t="s">
        <v>5069</v>
      </c>
      <c r="L59" s="469" t="s">
        <v>5005</v>
      </c>
      <c r="M59" s="469" t="s">
        <v>5008</v>
      </c>
      <c r="N59" s="469" t="s">
        <v>5009</v>
      </c>
      <c r="O59" s="469" t="s">
        <v>5020</v>
      </c>
      <c r="P59" s="469" t="s">
        <v>5185</v>
      </c>
      <c r="Q59" s="469" t="s">
        <v>638</v>
      </c>
      <c r="R59" s="470" t="s">
        <v>5006</v>
      </c>
    </row>
    <row r="60" spans="1:18" ht="31.75" customHeight="1">
      <c r="A60" s="469" t="s">
        <v>4997</v>
      </c>
      <c r="B60" s="469" t="s">
        <v>4998</v>
      </c>
      <c r="C60" s="469" t="s">
        <v>1414</v>
      </c>
      <c r="D60" s="469" t="s">
        <v>4999</v>
      </c>
      <c r="E60" s="469" t="s">
        <v>4834</v>
      </c>
      <c r="F60" s="469" t="s">
        <v>5214</v>
      </c>
      <c r="G60" s="469" t="s">
        <v>5215</v>
      </c>
      <c r="H60" s="471" t="s">
        <v>5003</v>
      </c>
      <c r="I60" s="469" t="s">
        <v>5029</v>
      </c>
      <c r="J60" s="469" t="s">
        <v>4836</v>
      </c>
      <c r="K60" s="471" t="s">
        <v>5069</v>
      </c>
      <c r="L60" s="469" t="s">
        <v>5005</v>
      </c>
      <c r="M60" s="469" t="s">
        <v>5008</v>
      </c>
      <c r="N60" s="469" t="s">
        <v>5009</v>
      </c>
      <c r="O60" s="469" t="s">
        <v>5020</v>
      </c>
      <c r="P60" s="469" t="s">
        <v>5185</v>
      </c>
      <c r="Q60" s="469" t="s">
        <v>638</v>
      </c>
      <c r="R60" s="470" t="s">
        <v>5006</v>
      </c>
    </row>
    <row r="61" spans="1:18" ht="31.75" customHeight="1">
      <c r="A61" s="469" t="s">
        <v>4997</v>
      </c>
      <c r="B61" s="469" t="s">
        <v>4998</v>
      </c>
      <c r="C61" s="469" t="s">
        <v>1414</v>
      </c>
      <c r="D61" s="469" t="s">
        <v>4999</v>
      </c>
      <c r="E61" s="469" t="s">
        <v>4684</v>
      </c>
      <c r="F61" s="469" t="s">
        <v>5216</v>
      </c>
      <c r="G61" s="469" t="s">
        <v>5217</v>
      </c>
      <c r="H61" s="471" t="s">
        <v>5003</v>
      </c>
      <c r="I61" s="469" t="s">
        <v>5029</v>
      </c>
      <c r="J61" s="469" t="s">
        <v>4828</v>
      </c>
      <c r="K61" s="471" t="s">
        <v>5069</v>
      </c>
      <c r="L61" s="469" t="s">
        <v>5005</v>
      </c>
      <c r="M61" s="469" t="s">
        <v>5008</v>
      </c>
      <c r="N61" s="469" t="s">
        <v>5009</v>
      </c>
      <c r="O61" s="469" t="s">
        <v>5041</v>
      </c>
      <c r="P61" s="469" t="s">
        <v>5185</v>
      </c>
      <c r="Q61" s="469" t="s">
        <v>638</v>
      </c>
      <c r="R61" s="470" t="s">
        <v>5006</v>
      </c>
    </row>
    <row r="62" spans="1:18" ht="31.75" customHeight="1">
      <c r="A62" s="469" t="s">
        <v>4997</v>
      </c>
      <c r="B62" s="469" t="s">
        <v>4998</v>
      </c>
      <c r="C62" s="469" t="s">
        <v>1414</v>
      </c>
      <c r="D62" s="469" t="s">
        <v>4999</v>
      </c>
      <c r="E62" s="469" t="s">
        <v>4350</v>
      </c>
      <c r="F62" s="469" t="s">
        <v>5218</v>
      </c>
      <c r="G62" s="469" t="s">
        <v>5219</v>
      </c>
      <c r="H62" s="471" t="s">
        <v>5003</v>
      </c>
      <c r="I62" s="469" t="s">
        <v>5029</v>
      </c>
      <c r="J62" s="469" t="s">
        <v>4830</v>
      </c>
      <c r="K62" s="471" t="s">
        <v>5069</v>
      </c>
      <c r="L62" s="469" t="s">
        <v>5005</v>
      </c>
      <c r="M62" s="469" t="s">
        <v>5008</v>
      </c>
      <c r="N62" s="469" t="s">
        <v>5009</v>
      </c>
      <c r="O62" s="469" t="s">
        <v>5101</v>
      </c>
      <c r="P62" s="469" t="s">
        <v>5076</v>
      </c>
      <c r="Q62" s="469" t="s">
        <v>638</v>
      </c>
      <c r="R62" s="470" t="s">
        <v>5006</v>
      </c>
    </row>
    <row r="63" spans="1:18" ht="31.75" customHeight="1">
      <c r="A63" s="469" t="s">
        <v>4997</v>
      </c>
      <c r="B63" s="469" t="s">
        <v>4998</v>
      </c>
      <c r="C63" s="469" t="s">
        <v>1414</v>
      </c>
      <c r="D63" s="469" t="s">
        <v>4999</v>
      </c>
      <c r="E63" s="469" t="s">
        <v>4824</v>
      </c>
      <c r="F63" s="469" t="s">
        <v>5220</v>
      </c>
      <c r="G63" s="469" t="s">
        <v>5221</v>
      </c>
      <c r="H63" s="471" t="s">
        <v>5003</v>
      </c>
      <c r="I63" s="469" t="s">
        <v>5029</v>
      </c>
      <c r="J63" s="469" t="s">
        <v>4826</v>
      </c>
      <c r="K63" s="471" t="s">
        <v>5069</v>
      </c>
      <c r="L63" s="469" t="s">
        <v>5005</v>
      </c>
      <c r="M63" s="469" t="s">
        <v>5008</v>
      </c>
      <c r="N63" s="469" t="s">
        <v>5009</v>
      </c>
      <c r="O63" s="469" t="s">
        <v>5041</v>
      </c>
      <c r="P63" s="469" t="s">
        <v>5185</v>
      </c>
      <c r="Q63" s="469" t="s">
        <v>638</v>
      </c>
      <c r="R63" s="470" t="s">
        <v>5006</v>
      </c>
    </row>
    <row r="64" spans="1:18" ht="31.75" customHeight="1">
      <c r="A64" s="469" t="s">
        <v>4997</v>
      </c>
      <c r="B64" s="469" t="s">
        <v>4998</v>
      </c>
      <c r="C64" s="469" t="s">
        <v>1414</v>
      </c>
      <c r="D64" s="469" t="s">
        <v>4999</v>
      </c>
      <c r="E64" s="469" t="s">
        <v>4509</v>
      </c>
      <c r="F64" s="469" t="s">
        <v>5222</v>
      </c>
      <c r="G64" s="469" t="s">
        <v>5223</v>
      </c>
      <c r="H64" s="471" t="s">
        <v>5075</v>
      </c>
      <c r="I64" s="469" t="s">
        <v>5029</v>
      </c>
      <c r="J64" s="469" t="s">
        <v>4868</v>
      </c>
      <c r="K64" s="471" t="s">
        <v>5093</v>
      </c>
      <c r="L64" s="469" t="s">
        <v>5005</v>
      </c>
      <c r="M64" s="469" t="s">
        <v>5008</v>
      </c>
      <c r="N64" s="469" t="s">
        <v>5009</v>
      </c>
      <c r="O64" s="469" t="s">
        <v>5080</v>
      </c>
      <c r="P64" s="469" t="s">
        <v>5076</v>
      </c>
      <c r="Q64" s="469" t="s">
        <v>638</v>
      </c>
      <c r="R64" s="470" t="s">
        <v>5006</v>
      </c>
    </row>
    <row r="65" spans="1:18" ht="31.75" customHeight="1">
      <c r="A65" s="469" t="s">
        <v>4997</v>
      </c>
      <c r="B65" s="469" t="s">
        <v>4998</v>
      </c>
      <c r="C65" s="469" t="s">
        <v>1414</v>
      </c>
      <c r="D65" s="469" t="s">
        <v>4999</v>
      </c>
      <c r="E65" s="469" t="s">
        <v>4978</v>
      </c>
      <c r="F65" s="469" t="s">
        <v>5224</v>
      </c>
      <c r="G65" s="469" t="s">
        <v>5225</v>
      </c>
      <c r="H65" s="471" t="s">
        <v>5075</v>
      </c>
      <c r="I65" s="469" t="s">
        <v>5029</v>
      </c>
      <c r="J65" s="469" t="s">
        <v>4980</v>
      </c>
      <c r="K65" s="471" t="s">
        <v>5131</v>
      </c>
      <c r="L65" s="469" t="s">
        <v>5005</v>
      </c>
      <c r="M65" s="469" t="s">
        <v>5008</v>
      </c>
      <c r="N65" s="469" t="s">
        <v>5009</v>
      </c>
      <c r="O65" s="469" t="s">
        <v>5207</v>
      </c>
      <c r="P65" s="469" t="s">
        <v>5185</v>
      </c>
      <c r="Q65" s="469" t="s">
        <v>638</v>
      </c>
      <c r="R65" s="470" t="s">
        <v>5226</v>
      </c>
    </row>
    <row r="66" spans="1:18" ht="31.75" customHeight="1">
      <c r="A66" s="469" t="s">
        <v>4997</v>
      </c>
      <c r="B66" s="469" t="s">
        <v>4998</v>
      </c>
      <c r="C66" s="469" t="s">
        <v>1414</v>
      </c>
      <c r="D66" s="469" t="s">
        <v>4999</v>
      </c>
      <c r="E66" s="469" t="s">
        <v>4482</v>
      </c>
      <c r="F66" s="469" t="s">
        <v>5227</v>
      </c>
      <c r="G66" s="469" t="s">
        <v>5228</v>
      </c>
      <c r="H66" s="471" t="s">
        <v>5075</v>
      </c>
      <c r="I66" s="469" t="s">
        <v>5029</v>
      </c>
      <c r="J66" s="469" t="s">
        <v>4903</v>
      </c>
      <c r="K66" s="471" t="s">
        <v>5082</v>
      </c>
      <c r="L66" s="469" t="s">
        <v>5005</v>
      </c>
      <c r="M66" s="469" t="s">
        <v>5008</v>
      </c>
      <c r="N66" s="469" t="s">
        <v>5009</v>
      </c>
      <c r="O66" s="469" t="s">
        <v>5082</v>
      </c>
      <c r="P66" s="469" t="s">
        <v>5076</v>
      </c>
      <c r="Q66" s="469" t="s">
        <v>638</v>
      </c>
      <c r="R66" s="470" t="s">
        <v>5229</v>
      </c>
    </row>
    <row r="67" spans="1:18" ht="31.75" customHeight="1">
      <c r="A67" s="469" t="s">
        <v>4997</v>
      </c>
      <c r="B67" s="469" t="s">
        <v>4998</v>
      </c>
      <c r="C67" s="469" t="s">
        <v>1414</v>
      </c>
      <c r="D67" s="469" t="s">
        <v>4999</v>
      </c>
      <c r="E67" s="469" t="s">
        <v>4971</v>
      </c>
      <c r="F67" s="469" t="s">
        <v>5230</v>
      </c>
      <c r="G67" s="469" t="s">
        <v>5231</v>
      </c>
      <c r="H67" s="471" t="s">
        <v>5075</v>
      </c>
      <c r="I67" s="469" t="s">
        <v>5029</v>
      </c>
      <c r="J67" s="469" t="s">
        <v>4973</v>
      </c>
      <c r="K67" s="471" t="s">
        <v>5131</v>
      </c>
      <c r="L67" s="469" t="s">
        <v>5005</v>
      </c>
      <c r="M67" s="469" t="s">
        <v>5008</v>
      </c>
      <c r="N67" s="469" t="s">
        <v>5009</v>
      </c>
      <c r="O67" s="469" t="s">
        <v>5207</v>
      </c>
      <c r="P67" s="469" t="s">
        <v>5185</v>
      </c>
      <c r="Q67" s="469" t="s">
        <v>638</v>
      </c>
      <c r="R67" s="470" t="s">
        <v>5232</v>
      </c>
    </row>
    <row r="68" spans="1:18" ht="31.75" customHeight="1">
      <c r="A68" s="469" t="s">
        <v>4997</v>
      </c>
      <c r="B68" s="469" t="s">
        <v>4998</v>
      </c>
      <c r="C68" s="469" t="s">
        <v>1414</v>
      </c>
      <c r="D68" s="469" t="s">
        <v>4999</v>
      </c>
      <c r="E68" s="469" t="s">
        <v>4749</v>
      </c>
      <c r="F68" s="469" t="s">
        <v>5233</v>
      </c>
      <c r="G68" s="469" t="s">
        <v>5234</v>
      </c>
      <c r="H68" s="471" t="s">
        <v>5075</v>
      </c>
      <c r="I68" s="469" t="s">
        <v>5029</v>
      </c>
      <c r="J68" s="469" t="s">
        <v>4837</v>
      </c>
      <c r="K68" s="471" t="s">
        <v>5069</v>
      </c>
      <c r="L68" s="469" t="s">
        <v>5005</v>
      </c>
      <c r="M68" s="469" t="s">
        <v>5008</v>
      </c>
      <c r="N68" s="469" t="s">
        <v>5009</v>
      </c>
      <c r="O68" s="469" t="s">
        <v>5020</v>
      </c>
      <c r="P68" s="469" t="s">
        <v>5185</v>
      </c>
      <c r="Q68" s="469" t="s">
        <v>638</v>
      </c>
      <c r="R68" s="470" t="s">
        <v>5006</v>
      </c>
    </row>
    <row r="69" spans="1:18" ht="31.75" customHeight="1">
      <c r="A69" s="469" t="s">
        <v>4997</v>
      </c>
      <c r="B69" s="469" t="s">
        <v>4998</v>
      </c>
      <c r="C69" s="469" t="s">
        <v>1414</v>
      </c>
      <c r="D69" s="469" t="s">
        <v>4999</v>
      </c>
      <c r="E69" s="469" t="s">
        <v>4735</v>
      </c>
      <c r="F69" s="469" t="s">
        <v>5235</v>
      </c>
      <c r="G69" s="469" t="s">
        <v>5236</v>
      </c>
      <c r="H69" s="471" t="s">
        <v>5086</v>
      </c>
      <c r="I69" s="469" t="s">
        <v>5029</v>
      </c>
      <c r="J69" s="469" t="s">
        <v>5006</v>
      </c>
      <c r="K69" s="471" t="s">
        <v>5006</v>
      </c>
      <c r="L69" s="469" t="s">
        <v>5005</v>
      </c>
      <c r="M69" s="469" t="s">
        <v>5008</v>
      </c>
      <c r="N69" s="469" t="s">
        <v>5009</v>
      </c>
      <c r="O69" s="469" t="s">
        <v>5020</v>
      </c>
      <c r="P69" s="469" t="s">
        <v>5185</v>
      </c>
      <c r="Q69" s="469" t="s">
        <v>638</v>
      </c>
      <c r="R69" s="470" t="s">
        <v>5237</v>
      </c>
    </row>
    <row r="70" spans="1:18" ht="31.75" customHeight="1">
      <c r="A70" s="469" t="s">
        <v>4997</v>
      </c>
      <c r="B70" s="469" t="s">
        <v>4998</v>
      </c>
      <c r="C70" s="469" t="s">
        <v>1414</v>
      </c>
      <c r="D70" s="469" t="s">
        <v>4999</v>
      </c>
      <c r="E70" s="469" t="s">
        <v>4737</v>
      </c>
      <c r="F70" s="469" t="s">
        <v>5238</v>
      </c>
      <c r="G70" s="469" t="s">
        <v>5239</v>
      </c>
      <c r="H70" s="471" t="s">
        <v>5086</v>
      </c>
      <c r="I70" s="469" t="s">
        <v>5029</v>
      </c>
      <c r="J70" s="469" t="s">
        <v>5006</v>
      </c>
      <c r="K70" s="471" t="s">
        <v>5006</v>
      </c>
      <c r="L70" s="469" t="s">
        <v>5005</v>
      </c>
      <c r="M70" s="469" t="s">
        <v>5008</v>
      </c>
      <c r="N70" s="469" t="s">
        <v>5009</v>
      </c>
      <c r="O70" s="469" t="s">
        <v>5020</v>
      </c>
      <c r="P70" s="469" t="s">
        <v>5185</v>
      </c>
      <c r="Q70" s="469" t="s">
        <v>638</v>
      </c>
      <c r="R70" s="470" t="s">
        <v>5240</v>
      </c>
    </row>
    <row r="71" spans="1:18" ht="31.75" customHeight="1">
      <c r="A71" s="469" t="s">
        <v>4997</v>
      </c>
      <c r="B71" s="469" t="s">
        <v>4998</v>
      </c>
      <c r="C71" s="469" t="s">
        <v>1414</v>
      </c>
      <c r="D71" s="469" t="s">
        <v>4999</v>
      </c>
      <c r="E71" s="469" t="s">
        <v>4860</v>
      </c>
      <c r="F71" s="469" t="s">
        <v>5241</v>
      </c>
      <c r="G71" s="469" t="s">
        <v>5242</v>
      </c>
      <c r="H71" s="471" t="s">
        <v>5028</v>
      </c>
      <c r="I71" s="469" t="s">
        <v>5029</v>
      </c>
      <c r="J71" s="469" t="s">
        <v>4862</v>
      </c>
      <c r="K71" s="471" t="s">
        <v>5030</v>
      </c>
      <c r="L71" s="469" t="s">
        <v>5005</v>
      </c>
      <c r="M71" s="469" t="s">
        <v>5008</v>
      </c>
      <c r="N71" s="469" t="s">
        <v>5009</v>
      </c>
      <c r="O71" s="469" t="s">
        <v>5030</v>
      </c>
      <c r="P71" s="469" t="s">
        <v>5076</v>
      </c>
      <c r="Q71" s="469" t="s">
        <v>638</v>
      </c>
      <c r="R71" s="470" t="s">
        <v>5243</v>
      </c>
    </row>
    <row r="72" spans="1:18" ht="31.75" customHeight="1">
      <c r="A72" s="469" t="s">
        <v>4997</v>
      </c>
      <c r="B72" s="469" t="s">
        <v>4998</v>
      </c>
      <c r="C72" s="469" t="s">
        <v>1414</v>
      </c>
      <c r="D72" s="469" t="s">
        <v>4999</v>
      </c>
      <c r="E72" s="469" t="s">
        <v>4729</v>
      </c>
      <c r="F72" s="469" t="s">
        <v>5244</v>
      </c>
      <c r="G72" s="469" t="s">
        <v>5245</v>
      </c>
      <c r="H72" s="471" t="s">
        <v>5028</v>
      </c>
      <c r="I72" s="469" t="s">
        <v>5029</v>
      </c>
      <c r="J72" s="469" t="s">
        <v>5006</v>
      </c>
      <c r="K72" s="471" t="s">
        <v>5006</v>
      </c>
      <c r="L72" s="469" t="s">
        <v>5005</v>
      </c>
      <c r="M72" s="469" t="s">
        <v>5008</v>
      </c>
      <c r="N72" s="469" t="s">
        <v>5009</v>
      </c>
      <c r="O72" s="469" t="s">
        <v>5020</v>
      </c>
      <c r="P72" s="469" t="s">
        <v>5185</v>
      </c>
      <c r="Q72" s="469" t="s">
        <v>638</v>
      </c>
      <c r="R72" s="470" t="s">
        <v>5006</v>
      </c>
    </row>
    <row r="73" spans="1:18" ht="31.75" customHeight="1">
      <c r="A73" s="469" t="s">
        <v>4997</v>
      </c>
      <c r="B73" s="469" t="s">
        <v>4998</v>
      </c>
      <c r="C73" s="469" t="s">
        <v>1414</v>
      </c>
      <c r="D73" s="469" t="s">
        <v>4999</v>
      </c>
      <c r="E73" s="469" t="s">
        <v>4884</v>
      </c>
      <c r="F73" s="469" t="s">
        <v>5246</v>
      </c>
      <c r="G73" s="469" t="s">
        <v>5247</v>
      </c>
      <c r="H73" s="471" t="s">
        <v>5035</v>
      </c>
      <c r="I73" s="469" t="s">
        <v>5029</v>
      </c>
      <c r="J73" s="469" t="s">
        <v>4886</v>
      </c>
      <c r="K73" s="471" t="s">
        <v>5093</v>
      </c>
      <c r="L73" s="469" t="s">
        <v>5005</v>
      </c>
      <c r="M73" s="469" t="s">
        <v>5008</v>
      </c>
      <c r="N73" s="469" t="s">
        <v>5009</v>
      </c>
      <c r="O73" s="469" t="s">
        <v>5020</v>
      </c>
      <c r="P73" s="469" t="s">
        <v>5185</v>
      </c>
      <c r="Q73" s="469" t="s">
        <v>638</v>
      </c>
      <c r="R73" s="470" t="s">
        <v>5006</v>
      </c>
    </row>
    <row r="74" spans="1:18" ht="31.75" customHeight="1">
      <c r="A74" s="469" t="s">
        <v>4997</v>
      </c>
      <c r="B74" s="469" t="s">
        <v>4998</v>
      </c>
      <c r="C74" s="469" t="s">
        <v>1414</v>
      </c>
      <c r="D74" s="469" t="s">
        <v>4999</v>
      </c>
      <c r="E74" s="469" t="s">
        <v>4602</v>
      </c>
      <c r="F74" s="469" t="s">
        <v>5248</v>
      </c>
      <c r="G74" s="469" t="s">
        <v>5249</v>
      </c>
      <c r="H74" s="471" t="s">
        <v>5035</v>
      </c>
      <c r="I74" s="469" t="s">
        <v>5029</v>
      </c>
      <c r="J74" s="469" t="s">
        <v>4877</v>
      </c>
      <c r="K74" s="471" t="s">
        <v>5093</v>
      </c>
      <c r="L74" s="469" t="s">
        <v>5005</v>
      </c>
      <c r="M74" s="469" t="s">
        <v>5008</v>
      </c>
      <c r="N74" s="469" t="s">
        <v>5009</v>
      </c>
      <c r="O74" s="469" t="s">
        <v>5081</v>
      </c>
      <c r="P74" s="469" t="s">
        <v>5076</v>
      </c>
      <c r="Q74" s="469" t="s">
        <v>638</v>
      </c>
      <c r="R74" s="470" t="s">
        <v>5006</v>
      </c>
    </row>
    <row r="75" spans="1:18" ht="31.75" customHeight="1">
      <c r="A75" s="469" t="s">
        <v>4997</v>
      </c>
      <c r="B75" s="469" t="s">
        <v>4998</v>
      </c>
      <c r="C75" s="469" t="s">
        <v>1414</v>
      </c>
      <c r="D75" s="469" t="s">
        <v>4999</v>
      </c>
      <c r="E75" s="469" t="s">
        <v>4881</v>
      </c>
      <c r="F75" s="469" t="s">
        <v>5250</v>
      </c>
      <c r="G75" s="469" t="s">
        <v>5251</v>
      </c>
      <c r="H75" s="471" t="s">
        <v>5035</v>
      </c>
      <c r="I75" s="469" t="s">
        <v>5029</v>
      </c>
      <c r="J75" s="469" t="s">
        <v>4883</v>
      </c>
      <c r="K75" s="471" t="s">
        <v>5093</v>
      </c>
      <c r="L75" s="469" t="s">
        <v>5005</v>
      </c>
      <c r="M75" s="469" t="s">
        <v>5008</v>
      </c>
      <c r="N75" s="469" t="s">
        <v>5009</v>
      </c>
      <c r="O75" s="469" t="s">
        <v>5020</v>
      </c>
      <c r="P75" s="469" t="s">
        <v>5185</v>
      </c>
      <c r="Q75" s="469" t="s">
        <v>638</v>
      </c>
      <c r="R75" s="470" t="s">
        <v>5006</v>
      </c>
    </row>
    <row r="76" spans="1:18" ht="31.75" customHeight="1">
      <c r="A76" s="469" t="s">
        <v>4997</v>
      </c>
      <c r="B76" s="469" t="s">
        <v>4998</v>
      </c>
      <c r="C76" s="469" t="s">
        <v>1414</v>
      </c>
      <c r="D76" s="469" t="s">
        <v>4999</v>
      </c>
      <c r="E76" s="469" t="s">
        <v>4878</v>
      </c>
      <c r="F76" s="469" t="s">
        <v>5252</v>
      </c>
      <c r="G76" s="469" t="s">
        <v>5253</v>
      </c>
      <c r="H76" s="471" t="s">
        <v>5106</v>
      </c>
      <c r="I76" s="469" t="s">
        <v>5029</v>
      </c>
      <c r="J76" s="469" t="s">
        <v>4880</v>
      </c>
      <c r="K76" s="471" t="s">
        <v>5093</v>
      </c>
      <c r="L76" s="469" t="s">
        <v>5005</v>
      </c>
      <c r="M76" s="469" t="s">
        <v>5008</v>
      </c>
      <c r="N76" s="469" t="s">
        <v>5009</v>
      </c>
      <c r="O76" s="469" t="s">
        <v>5082</v>
      </c>
      <c r="P76" s="469" t="s">
        <v>5076</v>
      </c>
      <c r="Q76" s="469" t="s">
        <v>638</v>
      </c>
      <c r="R76" s="470" t="s">
        <v>5006</v>
      </c>
    </row>
    <row r="77" spans="1:18" ht="31.75" customHeight="1">
      <c r="A77" s="469" t="s">
        <v>4997</v>
      </c>
      <c r="B77" s="469" t="s">
        <v>4998</v>
      </c>
      <c r="C77" s="469" t="s">
        <v>1414</v>
      </c>
      <c r="D77" s="469" t="s">
        <v>4999</v>
      </c>
      <c r="E77" s="469" t="s">
        <v>4775</v>
      </c>
      <c r="F77" s="469" t="s">
        <v>5254</v>
      </c>
      <c r="G77" s="469" t="s">
        <v>5255</v>
      </c>
      <c r="H77" s="471" t="s">
        <v>5041</v>
      </c>
      <c r="I77" s="469" t="s">
        <v>5029</v>
      </c>
      <c r="J77" s="469" t="s">
        <v>4866</v>
      </c>
      <c r="K77" s="471" t="s">
        <v>5093</v>
      </c>
      <c r="L77" s="469" t="s">
        <v>5005</v>
      </c>
      <c r="M77" s="469" t="s">
        <v>5008</v>
      </c>
      <c r="N77" s="469" t="s">
        <v>5009</v>
      </c>
      <c r="O77" s="469" t="s">
        <v>5020</v>
      </c>
      <c r="P77" s="469" t="s">
        <v>5185</v>
      </c>
      <c r="Q77" s="469" t="s">
        <v>638</v>
      </c>
      <c r="R77" s="470" t="s">
        <v>5006</v>
      </c>
    </row>
    <row r="78" spans="1:18" ht="31.75" customHeight="1">
      <c r="A78" s="469" t="s">
        <v>4997</v>
      </c>
      <c r="B78" s="469" t="s">
        <v>4998</v>
      </c>
      <c r="C78" s="469" t="s">
        <v>1414</v>
      </c>
      <c r="D78" s="469" t="s">
        <v>4999</v>
      </c>
      <c r="E78" s="469" t="s">
        <v>4758</v>
      </c>
      <c r="F78" s="469" t="s">
        <v>5256</v>
      </c>
      <c r="G78" s="469" t="s">
        <v>5257</v>
      </c>
      <c r="H78" s="471" t="s">
        <v>5041</v>
      </c>
      <c r="I78" s="469" t="s">
        <v>5029</v>
      </c>
      <c r="J78" s="469" t="s">
        <v>4875</v>
      </c>
      <c r="K78" s="471" t="s">
        <v>5093</v>
      </c>
      <c r="L78" s="469" t="s">
        <v>5005</v>
      </c>
      <c r="M78" s="469" t="s">
        <v>5008</v>
      </c>
      <c r="N78" s="469" t="s">
        <v>5009</v>
      </c>
      <c r="O78" s="469" t="s">
        <v>5191</v>
      </c>
      <c r="P78" s="469" t="s">
        <v>5146</v>
      </c>
      <c r="Q78" s="469" t="s">
        <v>638</v>
      </c>
      <c r="R78" s="470" t="s">
        <v>5006</v>
      </c>
    </row>
    <row r="79" spans="1:18" ht="31.75" customHeight="1">
      <c r="A79" s="469" t="s">
        <v>4997</v>
      </c>
      <c r="B79" s="469" t="s">
        <v>4998</v>
      </c>
      <c r="C79" s="469" t="s">
        <v>1414</v>
      </c>
      <c r="D79" s="469" t="s">
        <v>4999</v>
      </c>
      <c r="E79" s="469" t="s">
        <v>4577</v>
      </c>
      <c r="F79" s="469" t="s">
        <v>5258</v>
      </c>
      <c r="G79" s="469" t="s">
        <v>5259</v>
      </c>
      <c r="H79" s="471" t="s">
        <v>5041</v>
      </c>
      <c r="I79" s="469" t="s">
        <v>5029</v>
      </c>
      <c r="J79" s="469" t="s">
        <v>4911</v>
      </c>
      <c r="K79" s="471" t="s">
        <v>5036</v>
      </c>
      <c r="L79" s="469" t="s">
        <v>5005</v>
      </c>
      <c r="M79" s="469" t="s">
        <v>5008</v>
      </c>
      <c r="N79" s="469" t="s">
        <v>5009</v>
      </c>
      <c r="O79" s="469" t="s">
        <v>5020</v>
      </c>
      <c r="P79" s="469" t="s">
        <v>5185</v>
      </c>
      <c r="Q79" s="469" t="s">
        <v>638</v>
      </c>
      <c r="R79" s="470" t="s">
        <v>5006</v>
      </c>
    </row>
    <row r="80" spans="1:18" ht="31.75" customHeight="1">
      <c r="A80" s="469" t="s">
        <v>4997</v>
      </c>
      <c r="B80" s="469" t="s">
        <v>4998</v>
      </c>
      <c r="C80" s="469" t="s">
        <v>1414</v>
      </c>
      <c r="D80" s="469" t="s">
        <v>4999</v>
      </c>
      <c r="E80" s="469" t="s">
        <v>4752</v>
      </c>
      <c r="F80" s="469" t="s">
        <v>5260</v>
      </c>
      <c r="G80" s="469" t="s">
        <v>5261</v>
      </c>
      <c r="H80" s="471" t="s">
        <v>5041</v>
      </c>
      <c r="I80" s="469" t="s">
        <v>5029</v>
      </c>
      <c r="J80" s="469" t="s">
        <v>4967</v>
      </c>
      <c r="K80" s="471" t="s">
        <v>5131</v>
      </c>
      <c r="L80" s="469" t="s">
        <v>5005</v>
      </c>
      <c r="M80" s="469" t="s">
        <v>5008</v>
      </c>
      <c r="N80" s="469" t="s">
        <v>5009</v>
      </c>
      <c r="O80" s="469" t="s">
        <v>5020</v>
      </c>
      <c r="P80" s="469" t="s">
        <v>5185</v>
      </c>
      <c r="Q80" s="469" t="s">
        <v>638</v>
      </c>
      <c r="R80" s="470" t="s">
        <v>5006</v>
      </c>
    </row>
    <row r="81" spans="1:18" ht="31.75" customHeight="1">
      <c r="A81" s="469" t="s">
        <v>4997</v>
      </c>
      <c r="B81" s="469" t="s">
        <v>4998</v>
      </c>
      <c r="C81" s="469" t="s">
        <v>1414</v>
      </c>
      <c r="D81" s="469" t="s">
        <v>4999</v>
      </c>
      <c r="E81" s="469" t="s">
        <v>4780</v>
      </c>
      <c r="F81" s="469" t="s">
        <v>5262</v>
      </c>
      <c r="G81" s="469" t="s">
        <v>5263</v>
      </c>
      <c r="H81" s="471" t="s">
        <v>5041</v>
      </c>
      <c r="I81" s="469" t="s">
        <v>5029</v>
      </c>
      <c r="J81" s="469" t="s">
        <v>4867</v>
      </c>
      <c r="K81" s="471" t="s">
        <v>5093</v>
      </c>
      <c r="L81" s="469" t="s">
        <v>5005</v>
      </c>
      <c r="M81" s="469" t="s">
        <v>5008</v>
      </c>
      <c r="N81" s="469" t="s">
        <v>5009</v>
      </c>
      <c r="O81" s="469" t="s">
        <v>5020</v>
      </c>
      <c r="P81" s="469" t="s">
        <v>5185</v>
      </c>
      <c r="Q81" s="469" t="s">
        <v>638</v>
      </c>
      <c r="R81" s="470" t="s">
        <v>5006</v>
      </c>
    </row>
    <row r="82" spans="1:18" ht="31.75" customHeight="1">
      <c r="A82" s="469" t="s">
        <v>4997</v>
      </c>
      <c r="B82" s="469" t="s">
        <v>4998</v>
      </c>
      <c r="C82" s="469" t="s">
        <v>1414</v>
      </c>
      <c r="D82" s="469" t="s">
        <v>4999</v>
      </c>
      <c r="E82" s="469" t="s">
        <v>4786</v>
      </c>
      <c r="F82" s="469" t="s">
        <v>5264</v>
      </c>
      <c r="G82" s="469" t="s">
        <v>5265</v>
      </c>
      <c r="H82" s="471" t="s">
        <v>5171</v>
      </c>
      <c r="I82" s="469" t="s">
        <v>5029</v>
      </c>
      <c r="J82" s="469" t="s">
        <v>4788</v>
      </c>
      <c r="K82" s="471" t="s">
        <v>5113</v>
      </c>
      <c r="L82" s="469" t="s">
        <v>5005</v>
      </c>
      <c r="M82" s="469" t="s">
        <v>5008</v>
      </c>
      <c r="N82" s="469" t="s">
        <v>5009</v>
      </c>
      <c r="O82" s="469" t="s">
        <v>5196</v>
      </c>
      <c r="P82" s="469" t="s">
        <v>5076</v>
      </c>
      <c r="Q82" s="469" t="s">
        <v>638</v>
      </c>
      <c r="R82" s="470" t="s">
        <v>5266</v>
      </c>
    </row>
    <row r="83" spans="1:18" ht="31.75" customHeight="1">
      <c r="A83" s="469" t="s">
        <v>4997</v>
      </c>
      <c r="B83" s="469" t="s">
        <v>4998</v>
      </c>
      <c r="C83" s="469" t="s">
        <v>1414</v>
      </c>
      <c r="D83" s="469" t="s">
        <v>4999</v>
      </c>
      <c r="E83" s="469" t="s">
        <v>4842</v>
      </c>
      <c r="F83" s="469" t="s">
        <v>5267</v>
      </c>
      <c r="G83" s="469" t="s">
        <v>5268</v>
      </c>
      <c r="H83" s="471" t="s">
        <v>5086</v>
      </c>
      <c r="I83" s="469" t="s">
        <v>5029</v>
      </c>
      <c r="J83" s="469" t="s">
        <v>4844</v>
      </c>
      <c r="K83" s="471" t="s">
        <v>5080</v>
      </c>
      <c r="L83" s="469" t="s">
        <v>5269</v>
      </c>
      <c r="M83" s="469" t="s">
        <v>5008</v>
      </c>
      <c r="N83" s="469" t="s">
        <v>5009</v>
      </c>
      <c r="O83" s="469" t="s">
        <v>5114</v>
      </c>
      <c r="P83" s="469" t="s">
        <v>5076</v>
      </c>
      <c r="Q83" s="469" t="s">
        <v>638</v>
      </c>
      <c r="R83" s="470" t="s">
        <v>5270</v>
      </c>
    </row>
    <row r="84" spans="1:18" ht="31.75" customHeight="1">
      <c r="A84" s="469" t="s">
        <v>4997</v>
      </c>
      <c r="B84" s="469" t="s">
        <v>4998</v>
      </c>
      <c r="C84" s="469" t="s">
        <v>1414</v>
      </c>
      <c r="D84" s="469" t="s">
        <v>507</v>
      </c>
      <c r="E84" s="469" t="s">
        <v>4854</v>
      </c>
      <c r="F84" s="469" t="s">
        <v>5271</v>
      </c>
      <c r="G84" s="469" t="s">
        <v>5272</v>
      </c>
      <c r="H84" s="471" t="s">
        <v>5028</v>
      </c>
      <c r="I84" s="469" t="s">
        <v>5029</v>
      </c>
      <c r="J84" s="469" t="s">
        <v>4856</v>
      </c>
      <c r="K84" s="471" t="s">
        <v>5080</v>
      </c>
      <c r="L84" s="469" t="s">
        <v>5269</v>
      </c>
      <c r="M84" s="469" t="s">
        <v>5008</v>
      </c>
      <c r="N84" s="469" t="s">
        <v>5009</v>
      </c>
      <c r="O84" s="469" t="s">
        <v>5071</v>
      </c>
      <c r="P84" s="469" t="s">
        <v>5006</v>
      </c>
      <c r="Q84" s="469" t="s">
        <v>638</v>
      </c>
      <c r="R84" s="470" t="s">
        <v>5273</v>
      </c>
    </row>
    <row r="85" spans="1:18" ht="31.75" customHeight="1">
      <c r="A85" s="469" t="s">
        <v>4997</v>
      </c>
      <c r="B85" s="469" t="s">
        <v>4998</v>
      </c>
      <c r="C85" s="469" t="s">
        <v>1414</v>
      </c>
      <c r="D85" s="469" t="s">
        <v>507</v>
      </c>
      <c r="E85" s="469" t="s">
        <v>4729</v>
      </c>
      <c r="F85" s="469" t="s">
        <v>5274</v>
      </c>
      <c r="G85" s="469" t="s">
        <v>5275</v>
      </c>
      <c r="H85" s="471" t="s">
        <v>5052</v>
      </c>
      <c r="I85" s="469" t="s">
        <v>5029</v>
      </c>
      <c r="J85" s="469" t="s">
        <v>4779</v>
      </c>
      <c r="K85" s="471" t="s">
        <v>5127</v>
      </c>
      <c r="L85" s="469" t="s">
        <v>5269</v>
      </c>
      <c r="M85" s="469" t="s">
        <v>5008</v>
      </c>
      <c r="N85" s="469" t="s">
        <v>5009</v>
      </c>
      <c r="O85" s="469" t="s">
        <v>5071</v>
      </c>
      <c r="P85" s="469" t="s">
        <v>5006</v>
      </c>
      <c r="Q85" s="469" t="s">
        <v>638</v>
      </c>
      <c r="R85" s="470" t="s">
        <v>5276</v>
      </c>
    </row>
    <row r="86" spans="1:18" ht="31.75" customHeight="1">
      <c r="A86" s="469" t="s">
        <v>4997</v>
      </c>
      <c r="B86" s="469" t="s">
        <v>4998</v>
      </c>
      <c r="C86" s="469" t="s">
        <v>1414</v>
      </c>
      <c r="D86" s="469" t="s">
        <v>507</v>
      </c>
      <c r="E86" s="469" t="s">
        <v>4775</v>
      </c>
      <c r="F86" s="469" t="s">
        <v>5277</v>
      </c>
      <c r="G86" s="469" t="s">
        <v>5278</v>
      </c>
      <c r="H86" s="471" t="s">
        <v>5052</v>
      </c>
      <c r="I86" s="469" t="s">
        <v>5029</v>
      </c>
      <c r="J86" s="469" t="s">
        <v>4777</v>
      </c>
      <c r="K86" s="471" t="s">
        <v>5127</v>
      </c>
      <c r="L86" s="469" t="s">
        <v>5269</v>
      </c>
      <c r="M86" s="469" t="s">
        <v>5008</v>
      </c>
      <c r="N86" s="469" t="s">
        <v>5009</v>
      </c>
      <c r="O86" s="469" t="s">
        <v>5071</v>
      </c>
      <c r="P86" s="469" t="s">
        <v>5006</v>
      </c>
      <c r="Q86" s="469" t="s">
        <v>638</v>
      </c>
      <c r="R86" s="470" t="s">
        <v>5279</v>
      </c>
    </row>
    <row r="87" spans="1:18" ht="31.75" customHeight="1">
      <c r="A87" s="469" t="s">
        <v>4997</v>
      </c>
      <c r="B87" s="469" t="s">
        <v>4998</v>
      </c>
      <c r="C87" s="469" t="s">
        <v>1414</v>
      </c>
      <c r="D87" s="469" t="s">
        <v>4999</v>
      </c>
      <c r="E87" s="469" t="s">
        <v>4915</v>
      </c>
      <c r="F87" s="469" t="s">
        <v>5280</v>
      </c>
      <c r="G87" s="469" t="s">
        <v>5281</v>
      </c>
      <c r="H87" s="471" t="s">
        <v>5047</v>
      </c>
      <c r="I87" s="469" t="s">
        <v>5029</v>
      </c>
      <c r="J87" s="469" t="s">
        <v>4917</v>
      </c>
      <c r="K87" s="471" t="s">
        <v>5036</v>
      </c>
      <c r="L87" s="469" t="s">
        <v>5282</v>
      </c>
      <c r="M87" s="469" t="s">
        <v>5008</v>
      </c>
      <c r="N87" s="469" t="s">
        <v>5009</v>
      </c>
      <c r="O87" s="469" t="s">
        <v>5082</v>
      </c>
      <c r="P87" s="469" t="s">
        <v>5076</v>
      </c>
      <c r="Q87" s="469" t="s">
        <v>638</v>
      </c>
      <c r="R87" s="470" t="s">
        <v>5006</v>
      </c>
    </row>
    <row r="88" spans="1:18" ht="31.75" customHeight="1">
      <c r="A88" s="469" t="s">
        <v>4997</v>
      </c>
      <c r="B88" s="469" t="s">
        <v>4998</v>
      </c>
      <c r="C88" s="469" t="s">
        <v>1414</v>
      </c>
      <c r="D88" s="469" t="s">
        <v>4999</v>
      </c>
      <c r="E88" s="469" t="s">
        <v>4746</v>
      </c>
      <c r="F88" s="469" t="s">
        <v>5283</v>
      </c>
      <c r="G88" s="469" t="s">
        <v>5284</v>
      </c>
      <c r="H88" s="471" t="s">
        <v>5052</v>
      </c>
      <c r="I88" s="469" t="s">
        <v>5029</v>
      </c>
      <c r="J88" s="469" t="s">
        <v>4748</v>
      </c>
      <c r="K88" s="471" t="s">
        <v>5053</v>
      </c>
      <c r="L88" s="469" t="s">
        <v>5282</v>
      </c>
      <c r="M88" s="469" t="s">
        <v>5008</v>
      </c>
      <c r="N88" s="469" t="s">
        <v>5009</v>
      </c>
      <c r="O88" s="469" t="s">
        <v>5285</v>
      </c>
      <c r="P88" s="469" t="s">
        <v>5076</v>
      </c>
      <c r="Q88" s="469" t="s">
        <v>638</v>
      </c>
      <c r="R88" s="470" t="s">
        <v>5286</v>
      </c>
    </row>
    <row r="89" spans="1:18" ht="31.75" customHeight="1">
      <c r="A89" s="469" t="s">
        <v>4997</v>
      </c>
      <c r="B89" s="469" t="s">
        <v>4998</v>
      </c>
      <c r="C89" s="469" t="s">
        <v>1414</v>
      </c>
      <c r="D89" s="469" t="s">
        <v>4999</v>
      </c>
      <c r="E89" s="469" t="s">
        <v>4749</v>
      </c>
      <c r="F89" s="469" t="s">
        <v>5287</v>
      </c>
      <c r="G89" s="469" t="s">
        <v>5288</v>
      </c>
      <c r="H89" s="471" t="s">
        <v>5052</v>
      </c>
      <c r="I89" s="469" t="s">
        <v>5029</v>
      </c>
      <c r="J89" s="469" t="s">
        <v>4751</v>
      </c>
      <c r="K89" s="471" t="s">
        <v>5053</v>
      </c>
      <c r="L89" s="469" t="s">
        <v>5282</v>
      </c>
      <c r="M89" s="469" t="s">
        <v>5008</v>
      </c>
      <c r="N89" s="469" t="s">
        <v>5009</v>
      </c>
      <c r="O89" s="469" t="s">
        <v>5285</v>
      </c>
      <c r="P89" s="469" t="s">
        <v>5076</v>
      </c>
      <c r="Q89" s="469" t="s">
        <v>638</v>
      </c>
      <c r="R89" s="470" t="s">
        <v>5286</v>
      </c>
    </row>
    <row r="90" spans="1:18" ht="31.75" customHeight="1">
      <c r="A90" s="469" t="s">
        <v>4997</v>
      </c>
      <c r="B90" s="469" t="s">
        <v>4998</v>
      </c>
      <c r="C90" s="469" t="s">
        <v>1414</v>
      </c>
      <c r="D90" s="469" t="s">
        <v>4999</v>
      </c>
      <c r="E90" s="469" t="s">
        <v>4563</v>
      </c>
      <c r="F90" s="469" t="s">
        <v>5289</v>
      </c>
      <c r="G90" s="469" t="s">
        <v>5290</v>
      </c>
      <c r="H90" s="471" t="s">
        <v>5180</v>
      </c>
      <c r="I90" s="469" t="s">
        <v>5029</v>
      </c>
      <c r="J90" s="469" t="s">
        <v>4941</v>
      </c>
      <c r="K90" s="471" t="s">
        <v>5155</v>
      </c>
      <c r="L90" s="469" t="s">
        <v>5291</v>
      </c>
      <c r="M90" s="469" t="s">
        <v>5008</v>
      </c>
      <c r="N90" s="469" t="s">
        <v>5009</v>
      </c>
      <c r="O90" s="469" t="s">
        <v>5063</v>
      </c>
      <c r="P90" s="469" t="s">
        <v>5076</v>
      </c>
      <c r="Q90" s="469" t="s">
        <v>638</v>
      </c>
      <c r="R90" s="470" t="s">
        <v>5006</v>
      </c>
    </row>
    <row r="91" spans="1:18" ht="31.75" customHeight="1">
      <c r="A91" s="469" t="s">
        <v>4997</v>
      </c>
      <c r="B91" s="469" t="s">
        <v>4998</v>
      </c>
      <c r="C91" s="469" t="s">
        <v>1414</v>
      </c>
      <c r="D91" s="469" t="s">
        <v>4999</v>
      </c>
      <c r="E91" s="469" t="s">
        <v>4677</v>
      </c>
      <c r="F91" s="469" t="s">
        <v>5292</v>
      </c>
      <c r="G91" s="469" t="s">
        <v>5293</v>
      </c>
      <c r="H91" s="471" t="s">
        <v>5180</v>
      </c>
      <c r="I91" s="469" t="s">
        <v>5029</v>
      </c>
      <c r="J91" s="469" t="s">
        <v>4954</v>
      </c>
      <c r="K91" s="471" t="s">
        <v>5155</v>
      </c>
      <c r="L91" s="469" t="s">
        <v>5291</v>
      </c>
      <c r="M91" s="469" t="s">
        <v>5008</v>
      </c>
      <c r="N91" s="469" t="s">
        <v>5009</v>
      </c>
      <c r="O91" s="469" t="s">
        <v>5122</v>
      </c>
      <c r="P91" s="469" t="s">
        <v>5076</v>
      </c>
      <c r="Q91" s="469" t="s">
        <v>638</v>
      </c>
      <c r="R91" s="470" t="s">
        <v>5006</v>
      </c>
    </row>
    <row r="92" spans="1:18" ht="31.75" customHeight="1">
      <c r="A92" s="469" t="s">
        <v>4997</v>
      </c>
      <c r="B92" s="469" t="s">
        <v>4998</v>
      </c>
      <c r="C92" s="469" t="s">
        <v>1414</v>
      </c>
      <c r="D92" s="469" t="s">
        <v>4999</v>
      </c>
      <c r="E92" s="469" t="s">
        <v>4496</v>
      </c>
      <c r="F92" s="469" t="s">
        <v>5294</v>
      </c>
      <c r="G92" s="469" t="s">
        <v>5295</v>
      </c>
      <c r="H92" s="471" t="s">
        <v>5180</v>
      </c>
      <c r="I92" s="469" t="s">
        <v>5029</v>
      </c>
      <c r="J92" s="469" t="s">
        <v>4952</v>
      </c>
      <c r="K92" s="471" t="s">
        <v>5155</v>
      </c>
      <c r="L92" s="469" t="s">
        <v>5291</v>
      </c>
      <c r="M92" s="469" t="s">
        <v>5008</v>
      </c>
      <c r="N92" s="469" t="s">
        <v>5009</v>
      </c>
      <c r="O92" s="469" t="s">
        <v>5063</v>
      </c>
      <c r="P92" s="469" t="s">
        <v>5076</v>
      </c>
      <c r="Q92" s="469" t="s">
        <v>638</v>
      </c>
      <c r="R92" s="470" t="s">
        <v>5006</v>
      </c>
    </row>
    <row r="93" spans="1:18" ht="31.75" customHeight="1">
      <c r="A93" s="469" t="s">
        <v>4997</v>
      </c>
      <c r="B93" s="469" t="s">
        <v>4998</v>
      </c>
      <c r="C93" s="469" t="s">
        <v>1414</v>
      </c>
      <c r="D93" s="469" t="s">
        <v>4999</v>
      </c>
      <c r="E93" s="469" t="s">
        <v>4758</v>
      </c>
      <c r="F93" s="469" t="s">
        <v>5296</v>
      </c>
      <c r="G93" s="469" t="s">
        <v>5297</v>
      </c>
      <c r="H93" s="471" t="s">
        <v>5063</v>
      </c>
      <c r="I93" s="469" t="s">
        <v>5029</v>
      </c>
      <c r="J93" s="469" t="s">
        <v>4760</v>
      </c>
      <c r="K93" s="471" t="s">
        <v>5151</v>
      </c>
      <c r="L93" s="469" t="s">
        <v>5291</v>
      </c>
      <c r="M93" s="469" t="s">
        <v>5008</v>
      </c>
      <c r="N93" s="469" t="s">
        <v>5009</v>
      </c>
      <c r="O93" s="469" t="s">
        <v>5042</v>
      </c>
      <c r="P93" s="469" t="s">
        <v>5146</v>
      </c>
      <c r="Q93" s="469" t="s">
        <v>638</v>
      </c>
      <c r="R93" s="470" t="s">
        <v>5006</v>
      </c>
    </row>
  </sheetData>
  <autoFilter ref="A1:R1" xr:uid="{00000000-0001-0000-0000-000000000000}">
    <sortState xmlns:xlrd2="http://schemas.microsoft.com/office/spreadsheetml/2017/richdata2" ref="A2:R93">
      <sortCondition sortBy="cellColor" ref="L1" dxfId="81"/>
    </sortState>
  </autoFilter>
  <conditionalFormatting sqref="L1:L1048576">
    <cfRule type="cellIs" dxfId="2" priority="1" operator="equal">
      <formula>"Possession"</formula>
    </cfRule>
    <cfRule type="cellIs" dxfId="1" priority="2" operator="equal">
      <formula>"Attorney Dismissal"</formula>
    </cfRule>
    <cfRule type="cellIs" dxfId="0" priority="3" operator="equal">
      <formula>"Judicial Dismissal"</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4851E-BD28-45E6-A657-621D67224022}">
  <sheetPr>
    <tabColor theme="6" tint="-0.499984740745262"/>
  </sheetPr>
  <dimension ref="A1:AC135"/>
  <sheetViews>
    <sheetView workbookViewId="0">
      <selection activeCell="E95" sqref="E95"/>
    </sheetView>
  </sheetViews>
  <sheetFormatPr defaultColWidth="8.54296875" defaultRowHeight="14.5"/>
  <cols>
    <col min="1" max="1" width="14" customWidth="1"/>
    <col min="2" max="2" width="16" customWidth="1"/>
    <col min="3" max="3" width="38" customWidth="1"/>
    <col min="4" max="4" width="10" customWidth="1"/>
    <col min="5" max="5" width="22" customWidth="1"/>
    <col min="6" max="6" width="14" customWidth="1"/>
    <col min="7" max="7" width="36" customWidth="1"/>
    <col min="8" max="8" width="10" customWidth="1"/>
    <col min="9" max="9" width="12" customWidth="1"/>
    <col min="10" max="10" width="16" customWidth="1"/>
    <col min="11" max="11" width="13" customWidth="1"/>
    <col min="12" max="12" width="14" customWidth="1"/>
    <col min="13" max="13" width="12" customWidth="1"/>
    <col min="14" max="14" width="14" customWidth="1"/>
    <col min="15" max="15" width="10" customWidth="1"/>
    <col min="16" max="16" width="12" customWidth="1"/>
    <col min="17" max="17" width="28" customWidth="1"/>
    <col min="18" max="18" width="10" customWidth="1"/>
    <col min="19" max="19" width="18" customWidth="1"/>
    <col min="20" max="21" width="12" customWidth="1"/>
    <col min="22" max="22" width="10" customWidth="1"/>
  </cols>
  <sheetData>
    <row r="1" spans="1:29">
      <c r="A1" s="521" t="s">
        <v>5298</v>
      </c>
      <c r="B1" s="521" t="s">
        <v>5299</v>
      </c>
      <c r="C1" s="521" t="s">
        <v>4986</v>
      </c>
      <c r="D1" s="521" t="s">
        <v>496</v>
      </c>
      <c r="E1" s="521" t="s">
        <v>5300</v>
      </c>
      <c r="F1" s="521" t="s">
        <v>340</v>
      </c>
      <c r="G1" s="521" t="s">
        <v>5301</v>
      </c>
      <c r="H1" s="521" t="s">
        <v>5302</v>
      </c>
      <c r="I1" s="521" t="s">
        <v>5303</v>
      </c>
      <c r="J1" s="521" t="s">
        <v>5304</v>
      </c>
      <c r="K1" s="521" t="s">
        <v>5305</v>
      </c>
      <c r="L1" s="521" t="s">
        <v>5306</v>
      </c>
      <c r="M1" s="521" t="s">
        <v>5307</v>
      </c>
      <c r="N1" s="521" t="s">
        <v>5308</v>
      </c>
      <c r="O1" s="521" t="s">
        <v>5309</v>
      </c>
      <c r="P1" s="521" t="s">
        <v>5310</v>
      </c>
      <c r="Q1" s="521" t="s">
        <v>5311</v>
      </c>
      <c r="R1" s="521" t="s">
        <v>5312</v>
      </c>
      <c r="S1" s="521" t="s">
        <v>5313</v>
      </c>
      <c r="T1" s="521" t="s">
        <v>5314</v>
      </c>
      <c r="U1" s="521" t="s">
        <v>5315</v>
      </c>
      <c r="V1" s="521" t="s">
        <v>1254</v>
      </c>
      <c r="W1" s="671" t="s">
        <v>5316</v>
      </c>
      <c r="X1" s="671" t="s">
        <v>5317</v>
      </c>
      <c r="Y1" s="671" t="s">
        <v>5318</v>
      </c>
      <c r="Z1" s="671" t="s">
        <v>610</v>
      </c>
      <c r="AA1" s="671" t="s">
        <v>5319</v>
      </c>
      <c r="AB1" s="671" t="s">
        <v>5320</v>
      </c>
      <c r="AC1" s="671" t="s">
        <v>5321</v>
      </c>
    </row>
    <row r="2" spans="1:29">
      <c r="A2" s="670" t="s">
        <v>5322</v>
      </c>
      <c r="B2" t="s">
        <v>5323</v>
      </c>
      <c r="C2" t="s">
        <v>1894</v>
      </c>
      <c r="D2" t="s">
        <v>5324</v>
      </c>
      <c r="E2" t="s">
        <v>953</v>
      </c>
      <c r="F2" t="s">
        <v>5325</v>
      </c>
      <c r="G2" t="s">
        <v>5326</v>
      </c>
      <c r="H2" s="670" t="s">
        <v>5327</v>
      </c>
      <c r="I2" s="669">
        <v>45966</v>
      </c>
      <c r="J2" s="669"/>
      <c r="K2" t="s">
        <v>5323</v>
      </c>
      <c r="L2" s="667">
        <v>1903</v>
      </c>
      <c r="M2" s="667">
        <v>750</v>
      </c>
      <c r="N2" s="667">
        <f t="shared" ref="N2:N33" si="0">L2-M2</f>
        <v>1153</v>
      </c>
      <c r="O2" s="668">
        <f t="shared" ref="O2:O33" si="1">IF(L2=0,"",M2/L2)</f>
        <v>0.39411455596426692</v>
      </c>
      <c r="P2" s="667">
        <v>750</v>
      </c>
      <c r="R2" t="b">
        <v>0</v>
      </c>
      <c r="S2" t="b">
        <v>0</v>
      </c>
      <c r="T2">
        <v>58</v>
      </c>
      <c r="U2" s="669">
        <v>45908</v>
      </c>
      <c r="V2" t="str">
        <f t="shared" ref="V2:V33" si="2">TEXT(U2,"YYYY-MM")</f>
        <v>2025-09</v>
      </c>
      <c r="W2" s="667"/>
      <c r="AA2" s="670"/>
    </row>
    <row r="3" spans="1:29">
      <c r="A3" s="670" t="s">
        <v>5328</v>
      </c>
      <c r="B3" t="s">
        <v>5323</v>
      </c>
      <c r="C3" t="s">
        <v>5329</v>
      </c>
      <c r="D3">
        <v>224</v>
      </c>
      <c r="E3" t="s">
        <v>953</v>
      </c>
      <c r="F3" t="s">
        <v>5325</v>
      </c>
      <c r="G3" t="s">
        <v>5326</v>
      </c>
      <c r="H3" s="670" t="s">
        <v>5330</v>
      </c>
      <c r="I3" s="669">
        <v>45526</v>
      </c>
      <c r="J3" s="669">
        <v>45485</v>
      </c>
      <c r="K3" t="s">
        <v>5323</v>
      </c>
      <c r="L3" s="667">
        <v>1510.79</v>
      </c>
      <c r="M3" s="667">
        <v>1000</v>
      </c>
      <c r="N3" s="667">
        <f t="shared" si="0"/>
        <v>510.78999999999996</v>
      </c>
      <c r="O3" s="668">
        <f t="shared" si="1"/>
        <v>0.66190536077151696</v>
      </c>
      <c r="P3" s="667">
        <v>1000</v>
      </c>
      <c r="R3" t="b">
        <v>0</v>
      </c>
      <c r="S3" t="b">
        <v>0</v>
      </c>
      <c r="T3">
        <v>112</v>
      </c>
      <c r="U3" s="669">
        <v>45414</v>
      </c>
      <c r="V3" t="str">
        <f t="shared" si="2"/>
        <v>2024-05</v>
      </c>
      <c r="W3" s="667"/>
      <c r="AA3" s="670"/>
    </row>
    <row r="4" spans="1:29">
      <c r="A4" s="670" t="s">
        <v>5331</v>
      </c>
      <c r="B4" t="s">
        <v>5323</v>
      </c>
      <c r="C4" t="s">
        <v>5332</v>
      </c>
      <c r="D4" t="s">
        <v>4352</v>
      </c>
      <c r="E4" t="s">
        <v>953</v>
      </c>
      <c r="F4" t="s">
        <v>5325</v>
      </c>
      <c r="G4" t="s">
        <v>5333</v>
      </c>
      <c r="H4" s="670" t="s">
        <v>5334</v>
      </c>
      <c r="I4" s="669">
        <v>45581</v>
      </c>
      <c r="J4" s="669">
        <v>45519</v>
      </c>
      <c r="K4" t="s">
        <v>5323</v>
      </c>
      <c r="L4" s="667">
        <v>502.74</v>
      </c>
      <c r="M4" s="667">
        <v>0</v>
      </c>
      <c r="N4" s="667">
        <f t="shared" si="0"/>
        <v>502.74</v>
      </c>
      <c r="O4" s="668">
        <f t="shared" si="1"/>
        <v>0</v>
      </c>
      <c r="P4" s="667">
        <v>1000</v>
      </c>
      <c r="R4" t="b">
        <v>0</v>
      </c>
      <c r="S4" t="b">
        <v>1</v>
      </c>
      <c r="T4">
        <v>107</v>
      </c>
      <c r="U4" s="669">
        <v>45474</v>
      </c>
      <c r="V4" t="str">
        <f t="shared" si="2"/>
        <v>2024-07</v>
      </c>
      <c r="W4" s="667"/>
      <c r="AA4" s="670"/>
    </row>
    <row r="5" spans="1:29">
      <c r="A5" s="670" t="s">
        <v>5335</v>
      </c>
      <c r="B5" t="s">
        <v>5323</v>
      </c>
      <c r="C5" t="s">
        <v>5336</v>
      </c>
      <c r="D5">
        <v>3069</v>
      </c>
      <c r="E5" t="s">
        <v>953</v>
      </c>
      <c r="F5" t="s">
        <v>5325</v>
      </c>
      <c r="G5" t="s">
        <v>5337</v>
      </c>
      <c r="H5" s="670" t="s">
        <v>5338</v>
      </c>
      <c r="I5" s="669">
        <v>45499</v>
      </c>
      <c r="J5" s="669">
        <v>45484</v>
      </c>
      <c r="K5" t="s">
        <v>5323</v>
      </c>
      <c r="L5" s="667">
        <v>232</v>
      </c>
      <c r="M5" s="667">
        <v>120</v>
      </c>
      <c r="N5" s="667">
        <f t="shared" si="0"/>
        <v>112</v>
      </c>
      <c r="O5" s="668">
        <f t="shared" si="1"/>
        <v>0.51724137931034486</v>
      </c>
      <c r="P5" s="667">
        <v>1000</v>
      </c>
      <c r="R5" t="b">
        <v>0</v>
      </c>
      <c r="S5" t="b">
        <v>0</v>
      </c>
      <c r="T5">
        <v>88</v>
      </c>
      <c r="U5" s="669">
        <v>45411</v>
      </c>
      <c r="V5" t="str">
        <f t="shared" si="2"/>
        <v>2024-04</v>
      </c>
      <c r="W5" s="667"/>
      <c r="AA5" s="670"/>
    </row>
    <row r="6" spans="1:29">
      <c r="A6" s="670" t="s">
        <v>5339</v>
      </c>
      <c r="B6" t="s">
        <v>5323</v>
      </c>
      <c r="C6" t="s">
        <v>1894</v>
      </c>
      <c r="D6" t="s">
        <v>5340</v>
      </c>
      <c r="E6" t="s">
        <v>953</v>
      </c>
      <c r="F6" t="s">
        <v>5325</v>
      </c>
      <c r="G6" t="s">
        <v>5326</v>
      </c>
      <c r="H6" s="670" t="s">
        <v>5341</v>
      </c>
      <c r="I6" s="669">
        <v>45947</v>
      </c>
      <c r="J6" s="669"/>
      <c r="K6" t="s">
        <v>5323</v>
      </c>
      <c r="L6" s="667">
        <v>8351.58</v>
      </c>
      <c r="M6" s="667">
        <v>1000</v>
      </c>
      <c r="N6" s="667">
        <f t="shared" si="0"/>
        <v>7351.58</v>
      </c>
      <c r="O6" s="668">
        <f t="shared" si="1"/>
        <v>0.1197378220648069</v>
      </c>
      <c r="P6" s="667">
        <v>1000</v>
      </c>
      <c r="R6" t="b">
        <v>0</v>
      </c>
      <c r="S6" t="b">
        <v>0</v>
      </c>
      <c r="T6">
        <v>60</v>
      </c>
      <c r="U6" s="669">
        <v>45887</v>
      </c>
      <c r="V6" t="str">
        <f t="shared" si="2"/>
        <v>2025-08</v>
      </c>
      <c r="W6" s="667"/>
      <c r="AA6" s="670"/>
    </row>
    <row r="7" spans="1:29">
      <c r="A7" s="670" t="s">
        <v>5342</v>
      </c>
      <c r="B7" t="s">
        <v>5323</v>
      </c>
      <c r="C7" t="s">
        <v>5343</v>
      </c>
      <c r="D7" t="s">
        <v>5344</v>
      </c>
      <c r="E7" t="s">
        <v>953</v>
      </c>
      <c r="F7" t="s">
        <v>5325</v>
      </c>
      <c r="G7" t="s">
        <v>5345</v>
      </c>
      <c r="H7" s="670" t="s">
        <v>5346</v>
      </c>
      <c r="I7" s="669">
        <v>45922</v>
      </c>
      <c r="J7" s="669"/>
      <c r="K7" t="s">
        <v>5323</v>
      </c>
      <c r="L7" s="667">
        <v>477.44</v>
      </c>
      <c r="M7" s="667">
        <v>170</v>
      </c>
      <c r="N7" s="667">
        <f t="shared" si="0"/>
        <v>307.44</v>
      </c>
      <c r="O7" s="668">
        <f t="shared" si="1"/>
        <v>0.35606568364611263</v>
      </c>
      <c r="P7" s="667">
        <v>1000</v>
      </c>
      <c r="R7" t="b">
        <v>1</v>
      </c>
      <c r="S7" t="b">
        <v>0</v>
      </c>
      <c r="T7">
        <v>59</v>
      </c>
      <c r="U7" s="669">
        <v>45863</v>
      </c>
      <c r="V7" t="str">
        <f t="shared" si="2"/>
        <v>2025-07</v>
      </c>
      <c r="W7" s="667"/>
      <c r="AA7" s="670"/>
    </row>
    <row r="8" spans="1:29">
      <c r="A8" s="670" t="s">
        <v>5347</v>
      </c>
      <c r="B8" t="s">
        <v>5323</v>
      </c>
      <c r="C8" t="s">
        <v>4365</v>
      </c>
      <c r="D8" t="s">
        <v>5348</v>
      </c>
      <c r="E8" t="s">
        <v>953</v>
      </c>
      <c r="F8" t="s">
        <v>5349</v>
      </c>
      <c r="G8" t="s">
        <v>5349</v>
      </c>
      <c r="H8" s="670" t="s">
        <v>5350</v>
      </c>
      <c r="I8" s="669">
        <v>46010</v>
      </c>
      <c r="J8" s="669"/>
      <c r="K8" t="s">
        <v>5323</v>
      </c>
      <c r="L8" s="667">
        <v>8131.42</v>
      </c>
      <c r="M8" s="667">
        <v>0</v>
      </c>
      <c r="N8" s="667">
        <f t="shared" si="0"/>
        <v>8131.42</v>
      </c>
      <c r="O8" s="668">
        <f t="shared" si="1"/>
        <v>0</v>
      </c>
      <c r="P8" s="667">
        <v>750</v>
      </c>
      <c r="Q8" t="s">
        <v>5351</v>
      </c>
      <c r="R8" t="b">
        <v>0</v>
      </c>
      <c r="S8" t="b">
        <v>0</v>
      </c>
      <c r="T8">
        <v>37</v>
      </c>
      <c r="U8" s="669">
        <v>45973</v>
      </c>
      <c r="V8" t="str">
        <f t="shared" si="2"/>
        <v>2025-11</v>
      </c>
      <c r="W8" s="667"/>
      <c r="AA8" s="670"/>
    </row>
    <row r="9" spans="1:29">
      <c r="A9" s="670" t="s">
        <v>5352</v>
      </c>
      <c r="B9" t="s">
        <v>5323</v>
      </c>
      <c r="C9" t="s">
        <v>5353</v>
      </c>
      <c r="D9" t="s">
        <v>5354</v>
      </c>
      <c r="E9" t="s">
        <v>953</v>
      </c>
      <c r="F9" t="s">
        <v>5325</v>
      </c>
      <c r="G9" t="s">
        <v>5337</v>
      </c>
      <c r="H9" s="670" t="s">
        <v>5355</v>
      </c>
      <c r="I9" s="669">
        <v>45925</v>
      </c>
      <c r="J9" s="669"/>
      <c r="K9" t="s">
        <v>5323</v>
      </c>
      <c r="L9" s="667">
        <v>565</v>
      </c>
      <c r="M9" s="667">
        <v>465</v>
      </c>
      <c r="N9" s="667">
        <f t="shared" si="0"/>
        <v>100</v>
      </c>
      <c r="O9" s="668">
        <f t="shared" si="1"/>
        <v>0.82300884955752207</v>
      </c>
      <c r="P9" s="667">
        <v>1000</v>
      </c>
      <c r="R9" t="b">
        <v>0</v>
      </c>
      <c r="S9" t="b">
        <v>0</v>
      </c>
      <c r="T9">
        <v>56</v>
      </c>
      <c r="U9" s="669">
        <v>45869</v>
      </c>
      <c r="V9" t="str">
        <f t="shared" si="2"/>
        <v>2025-07</v>
      </c>
      <c r="W9" s="667"/>
      <c r="AA9" s="670"/>
    </row>
    <row r="10" spans="1:29">
      <c r="A10" s="670" t="s">
        <v>5356</v>
      </c>
      <c r="B10" t="s">
        <v>5323</v>
      </c>
      <c r="C10" t="s">
        <v>1894</v>
      </c>
      <c r="D10" t="s">
        <v>5357</v>
      </c>
      <c r="E10" t="s">
        <v>953</v>
      </c>
      <c r="F10" t="s">
        <v>5325</v>
      </c>
      <c r="G10" t="s">
        <v>5326</v>
      </c>
      <c r="H10" s="670" t="s">
        <v>5358</v>
      </c>
      <c r="I10" s="669">
        <v>45966</v>
      </c>
      <c r="J10" s="669"/>
      <c r="K10" t="s">
        <v>5323</v>
      </c>
      <c r="L10" s="667">
        <v>1730</v>
      </c>
      <c r="M10" s="667">
        <v>750</v>
      </c>
      <c r="N10" s="667">
        <f t="shared" si="0"/>
        <v>980</v>
      </c>
      <c r="O10" s="668">
        <f t="shared" si="1"/>
        <v>0.43352601156069365</v>
      </c>
      <c r="P10" s="667">
        <v>750</v>
      </c>
      <c r="R10" t="b">
        <v>0</v>
      </c>
      <c r="S10" t="b">
        <v>0</v>
      </c>
      <c r="T10">
        <v>58</v>
      </c>
      <c r="U10" s="669">
        <v>45908</v>
      </c>
      <c r="V10" t="str">
        <f t="shared" si="2"/>
        <v>2025-09</v>
      </c>
      <c r="W10" s="667"/>
      <c r="AA10" s="670"/>
    </row>
    <row r="11" spans="1:29">
      <c r="A11" s="670" t="s">
        <v>5359</v>
      </c>
      <c r="B11" t="s">
        <v>5323</v>
      </c>
      <c r="C11" t="s">
        <v>5360</v>
      </c>
      <c r="D11">
        <v>3017</v>
      </c>
      <c r="E11" t="s">
        <v>953</v>
      </c>
      <c r="F11" t="s">
        <v>5325</v>
      </c>
      <c r="G11" t="s">
        <v>5326</v>
      </c>
      <c r="H11" s="670" t="s">
        <v>5361</v>
      </c>
      <c r="I11" s="669">
        <v>45499</v>
      </c>
      <c r="J11" s="669"/>
      <c r="K11" t="s">
        <v>5323</v>
      </c>
      <c r="L11" s="667">
        <v>1250</v>
      </c>
      <c r="M11" s="667">
        <v>1000</v>
      </c>
      <c r="N11" s="667">
        <f t="shared" si="0"/>
        <v>250</v>
      </c>
      <c r="O11" s="668">
        <f t="shared" si="1"/>
        <v>0.8</v>
      </c>
      <c r="P11" s="667">
        <v>1000</v>
      </c>
      <c r="R11" t="b">
        <v>0</v>
      </c>
      <c r="S11" t="b">
        <v>0</v>
      </c>
      <c r="T11">
        <v>100</v>
      </c>
      <c r="U11" s="669">
        <v>45399</v>
      </c>
      <c r="V11" t="str">
        <f t="shared" si="2"/>
        <v>2024-04</v>
      </c>
      <c r="W11" s="667"/>
      <c r="AA11" s="670"/>
    </row>
    <row r="12" spans="1:29">
      <c r="A12" s="670" t="s">
        <v>5362</v>
      </c>
      <c r="B12" t="s">
        <v>5323</v>
      </c>
      <c r="C12" t="s">
        <v>4502</v>
      </c>
      <c r="D12" t="s">
        <v>1124</v>
      </c>
      <c r="E12" t="s">
        <v>953</v>
      </c>
      <c r="F12" t="s">
        <v>5349</v>
      </c>
      <c r="G12" t="s">
        <v>5349</v>
      </c>
      <c r="H12" s="670" t="s">
        <v>5363</v>
      </c>
      <c r="I12" s="669">
        <v>46010</v>
      </c>
      <c r="J12" s="669"/>
      <c r="K12" t="s">
        <v>5323</v>
      </c>
      <c r="L12" s="667">
        <v>9793.82</v>
      </c>
      <c r="M12" s="667">
        <v>0</v>
      </c>
      <c r="N12" s="667">
        <f t="shared" si="0"/>
        <v>9793.82</v>
      </c>
      <c r="O12" s="668">
        <f t="shared" si="1"/>
        <v>0</v>
      </c>
      <c r="P12" s="667">
        <v>750</v>
      </c>
      <c r="Q12" t="s">
        <v>5351</v>
      </c>
      <c r="R12" t="b">
        <v>0</v>
      </c>
      <c r="S12" t="b">
        <v>0</v>
      </c>
      <c r="T12">
        <v>37</v>
      </c>
      <c r="U12" s="669">
        <v>45973</v>
      </c>
      <c r="V12" t="str">
        <f t="shared" si="2"/>
        <v>2025-11</v>
      </c>
      <c r="W12" s="667"/>
      <c r="AA12" s="670"/>
    </row>
    <row r="13" spans="1:29">
      <c r="A13" s="670" t="s">
        <v>5364</v>
      </c>
      <c r="B13" t="s">
        <v>5323</v>
      </c>
      <c r="C13" t="s">
        <v>4626</v>
      </c>
      <c r="D13" t="s">
        <v>5365</v>
      </c>
      <c r="E13" t="s">
        <v>953</v>
      </c>
      <c r="F13" t="s">
        <v>5325</v>
      </c>
      <c r="G13" t="s">
        <v>5326</v>
      </c>
      <c r="H13" s="670" t="s">
        <v>5366</v>
      </c>
      <c r="I13" s="669">
        <v>45925</v>
      </c>
      <c r="J13" s="669"/>
      <c r="K13" t="s">
        <v>5323</v>
      </c>
      <c r="L13" s="667">
        <v>3441.36</v>
      </c>
      <c r="M13" s="667">
        <v>1000</v>
      </c>
      <c r="N13" s="667">
        <f t="shared" si="0"/>
        <v>2441.36</v>
      </c>
      <c r="O13" s="668">
        <f t="shared" si="1"/>
        <v>0.29058279284933863</v>
      </c>
      <c r="P13" s="667">
        <v>1000</v>
      </c>
      <c r="R13" t="b">
        <v>0</v>
      </c>
      <c r="S13" t="b">
        <v>0</v>
      </c>
      <c r="T13">
        <v>56</v>
      </c>
      <c r="U13" s="669">
        <v>45869</v>
      </c>
      <c r="V13" t="str">
        <f t="shared" si="2"/>
        <v>2025-07</v>
      </c>
      <c r="W13" s="667"/>
      <c r="AA13" s="670"/>
    </row>
    <row r="14" spans="1:29">
      <c r="A14" s="670" t="s">
        <v>5367</v>
      </c>
      <c r="B14" t="s">
        <v>5323</v>
      </c>
      <c r="C14" t="s">
        <v>5368</v>
      </c>
      <c r="D14">
        <v>2097</v>
      </c>
      <c r="E14" t="s">
        <v>953</v>
      </c>
      <c r="F14" t="s">
        <v>5325</v>
      </c>
      <c r="G14" t="s">
        <v>5337</v>
      </c>
      <c r="H14" s="670" t="s">
        <v>5369</v>
      </c>
      <c r="I14" s="669">
        <v>45526</v>
      </c>
      <c r="J14" s="669">
        <v>45499</v>
      </c>
      <c r="K14" t="s">
        <v>5323</v>
      </c>
      <c r="L14" s="667">
        <v>640.97</v>
      </c>
      <c r="M14" s="667">
        <v>297.01</v>
      </c>
      <c r="N14" s="667">
        <f t="shared" si="0"/>
        <v>343.96000000000004</v>
      </c>
      <c r="O14" s="668">
        <f t="shared" si="1"/>
        <v>0.46337582102126462</v>
      </c>
      <c r="P14" s="667">
        <v>1000</v>
      </c>
      <c r="R14" t="b">
        <v>0</v>
      </c>
      <c r="S14" t="b">
        <v>0</v>
      </c>
      <c r="T14">
        <v>107</v>
      </c>
      <c r="U14" s="669">
        <v>45419</v>
      </c>
      <c r="V14" t="str">
        <f t="shared" si="2"/>
        <v>2024-05</v>
      </c>
      <c r="W14" s="667"/>
      <c r="AA14" s="670"/>
    </row>
    <row r="15" spans="1:29">
      <c r="A15" s="670" t="s">
        <v>5370</v>
      </c>
      <c r="B15" t="s">
        <v>5323</v>
      </c>
      <c r="C15" t="s">
        <v>5371</v>
      </c>
      <c r="D15" t="s">
        <v>986</v>
      </c>
      <c r="E15" t="s">
        <v>953</v>
      </c>
      <c r="F15" t="s">
        <v>5325</v>
      </c>
      <c r="G15" t="s">
        <v>5345</v>
      </c>
      <c r="H15" s="670" t="s">
        <v>5372</v>
      </c>
      <c r="I15" s="669">
        <v>46028</v>
      </c>
      <c r="J15" s="669"/>
      <c r="K15" t="s">
        <v>5323</v>
      </c>
      <c r="L15" s="667">
        <v>450.53</v>
      </c>
      <c r="M15" s="667">
        <v>340</v>
      </c>
      <c r="N15" s="667">
        <f t="shared" si="0"/>
        <v>110.52999999999997</v>
      </c>
      <c r="O15" s="668">
        <f t="shared" si="1"/>
        <v>0.75466672585621386</v>
      </c>
      <c r="P15" s="667">
        <v>750</v>
      </c>
      <c r="R15" t="b">
        <v>1</v>
      </c>
      <c r="S15" t="b">
        <v>0</v>
      </c>
      <c r="T15">
        <v>36</v>
      </c>
      <c r="U15" s="669">
        <v>45992</v>
      </c>
      <c r="V15" t="str">
        <f t="shared" si="2"/>
        <v>2025-12</v>
      </c>
      <c r="W15" s="667"/>
      <c r="AA15" s="670"/>
    </row>
    <row r="16" spans="1:29">
      <c r="A16" s="670" t="s">
        <v>5373</v>
      </c>
      <c r="B16" t="s">
        <v>5323</v>
      </c>
      <c r="C16" t="s">
        <v>4665</v>
      </c>
      <c r="D16" t="s">
        <v>5374</v>
      </c>
      <c r="E16" t="s">
        <v>953</v>
      </c>
      <c r="F16" t="s">
        <v>5325</v>
      </c>
      <c r="G16" t="s">
        <v>5337</v>
      </c>
      <c r="H16" s="670" t="s">
        <v>5375</v>
      </c>
      <c r="I16" s="669">
        <v>46041</v>
      </c>
      <c r="J16" s="669"/>
      <c r="K16" t="s">
        <v>5323</v>
      </c>
      <c r="L16" s="667">
        <v>3002.45</v>
      </c>
      <c r="M16" s="667">
        <v>245</v>
      </c>
      <c r="N16" s="667">
        <f t="shared" si="0"/>
        <v>2757.45</v>
      </c>
      <c r="O16" s="668">
        <f t="shared" si="1"/>
        <v>8.1600026644906662E-2</v>
      </c>
      <c r="P16" s="667">
        <v>750</v>
      </c>
      <c r="R16" t="b">
        <v>0</v>
      </c>
      <c r="S16" t="b">
        <v>0</v>
      </c>
      <c r="T16">
        <v>55</v>
      </c>
      <c r="U16" s="669">
        <v>45986</v>
      </c>
      <c r="V16" t="str">
        <f t="shared" si="2"/>
        <v>2025-11</v>
      </c>
      <c r="W16" s="667"/>
      <c r="AA16" s="670"/>
    </row>
    <row r="17" spans="1:27">
      <c r="A17" s="670" t="s">
        <v>5376</v>
      </c>
      <c r="B17" t="s">
        <v>5323</v>
      </c>
      <c r="C17" t="s">
        <v>5377</v>
      </c>
      <c r="D17" t="s">
        <v>2420</v>
      </c>
      <c r="E17" t="s">
        <v>953</v>
      </c>
      <c r="F17" t="s">
        <v>5325</v>
      </c>
      <c r="G17" t="s">
        <v>5326</v>
      </c>
      <c r="H17" s="670" t="s">
        <v>5378</v>
      </c>
      <c r="I17" s="669">
        <v>45923</v>
      </c>
      <c r="J17" s="669"/>
      <c r="K17" t="s">
        <v>5323</v>
      </c>
      <c r="L17" s="667">
        <v>1151</v>
      </c>
      <c r="M17" s="667">
        <v>750</v>
      </c>
      <c r="N17" s="667">
        <f t="shared" si="0"/>
        <v>401</v>
      </c>
      <c r="O17" s="668">
        <f t="shared" si="1"/>
        <v>0.65160729800173767</v>
      </c>
      <c r="P17" s="667">
        <v>750</v>
      </c>
      <c r="R17" t="b">
        <v>0</v>
      </c>
      <c r="S17" t="b">
        <v>0</v>
      </c>
      <c r="T17">
        <v>57</v>
      </c>
      <c r="U17" s="669">
        <v>45866</v>
      </c>
      <c r="V17" t="str">
        <f t="shared" si="2"/>
        <v>2025-07</v>
      </c>
      <c r="W17" s="667"/>
      <c r="AA17" s="670"/>
    </row>
    <row r="18" spans="1:27">
      <c r="A18" s="670" t="s">
        <v>5379</v>
      </c>
      <c r="B18" t="s">
        <v>5323</v>
      </c>
      <c r="C18" t="s">
        <v>5380</v>
      </c>
      <c r="D18" t="s">
        <v>5381</v>
      </c>
      <c r="E18" t="s">
        <v>953</v>
      </c>
      <c r="F18" t="s">
        <v>5325</v>
      </c>
      <c r="G18" t="s">
        <v>5326</v>
      </c>
      <c r="H18" s="670" t="s">
        <v>5382</v>
      </c>
      <c r="I18" s="669">
        <v>45526</v>
      </c>
      <c r="J18" s="669"/>
      <c r="K18" t="s">
        <v>5323</v>
      </c>
      <c r="L18" s="667">
        <v>2611.98</v>
      </c>
      <c r="M18" s="667">
        <v>1000</v>
      </c>
      <c r="N18" s="667">
        <f t="shared" si="0"/>
        <v>1611.98</v>
      </c>
      <c r="O18" s="668">
        <f t="shared" si="1"/>
        <v>0.38285132351702539</v>
      </c>
      <c r="P18" s="667">
        <v>1000</v>
      </c>
      <c r="R18" t="b">
        <v>0</v>
      </c>
      <c r="S18" t="b">
        <v>0</v>
      </c>
      <c r="T18">
        <v>106</v>
      </c>
      <c r="U18" s="669">
        <v>45420</v>
      </c>
      <c r="V18" t="str">
        <f t="shared" si="2"/>
        <v>2024-05</v>
      </c>
      <c r="W18" s="667"/>
      <c r="AA18" s="670"/>
    </row>
    <row r="19" spans="1:27">
      <c r="A19" s="670" t="s">
        <v>5383</v>
      </c>
      <c r="B19" t="s">
        <v>5323</v>
      </c>
      <c r="C19" t="s">
        <v>5384</v>
      </c>
      <c r="D19" t="s">
        <v>5385</v>
      </c>
      <c r="E19" t="s">
        <v>953</v>
      </c>
      <c r="F19" t="s">
        <v>5325</v>
      </c>
      <c r="G19" t="s">
        <v>5337</v>
      </c>
      <c r="H19" s="670" t="s">
        <v>5386</v>
      </c>
      <c r="I19" s="669">
        <v>45890</v>
      </c>
      <c r="J19" s="669">
        <v>45863</v>
      </c>
      <c r="K19" t="s">
        <v>5323</v>
      </c>
      <c r="L19" s="667">
        <v>246.24</v>
      </c>
      <c r="M19" s="667">
        <v>125</v>
      </c>
      <c r="N19" s="667">
        <f t="shared" si="0"/>
        <v>121.24000000000001</v>
      </c>
      <c r="O19" s="668">
        <f t="shared" si="1"/>
        <v>0.50763482781026636</v>
      </c>
      <c r="P19" s="667">
        <v>750</v>
      </c>
      <c r="R19" t="b">
        <v>0</v>
      </c>
      <c r="S19" t="b">
        <v>0</v>
      </c>
      <c r="T19">
        <v>51</v>
      </c>
      <c r="U19" s="669">
        <v>45839</v>
      </c>
      <c r="V19" t="str">
        <f t="shared" si="2"/>
        <v>2025-07</v>
      </c>
      <c r="W19" s="667"/>
      <c r="AA19" s="670"/>
    </row>
    <row r="20" spans="1:27">
      <c r="A20" s="670" t="s">
        <v>5387</v>
      </c>
      <c r="B20" t="s">
        <v>5323</v>
      </c>
      <c r="C20" t="s">
        <v>4327</v>
      </c>
      <c r="D20" t="s">
        <v>5388</v>
      </c>
      <c r="E20" t="s">
        <v>953</v>
      </c>
      <c r="F20" t="s">
        <v>5349</v>
      </c>
      <c r="G20" t="s">
        <v>5349</v>
      </c>
      <c r="H20" s="670" t="s">
        <v>5389</v>
      </c>
      <c r="I20" s="669">
        <v>46011</v>
      </c>
      <c r="J20" s="669"/>
      <c r="K20" t="s">
        <v>5323</v>
      </c>
      <c r="L20" s="667">
        <v>21165.97</v>
      </c>
      <c r="M20" s="667">
        <v>0</v>
      </c>
      <c r="N20" s="667">
        <f t="shared" si="0"/>
        <v>21165.97</v>
      </c>
      <c r="O20" s="668">
        <f t="shared" si="1"/>
        <v>0</v>
      </c>
      <c r="P20" s="667">
        <v>750</v>
      </c>
      <c r="Q20" t="s">
        <v>5351</v>
      </c>
      <c r="R20" t="b">
        <v>0</v>
      </c>
      <c r="S20" t="b">
        <v>0</v>
      </c>
      <c r="T20">
        <v>38</v>
      </c>
      <c r="U20" s="669">
        <v>45973</v>
      </c>
      <c r="V20" t="str">
        <f t="shared" si="2"/>
        <v>2025-11</v>
      </c>
      <c r="W20" s="667"/>
      <c r="AA20" s="670"/>
    </row>
    <row r="21" spans="1:27">
      <c r="A21" s="670" t="s">
        <v>5390</v>
      </c>
      <c r="B21" t="s">
        <v>5323</v>
      </c>
      <c r="C21" t="s">
        <v>4685</v>
      </c>
      <c r="D21" t="s">
        <v>5391</v>
      </c>
      <c r="E21" t="s">
        <v>953</v>
      </c>
      <c r="F21" t="s">
        <v>5325</v>
      </c>
      <c r="G21" t="s">
        <v>5392</v>
      </c>
      <c r="H21" s="670" t="s">
        <v>5393</v>
      </c>
      <c r="I21" s="669">
        <v>46010</v>
      </c>
      <c r="J21" s="669">
        <v>45960</v>
      </c>
      <c r="K21" t="s">
        <v>5323</v>
      </c>
      <c r="L21" s="667">
        <v>857</v>
      </c>
      <c r="M21" s="667">
        <v>276</v>
      </c>
      <c r="N21" s="667">
        <f t="shared" si="0"/>
        <v>581</v>
      </c>
      <c r="O21" s="668">
        <f t="shared" si="1"/>
        <v>0.32205367561260212</v>
      </c>
      <c r="P21" s="667">
        <v>1000</v>
      </c>
      <c r="R21" t="b">
        <v>1</v>
      </c>
      <c r="S21" t="b">
        <v>0</v>
      </c>
      <c r="T21">
        <v>119</v>
      </c>
      <c r="U21" s="669">
        <v>45891</v>
      </c>
      <c r="V21" t="str">
        <f t="shared" si="2"/>
        <v>2025-08</v>
      </c>
      <c r="W21" s="667"/>
      <c r="AA21" s="670"/>
    </row>
    <row r="22" spans="1:27">
      <c r="A22" s="670" t="s">
        <v>5394</v>
      </c>
      <c r="B22" t="s">
        <v>5323</v>
      </c>
      <c r="C22" t="s">
        <v>5395</v>
      </c>
      <c r="D22">
        <v>3089</v>
      </c>
      <c r="E22" t="s">
        <v>953</v>
      </c>
      <c r="F22" t="s">
        <v>5325</v>
      </c>
      <c r="G22" t="s">
        <v>5392</v>
      </c>
      <c r="H22" s="670" t="s">
        <v>5396</v>
      </c>
      <c r="I22" s="669">
        <v>45582</v>
      </c>
      <c r="J22" s="669">
        <v>45539</v>
      </c>
      <c r="K22" t="s">
        <v>5323</v>
      </c>
      <c r="L22" s="667">
        <v>1922.02</v>
      </c>
      <c r="M22" s="667">
        <v>730.62</v>
      </c>
      <c r="N22" s="667">
        <f t="shared" si="0"/>
        <v>1191.4000000000001</v>
      </c>
      <c r="O22" s="668">
        <f t="shared" si="1"/>
        <v>0.38013132017356738</v>
      </c>
      <c r="P22" s="667">
        <v>1000</v>
      </c>
      <c r="R22" t="b">
        <v>1</v>
      </c>
      <c r="S22" t="b">
        <v>0</v>
      </c>
      <c r="T22">
        <v>115</v>
      </c>
      <c r="U22" s="669">
        <v>45467</v>
      </c>
      <c r="V22" t="str">
        <f t="shared" si="2"/>
        <v>2024-06</v>
      </c>
      <c r="W22" s="667"/>
      <c r="AA22" s="670"/>
    </row>
    <row r="23" spans="1:27">
      <c r="A23" s="670" t="s">
        <v>5397</v>
      </c>
      <c r="B23" t="s">
        <v>5323</v>
      </c>
      <c r="C23" t="s">
        <v>5398</v>
      </c>
      <c r="D23" t="s">
        <v>1378</v>
      </c>
      <c r="E23" t="s">
        <v>953</v>
      </c>
      <c r="F23" t="s">
        <v>5325</v>
      </c>
      <c r="G23" t="s">
        <v>5337</v>
      </c>
      <c r="H23" s="670" t="s">
        <v>5399</v>
      </c>
      <c r="I23" s="669">
        <v>45925</v>
      </c>
      <c r="J23" s="669"/>
      <c r="K23" t="s">
        <v>5323</v>
      </c>
      <c r="L23" s="667">
        <v>2614.7800000000002</v>
      </c>
      <c r="M23" s="667">
        <v>750</v>
      </c>
      <c r="N23" s="667">
        <f t="shared" si="0"/>
        <v>1864.7800000000002</v>
      </c>
      <c r="O23" s="668">
        <f t="shared" si="1"/>
        <v>0.28683101446393194</v>
      </c>
      <c r="P23" s="667">
        <v>750</v>
      </c>
      <c r="R23" t="b">
        <v>1</v>
      </c>
      <c r="S23" t="b">
        <v>0</v>
      </c>
      <c r="T23">
        <v>57</v>
      </c>
      <c r="U23" s="669">
        <v>45868</v>
      </c>
      <c r="V23" t="str">
        <f t="shared" si="2"/>
        <v>2025-07</v>
      </c>
      <c r="W23" s="667"/>
      <c r="AA23" s="670"/>
    </row>
    <row r="24" spans="1:27">
      <c r="A24" s="670" t="s">
        <v>5400</v>
      </c>
      <c r="B24" t="s">
        <v>5323</v>
      </c>
      <c r="C24" t="s">
        <v>5401</v>
      </c>
      <c r="D24">
        <v>3008</v>
      </c>
      <c r="E24" t="s">
        <v>953</v>
      </c>
      <c r="F24" t="s">
        <v>5325</v>
      </c>
      <c r="G24" t="s">
        <v>5326</v>
      </c>
      <c r="H24" s="670" t="s">
        <v>5402</v>
      </c>
      <c r="I24" s="669">
        <v>45499</v>
      </c>
      <c r="J24" s="669">
        <v>45448</v>
      </c>
      <c r="K24" t="s">
        <v>5323</v>
      </c>
      <c r="L24" s="667">
        <v>1335.42</v>
      </c>
      <c r="M24" s="667">
        <v>1000</v>
      </c>
      <c r="N24" s="667">
        <f t="shared" si="0"/>
        <v>335.42000000000007</v>
      </c>
      <c r="O24" s="668">
        <f t="shared" si="1"/>
        <v>0.74882808404846413</v>
      </c>
      <c r="P24" s="667">
        <v>1000</v>
      </c>
      <c r="R24" t="b">
        <v>0</v>
      </c>
      <c r="S24" t="b">
        <v>0</v>
      </c>
      <c r="T24">
        <v>88</v>
      </c>
      <c r="U24" s="669">
        <v>45411</v>
      </c>
      <c r="V24" t="str">
        <f t="shared" si="2"/>
        <v>2024-04</v>
      </c>
      <c r="W24" s="667"/>
      <c r="AA24" s="670"/>
    </row>
    <row r="25" spans="1:27">
      <c r="A25" s="670" t="s">
        <v>5403</v>
      </c>
      <c r="B25" t="s">
        <v>5323</v>
      </c>
      <c r="C25" t="s">
        <v>5404</v>
      </c>
      <c r="D25">
        <v>3047</v>
      </c>
      <c r="E25" t="s">
        <v>953</v>
      </c>
      <c r="F25" t="s">
        <v>5325</v>
      </c>
      <c r="G25" t="s">
        <v>5326</v>
      </c>
      <c r="H25" s="670" t="s">
        <v>5405</v>
      </c>
      <c r="I25" s="669">
        <v>45573</v>
      </c>
      <c r="J25" s="669">
        <v>45511</v>
      </c>
      <c r="K25" t="s">
        <v>5323</v>
      </c>
      <c r="L25" s="667">
        <v>1074.79</v>
      </c>
      <c r="M25" s="667">
        <v>1000</v>
      </c>
      <c r="N25" s="667">
        <f t="shared" si="0"/>
        <v>74.789999999999964</v>
      </c>
      <c r="O25" s="668">
        <f t="shared" si="1"/>
        <v>0.93041431349379877</v>
      </c>
      <c r="P25" s="667">
        <v>1000</v>
      </c>
      <c r="R25" t="b">
        <v>0</v>
      </c>
      <c r="S25" t="b">
        <v>0</v>
      </c>
      <c r="T25">
        <v>98</v>
      </c>
      <c r="U25" s="669">
        <v>45475</v>
      </c>
      <c r="V25" t="str">
        <f t="shared" si="2"/>
        <v>2024-07</v>
      </c>
      <c r="W25" s="667"/>
      <c r="AA25" s="670"/>
    </row>
    <row r="26" spans="1:27">
      <c r="A26" s="670" t="s">
        <v>5406</v>
      </c>
      <c r="B26" t="s">
        <v>5323</v>
      </c>
      <c r="C26" t="s">
        <v>5407</v>
      </c>
      <c r="D26" t="s">
        <v>5408</v>
      </c>
      <c r="E26" t="s">
        <v>953</v>
      </c>
      <c r="F26" t="s">
        <v>5325</v>
      </c>
      <c r="G26" t="s">
        <v>5326</v>
      </c>
      <c r="H26" s="670" t="s">
        <v>5409</v>
      </c>
      <c r="I26" s="669">
        <v>45925</v>
      </c>
      <c r="J26" s="669"/>
      <c r="K26" t="s">
        <v>5323</v>
      </c>
      <c r="L26" s="667">
        <v>2070</v>
      </c>
      <c r="M26" s="667">
        <v>750</v>
      </c>
      <c r="N26" s="667">
        <f t="shared" si="0"/>
        <v>1320</v>
      </c>
      <c r="O26" s="668">
        <f t="shared" si="1"/>
        <v>0.36231884057971014</v>
      </c>
      <c r="P26" s="667">
        <v>750</v>
      </c>
      <c r="R26" t="b">
        <v>0</v>
      </c>
      <c r="S26" t="b">
        <v>0</v>
      </c>
      <c r="T26">
        <v>66</v>
      </c>
      <c r="U26" s="669">
        <v>45859</v>
      </c>
      <c r="V26" t="str">
        <f t="shared" si="2"/>
        <v>2025-07</v>
      </c>
      <c r="W26" s="667"/>
      <c r="AA26" s="670"/>
    </row>
    <row r="27" spans="1:27">
      <c r="A27" s="670" t="s">
        <v>5410</v>
      </c>
      <c r="B27" t="s">
        <v>5323</v>
      </c>
      <c r="C27" t="s">
        <v>5411</v>
      </c>
      <c r="D27" t="s">
        <v>1827</v>
      </c>
      <c r="E27" t="s">
        <v>953</v>
      </c>
      <c r="F27" t="s">
        <v>5325</v>
      </c>
      <c r="G27" t="s">
        <v>5326</v>
      </c>
      <c r="H27" s="670" t="s">
        <v>5412</v>
      </c>
      <c r="I27" s="669">
        <v>45670</v>
      </c>
      <c r="J27" s="669">
        <v>45643</v>
      </c>
      <c r="K27" t="s">
        <v>5323</v>
      </c>
      <c r="L27" s="667">
        <v>1165</v>
      </c>
      <c r="M27" s="667">
        <v>750</v>
      </c>
      <c r="N27" s="667">
        <f t="shared" si="0"/>
        <v>415</v>
      </c>
      <c r="O27" s="668">
        <f t="shared" si="1"/>
        <v>0.64377682403433478</v>
      </c>
      <c r="P27" s="667">
        <v>750</v>
      </c>
      <c r="R27" t="b">
        <v>0</v>
      </c>
      <c r="S27" t="b">
        <v>0</v>
      </c>
      <c r="T27">
        <v>31</v>
      </c>
      <c r="U27" s="669">
        <v>45639</v>
      </c>
      <c r="V27" t="str">
        <f t="shared" si="2"/>
        <v>2024-12</v>
      </c>
      <c r="W27" s="667"/>
      <c r="AA27" s="670"/>
    </row>
    <row r="28" spans="1:27">
      <c r="A28" s="670" t="s">
        <v>5413</v>
      </c>
      <c r="B28" t="s">
        <v>5323</v>
      </c>
      <c r="C28" t="s">
        <v>5414</v>
      </c>
      <c r="D28" t="s">
        <v>5415</v>
      </c>
      <c r="E28" t="s">
        <v>953</v>
      </c>
      <c r="F28" t="s">
        <v>5325</v>
      </c>
      <c r="G28" t="s">
        <v>5326</v>
      </c>
      <c r="H28" s="670" t="s">
        <v>5416</v>
      </c>
      <c r="I28" s="669">
        <v>45925</v>
      </c>
      <c r="J28" s="669"/>
      <c r="K28" t="s">
        <v>5323</v>
      </c>
      <c r="L28" s="667">
        <v>1753.48</v>
      </c>
      <c r="M28" s="667">
        <v>750</v>
      </c>
      <c r="N28" s="667">
        <f t="shared" si="0"/>
        <v>1003.48</v>
      </c>
      <c r="O28" s="668">
        <f t="shared" si="1"/>
        <v>0.42772087505988093</v>
      </c>
      <c r="P28" s="667">
        <v>750</v>
      </c>
      <c r="R28" t="b">
        <v>0</v>
      </c>
      <c r="S28" t="b">
        <v>0</v>
      </c>
      <c r="T28">
        <v>60</v>
      </c>
      <c r="U28" s="669">
        <v>45865</v>
      </c>
      <c r="V28" t="str">
        <f t="shared" si="2"/>
        <v>2025-07</v>
      </c>
      <c r="W28" s="667"/>
      <c r="AA28" s="670"/>
    </row>
    <row r="29" spans="1:27">
      <c r="A29" s="670" t="s">
        <v>5417</v>
      </c>
      <c r="B29" t="s">
        <v>5323</v>
      </c>
      <c r="C29" t="s">
        <v>5418</v>
      </c>
      <c r="D29" t="s">
        <v>5419</v>
      </c>
      <c r="E29" t="s">
        <v>953</v>
      </c>
      <c r="F29" t="s">
        <v>5349</v>
      </c>
      <c r="G29" t="s">
        <v>5349</v>
      </c>
      <c r="H29" s="670" t="s">
        <v>5420</v>
      </c>
      <c r="I29" s="669">
        <v>46010</v>
      </c>
      <c r="J29" s="669"/>
      <c r="K29" t="s">
        <v>5323</v>
      </c>
      <c r="L29" s="667">
        <v>2283.36</v>
      </c>
      <c r="M29" s="667">
        <v>0</v>
      </c>
      <c r="N29" s="667">
        <f t="shared" si="0"/>
        <v>2283.36</v>
      </c>
      <c r="O29" s="668">
        <f t="shared" si="1"/>
        <v>0</v>
      </c>
      <c r="P29" s="667">
        <v>750</v>
      </c>
      <c r="Q29" t="s">
        <v>5421</v>
      </c>
      <c r="R29" t="b">
        <v>0</v>
      </c>
      <c r="S29" t="b">
        <v>0</v>
      </c>
      <c r="T29">
        <v>43</v>
      </c>
      <c r="U29" s="669">
        <v>45967</v>
      </c>
      <c r="V29" t="str">
        <f t="shared" si="2"/>
        <v>2025-11</v>
      </c>
      <c r="W29" s="667"/>
      <c r="AA29" s="670"/>
    </row>
    <row r="30" spans="1:27">
      <c r="A30" s="670" t="s">
        <v>5422</v>
      </c>
      <c r="B30" t="s">
        <v>5323</v>
      </c>
      <c r="C30" t="s">
        <v>5423</v>
      </c>
      <c r="D30" t="s">
        <v>5424</v>
      </c>
      <c r="E30" t="s">
        <v>953</v>
      </c>
      <c r="F30" t="s">
        <v>5325</v>
      </c>
      <c r="G30" t="s">
        <v>5326</v>
      </c>
      <c r="H30" s="670" t="s">
        <v>5425</v>
      </c>
      <c r="I30" s="669">
        <v>46063</v>
      </c>
      <c r="J30" s="669"/>
      <c r="K30" t="s">
        <v>5323</v>
      </c>
      <c r="L30" s="667">
        <v>4296.25</v>
      </c>
      <c r="M30" s="667">
        <v>750</v>
      </c>
      <c r="N30" s="667">
        <f t="shared" si="0"/>
        <v>3546.25</v>
      </c>
      <c r="O30" s="668">
        <f t="shared" si="1"/>
        <v>0.17457084666860634</v>
      </c>
      <c r="P30" s="667">
        <v>750</v>
      </c>
      <c r="R30" t="b">
        <v>0</v>
      </c>
      <c r="S30" t="b">
        <v>0</v>
      </c>
      <c r="T30">
        <v>46</v>
      </c>
      <c r="U30" s="669">
        <v>46017</v>
      </c>
      <c r="V30" t="str">
        <f t="shared" si="2"/>
        <v>2025-12</v>
      </c>
      <c r="W30" s="667"/>
      <c r="AA30" s="670"/>
    </row>
    <row r="31" spans="1:27">
      <c r="A31" s="670" t="s">
        <v>5426</v>
      </c>
      <c r="B31" t="s">
        <v>5323</v>
      </c>
      <c r="C31" t="s">
        <v>5427</v>
      </c>
      <c r="D31" t="s">
        <v>5428</v>
      </c>
      <c r="E31" t="s">
        <v>953</v>
      </c>
      <c r="F31" t="s">
        <v>5325</v>
      </c>
      <c r="G31" t="s">
        <v>5326</v>
      </c>
      <c r="H31" s="670" t="s">
        <v>5429</v>
      </c>
      <c r="I31" s="669">
        <v>45890</v>
      </c>
      <c r="J31" s="669"/>
      <c r="K31" t="s">
        <v>5323</v>
      </c>
      <c r="L31" s="667">
        <v>1670</v>
      </c>
      <c r="M31" s="667">
        <v>750</v>
      </c>
      <c r="N31" s="667">
        <f t="shared" si="0"/>
        <v>920</v>
      </c>
      <c r="O31" s="668">
        <f t="shared" si="1"/>
        <v>0.44910179640718562</v>
      </c>
      <c r="P31" s="667">
        <v>750</v>
      </c>
      <c r="R31" t="b">
        <v>0</v>
      </c>
      <c r="S31" t="b">
        <v>0</v>
      </c>
      <c r="T31">
        <v>57</v>
      </c>
      <c r="U31" s="669">
        <v>45833</v>
      </c>
      <c r="V31" t="str">
        <f t="shared" si="2"/>
        <v>2025-06</v>
      </c>
      <c r="W31" s="667"/>
      <c r="AA31" s="670"/>
    </row>
    <row r="32" spans="1:27">
      <c r="A32" s="670" t="s">
        <v>5430</v>
      </c>
      <c r="B32" t="s">
        <v>5323</v>
      </c>
      <c r="C32" t="s">
        <v>4587</v>
      </c>
      <c r="D32" t="s">
        <v>3238</v>
      </c>
      <c r="E32" t="s">
        <v>953</v>
      </c>
      <c r="F32" t="s">
        <v>5325</v>
      </c>
      <c r="G32" t="s">
        <v>5337</v>
      </c>
      <c r="H32" s="670" t="s">
        <v>5431</v>
      </c>
      <c r="I32" s="669">
        <v>46028</v>
      </c>
      <c r="J32" s="669"/>
      <c r="K32" t="s">
        <v>5323</v>
      </c>
      <c r="L32" s="667">
        <v>319.33</v>
      </c>
      <c r="M32" s="667">
        <v>195.25</v>
      </c>
      <c r="N32" s="667">
        <f t="shared" si="0"/>
        <v>124.07999999999998</v>
      </c>
      <c r="O32" s="668">
        <f t="shared" si="1"/>
        <v>0.61143644505683781</v>
      </c>
      <c r="P32" s="667">
        <v>750</v>
      </c>
      <c r="R32" t="b">
        <v>0</v>
      </c>
      <c r="S32" t="b">
        <v>0</v>
      </c>
      <c r="T32">
        <v>42</v>
      </c>
      <c r="U32" s="669">
        <v>45986</v>
      </c>
      <c r="V32" t="str">
        <f t="shared" si="2"/>
        <v>2025-11</v>
      </c>
      <c r="W32" s="667"/>
      <c r="AA32" s="670"/>
    </row>
    <row r="33" spans="1:27">
      <c r="A33" s="670" t="s">
        <v>5432</v>
      </c>
      <c r="B33" t="s">
        <v>5323</v>
      </c>
      <c r="C33" t="s">
        <v>5433</v>
      </c>
      <c r="D33" t="s">
        <v>4714</v>
      </c>
      <c r="E33" t="s">
        <v>953</v>
      </c>
      <c r="F33" t="s">
        <v>5325</v>
      </c>
      <c r="G33" t="s">
        <v>5326</v>
      </c>
      <c r="H33" s="670" t="s">
        <v>5434</v>
      </c>
      <c r="I33" s="669">
        <v>45452</v>
      </c>
      <c r="J33" s="669"/>
      <c r="K33" t="s">
        <v>5323</v>
      </c>
      <c r="L33" s="667">
        <v>1420.2</v>
      </c>
      <c r="M33" s="667">
        <v>1000</v>
      </c>
      <c r="N33" s="667">
        <f t="shared" si="0"/>
        <v>420.20000000000005</v>
      </c>
      <c r="O33" s="668">
        <f t="shared" si="1"/>
        <v>0.70412617941135047</v>
      </c>
      <c r="P33" s="667">
        <v>1000</v>
      </c>
      <c r="R33" t="b">
        <v>0</v>
      </c>
      <c r="S33" t="b">
        <v>0</v>
      </c>
      <c r="T33">
        <v>95</v>
      </c>
      <c r="U33" s="669">
        <v>45357</v>
      </c>
      <c r="V33" t="str">
        <f t="shared" si="2"/>
        <v>2024-03</v>
      </c>
      <c r="W33" s="667"/>
      <c r="AA33" s="670"/>
    </row>
    <row r="34" spans="1:27">
      <c r="A34" s="670" t="s">
        <v>5435</v>
      </c>
      <c r="B34" t="s">
        <v>5323</v>
      </c>
      <c r="C34" t="s">
        <v>5436</v>
      </c>
      <c r="D34" t="s">
        <v>4540</v>
      </c>
      <c r="E34" t="s">
        <v>953</v>
      </c>
      <c r="F34" t="s">
        <v>5325</v>
      </c>
      <c r="G34" t="s">
        <v>5437</v>
      </c>
      <c r="H34" s="670" t="s">
        <v>5438</v>
      </c>
      <c r="I34" s="669">
        <v>45452</v>
      </c>
      <c r="J34" s="669">
        <v>45390</v>
      </c>
      <c r="K34" t="s">
        <v>5323</v>
      </c>
      <c r="L34" s="667">
        <v>2168</v>
      </c>
      <c r="M34" s="667">
        <v>0</v>
      </c>
      <c r="N34" s="667">
        <f t="shared" ref="N34:N65" si="3">L34-M34</f>
        <v>2168</v>
      </c>
      <c r="O34" s="668">
        <f t="shared" ref="O34:O65" si="4">IF(L34=0,"",M34/L34)</f>
        <v>0</v>
      </c>
      <c r="P34" s="667">
        <v>1000</v>
      </c>
      <c r="R34" t="b">
        <v>0</v>
      </c>
      <c r="S34" t="b">
        <v>1</v>
      </c>
      <c r="T34">
        <v>88</v>
      </c>
      <c r="U34" s="669">
        <v>45364</v>
      </c>
      <c r="V34" t="str">
        <f t="shared" ref="V34:V65" si="5">TEXT(U34,"YYYY-MM")</f>
        <v>2024-03</v>
      </c>
      <c r="W34" s="667"/>
      <c r="AA34" s="670"/>
    </row>
    <row r="35" spans="1:27">
      <c r="A35" s="670" t="s">
        <v>5439</v>
      </c>
      <c r="B35" t="s">
        <v>5323</v>
      </c>
      <c r="C35" t="s">
        <v>5440</v>
      </c>
      <c r="D35" t="s">
        <v>1142</v>
      </c>
      <c r="E35" t="s">
        <v>953</v>
      </c>
      <c r="F35" t="s">
        <v>5349</v>
      </c>
      <c r="G35" t="s">
        <v>5349</v>
      </c>
      <c r="H35" s="670" t="s">
        <v>5441</v>
      </c>
      <c r="I35" s="669">
        <v>46010</v>
      </c>
      <c r="J35" s="669"/>
      <c r="K35" t="s">
        <v>5323</v>
      </c>
      <c r="L35" s="667">
        <v>1723.75</v>
      </c>
      <c r="M35" s="667">
        <v>0</v>
      </c>
      <c r="N35" s="667">
        <f t="shared" si="3"/>
        <v>1723.75</v>
      </c>
      <c r="O35" s="668">
        <f t="shared" si="4"/>
        <v>0</v>
      </c>
      <c r="P35" s="667">
        <v>1000</v>
      </c>
      <c r="Q35" t="s">
        <v>5351</v>
      </c>
      <c r="R35" t="b">
        <v>0</v>
      </c>
      <c r="S35" t="b">
        <v>0</v>
      </c>
      <c r="T35">
        <v>43</v>
      </c>
      <c r="U35" s="669">
        <v>45967</v>
      </c>
      <c r="V35" t="str">
        <f t="shared" si="5"/>
        <v>2025-11</v>
      </c>
      <c r="W35" s="667"/>
      <c r="AA35" s="670"/>
    </row>
    <row r="36" spans="1:27">
      <c r="A36" s="670" t="s">
        <v>5442</v>
      </c>
      <c r="B36" t="s">
        <v>5323</v>
      </c>
      <c r="C36" t="s">
        <v>5443</v>
      </c>
      <c r="D36">
        <v>2041</v>
      </c>
      <c r="E36" t="s">
        <v>953</v>
      </c>
      <c r="F36" t="s">
        <v>5325</v>
      </c>
      <c r="G36" t="s">
        <v>5326</v>
      </c>
      <c r="H36" s="670" t="s">
        <v>5444</v>
      </c>
      <c r="I36" s="669">
        <v>45452</v>
      </c>
      <c r="J36" s="669"/>
      <c r="K36" t="s">
        <v>5323</v>
      </c>
      <c r="L36" s="667">
        <v>5750.66</v>
      </c>
      <c r="M36" s="667">
        <v>1000</v>
      </c>
      <c r="N36" s="667">
        <f t="shared" si="3"/>
        <v>4750.66</v>
      </c>
      <c r="O36" s="668">
        <f t="shared" si="4"/>
        <v>0.17389308357649383</v>
      </c>
      <c r="P36" s="667">
        <v>1000</v>
      </c>
      <c r="R36" t="b">
        <v>0</v>
      </c>
      <c r="S36" t="b">
        <v>0</v>
      </c>
      <c r="T36">
        <v>83</v>
      </c>
      <c r="U36" s="669">
        <v>45369</v>
      </c>
      <c r="V36" t="str">
        <f t="shared" si="5"/>
        <v>2024-03</v>
      </c>
      <c r="W36" s="667"/>
      <c r="AA36" s="670"/>
    </row>
    <row r="37" spans="1:27">
      <c r="A37" s="670" t="s">
        <v>5445</v>
      </c>
      <c r="B37" t="s">
        <v>5323</v>
      </c>
      <c r="C37" t="s">
        <v>5446</v>
      </c>
      <c r="D37">
        <v>1003</v>
      </c>
      <c r="E37" t="s">
        <v>953</v>
      </c>
      <c r="F37" t="s">
        <v>5325</v>
      </c>
      <c r="G37" t="s">
        <v>5326</v>
      </c>
      <c r="H37" s="670" t="s">
        <v>5447</v>
      </c>
      <c r="I37" s="669">
        <v>45526</v>
      </c>
      <c r="J37" s="669"/>
      <c r="K37" t="s">
        <v>5323</v>
      </c>
      <c r="L37" s="667">
        <v>2263.31</v>
      </c>
      <c r="M37" s="667">
        <v>1000</v>
      </c>
      <c r="N37" s="667">
        <f t="shared" si="3"/>
        <v>1263.31</v>
      </c>
      <c r="O37" s="668">
        <f t="shared" si="4"/>
        <v>0.44183076997848286</v>
      </c>
      <c r="P37" s="667">
        <v>1000</v>
      </c>
      <c r="R37" t="b">
        <v>0</v>
      </c>
      <c r="S37" t="b">
        <v>0</v>
      </c>
      <c r="T37">
        <v>112</v>
      </c>
      <c r="U37" s="669">
        <v>45414</v>
      </c>
      <c r="V37" t="str">
        <f t="shared" si="5"/>
        <v>2024-05</v>
      </c>
      <c r="W37" s="667"/>
      <c r="AA37" s="670"/>
    </row>
    <row r="38" spans="1:27">
      <c r="A38" s="670" t="s">
        <v>5448</v>
      </c>
      <c r="B38" t="s">
        <v>5323</v>
      </c>
      <c r="C38" t="s">
        <v>4606</v>
      </c>
      <c r="D38" t="s">
        <v>5449</v>
      </c>
      <c r="E38" t="s">
        <v>953</v>
      </c>
      <c r="F38" t="s">
        <v>5325</v>
      </c>
      <c r="G38" t="s">
        <v>5326</v>
      </c>
      <c r="H38" s="670" t="s">
        <v>5450</v>
      </c>
      <c r="I38" s="669">
        <v>46029</v>
      </c>
      <c r="J38" s="669"/>
      <c r="K38" t="s">
        <v>5323</v>
      </c>
      <c r="L38" s="667">
        <v>2958.7</v>
      </c>
      <c r="M38" s="667">
        <v>750</v>
      </c>
      <c r="N38" s="667">
        <f t="shared" si="3"/>
        <v>2208.6999999999998</v>
      </c>
      <c r="O38" s="668">
        <f t="shared" si="4"/>
        <v>0.25348970831784229</v>
      </c>
      <c r="P38" s="667">
        <v>750</v>
      </c>
      <c r="R38" t="b">
        <v>0</v>
      </c>
      <c r="S38" t="b">
        <v>0</v>
      </c>
      <c r="T38">
        <v>46</v>
      </c>
      <c r="U38" s="669">
        <v>45983</v>
      </c>
      <c r="V38" t="str">
        <f t="shared" si="5"/>
        <v>2025-11</v>
      </c>
      <c r="W38" s="667"/>
      <c r="AA38" s="670"/>
    </row>
    <row r="39" spans="1:27">
      <c r="A39" s="670" t="s">
        <v>5451</v>
      </c>
      <c r="B39" t="s">
        <v>5323</v>
      </c>
      <c r="C39" t="s">
        <v>5452</v>
      </c>
      <c r="D39" t="s">
        <v>4328</v>
      </c>
      <c r="E39" t="s">
        <v>953</v>
      </c>
      <c r="F39" t="s">
        <v>5325</v>
      </c>
      <c r="G39" t="s">
        <v>5326</v>
      </c>
      <c r="H39" s="670" t="s">
        <v>5453</v>
      </c>
      <c r="I39" s="669">
        <v>45452</v>
      </c>
      <c r="J39" s="669">
        <v>45409</v>
      </c>
      <c r="K39" t="s">
        <v>5323</v>
      </c>
      <c r="L39" s="667">
        <v>4791.1000000000004</v>
      </c>
      <c r="M39" s="667">
        <v>1000</v>
      </c>
      <c r="N39" s="667">
        <f t="shared" si="3"/>
        <v>3791.1000000000004</v>
      </c>
      <c r="O39" s="668">
        <f t="shared" si="4"/>
        <v>0.20872033562229966</v>
      </c>
      <c r="P39" s="667">
        <v>1000</v>
      </c>
      <c r="R39" t="b">
        <v>0</v>
      </c>
      <c r="S39" t="b">
        <v>0</v>
      </c>
      <c r="T39">
        <v>87</v>
      </c>
      <c r="U39" s="669">
        <v>45365</v>
      </c>
      <c r="V39" t="str">
        <f t="shared" si="5"/>
        <v>2024-03</v>
      </c>
      <c r="W39" s="667"/>
      <c r="AA39" s="670"/>
    </row>
    <row r="40" spans="1:27">
      <c r="A40" s="670" t="s">
        <v>5454</v>
      </c>
      <c r="B40" t="s">
        <v>5323</v>
      </c>
      <c r="C40" t="s">
        <v>5455</v>
      </c>
      <c r="D40" t="s">
        <v>4119</v>
      </c>
      <c r="E40" t="s">
        <v>953</v>
      </c>
      <c r="F40" t="s">
        <v>5325</v>
      </c>
      <c r="G40" t="s">
        <v>5392</v>
      </c>
      <c r="H40" s="670" t="s">
        <v>5456</v>
      </c>
      <c r="I40" s="669">
        <v>45497</v>
      </c>
      <c r="J40" s="669">
        <v>45413</v>
      </c>
      <c r="K40" t="s">
        <v>5323</v>
      </c>
      <c r="L40" s="667">
        <v>3882.14</v>
      </c>
      <c r="M40" s="667">
        <v>0</v>
      </c>
      <c r="N40" s="667">
        <f t="shared" si="3"/>
        <v>3882.14</v>
      </c>
      <c r="O40" s="668">
        <f t="shared" si="4"/>
        <v>0</v>
      </c>
      <c r="P40" s="667">
        <v>1000</v>
      </c>
      <c r="R40" t="b">
        <v>1</v>
      </c>
      <c r="S40" t="b">
        <v>0</v>
      </c>
      <c r="T40">
        <v>106</v>
      </c>
      <c r="U40" s="669">
        <v>45391</v>
      </c>
      <c r="V40" t="str">
        <f t="shared" si="5"/>
        <v>2024-04</v>
      </c>
      <c r="W40" s="667"/>
      <c r="AA40" s="670"/>
    </row>
    <row r="41" spans="1:27">
      <c r="A41" s="670" t="s">
        <v>5457</v>
      </c>
      <c r="B41" t="s">
        <v>5323</v>
      </c>
      <c r="C41" t="s">
        <v>5458</v>
      </c>
      <c r="D41">
        <v>114</v>
      </c>
      <c r="E41" t="s">
        <v>953</v>
      </c>
      <c r="F41" t="s">
        <v>5325</v>
      </c>
      <c r="G41" t="s">
        <v>5392</v>
      </c>
      <c r="H41" s="670" t="s">
        <v>5459</v>
      </c>
      <c r="I41" s="669">
        <v>45688</v>
      </c>
      <c r="J41" s="669">
        <v>45596</v>
      </c>
      <c r="K41" t="s">
        <v>5323</v>
      </c>
      <c r="L41" s="667">
        <v>1869.75</v>
      </c>
      <c r="M41" s="667">
        <v>0</v>
      </c>
      <c r="N41" s="667">
        <f t="shared" si="3"/>
        <v>1869.75</v>
      </c>
      <c r="O41" s="668">
        <f t="shared" si="4"/>
        <v>0</v>
      </c>
      <c r="P41" s="667">
        <v>1000</v>
      </c>
      <c r="R41" t="b">
        <v>1</v>
      </c>
      <c r="S41" t="b">
        <v>0</v>
      </c>
      <c r="T41">
        <v>81</v>
      </c>
      <c r="U41" s="669">
        <v>45607</v>
      </c>
      <c r="V41" t="str">
        <f t="shared" si="5"/>
        <v>2024-11</v>
      </c>
      <c r="W41" s="667"/>
      <c r="AA41" s="670"/>
    </row>
    <row r="42" spans="1:27">
      <c r="A42" s="670" t="s">
        <v>5460</v>
      </c>
      <c r="B42" t="s">
        <v>5323</v>
      </c>
      <c r="C42" t="s">
        <v>4375</v>
      </c>
      <c r="D42" t="s">
        <v>5461</v>
      </c>
      <c r="E42" t="s">
        <v>953</v>
      </c>
      <c r="F42" t="s">
        <v>5325</v>
      </c>
      <c r="G42" t="s">
        <v>5326</v>
      </c>
      <c r="H42" s="670" t="s">
        <v>5462</v>
      </c>
      <c r="I42" s="669">
        <v>46010</v>
      </c>
      <c r="J42" s="669"/>
      <c r="K42" t="s">
        <v>5323</v>
      </c>
      <c r="L42" s="667">
        <v>10192.540000000001</v>
      </c>
      <c r="M42" s="667">
        <v>750</v>
      </c>
      <c r="N42" s="667">
        <f t="shared" si="3"/>
        <v>9442.5400000000009</v>
      </c>
      <c r="O42" s="668">
        <f t="shared" si="4"/>
        <v>7.3583228518112262E-2</v>
      </c>
      <c r="P42" s="667">
        <v>750</v>
      </c>
      <c r="R42" t="b">
        <v>0</v>
      </c>
      <c r="S42" t="b">
        <v>0</v>
      </c>
      <c r="T42">
        <v>52</v>
      </c>
      <c r="U42" s="669">
        <v>45958</v>
      </c>
      <c r="V42" t="str">
        <f t="shared" si="5"/>
        <v>2025-10</v>
      </c>
      <c r="W42" s="667"/>
      <c r="AA42" s="670"/>
    </row>
    <row r="43" spans="1:27">
      <c r="A43" s="670" t="s">
        <v>5463</v>
      </c>
      <c r="B43" t="s">
        <v>5323</v>
      </c>
      <c r="C43" t="s">
        <v>5464</v>
      </c>
      <c r="D43" t="s">
        <v>3387</v>
      </c>
      <c r="E43" t="s">
        <v>953</v>
      </c>
      <c r="F43" t="s">
        <v>5325</v>
      </c>
      <c r="G43" t="s">
        <v>5337</v>
      </c>
      <c r="H43" s="670" t="s">
        <v>5465</v>
      </c>
      <c r="I43" s="669">
        <v>46010</v>
      </c>
      <c r="J43" s="669"/>
      <c r="K43" t="s">
        <v>5323</v>
      </c>
      <c r="L43" s="667">
        <v>1210.67</v>
      </c>
      <c r="M43" s="667">
        <v>632</v>
      </c>
      <c r="N43" s="667">
        <f t="shared" si="3"/>
        <v>578.67000000000007</v>
      </c>
      <c r="O43" s="668">
        <f t="shared" si="4"/>
        <v>0.52202499442457484</v>
      </c>
      <c r="P43" s="667">
        <v>750</v>
      </c>
      <c r="R43" t="b">
        <v>0</v>
      </c>
      <c r="S43" t="b">
        <v>0</v>
      </c>
      <c r="T43">
        <v>41</v>
      </c>
      <c r="U43" s="669">
        <v>45969</v>
      </c>
      <c r="V43" t="str">
        <f t="shared" si="5"/>
        <v>2025-11</v>
      </c>
      <c r="W43" s="667"/>
      <c r="AA43" s="670"/>
    </row>
    <row r="44" spans="1:27">
      <c r="A44" s="670" t="s">
        <v>5466</v>
      </c>
      <c r="B44" t="s">
        <v>5323</v>
      </c>
      <c r="C44" t="s">
        <v>4468</v>
      </c>
      <c r="D44" t="s">
        <v>1160</v>
      </c>
      <c r="E44" t="s">
        <v>953</v>
      </c>
      <c r="F44" t="s">
        <v>5325</v>
      </c>
      <c r="G44" t="s">
        <v>5345</v>
      </c>
      <c r="H44" s="670" t="s">
        <v>5467</v>
      </c>
      <c r="I44" s="669">
        <v>46010</v>
      </c>
      <c r="J44" s="669"/>
      <c r="K44" t="s">
        <v>5323</v>
      </c>
      <c r="L44" s="667">
        <v>507.25</v>
      </c>
      <c r="M44" s="667">
        <v>240</v>
      </c>
      <c r="N44" s="667">
        <f t="shared" si="3"/>
        <v>267.25</v>
      </c>
      <c r="O44" s="668">
        <f t="shared" si="4"/>
        <v>0.47313947757516017</v>
      </c>
      <c r="P44" s="667">
        <v>750</v>
      </c>
      <c r="R44" t="b">
        <v>1</v>
      </c>
      <c r="S44" t="b">
        <v>0</v>
      </c>
      <c r="T44">
        <v>45</v>
      </c>
      <c r="U44" s="669">
        <v>45965</v>
      </c>
      <c r="V44" t="str">
        <f t="shared" si="5"/>
        <v>2025-11</v>
      </c>
      <c r="W44" s="667"/>
      <c r="AA44" s="670"/>
    </row>
    <row r="45" spans="1:27">
      <c r="A45" s="670" t="s">
        <v>5468</v>
      </c>
      <c r="B45" t="s">
        <v>5323</v>
      </c>
      <c r="C45" t="s">
        <v>5469</v>
      </c>
      <c r="D45" t="s">
        <v>3618</v>
      </c>
      <c r="E45" t="s">
        <v>953</v>
      </c>
      <c r="F45" t="s">
        <v>5325</v>
      </c>
      <c r="G45" t="s">
        <v>5337</v>
      </c>
      <c r="H45" s="670" t="s">
        <v>5470</v>
      </c>
      <c r="I45" s="669">
        <v>45932</v>
      </c>
      <c r="J45" s="669">
        <v>45829</v>
      </c>
      <c r="K45" t="s">
        <v>5323</v>
      </c>
      <c r="L45" s="667">
        <v>406.36</v>
      </c>
      <c r="M45" s="667">
        <v>377.36</v>
      </c>
      <c r="N45" s="667">
        <f t="shared" si="3"/>
        <v>29</v>
      </c>
      <c r="O45" s="668">
        <f t="shared" si="4"/>
        <v>0.92863470814056503</v>
      </c>
      <c r="P45" s="667">
        <v>1000</v>
      </c>
      <c r="R45" t="b">
        <v>0</v>
      </c>
      <c r="S45" t="b">
        <v>0</v>
      </c>
      <c r="T45">
        <v>117</v>
      </c>
      <c r="U45" s="669">
        <v>45815</v>
      </c>
      <c r="V45" t="str">
        <f t="shared" si="5"/>
        <v>2025-06</v>
      </c>
      <c r="W45" s="667"/>
      <c r="AA45" s="670"/>
    </row>
    <row r="46" spans="1:27">
      <c r="A46" s="670" t="s">
        <v>5471</v>
      </c>
      <c r="B46" t="s">
        <v>5323</v>
      </c>
      <c r="C46" t="s">
        <v>5472</v>
      </c>
      <c r="D46" t="s">
        <v>5473</v>
      </c>
      <c r="E46" t="s">
        <v>953</v>
      </c>
      <c r="F46" t="s">
        <v>5325</v>
      </c>
      <c r="G46" t="s">
        <v>5437</v>
      </c>
      <c r="H46" s="670" t="s">
        <v>5474</v>
      </c>
      <c r="I46" s="669">
        <v>45890</v>
      </c>
      <c r="J46" s="669"/>
      <c r="K46" t="s">
        <v>5323</v>
      </c>
      <c r="L46" s="667">
        <v>985.16</v>
      </c>
      <c r="M46" s="667">
        <v>579.42999999999995</v>
      </c>
      <c r="N46" s="667">
        <f t="shared" si="3"/>
        <v>405.73</v>
      </c>
      <c r="O46" s="668">
        <f t="shared" si="4"/>
        <v>0.58815826870762111</v>
      </c>
      <c r="P46" s="667">
        <v>1000</v>
      </c>
      <c r="R46" t="b">
        <v>1</v>
      </c>
      <c r="S46" t="b">
        <v>0</v>
      </c>
      <c r="T46">
        <v>115</v>
      </c>
      <c r="U46" s="669">
        <v>45775</v>
      </c>
      <c r="V46" t="str">
        <f t="shared" si="5"/>
        <v>2025-04</v>
      </c>
      <c r="W46" s="667"/>
      <c r="AA46" s="670"/>
    </row>
    <row r="47" spans="1:27">
      <c r="A47" s="670" t="s">
        <v>5475</v>
      </c>
      <c r="B47" t="s">
        <v>5323</v>
      </c>
      <c r="C47" t="s">
        <v>4602</v>
      </c>
      <c r="D47" t="s">
        <v>2824</v>
      </c>
      <c r="E47" t="s">
        <v>953</v>
      </c>
      <c r="F47" t="s">
        <v>5325</v>
      </c>
      <c r="G47" t="s">
        <v>5326</v>
      </c>
      <c r="H47" s="670" t="s">
        <v>5476</v>
      </c>
      <c r="I47" s="669">
        <v>46010</v>
      </c>
      <c r="J47" s="669"/>
      <c r="K47" t="s">
        <v>5323</v>
      </c>
      <c r="L47" s="667">
        <v>8481.61</v>
      </c>
      <c r="M47" s="667">
        <v>750</v>
      </c>
      <c r="N47" s="667">
        <f t="shared" si="3"/>
        <v>7731.6100000000006</v>
      </c>
      <c r="O47" s="668">
        <f t="shared" si="4"/>
        <v>8.8426607684154293E-2</v>
      </c>
      <c r="P47" s="667">
        <v>750</v>
      </c>
      <c r="R47" t="b">
        <v>0</v>
      </c>
      <c r="S47" t="b">
        <v>0</v>
      </c>
      <c r="T47">
        <v>44</v>
      </c>
      <c r="U47" s="669">
        <v>45966</v>
      </c>
      <c r="V47" t="str">
        <f t="shared" si="5"/>
        <v>2025-11</v>
      </c>
      <c r="W47" s="667"/>
      <c r="AA47" s="670"/>
    </row>
    <row r="48" spans="1:27">
      <c r="A48" s="670" t="s">
        <v>5477</v>
      </c>
      <c r="B48" t="s">
        <v>5323</v>
      </c>
      <c r="C48" t="s">
        <v>5478</v>
      </c>
      <c r="D48" s="518">
        <v>43497</v>
      </c>
      <c r="E48" t="s">
        <v>953</v>
      </c>
      <c r="F48" t="s">
        <v>5325</v>
      </c>
      <c r="G48" t="s">
        <v>5326</v>
      </c>
      <c r="H48" s="670" t="s">
        <v>5479</v>
      </c>
      <c r="I48" s="669">
        <v>45484</v>
      </c>
      <c r="J48" s="669">
        <v>45387</v>
      </c>
      <c r="K48" t="s">
        <v>5323</v>
      </c>
      <c r="L48" s="667">
        <v>2990</v>
      </c>
      <c r="M48" s="667">
        <v>1000</v>
      </c>
      <c r="N48" s="667">
        <f t="shared" si="3"/>
        <v>1990</v>
      </c>
      <c r="O48" s="668">
        <f t="shared" si="4"/>
        <v>0.33444816053511706</v>
      </c>
      <c r="P48" s="667">
        <v>1000</v>
      </c>
      <c r="R48" t="b">
        <v>0</v>
      </c>
      <c r="S48" t="b">
        <v>0</v>
      </c>
      <c r="T48">
        <v>111</v>
      </c>
      <c r="U48" s="669">
        <v>45373</v>
      </c>
      <c r="V48" t="str">
        <f t="shared" si="5"/>
        <v>2024-03</v>
      </c>
      <c r="W48" s="667"/>
      <c r="AA48" s="670"/>
    </row>
    <row r="49" spans="1:27">
      <c r="A49" s="670" t="s">
        <v>5480</v>
      </c>
      <c r="B49" t="s">
        <v>5323</v>
      </c>
      <c r="C49" t="s">
        <v>5481</v>
      </c>
      <c r="D49" t="s">
        <v>5482</v>
      </c>
      <c r="E49" t="s">
        <v>953</v>
      </c>
      <c r="F49" t="s">
        <v>5325</v>
      </c>
      <c r="G49" t="s">
        <v>5333</v>
      </c>
      <c r="H49" s="670" t="s">
        <v>5483</v>
      </c>
      <c r="I49" s="669">
        <v>45447</v>
      </c>
      <c r="J49" s="669">
        <v>45356</v>
      </c>
      <c r="K49" t="s">
        <v>5323</v>
      </c>
      <c r="L49" s="667">
        <v>1151.49</v>
      </c>
      <c r="M49" s="667">
        <v>0</v>
      </c>
      <c r="N49" s="667">
        <f t="shared" si="3"/>
        <v>1151.49</v>
      </c>
      <c r="O49" s="668">
        <f t="shared" si="4"/>
        <v>0</v>
      </c>
      <c r="P49" s="667">
        <v>1000</v>
      </c>
      <c r="R49" t="b">
        <v>0</v>
      </c>
      <c r="S49" t="b">
        <v>1</v>
      </c>
      <c r="T49">
        <v>117</v>
      </c>
      <c r="U49" s="669">
        <v>45330</v>
      </c>
      <c r="V49" t="str">
        <f t="shared" si="5"/>
        <v>2024-02</v>
      </c>
      <c r="W49" s="667"/>
      <c r="AA49" s="670"/>
    </row>
    <row r="50" spans="1:27">
      <c r="A50" s="670" t="s">
        <v>5484</v>
      </c>
      <c r="B50" t="s">
        <v>5323</v>
      </c>
      <c r="C50" t="s">
        <v>5485</v>
      </c>
      <c r="D50" t="s">
        <v>5486</v>
      </c>
      <c r="E50" t="s">
        <v>953</v>
      </c>
      <c r="F50" t="s">
        <v>5325</v>
      </c>
      <c r="G50" t="s">
        <v>5392</v>
      </c>
      <c r="H50" s="670" t="s">
        <v>5487</v>
      </c>
      <c r="I50" s="669">
        <v>45925</v>
      </c>
      <c r="J50" s="669"/>
      <c r="K50" t="s">
        <v>5323</v>
      </c>
      <c r="L50" s="667">
        <v>1045</v>
      </c>
      <c r="M50" s="667">
        <v>325</v>
      </c>
      <c r="N50" s="667">
        <f t="shared" si="3"/>
        <v>720</v>
      </c>
      <c r="O50" s="668">
        <f t="shared" si="4"/>
        <v>0.31100478468899523</v>
      </c>
      <c r="P50" s="667">
        <v>1000</v>
      </c>
      <c r="R50" t="b">
        <v>1</v>
      </c>
      <c r="S50" t="b">
        <v>0</v>
      </c>
      <c r="T50">
        <v>56</v>
      </c>
      <c r="U50" s="669">
        <v>45869</v>
      </c>
      <c r="V50" t="str">
        <f t="shared" si="5"/>
        <v>2025-07</v>
      </c>
      <c r="W50" s="667"/>
      <c r="AA50" s="670"/>
    </row>
    <row r="51" spans="1:27">
      <c r="A51" s="670" t="s">
        <v>5488</v>
      </c>
      <c r="B51" t="s">
        <v>5323</v>
      </c>
      <c r="C51" t="s">
        <v>5489</v>
      </c>
      <c r="D51">
        <v>266</v>
      </c>
      <c r="E51" t="s">
        <v>953</v>
      </c>
      <c r="F51" t="s">
        <v>5325</v>
      </c>
      <c r="G51" t="s">
        <v>5337</v>
      </c>
      <c r="H51" s="670" t="s">
        <v>5490</v>
      </c>
      <c r="I51" s="669">
        <v>45526</v>
      </c>
      <c r="J51" s="669">
        <v>45504</v>
      </c>
      <c r="K51" t="s">
        <v>5323</v>
      </c>
      <c r="L51" s="667">
        <v>666.73</v>
      </c>
      <c r="M51" s="667">
        <v>450</v>
      </c>
      <c r="N51" s="667">
        <f t="shared" si="3"/>
        <v>216.73000000000002</v>
      </c>
      <c r="O51" s="668">
        <f t="shared" si="4"/>
        <v>0.67493588109129632</v>
      </c>
      <c r="P51" s="667">
        <v>1000</v>
      </c>
      <c r="R51" t="b">
        <v>0</v>
      </c>
      <c r="S51" t="b">
        <v>0</v>
      </c>
      <c r="T51">
        <v>113</v>
      </c>
      <c r="U51" s="669">
        <v>45413</v>
      </c>
      <c r="V51" t="str">
        <f t="shared" si="5"/>
        <v>2024-05</v>
      </c>
      <c r="W51" s="667"/>
      <c r="AA51" s="670"/>
    </row>
    <row r="52" spans="1:27">
      <c r="A52" s="670" t="s">
        <v>5491</v>
      </c>
      <c r="B52" t="s">
        <v>5323</v>
      </c>
      <c r="C52" t="s">
        <v>4670</v>
      </c>
      <c r="D52" t="s">
        <v>2350</v>
      </c>
      <c r="E52" t="s">
        <v>953</v>
      </c>
      <c r="F52" t="s">
        <v>5325</v>
      </c>
      <c r="G52" t="s">
        <v>5326</v>
      </c>
      <c r="H52" s="670" t="s">
        <v>5492</v>
      </c>
      <c r="I52" s="669">
        <v>46041</v>
      </c>
      <c r="J52" s="669"/>
      <c r="K52" t="s">
        <v>5323</v>
      </c>
      <c r="L52" s="667">
        <v>4866.7</v>
      </c>
      <c r="M52" s="667">
        <v>750</v>
      </c>
      <c r="N52" s="667">
        <f t="shared" si="3"/>
        <v>4116.7</v>
      </c>
      <c r="O52" s="668">
        <f t="shared" si="4"/>
        <v>0.1541085335031952</v>
      </c>
      <c r="P52" s="667">
        <v>750</v>
      </c>
      <c r="R52" t="b">
        <v>0</v>
      </c>
      <c r="S52" t="b">
        <v>0</v>
      </c>
      <c r="T52">
        <v>55</v>
      </c>
      <c r="U52" s="669">
        <v>45986</v>
      </c>
      <c r="V52" t="str">
        <f t="shared" si="5"/>
        <v>2025-11</v>
      </c>
      <c r="W52" s="667"/>
      <c r="AA52" s="670"/>
    </row>
    <row r="53" spans="1:27">
      <c r="A53" s="670" t="s">
        <v>5493</v>
      </c>
      <c r="B53" t="s">
        <v>5323</v>
      </c>
      <c r="C53" t="s">
        <v>5494</v>
      </c>
      <c r="D53" t="s">
        <v>2487</v>
      </c>
      <c r="E53" t="s">
        <v>953</v>
      </c>
      <c r="F53" t="s">
        <v>5325</v>
      </c>
      <c r="G53" t="s">
        <v>5326</v>
      </c>
      <c r="H53" s="670" t="s">
        <v>5495</v>
      </c>
      <c r="I53" s="669">
        <v>46011</v>
      </c>
      <c r="J53" s="669"/>
      <c r="K53" t="s">
        <v>5323</v>
      </c>
      <c r="L53" s="667">
        <v>1759.55</v>
      </c>
      <c r="M53" s="667">
        <v>750</v>
      </c>
      <c r="N53" s="667">
        <f t="shared" si="3"/>
        <v>1009.55</v>
      </c>
      <c r="O53" s="668">
        <f t="shared" si="4"/>
        <v>0.42624534682163057</v>
      </c>
      <c r="P53" s="667">
        <v>750</v>
      </c>
      <c r="R53" t="b">
        <v>0</v>
      </c>
      <c r="S53" t="b">
        <v>0</v>
      </c>
      <c r="T53">
        <v>36</v>
      </c>
      <c r="U53" s="669">
        <v>45975</v>
      </c>
      <c r="V53" t="str">
        <f t="shared" si="5"/>
        <v>2025-11</v>
      </c>
      <c r="W53" s="667"/>
      <c r="AA53" s="670"/>
    </row>
    <row r="54" spans="1:27">
      <c r="A54" s="670" t="s">
        <v>5496</v>
      </c>
      <c r="B54" t="s">
        <v>5323</v>
      </c>
      <c r="C54" t="s">
        <v>4616</v>
      </c>
      <c r="D54" s="518" t="s">
        <v>5497</v>
      </c>
      <c r="E54" t="s">
        <v>953</v>
      </c>
      <c r="F54" t="s">
        <v>5349</v>
      </c>
      <c r="G54" t="s">
        <v>5349</v>
      </c>
      <c r="H54" s="670" t="s">
        <v>5498</v>
      </c>
      <c r="I54" s="669">
        <v>46010</v>
      </c>
      <c r="J54" s="669"/>
      <c r="K54" t="s">
        <v>5323</v>
      </c>
      <c r="L54" s="667">
        <v>1480</v>
      </c>
      <c r="M54" s="667">
        <v>0</v>
      </c>
      <c r="N54" s="667">
        <f t="shared" si="3"/>
        <v>1480</v>
      </c>
      <c r="O54" s="668">
        <f t="shared" si="4"/>
        <v>0</v>
      </c>
      <c r="P54" s="667">
        <v>750</v>
      </c>
      <c r="Q54" t="s">
        <v>5351</v>
      </c>
      <c r="R54" t="b">
        <v>0</v>
      </c>
      <c r="S54" t="b">
        <v>0</v>
      </c>
      <c r="T54">
        <v>31</v>
      </c>
      <c r="U54" s="669">
        <v>45979</v>
      </c>
      <c r="V54" t="str">
        <f t="shared" si="5"/>
        <v>2025-11</v>
      </c>
      <c r="W54" s="667"/>
      <c r="AA54" s="670"/>
    </row>
    <row r="55" spans="1:27">
      <c r="A55" s="670" t="s">
        <v>5499</v>
      </c>
      <c r="B55" t="s">
        <v>5323</v>
      </c>
      <c r="C55" t="s">
        <v>4503</v>
      </c>
      <c r="D55" t="s">
        <v>1693</v>
      </c>
      <c r="E55" t="s">
        <v>953</v>
      </c>
      <c r="F55" t="s">
        <v>5325</v>
      </c>
      <c r="G55" t="s">
        <v>5337</v>
      </c>
      <c r="H55" s="670" t="s">
        <v>5500</v>
      </c>
      <c r="I55" s="669">
        <v>46010</v>
      </c>
      <c r="J55" s="669"/>
      <c r="K55" t="s">
        <v>5323</v>
      </c>
      <c r="L55" s="667">
        <v>312.47000000000003</v>
      </c>
      <c r="M55" s="667">
        <v>230</v>
      </c>
      <c r="N55" s="667">
        <f t="shared" si="3"/>
        <v>82.470000000000027</v>
      </c>
      <c r="O55" s="668">
        <f t="shared" si="4"/>
        <v>0.73607066278362721</v>
      </c>
      <c r="P55" s="667">
        <v>1000</v>
      </c>
      <c r="R55" t="b">
        <v>0</v>
      </c>
      <c r="S55" t="b">
        <v>0</v>
      </c>
      <c r="T55">
        <v>59</v>
      </c>
      <c r="U55" s="669">
        <v>45951</v>
      </c>
      <c r="V55" t="str">
        <f t="shared" si="5"/>
        <v>2025-10</v>
      </c>
      <c r="W55" s="667"/>
      <c r="AA55" s="670"/>
    </row>
    <row r="56" spans="1:27">
      <c r="A56" s="670" t="s">
        <v>5501</v>
      </c>
      <c r="B56" t="s">
        <v>5323</v>
      </c>
      <c r="C56" t="s">
        <v>4501</v>
      </c>
      <c r="D56" t="s">
        <v>5502</v>
      </c>
      <c r="E56" t="s">
        <v>953</v>
      </c>
      <c r="F56" t="s">
        <v>5325</v>
      </c>
      <c r="G56" t="s">
        <v>5345</v>
      </c>
      <c r="H56" s="670" t="s">
        <v>5503</v>
      </c>
      <c r="I56" s="669">
        <v>46041</v>
      </c>
      <c r="J56" s="669"/>
      <c r="K56" t="s">
        <v>5323</v>
      </c>
      <c r="L56" s="667">
        <v>652.85</v>
      </c>
      <c r="M56" s="667">
        <v>200</v>
      </c>
      <c r="N56" s="667">
        <f t="shared" si="3"/>
        <v>452.85</v>
      </c>
      <c r="O56" s="668">
        <f t="shared" si="4"/>
        <v>0.3063490847821092</v>
      </c>
      <c r="P56" s="667">
        <v>750</v>
      </c>
      <c r="R56" t="b">
        <v>1</v>
      </c>
      <c r="S56" t="b">
        <v>0</v>
      </c>
      <c r="T56">
        <v>51</v>
      </c>
      <c r="U56" s="669">
        <v>45990</v>
      </c>
      <c r="V56" t="str">
        <f t="shared" si="5"/>
        <v>2025-11</v>
      </c>
      <c r="W56" s="667"/>
      <c r="AA56" s="670"/>
    </row>
    <row r="57" spans="1:27">
      <c r="A57" s="670" t="s">
        <v>5504</v>
      </c>
      <c r="B57" t="s">
        <v>5323</v>
      </c>
      <c r="C57" t="s">
        <v>5505</v>
      </c>
      <c r="D57" t="s">
        <v>1707</v>
      </c>
      <c r="E57" t="s">
        <v>953</v>
      </c>
      <c r="F57" t="s">
        <v>5325</v>
      </c>
      <c r="G57" t="s">
        <v>5326</v>
      </c>
      <c r="H57" s="670" t="s">
        <v>5506</v>
      </c>
      <c r="I57" s="669">
        <v>45890</v>
      </c>
      <c r="J57" s="669">
        <v>45873</v>
      </c>
      <c r="K57" t="s">
        <v>5323</v>
      </c>
      <c r="L57" s="667">
        <v>2325.56</v>
      </c>
      <c r="M57" s="667">
        <v>1000</v>
      </c>
      <c r="N57" s="667">
        <f t="shared" si="3"/>
        <v>1325.56</v>
      </c>
      <c r="O57" s="668">
        <f t="shared" si="4"/>
        <v>0.43000395603639552</v>
      </c>
      <c r="P57" s="667">
        <v>1000</v>
      </c>
      <c r="R57" t="b">
        <v>0</v>
      </c>
      <c r="S57" t="b">
        <v>0</v>
      </c>
      <c r="T57">
        <v>51</v>
      </c>
      <c r="U57" s="669">
        <v>45839</v>
      </c>
      <c r="V57" t="str">
        <f t="shared" si="5"/>
        <v>2025-07</v>
      </c>
      <c r="W57" s="667"/>
      <c r="AA57" s="670"/>
    </row>
    <row r="58" spans="1:27">
      <c r="A58" s="670" t="s">
        <v>5507</v>
      </c>
      <c r="B58" t="s">
        <v>5323</v>
      </c>
      <c r="C58" t="s">
        <v>1894</v>
      </c>
      <c r="D58" t="s">
        <v>1670</v>
      </c>
      <c r="E58" t="s">
        <v>953</v>
      </c>
      <c r="F58" t="s">
        <v>5325</v>
      </c>
      <c r="G58" t="s">
        <v>5326</v>
      </c>
      <c r="H58" s="670" t="s">
        <v>5508</v>
      </c>
      <c r="I58" s="669">
        <v>45966</v>
      </c>
      <c r="J58" s="669">
        <v>45926</v>
      </c>
      <c r="K58" t="s">
        <v>5323</v>
      </c>
      <c r="L58" s="667">
        <v>5153.4799999999996</v>
      </c>
      <c r="M58" s="667">
        <v>750</v>
      </c>
      <c r="N58" s="667">
        <f t="shared" si="3"/>
        <v>4403.4799999999996</v>
      </c>
      <c r="O58" s="668">
        <f t="shared" si="4"/>
        <v>0.14553272739973766</v>
      </c>
      <c r="P58" s="667">
        <v>750</v>
      </c>
      <c r="R58" t="b">
        <v>0</v>
      </c>
      <c r="S58" t="b">
        <v>0</v>
      </c>
      <c r="T58">
        <v>58</v>
      </c>
      <c r="U58" s="669">
        <v>45908</v>
      </c>
      <c r="V58" t="str">
        <f t="shared" si="5"/>
        <v>2025-09</v>
      </c>
      <c r="W58" s="667"/>
      <c r="AA58" s="670"/>
    </row>
    <row r="59" spans="1:27">
      <c r="A59" s="670" t="s">
        <v>5509</v>
      </c>
      <c r="B59" t="s">
        <v>5323</v>
      </c>
      <c r="C59" t="s">
        <v>1894</v>
      </c>
      <c r="D59" t="s">
        <v>567</v>
      </c>
      <c r="E59" t="s">
        <v>953</v>
      </c>
      <c r="F59" t="s">
        <v>5325</v>
      </c>
      <c r="G59" t="s">
        <v>5326</v>
      </c>
      <c r="H59" s="670" t="s">
        <v>5510</v>
      </c>
      <c r="I59" s="669">
        <v>45966</v>
      </c>
      <c r="J59" s="669"/>
      <c r="K59" t="s">
        <v>5323</v>
      </c>
      <c r="L59" s="667">
        <v>2260.75</v>
      </c>
      <c r="M59" s="667">
        <v>750</v>
      </c>
      <c r="N59" s="667">
        <f t="shared" si="3"/>
        <v>1510.75</v>
      </c>
      <c r="O59" s="668">
        <f t="shared" si="4"/>
        <v>0.33174831361273915</v>
      </c>
      <c r="P59" s="667">
        <v>750</v>
      </c>
      <c r="R59" t="b">
        <v>0</v>
      </c>
      <c r="S59" t="b">
        <v>0</v>
      </c>
      <c r="T59">
        <v>58</v>
      </c>
      <c r="U59" s="669">
        <v>45908</v>
      </c>
      <c r="V59" t="str">
        <f t="shared" si="5"/>
        <v>2025-09</v>
      </c>
      <c r="W59" s="667"/>
      <c r="AA59" s="670"/>
    </row>
    <row r="60" spans="1:27">
      <c r="A60" s="670" t="s">
        <v>5511</v>
      </c>
      <c r="B60" t="s">
        <v>5323</v>
      </c>
      <c r="C60" t="s">
        <v>1894</v>
      </c>
      <c r="D60" t="s">
        <v>1158</v>
      </c>
      <c r="E60" t="s">
        <v>953</v>
      </c>
      <c r="F60" t="s">
        <v>5325</v>
      </c>
      <c r="G60" t="s">
        <v>5326</v>
      </c>
      <c r="H60" s="670" t="s">
        <v>5512</v>
      </c>
      <c r="I60" s="669">
        <v>45966</v>
      </c>
      <c r="J60" s="669"/>
      <c r="K60" t="s">
        <v>5323</v>
      </c>
      <c r="L60" s="667">
        <v>2399</v>
      </c>
      <c r="M60" s="667">
        <v>750</v>
      </c>
      <c r="N60" s="667">
        <f t="shared" si="3"/>
        <v>1649</v>
      </c>
      <c r="O60" s="668">
        <f t="shared" si="4"/>
        <v>0.31263026260942062</v>
      </c>
      <c r="P60" s="667">
        <v>750</v>
      </c>
      <c r="R60" t="b">
        <v>0</v>
      </c>
      <c r="S60" t="b">
        <v>0</v>
      </c>
      <c r="T60">
        <v>58</v>
      </c>
      <c r="U60" s="669">
        <v>45908</v>
      </c>
      <c r="V60" t="str">
        <f t="shared" si="5"/>
        <v>2025-09</v>
      </c>
      <c r="W60" s="667"/>
      <c r="AA60" s="670"/>
    </row>
    <row r="61" spans="1:27">
      <c r="A61" s="670" t="s">
        <v>5513</v>
      </c>
      <c r="B61" t="s">
        <v>5323</v>
      </c>
      <c r="C61" t="s">
        <v>5514</v>
      </c>
      <c r="D61" t="s">
        <v>2113</v>
      </c>
      <c r="E61" t="s">
        <v>953</v>
      </c>
      <c r="F61" t="s">
        <v>5325</v>
      </c>
      <c r="G61" t="s">
        <v>5326</v>
      </c>
      <c r="H61" s="670" t="s">
        <v>5515</v>
      </c>
      <c r="I61" s="669">
        <v>45933</v>
      </c>
      <c r="J61" s="669">
        <v>45908</v>
      </c>
      <c r="K61" t="s">
        <v>5323</v>
      </c>
      <c r="L61" s="667">
        <v>3357.61</v>
      </c>
      <c r="M61" s="667">
        <v>750</v>
      </c>
      <c r="N61" s="667">
        <f t="shared" si="3"/>
        <v>2607.61</v>
      </c>
      <c r="O61" s="668">
        <f t="shared" si="4"/>
        <v>0.22337317317973202</v>
      </c>
      <c r="P61" s="667">
        <v>750</v>
      </c>
      <c r="R61" t="b">
        <v>0</v>
      </c>
      <c r="S61" t="b">
        <v>0</v>
      </c>
      <c r="T61">
        <v>56</v>
      </c>
      <c r="U61" s="669">
        <v>45877</v>
      </c>
      <c r="V61" t="str">
        <f t="shared" si="5"/>
        <v>2025-08</v>
      </c>
      <c r="W61" s="667"/>
      <c r="AA61" s="670"/>
    </row>
    <row r="62" spans="1:27">
      <c r="A62" s="670" t="s">
        <v>5516</v>
      </c>
      <c r="B62" t="s">
        <v>5323</v>
      </c>
      <c r="C62" t="s">
        <v>5517</v>
      </c>
      <c r="D62" t="s">
        <v>5518</v>
      </c>
      <c r="E62" t="s">
        <v>953</v>
      </c>
      <c r="F62" t="s">
        <v>5325</v>
      </c>
      <c r="G62" t="s">
        <v>5326</v>
      </c>
      <c r="H62" s="670" t="s">
        <v>5519</v>
      </c>
      <c r="I62" s="669">
        <v>45497</v>
      </c>
      <c r="J62" s="669">
        <v>45409</v>
      </c>
      <c r="K62" t="s">
        <v>5323</v>
      </c>
      <c r="L62" s="667">
        <v>2111.3000000000002</v>
      </c>
      <c r="M62" s="667">
        <v>1000</v>
      </c>
      <c r="N62" s="667">
        <f t="shared" si="3"/>
        <v>1111.3000000000002</v>
      </c>
      <c r="O62" s="668">
        <f t="shared" si="4"/>
        <v>0.47364183204660631</v>
      </c>
      <c r="P62" s="667">
        <v>1000</v>
      </c>
      <c r="R62" t="b">
        <v>0</v>
      </c>
      <c r="S62" t="b">
        <v>0</v>
      </c>
      <c r="T62">
        <v>112</v>
      </c>
      <c r="U62" s="669">
        <v>45385</v>
      </c>
      <c r="V62" t="str">
        <f t="shared" si="5"/>
        <v>2024-04</v>
      </c>
      <c r="W62" s="667"/>
      <c r="AA62" s="670"/>
    </row>
    <row r="63" spans="1:27">
      <c r="A63" s="670" t="s">
        <v>5520</v>
      </c>
      <c r="B63" t="s">
        <v>5323</v>
      </c>
      <c r="C63" t="s">
        <v>5521</v>
      </c>
      <c r="D63" t="s">
        <v>2550</v>
      </c>
      <c r="E63" t="s">
        <v>953</v>
      </c>
      <c r="F63" t="s">
        <v>5325</v>
      </c>
      <c r="G63" t="s">
        <v>5337</v>
      </c>
      <c r="H63" s="670" t="s">
        <v>5522</v>
      </c>
      <c r="I63" s="669">
        <v>46028</v>
      </c>
      <c r="J63" s="669"/>
      <c r="K63" t="s">
        <v>5323</v>
      </c>
      <c r="L63" s="667">
        <v>615.99</v>
      </c>
      <c r="M63" s="667">
        <v>150</v>
      </c>
      <c r="N63" s="667">
        <f t="shared" si="3"/>
        <v>465.99</v>
      </c>
      <c r="O63" s="668">
        <f t="shared" si="4"/>
        <v>0.24351044659815907</v>
      </c>
      <c r="P63" s="667">
        <v>750</v>
      </c>
      <c r="R63" t="b">
        <v>0</v>
      </c>
      <c r="S63" t="b">
        <v>0</v>
      </c>
      <c r="T63">
        <v>36</v>
      </c>
      <c r="U63" s="669">
        <v>45992</v>
      </c>
      <c r="V63" t="str">
        <f t="shared" si="5"/>
        <v>2025-12</v>
      </c>
      <c r="W63" s="667"/>
      <c r="AA63" s="670"/>
    </row>
    <row r="64" spans="1:27">
      <c r="A64" s="670" t="s">
        <v>5523</v>
      </c>
      <c r="B64" t="s">
        <v>5323</v>
      </c>
      <c r="C64" t="s">
        <v>4334</v>
      </c>
      <c r="D64" s="518" t="s">
        <v>4333</v>
      </c>
      <c r="E64" t="s">
        <v>953</v>
      </c>
      <c r="F64" t="s">
        <v>5325</v>
      </c>
      <c r="G64" t="s">
        <v>5326</v>
      </c>
      <c r="H64" s="670" t="s">
        <v>5524</v>
      </c>
      <c r="I64" s="669">
        <v>45771</v>
      </c>
      <c r="J64" s="669">
        <v>45748</v>
      </c>
      <c r="K64" t="s">
        <v>5323</v>
      </c>
      <c r="L64" s="667">
        <v>9992.92</v>
      </c>
      <c r="M64" s="667">
        <v>750</v>
      </c>
      <c r="N64" s="667">
        <f t="shared" si="3"/>
        <v>9242.92</v>
      </c>
      <c r="O64" s="668">
        <f t="shared" si="4"/>
        <v>7.5053137621435978E-2</v>
      </c>
      <c r="P64" s="667">
        <v>750</v>
      </c>
      <c r="R64" t="b">
        <v>0</v>
      </c>
      <c r="S64" t="b">
        <v>0</v>
      </c>
      <c r="T64">
        <v>49</v>
      </c>
      <c r="U64" s="669">
        <v>45722</v>
      </c>
      <c r="V64" t="str">
        <f t="shared" si="5"/>
        <v>2025-03</v>
      </c>
      <c r="W64" s="667"/>
      <c r="AA64" s="670"/>
    </row>
    <row r="65" spans="1:27">
      <c r="A65" s="670" t="s">
        <v>5525</v>
      </c>
      <c r="B65" t="s">
        <v>5323</v>
      </c>
      <c r="C65" t="s">
        <v>1894</v>
      </c>
      <c r="D65" t="s">
        <v>5526</v>
      </c>
      <c r="E65" t="s">
        <v>953</v>
      </c>
      <c r="F65" t="s">
        <v>5325</v>
      </c>
      <c r="G65" t="s">
        <v>5326</v>
      </c>
      <c r="H65" s="670" t="s">
        <v>5527</v>
      </c>
      <c r="I65" s="669">
        <v>45946</v>
      </c>
      <c r="J65" s="669"/>
      <c r="K65" t="s">
        <v>5323</v>
      </c>
      <c r="L65" s="667">
        <v>5071.2299999999996</v>
      </c>
      <c r="M65" s="667">
        <v>750</v>
      </c>
      <c r="N65" s="667">
        <f t="shared" si="3"/>
        <v>4321.2299999999996</v>
      </c>
      <c r="O65" s="668">
        <f t="shared" si="4"/>
        <v>0.14789311468815258</v>
      </c>
      <c r="P65" s="667">
        <v>750</v>
      </c>
      <c r="R65" t="b">
        <v>0</v>
      </c>
      <c r="S65" t="b">
        <v>0</v>
      </c>
      <c r="T65">
        <v>59</v>
      </c>
      <c r="U65" s="669">
        <v>45887</v>
      </c>
      <c r="V65" t="str">
        <f t="shared" si="5"/>
        <v>2025-08</v>
      </c>
      <c r="W65" s="667"/>
      <c r="AA65" s="670"/>
    </row>
    <row r="66" spans="1:27">
      <c r="A66" s="670" t="s">
        <v>5528</v>
      </c>
      <c r="B66" t="s">
        <v>5323</v>
      </c>
      <c r="C66" t="s">
        <v>4508</v>
      </c>
      <c r="D66" s="518" t="s">
        <v>2578</v>
      </c>
      <c r="E66" t="s">
        <v>953</v>
      </c>
      <c r="F66" t="s">
        <v>5325</v>
      </c>
      <c r="G66" t="s">
        <v>5337</v>
      </c>
      <c r="H66" s="670" t="s">
        <v>5529</v>
      </c>
      <c r="I66" s="669">
        <v>46010</v>
      </c>
      <c r="J66" s="669"/>
      <c r="K66" t="s">
        <v>5323</v>
      </c>
      <c r="L66" s="667">
        <v>443.66</v>
      </c>
      <c r="M66" s="667">
        <v>200</v>
      </c>
      <c r="N66" s="667">
        <f t="shared" ref="N66:N97" si="6">L66-M66</f>
        <v>243.66000000000003</v>
      </c>
      <c r="O66" s="668">
        <f t="shared" ref="O66:O97" si="7">IF(L66=0,"",M66/L66)</f>
        <v>0.45079565432989221</v>
      </c>
      <c r="P66" s="667">
        <v>750</v>
      </c>
      <c r="R66" t="b">
        <v>0</v>
      </c>
      <c r="S66" t="b">
        <v>0</v>
      </c>
      <c r="T66">
        <v>50</v>
      </c>
      <c r="U66" s="669">
        <v>45960</v>
      </c>
      <c r="V66" t="str">
        <f t="shared" ref="V66:V97" si="8">TEXT(U66,"YYYY-MM")</f>
        <v>2025-10</v>
      </c>
      <c r="W66" s="667"/>
      <c r="AA66" s="670"/>
    </row>
    <row r="67" spans="1:27">
      <c r="A67" s="670" t="s">
        <v>5530</v>
      </c>
      <c r="B67" t="s">
        <v>5323</v>
      </c>
      <c r="C67" t="s">
        <v>4669</v>
      </c>
      <c r="D67" t="s">
        <v>5531</v>
      </c>
      <c r="E67" t="s">
        <v>953</v>
      </c>
      <c r="F67" t="s">
        <v>5325</v>
      </c>
      <c r="G67" t="s">
        <v>5326</v>
      </c>
      <c r="H67" s="670" t="s">
        <v>5532</v>
      </c>
      <c r="I67" s="669">
        <v>45937</v>
      </c>
      <c r="J67" s="669"/>
      <c r="K67" t="s">
        <v>5323</v>
      </c>
      <c r="L67" s="667">
        <v>5081.18</v>
      </c>
      <c r="M67" s="667">
        <v>750</v>
      </c>
      <c r="N67" s="667">
        <f t="shared" si="6"/>
        <v>4331.18</v>
      </c>
      <c r="O67" s="668">
        <f t="shared" si="7"/>
        <v>0.14760350942103997</v>
      </c>
      <c r="P67" s="667">
        <v>750</v>
      </c>
      <c r="R67" t="b">
        <v>0</v>
      </c>
      <c r="S67" t="b">
        <v>0</v>
      </c>
      <c r="T67">
        <v>60</v>
      </c>
      <c r="U67" s="669">
        <v>45877</v>
      </c>
      <c r="V67" t="str">
        <f t="shared" si="8"/>
        <v>2025-08</v>
      </c>
      <c r="W67" s="667"/>
      <c r="AA67" s="670"/>
    </row>
    <row r="68" spans="1:27">
      <c r="A68" s="670" t="s">
        <v>5533</v>
      </c>
      <c r="B68" t="s">
        <v>5323</v>
      </c>
      <c r="C68" t="s">
        <v>5534</v>
      </c>
      <c r="D68" t="s">
        <v>4157</v>
      </c>
      <c r="E68" t="s">
        <v>953</v>
      </c>
      <c r="F68" t="s">
        <v>5325</v>
      </c>
      <c r="G68" t="s">
        <v>5392</v>
      </c>
      <c r="H68" s="670" t="s">
        <v>5535</v>
      </c>
      <c r="I68" s="669">
        <v>45452</v>
      </c>
      <c r="J68" s="669">
        <v>45430</v>
      </c>
      <c r="K68" t="s">
        <v>5323</v>
      </c>
      <c r="L68" s="667">
        <v>850.5</v>
      </c>
      <c r="M68" s="667">
        <v>250.25</v>
      </c>
      <c r="N68" s="667">
        <f t="shared" si="6"/>
        <v>600.25</v>
      </c>
      <c r="O68" s="668">
        <f t="shared" si="7"/>
        <v>0.29423868312757201</v>
      </c>
      <c r="P68" s="667">
        <v>1000</v>
      </c>
      <c r="R68" t="b">
        <v>1</v>
      </c>
      <c r="S68" t="b">
        <v>0</v>
      </c>
      <c r="T68">
        <v>100</v>
      </c>
      <c r="U68" s="669">
        <v>45352</v>
      </c>
      <c r="V68" t="str">
        <f t="shared" si="8"/>
        <v>2024-03</v>
      </c>
      <c r="W68" s="667"/>
      <c r="AA68" s="670"/>
    </row>
    <row r="69" spans="1:27">
      <c r="A69" s="670" t="s">
        <v>5536</v>
      </c>
      <c r="B69" t="s">
        <v>5323</v>
      </c>
      <c r="C69" t="s">
        <v>4690</v>
      </c>
      <c r="D69" t="s">
        <v>2957</v>
      </c>
      <c r="E69" t="s">
        <v>953</v>
      </c>
      <c r="F69" t="s">
        <v>5325</v>
      </c>
      <c r="G69" t="s">
        <v>5392</v>
      </c>
      <c r="H69" s="670" t="s">
        <v>5537</v>
      </c>
      <c r="I69" s="669">
        <v>45923</v>
      </c>
      <c r="J69" s="669"/>
      <c r="K69" t="s">
        <v>5323</v>
      </c>
      <c r="L69" s="667">
        <v>864.59</v>
      </c>
      <c r="M69" s="667">
        <v>120</v>
      </c>
      <c r="N69" s="667">
        <f t="shared" si="6"/>
        <v>744.59</v>
      </c>
      <c r="O69" s="668">
        <f t="shared" si="7"/>
        <v>0.13879411050324431</v>
      </c>
      <c r="P69" s="667">
        <v>1000</v>
      </c>
      <c r="R69" t="b">
        <v>1</v>
      </c>
      <c r="S69" t="b">
        <v>0</v>
      </c>
      <c r="T69">
        <v>56</v>
      </c>
      <c r="U69" s="669">
        <v>45867</v>
      </c>
      <c r="V69" t="str">
        <f t="shared" si="8"/>
        <v>2025-07</v>
      </c>
      <c r="W69" s="667"/>
      <c r="AA69" s="670"/>
    </row>
    <row r="70" spans="1:27">
      <c r="A70" s="670" t="s">
        <v>5538</v>
      </c>
      <c r="B70" t="s">
        <v>5323</v>
      </c>
      <c r="C70" t="s">
        <v>5539</v>
      </c>
      <c r="D70" t="s">
        <v>2445</v>
      </c>
      <c r="E70" t="s">
        <v>953</v>
      </c>
      <c r="F70" t="s">
        <v>5325</v>
      </c>
      <c r="G70" t="s">
        <v>5326</v>
      </c>
      <c r="H70" s="670" t="s">
        <v>5540</v>
      </c>
      <c r="I70" s="669">
        <v>46011</v>
      </c>
      <c r="J70" s="669"/>
      <c r="K70" t="s">
        <v>5323</v>
      </c>
      <c r="L70" s="667">
        <v>9680.89</v>
      </c>
      <c r="M70" s="667">
        <v>750</v>
      </c>
      <c r="N70" s="667">
        <f t="shared" si="6"/>
        <v>8930.89</v>
      </c>
      <c r="O70" s="668">
        <f t="shared" si="7"/>
        <v>7.7472215880977885E-2</v>
      </c>
      <c r="P70" s="667">
        <v>750</v>
      </c>
      <c r="R70" t="b">
        <v>0</v>
      </c>
      <c r="S70" t="b">
        <v>0</v>
      </c>
      <c r="T70">
        <v>38</v>
      </c>
      <c r="U70" s="669">
        <v>45973</v>
      </c>
      <c r="V70" t="str">
        <f t="shared" si="8"/>
        <v>2025-11</v>
      </c>
      <c r="W70" s="667"/>
      <c r="AA70" s="670"/>
    </row>
    <row r="71" spans="1:27">
      <c r="A71" s="670" t="s">
        <v>5541</v>
      </c>
      <c r="B71" t="s">
        <v>5323</v>
      </c>
      <c r="C71" t="s">
        <v>5542</v>
      </c>
      <c r="D71" s="518">
        <v>47880</v>
      </c>
      <c r="E71" t="s">
        <v>953</v>
      </c>
      <c r="F71" t="s">
        <v>5325</v>
      </c>
      <c r="G71" t="s">
        <v>5392</v>
      </c>
      <c r="H71" s="670" t="s">
        <v>5543</v>
      </c>
      <c r="I71" s="669">
        <v>45582</v>
      </c>
      <c r="J71" s="669">
        <v>45565</v>
      </c>
      <c r="K71" t="s">
        <v>5323</v>
      </c>
      <c r="L71" s="667">
        <v>712.53</v>
      </c>
      <c r="M71" s="667">
        <v>0</v>
      </c>
      <c r="N71" s="667">
        <f t="shared" si="6"/>
        <v>712.53</v>
      </c>
      <c r="O71" s="668">
        <f t="shared" si="7"/>
        <v>0</v>
      </c>
      <c r="P71" s="667">
        <v>1000</v>
      </c>
      <c r="R71" t="b">
        <v>0</v>
      </c>
      <c r="S71" t="b">
        <v>1</v>
      </c>
      <c r="T71">
        <v>108</v>
      </c>
      <c r="U71" s="669">
        <v>45474</v>
      </c>
      <c r="V71" t="str">
        <f t="shared" si="8"/>
        <v>2024-07</v>
      </c>
      <c r="W71" s="667"/>
      <c r="AA71" s="670"/>
    </row>
    <row r="72" spans="1:27">
      <c r="A72" s="670" t="s">
        <v>5544</v>
      </c>
      <c r="B72" t="s">
        <v>5323</v>
      </c>
      <c r="C72" t="s">
        <v>5545</v>
      </c>
      <c r="D72" s="518">
        <v>53359</v>
      </c>
      <c r="E72" t="s">
        <v>953</v>
      </c>
      <c r="F72" t="s">
        <v>5325</v>
      </c>
      <c r="G72" t="s">
        <v>5392</v>
      </c>
      <c r="H72" s="670" t="s">
        <v>5546</v>
      </c>
      <c r="I72" s="669">
        <v>45582</v>
      </c>
      <c r="J72" s="669"/>
      <c r="K72" t="s">
        <v>5323</v>
      </c>
      <c r="L72" s="667">
        <v>388.74</v>
      </c>
      <c r="M72" s="667">
        <v>0</v>
      </c>
      <c r="N72" s="667">
        <f t="shared" si="6"/>
        <v>388.74</v>
      </c>
      <c r="O72" s="668">
        <f t="shared" si="7"/>
        <v>0</v>
      </c>
      <c r="P72" s="667">
        <v>1000</v>
      </c>
      <c r="R72" t="b">
        <v>0</v>
      </c>
      <c r="S72" t="b">
        <v>1</v>
      </c>
      <c r="T72">
        <v>108</v>
      </c>
      <c r="U72" s="669">
        <v>45474</v>
      </c>
      <c r="V72" t="str">
        <f t="shared" si="8"/>
        <v>2024-07</v>
      </c>
      <c r="W72" s="667"/>
      <c r="AA72" s="670"/>
    </row>
    <row r="73" spans="1:27">
      <c r="A73" s="670" t="s">
        <v>5547</v>
      </c>
      <c r="B73" t="s">
        <v>5323</v>
      </c>
      <c r="C73" t="s">
        <v>5548</v>
      </c>
      <c r="D73" s="518">
        <v>426636</v>
      </c>
      <c r="E73" t="s">
        <v>953</v>
      </c>
      <c r="F73" t="s">
        <v>5325</v>
      </c>
      <c r="G73" t="s">
        <v>5326</v>
      </c>
      <c r="H73" s="670" t="s">
        <v>5549</v>
      </c>
      <c r="I73" s="669">
        <v>45582</v>
      </c>
      <c r="J73" s="669">
        <v>45523</v>
      </c>
      <c r="K73" t="s">
        <v>5323</v>
      </c>
      <c r="L73" s="667">
        <v>5399.83</v>
      </c>
      <c r="M73" s="667">
        <v>1000</v>
      </c>
      <c r="N73" s="667">
        <f t="shared" si="6"/>
        <v>4399.83</v>
      </c>
      <c r="O73" s="668">
        <f t="shared" si="7"/>
        <v>0.18519101527270304</v>
      </c>
      <c r="P73" s="667">
        <v>1000</v>
      </c>
      <c r="R73" t="b">
        <v>0</v>
      </c>
      <c r="S73" t="b">
        <v>0</v>
      </c>
      <c r="T73">
        <v>115</v>
      </c>
      <c r="U73" s="669">
        <v>45467</v>
      </c>
      <c r="V73" t="str">
        <f t="shared" si="8"/>
        <v>2024-06</v>
      </c>
      <c r="W73" s="667"/>
      <c r="AA73" s="670"/>
    </row>
    <row r="74" spans="1:27">
      <c r="A74" s="670" t="s">
        <v>5550</v>
      </c>
      <c r="B74" t="s">
        <v>5323</v>
      </c>
      <c r="C74" t="s">
        <v>4563</v>
      </c>
      <c r="D74" t="s">
        <v>2298</v>
      </c>
      <c r="E74" t="s">
        <v>953</v>
      </c>
      <c r="F74" t="s">
        <v>5325</v>
      </c>
      <c r="G74" t="s">
        <v>5326</v>
      </c>
      <c r="H74" s="670" t="s">
        <v>5551</v>
      </c>
      <c r="I74" s="669">
        <v>46010</v>
      </c>
      <c r="J74" s="669"/>
      <c r="K74" t="s">
        <v>5323</v>
      </c>
      <c r="L74" s="667">
        <v>5340.29</v>
      </c>
      <c r="M74" s="667">
        <v>750</v>
      </c>
      <c r="N74" s="667">
        <f t="shared" si="6"/>
        <v>4590.29</v>
      </c>
      <c r="O74" s="668">
        <f t="shared" si="7"/>
        <v>0.14044181121249968</v>
      </c>
      <c r="P74" s="667">
        <v>750</v>
      </c>
      <c r="R74" t="b">
        <v>0</v>
      </c>
      <c r="S74" t="b">
        <v>0</v>
      </c>
      <c r="T74">
        <v>31</v>
      </c>
      <c r="U74" s="669">
        <v>45979</v>
      </c>
      <c r="V74" t="str">
        <f t="shared" si="8"/>
        <v>2025-11</v>
      </c>
      <c r="W74" s="667"/>
      <c r="AA74" s="670"/>
    </row>
    <row r="75" spans="1:27">
      <c r="A75" s="670" t="s">
        <v>5552</v>
      </c>
      <c r="B75" t="s">
        <v>5323</v>
      </c>
      <c r="C75" t="s">
        <v>1894</v>
      </c>
      <c r="D75" t="s">
        <v>5553</v>
      </c>
      <c r="E75" t="s">
        <v>953</v>
      </c>
      <c r="F75" t="s">
        <v>5325</v>
      </c>
      <c r="G75" t="s">
        <v>5326</v>
      </c>
      <c r="H75" s="670" t="s">
        <v>5554</v>
      </c>
      <c r="I75" s="669">
        <v>45890</v>
      </c>
      <c r="J75" s="669"/>
      <c r="K75" t="s">
        <v>5323</v>
      </c>
      <c r="L75" s="667">
        <v>4691.41</v>
      </c>
      <c r="M75" s="667">
        <v>750</v>
      </c>
      <c r="N75" s="667">
        <f t="shared" si="6"/>
        <v>3941.41</v>
      </c>
      <c r="O75" s="668">
        <f t="shared" si="7"/>
        <v>0.15986664989843138</v>
      </c>
      <c r="P75" s="667">
        <v>750</v>
      </c>
      <c r="R75" t="b">
        <v>0</v>
      </c>
      <c r="S75" t="b">
        <v>0</v>
      </c>
      <c r="T75">
        <v>117</v>
      </c>
      <c r="U75" s="669">
        <v>45773</v>
      </c>
      <c r="V75" t="str">
        <f t="shared" si="8"/>
        <v>2025-04</v>
      </c>
      <c r="W75" s="667"/>
      <c r="AA75" s="670"/>
    </row>
    <row r="76" spans="1:27">
      <c r="A76" s="670" t="s">
        <v>5555</v>
      </c>
      <c r="B76" t="s">
        <v>5323</v>
      </c>
      <c r="C76" t="s">
        <v>5556</v>
      </c>
      <c r="D76" s="518" t="s">
        <v>5557</v>
      </c>
      <c r="E76" t="s">
        <v>953</v>
      </c>
      <c r="F76" t="s">
        <v>5325</v>
      </c>
      <c r="G76" t="s">
        <v>5437</v>
      </c>
      <c r="H76" s="670" t="s">
        <v>5558</v>
      </c>
      <c r="I76" s="669">
        <v>46010</v>
      </c>
      <c r="J76" s="669"/>
      <c r="K76" t="s">
        <v>5323</v>
      </c>
      <c r="L76" s="667">
        <v>2075</v>
      </c>
      <c r="M76" s="667">
        <v>0</v>
      </c>
      <c r="N76" s="667">
        <f t="shared" si="6"/>
        <v>2075</v>
      </c>
      <c r="O76" s="668">
        <f t="shared" si="7"/>
        <v>0</v>
      </c>
      <c r="P76" s="667">
        <v>1000</v>
      </c>
      <c r="R76" t="b">
        <v>0</v>
      </c>
      <c r="S76" t="b">
        <v>1</v>
      </c>
      <c r="T76">
        <v>59</v>
      </c>
      <c r="U76" s="669">
        <v>45951</v>
      </c>
      <c r="V76" t="str">
        <f t="shared" si="8"/>
        <v>2025-10</v>
      </c>
      <c r="W76" s="667"/>
      <c r="AA76" s="670"/>
    </row>
    <row r="77" spans="1:27">
      <c r="A77" s="670" t="s">
        <v>5559</v>
      </c>
      <c r="B77" t="s">
        <v>5323</v>
      </c>
      <c r="C77" t="s">
        <v>5560</v>
      </c>
      <c r="D77" t="s">
        <v>5561</v>
      </c>
      <c r="E77" t="s">
        <v>953</v>
      </c>
      <c r="F77" t="s">
        <v>5325</v>
      </c>
      <c r="G77" t="s">
        <v>5437</v>
      </c>
      <c r="H77" s="670" t="s">
        <v>5562</v>
      </c>
      <c r="I77" s="669">
        <v>45447</v>
      </c>
      <c r="J77" s="669"/>
      <c r="K77" t="s">
        <v>5323</v>
      </c>
      <c r="L77" s="667">
        <v>1207.43</v>
      </c>
      <c r="M77" s="667">
        <v>0</v>
      </c>
      <c r="N77" s="667">
        <f t="shared" si="6"/>
        <v>1207.43</v>
      </c>
      <c r="O77" s="668">
        <f t="shared" si="7"/>
        <v>0</v>
      </c>
      <c r="P77" s="667">
        <v>1000</v>
      </c>
      <c r="R77" t="b">
        <v>0</v>
      </c>
      <c r="S77" t="b">
        <v>1</v>
      </c>
      <c r="T77">
        <v>117</v>
      </c>
      <c r="U77" s="669">
        <v>45330</v>
      </c>
      <c r="V77" t="str">
        <f t="shared" si="8"/>
        <v>2024-02</v>
      </c>
      <c r="W77" s="667"/>
      <c r="AA77" s="670"/>
    </row>
    <row r="78" spans="1:27">
      <c r="A78" s="670" t="s">
        <v>5563</v>
      </c>
      <c r="B78" t="s">
        <v>5323</v>
      </c>
      <c r="C78" t="s">
        <v>4692</v>
      </c>
      <c r="D78" t="s">
        <v>2912</v>
      </c>
      <c r="E78" t="s">
        <v>953</v>
      </c>
      <c r="F78" t="s">
        <v>5325</v>
      </c>
      <c r="G78" t="s">
        <v>5392</v>
      </c>
      <c r="H78" s="670" t="s">
        <v>5564</v>
      </c>
      <c r="I78" s="669">
        <v>46010</v>
      </c>
      <c r="J78" s="669"/>
      <c r="K78" t="s">
        <v>5323</v>
      </c>
      <c r="L78" s="667">
        <v>770</v>
      </c>
      <c r="M78" s="667">
        <v>365</v>
      </c>
      <c r="N78" s="667">
        <f t="shared" si="6"/>
        <v>405</v>
      </c>
      <c r="O78" s="668">
        <f t="shared" si="7"/>
        <v>0.47402597402597402</v>
      </c>
      <c r="P78" s="667">
        <v>750</v>
      </c>
      <c r="R78" t="b">
        <v>1</v>
      </c>
      <c r="S78" t="b">
        <v>0</v>
      </c>
      <c r="T78">
        <v>59</v>
      </c>
      <c r="U78" s="669">
        <v>45951</v>
      </c>
      <c r="V78" t="str">
        <f t="shared" si="8"/>
        <v>2025-10</v>
      </c>
      <c r="W78" s="667"/>
      <c r="AA78" s="670"/>
    </row>
    <row r="79" spans="1:27">
      <c r="A79" s="670" t="s">
        <v>5565</v>
      </c>
      <c r="B79" t="s">
        <v>5323</v>
      </c>
      <c r="C79" t="s">
        <v>1894</v>
      </c>
      <c r="D79" t="s">
        <v>5566</v>
      </c>
      <c r="E79" t="s">
        <v>953</v>
      </c>
      <c r="F79" t="s">
        <v>5325</v>
      </c>
      <c r="G79" t="s">
        <v>5392</v>
      </c>
      <c r="H79" s="670" t="s">
        <v>5567</v>
      </c>
      <c r="I79" s="669">
        <v>46010</v>
      </c>
      <c r="J79" s="669">
        <v>45931</v>
      </c>
      <c r="K79" t="s">
        <v>5323</v>
      </c>
      <c r="L79" s="667">
        <v>785</v>
      </c>
      <c r="M79" s="667">
        <v>710</v>
      </c>
      <c r="N79" s="667">
        <f t="shared" si="6"/>
        <v>75</v>
      </c>
      <c r="O79" s="668">
        <f t="shared" si="7"/>
        <v>0.90445859872611467</v>
      </c>
      <c r="P79" s="667">
        <v>1000</v>
      </c>
      <c r="R79" t="b">
        <v>1</v>
      </c>
      <c r="S79" t="b">
        <v>0</v>
      </c>
      <c r="T79">
        <v>114</v>
      </c>
      <c r="U79" s="669">
        <v>45896</v>
      </c>
      <c r="V79" t="str">
        <f t="shared" si="8"/>
        <v>2025-08</v>
      </c>
      <c r="W79" s="667"/>
      <c r="AA79" s="670"/>
    </row>
    <row r="80" spans="1:27">
      <c r="A80" s="670" t="s">
        <v>5568</v>
      </c>
      <c r="B80" t="s">
        <v>5323</v>
      </c>
      <c r="C80" t="s">
        <v>4717</v>
      </c>
      <c r="D80" t="s">
        <v>5569</v>
      </c>
      <c r="E80" t="s">
        <v>953</v>
      </c>
      <c r="F80" t="s">
        <v>5325</v>
      </c>
      <c r="G80" t="s">
        <v>5326</v>
      </c>
      <c r="H80" s="670" t="s">
        <v>5570</v>
      </c>
      <c r="I80" s="669">
        <v>46010</v>
      </c>
      <c r="J80" s="669"/>
      <c r="K80" t="s">
        <v>5323</v>
      </c>
      <c r="L80" s="667">
        <v>2161.29</v>
      </c>
      <c r="M80" s="667">
        <v>750</v>
      </c>
      <c r="N80" s="667">
        <f t="shared" si="6"/>
        <v>1411.29</v>
      </c>
      <c r="O80" s="668">
        <f t="shared" si="7"/>
        <v>0.3470149771664145</v>
      </c>
      <c r="P80" s="667">
        <v>750</v>
      </c>
      <c r="R80" t="b">
        <v>0</v>
      </c>
      <c r="S80" t="b">
        <v>0</v>
      </c>
      <c r="T80">
        <v>48</v>
      </c>
      <c r="U80" s="669">
        <v>45962</v>
      </c>
      <c r="V80" t="str">
        <f t="shared" si="8"/>
        <v>2025-11</v>
      </c>
      <c r="W80" s="667"/>
      <c r="AA80" s="670"/>
    </row>
    <row r="81" spans="1:28">
      <c r="A81" s="670" t="s">
        <v>5571</v>
      </c>
      <c r="B81" t="s">
        <v>5323</v>
      </c>
      <c r="C81" t="s">
        <v>5572</v>
      </c>
      <c r="D81" t="s">
        <v>5573</v>
      </c>
      <c r="E81" t="s">
        <v>953</v>
      </c>
      <c r="F81" t="s">
        <v>5325</v>
      </c>
      <c r="G81" t="s">
        <v>5326</v>
      </c>
      <c r="H81" s="670" t="s">
        <v>5574</v>
      </c>
      <c r="I81" s="669">
        <v>45890</v>
      </c>
      <c r="J81" s="669">
        <v>45842</v>
      </c>
      <c r="K81" t="s">
        <v>5323</v>
      </c>
      <c r="L81" s="667">
        <v>2626.36</v>
      </c>
      <c r="M81" s="667">
        <v>1000</v>
      </c>
      <c r="N81" s="667">
        <f t="shared" si="6"/>
        <v>1626.3600000000001</v>
      </c>
      <c r="O81" s="668">
        <f t="shared" si="7"/>
        <v>0.38075511354117486</v>
      </c>
      <c r="P81" s="667">
        <v>1000</v>
      </c>
      <c r="R81" t="b">
        <v>0</v>
      </c>
      <c r="S81" t="b">
        <v>0</v>
      </c>
      <c r="T81">
        <v>53</v>
      </c>
      <c r="U81" s="669">
        <v>45837</v>
      </c>
      <c r="V81" t="str">
        <f t="shared" si="8"/>
        <v>2025-06</v>
      </c>
      <c r="W81" s="667"/>
      <c r="AA81" s="670"/>
    </row>
    <row r="82" spans="1:28">
      <c r="A82" s="670" t="s">
        <v>5575</v>
      </c>
      <c r="B82" t="s">
        <v>5323</v>
      </c>
      <c r="C82" t="s">
        <v>5576</v>
      </c>
      <c r="D82">
        <v>104</v>
      </c>
      <c r="E82" t="s">
        <v>953</v>
      </c>
      <c r="F82" t="s">
        <v>5325</v>
      </c>
      <c r="G82" t="s">
        <v>5337</v>
      </c>
      <c r="H82" s="670" t="s">
        <v>5577</v>
      </c>
      <c r="I82" s="669">
        <v>45771</v>
      </c>
      <c r="J82" s="669">
        <v>45721</v>
      </c>
      <c r="K82" t="s">
        <v>5323</v>
      </c>
      <c r="L82" s="667">
        <v>731.12</v>
      </c>
      <c r="M82" s="667">
        <v>580</v>
      </c>
      <c r="N82" s="667">
        <f t="shared" si="6"/>
        <v>151.12</v>
      </c>
      <c r="O82" s="668">
        <f t="shared" si="7"/>
        <v>0.79330342488237227</v>
      </c>
      <c r="P82" s="667">
        <v>1000</v>
      </c>
      <c r="R82" t="b">
        <v>0</v>
      </c>
      <c r="S82" t="b">
        <v>0</v>
      </c>
      <c r="T82">
        <v>54</v>
      </c>
      <c r="U82" s="669">
        <v>45717</v>
      </c>
      <c r="V82" t="str">
        <f t="shared" si="8"/>
        <v>2025-03</v>
      </c>
      <c r="W82" s="667"/>
      <c r="AA82" s="670"/>
      <c r="AB82" s="670"/>
    </row>
    <row r="83" spans="1:28">
      <c r="A83" s="670" t="s">
        <v>5578</v>
      </c>
      <c r="B83" t="s">
        <v>5323</v>
      </c>
      <c r="C83" t="s">
        <v>5579</v>
      </c>
      <c r="D83">
        <v>2076</v>
      </c>
      <c r="E83" t="s">
        <v>953</v>
      </c>
      <c r="F83" t="s">
        <v>5325</v>
      </c>
      <c r="G83" t="s">
        <v>5392</v>
      </c>
      <c r="H83" s="670" t="s">
        <v>5580</v>
      </c>
      <c r="I83" s="669">
        <v>45497</v>
      </c>
      <c r="J83" s="669">
        <v>45485</v>
      </c>
      <c r="K83" t="s">
        <v>5323</v>
      </c>
      <c r="L83" s="667">
        <v>491.59</v>
      </c>
      <c r="M83" s="667">
        <v>87.59</v>
      </c>
      <c r="N83" s="667">
        <f t="shared" si="6"/>
        <v>404</v>
      </c>
      <c r="O83" s="668">
        <f t="shared" si="7"/>
        <v>0.17817693606460669</v>
      </c>
      <c r="P83" s="667">
        <v>1000</v>
      </c>
      <c r="R83" t="b">
        <v>1</v>
      </c>
      <c r="S83" t="b">
        <v>0</v>
      </c>
      <c r="T83">
        <v>114</v>
      </c>
      <c r="U83" s="669">
        <v>45383</v>
      </c>
      <c r="V83" t="str">
        <f t="shared" si="8"/>
        <v>2024-04</v>
      </c>
      <c r="W83" s="667"/>
      <c r="AA83" s="670"/>
      <c r="AB83" s="670"/>
    </row>
    <row r="84" spans="1:28">
      <c r="A84" s="670" t="s">
        <v>5581</v>
      </c>
      <c r="B84" t="s">
        <v>5323</v>
      </c>
      <c r="C84" t="s">
        <v>5582</v>
      </c>
      <c r="D84" t="s">
        <v>4294</v>
      </c>
      <c r="E84" t="s">
        <v>953</v>
      </c>
      <c r="F84" t="s">
        <v>5325</v>
      </c>
      <c r="G84" t="s">
        <v>5326</v>
      </c>
      <c r="H84" s="670" t="s">
        <v>5583</v>
      </c>
      <c r="I84" s="669">
        <v>45499</v>
      </c>
      <c r="J84" s="669"/>
      <c r="K84" t="s">
        <v>5323</v>
      </c>
      <c r="L84" s="667">
        <v>3717.5</v>
      </c>
      <c r="M84" s="667">
        <v>1000</v>
      </c>
      <c r="N84" s="667">
        <f t="shared" si="6"/>
        <v>2717.5</v>
      </c>
      <c r="O84" s="668">
        <f t="shared" si="7"/>
        <v>0.26899798251513113</v>
      </c>
      <c r="P84" s="667">
        <v>1000</v>
      </c>
      <c r="R84" t="b">
        <v>0</v>
      </c>
      <c r="S84" t="b">
        <v>0</v>
      </c>
      <c r="T84">
        <v>92</v>
      </c>
      <c r="U84" s="669">
        <v>45407</v>
      </c>
      <c r="V84" t="str">
        <f t="shared" si="8"/>
        <v>2024-04</v>
      </c>
      <c r="W84" s="667"/>
      <c r="AA84" s="670"/>
    </row>
    <row r="85" spans="1:28">
      <c r="A85" s="670" t="s">
        <v>5584</v>
      </c>
      <c r="B85" t="s">
        <v>5323</v>
      </c>
      <c r="C85" t="s">
        <v>4444</v>
      </c>
      <c r="D85" t="s">
        <v>3337</v>
      </c>
      <c r="E85" t="s">
        <v>953</v>
      </c>
      <c r="F85" t="s">
        <v>5325</v>
      </c>
      <c r="G85" t="s">
        <v>5326</v>
      </c>
      <c r="H85" s="670" t="s">
        <v>5585</v>
      </c>
      <c r="I85" s="669">
        <v>46028</v>
      </c>
      <c r="J85" s="669"/>
      <c r="K85" t="s">
        <v>5323</v>
      </c>
      <c r="L85" s="667">
        <v>1460</v>
      </c>
      <c r="M85" s="667">
        <v>750</v>
      </c>
      <c r="N85" s="667">
        <f t="shared" si="6"/>
        <v>710</v>
      </c>
      <c r="O85" s="668">
        <f t="shared" si="7"/>
        <v>0.51369863013698636</v>
      </c>
      <c r="P85" s="667">
        <v>750</v>
      </c>
      <c r="R85" t="b">
        <v>0</v>
      </c>
      <c r="S85" t="b">
        <v>0</v>
      </c>
      <c r="T85">
        <v>46</v>
      </c>
      <c r="U85" s="669">
        <v>45982</v>
      </c>
      <c r="V85" t="str">
        <f t="shared" si="8"/>
        <v>2025-11</v>
      </c>
      <c r="W85" s="667"/>
      <c r="AA85" s="670"/>
      <c r="AB85" s="670"/>
    </row>
    <row r="86" spans="1:28">
      <c r="A86" s="670" t="s">
        <v>5586</v>
      </c>
      <c r="B86" t="s">
        <v>5323</v>
      </c>
      <c r="C86" t="s">
        <v>4478</v>
      </c>
      <c r="D86" t="s">
        <v>3351</v>
      </c>
      <c r="E86" t="s">
        <v>953</v>
      </c>
      <c r="F86" t="s">
        <v>5325</v>
      </c>
      <c r="G86" t="s">
        <v>5337</v>
      </c>
      <c r="H86" s="670" t="s">
        <v>5587</v>
      </c>
      <c r="I86" s="669">
        <v>46028</v>
      </c>
      <c r="J86" s="669"/>
      <c r="K86" t="s">
        <v>5323</v>
      </c>
      <c r="L86" s="667">
        <v>772.45</v>
      </c>
      <c r="M86" s="667">
        <v>635</v>
      </c>
      <c r="N86" s="667">
        <f t="shared" si="6"/>
        <v>137.45000000000005</v>
      </c>
      <c r="O86" s="668">
        <f t="shared" si="7"/>
        <v>0.82205968023820308</v>
      </c>
      <c r="P86" s="667">
        <v>750</v>
      </c>
      <c r="R86" t="b">
        <v>0</v>
      </c>
      <c r="S86" t="b">
        <v>0</v>
      </c>
      <c r="T86">
        <v>36</v>
      </c>
      <c r="U86" s="669">
        <v>45992</v>
      </c>
      <c r="V86" t="str">
        <f t="shared" si="8"/>
        <v>2025-12</v>
      </c>
      <c r="W86" s="667"/>
      <c r="AA86" s="670"/>
    </row>
    <row r="87" spans="1:28">
      <c r="A87" s="670" t="s">
        <v>5588</v>
      </c>
      <c r="B87" t="s">
        <v>5323</v>
      </c>
      <c r="C87" t="s">
        <v>5589</v>
      </c>
      <c r="D87">
        <v>2048</v>
      </c>
      <c r="E87" t="s">
        <v>953</v>
      </c>
      <c r="F87" t="s">
        <v>5325</v>
      </c>
      <c r="G87" t="s">
        <v>5326</v>
      </c>
      <c r="H87" s="670" t="s">
        <v>5590</v>
      </c>
      <c r="I87" s="669">
        <v>45582</v>
      </c>
      <c r="J87" s="669">
        <v>45542</v>
      </c>
      <c r="K87" t="s">
        <v>5323</v>
      </c>
      <c r="L87" s="667">
        <v>1505.5</v>
      </c>
      <c r="M87" s="667">
        <v>1000</v>
      </c>
      <c r="N87" s="667">
        <f t="shared" si="6"/>
        <v>505.5</v>
      </c>
      <c r="O87" s="668">
        <f t="shared" si="7"/>
        <v>0.66423115244104947</v>
      </c>
      <c r="P87" s="667">
        <v>1000</v>
      </c>
      <c r="R87" t="b">
        <v>0</v>
      </c>
      <c r="S87" t="b">
        <v>0</v>
      </c>
      <c r="T87">
        <v>108</v>
      </c>
      <c r="U87" s="669">
        <v>45474</v>
      </c>
      <c r="V87" t="str">
        <f t="shared" si="8"/>
        <v>2024-07</v>
      </c>
      <c r="W87" s="667"/>
      <c r="AA87" s="670"/>
      <c r="AB87" s="670"/>
    </row>
    <row r="88" spans="1:28">
      <c r="A88" s="670" t="s">
        <v>5591</v>
      </c>
      <c r="B88" t="s">
        <v>5323</v>
      </c>
      <c r="C88" t="s">
        <v>4613</v>
      </c>
      <c r="D88" t="s">
        <v>5592</v>
      </c>
      <c r="E88" t="s">
        <v>953</v>
      </c>
      <c r="F88" t="s">
        <v>5325</v>
      </c>
      <c r="G88" t="s">
        <v>5392</v>
      </c>
      <c r="H88" s="670" t="s">
        <v>5593</v>
      </c>
      <c r="I88" s="669">
        <v>46010</v>
      </c>
      <c r="J88" s="669"/>
      <c r="K88" t="s">
        <v>5323</v>
      </c>
      <c r="L88" s="667">
        <v>1455</v>
      </c>
      <c r="M88" s="667">
        <v>595</v>
      </c>
      <c r="N88" s="667">
        <f t="shared" si="6"/>
        <v>860</v>
      </c>
      <c r="O88" s="668">
        <f t="shared" si="7"/>
        <v>0.40893470790378006</v>
      </c>
      <c r="P88" s="667">
        <v>1000</v>
      </c>
      <c r="R88" t="b">
        <v>1</v>
      </c>
      <c r="S88" t="b">
        <v>0</v>
      </c>
      <c r="T88">
        <v>49</v>
      </c>
      <c r="U88" s="669">
        <v>45961</v>
      </c>
      <c r="V88" t="str">
        <f t="shared" si="8"/>
        <v>2025-10</v>
      </c>
      <c r="W88" s="667"/>
      <c r="AA88" s="670"/>
    </row>
    <row r="89" spans="1:28">
      <c r="A89" s="670" t="s">
        <v>5594</v>
      </c>
      <c r="B89" t="s">
        <v>5323</v>
      </c>
      <c r="C89" t="s">
        <v>5595</v>
      </c>
      <c r="D89" s="518">
        <v>40210</v>
      </c>
      <c r="E89" t="s">
        <v>953</v>
      </c>
      <c r="F89" t="s">
        <v>5325</v>
      </c>
      <c r="G89" t="s">
        <v>5392</v>
      </c>
      <c r="H89" s="670" t="s">
        <v>5596</v>
      </c>
      <c r="I89" s="669">
        <v>45452</v>
      </c>
      <c r="J89" s="669">
        <v>45388</v>
      </c>
      <c r="K89" t="s">
        <v>5323</v>
      </c>
      <c r="L89" s="667">
        <v>1003</v>
      </c>
      <c r="M89" s="667">
        <v>0</v>
      </c>
      <c r="N89" s="667">
        <f t="shared" si="6"/>
        <v>1003</v>
      </c>
      <c r="O89" s="668">
        <f t="shared" si="7"/>
        <v>0</v>
      </c>
      <c r="P89" s="667">
        <v>1000</v>
      </c>
      <c r="R89" t="b">
        <v>0</v>
      </c>
      <c r="S89" t="b">
        <v>1</v>
      </c>
      <c r="T89">
        <v>88</v>
      </c>
      <c r="U89" s="669">
        <v>45364</v>
      </c>
      <c r="V89" t="str">
        <f t="shared" si="8"/>
        <v>2024-03</v>
      </c>
      <c r="W89" s="667"/>
      <c r="AA89" s="670"/>
    </row>
    <row r="90" spans="1:28">
      <c r="A90" s="670" t="s">
        <v>5597</v>
      </c>
      <c r="B90" t="s">
        <v>5323</v>
      </c>
      <c r="C90" t="s">
        <v>4577</v>
      </c>
      <c r="D90" t="s">
        <v>5598</v>
      </c>
      <c r="E90" t="s">
        <v>953</v>
      </c>
      <c r="F90" t="s">
        <v>5325</v>
      </c>
      <c r="G90" t="s">
        <v>5326</v>
      </c>
      <c r="H90" s="670" t="s">
        <v>5599</v>
      </c>
      <c r="I90" s="669">
        <v>46010</v>
      </c>
      <c r="J90" s="669"/>
      <c r="K90" t="s">
        <v>5323</v>
      </c>
      <c r="L90" s="667">
        <v>3904.91</v>
      </c>
      <c r="M90" s="667">
        <v>750</v>
      </c>
      <c r="N90" s="667">
        <f t="shared" si="6"/>
        <v>3154.91</v>
      </c>
      <c r="O90" s="668">
        <f t="shared" si="7"/>
        <v>0.19206588628163004</v>
      </c>
      <c r="P90" s="667">
        <v>750</v>
      </c>
      <c r="R90" t="b">
        <v>0</v>
      </c>
      <c r="S90" t="b">
        <v>0</v>
      </c>
      <c r="T90">
        <v>59</v>
      </c>
      <c r="U90" s="669">
        <v>45951</v>
      </c>
      <c r="V90" t="str">
        <f t="shared" si="8"/>
        <v>2025-10</v>
      </c>
      <c r="W90" s="667"/>
      <c r="AA90" s="670"/>
    </row>
    <row r="91" spans="1:28">
      <c r="A91" s="670" t="s">
        <v>5600</v>
      </c>
      <c r="B91" t="s">
        <v>5323</v>
      </c>
      <c r="C91" t="s">
        <v>4480</v>
      </c>
      <c r="D91" t="s">
        <v>5601</v>
      </c>
      <c r="E91" t="s">
        <v>953</v>
      </c>
      <c r="F91" t="s">
        <v>5325</v>
      </c>
      <c r="G91" t="s">
        <v>5326</v>
      </c>
      <c r="H91" s="670" t="s">
        <v>5602</v>
      </c>
      <c r="I91" s="669">
        <v>45937</v>
      </c>
      <c r="J91" s="669"/>
      <c r="K91" t="s">
        <v>5323</v>
      </c>
      <c r="L91" s="667">
        <v>5579.31</v>
      </c>
      <c r="M91" s="667">
        <v>750</v>
      </c>
      <c r="N91" s="667">
        <f t="shared" si="6"/>
        <v>4829.3100000000004</v>
      </c>
      <c r="O91" s="668">
        <f t="shared" si="7"/>
        <v>0.13442522462455034</v>
      </c>
      <c r="P91" s="667">
        <v>750</v>
      </c>
      <c r="R91" t="b">
        <v>0</v>
      </c>
      <c r="S91" t="b">
        <v>0</v>
      </c>
      <c r="T91">
        <v>60</v>
      </c>
      <c r="U91" s="669">
        <v>45877</v>
      </c>
      <c r="V91" t="str">
        <f t="shared" si="8"/>
        <v>2025-08</v>
      </c>
      <c r="W91" s="667"/>
      <c r="AA91" s="670"/>
    </row>
    <row r="92" spans="1:28">
      <c r="A92" s="670" t="s">
        <v>5603</v>
      </c>
      <c r="B92" t="s">
        <v>5323</v>
      </c>
      <c r="C92" t="s">
        <v>4338</v>
      </c>
      <c r="D92" t="s">
        <v>5604</v>
      </c>
      <c r="E92" t="s">
        <v>953</v>
      </c>
      <c r="F92" t="s">
        <v>5325</v>
      </c>
      <c r="G92" t="s">
        <v>5326</v>
      </c>
      <c r="H92" s="670" t="s">
        <v>5605</v>
      </c>
      <c r="I92" s="669">
        <v>46011</v>
      </c>
      <c r="J92" s="669"/>
      <c r="K92" t="s">
        <v>5323</v>
      </c>
      <c r="L92" s="667">
        <v>8490.9</v>
      </c>
      <c r="M92" s="667">
        <v>750</v>
      </c>
      <c r="N92" s="667">
        <f t="shared" si="6"/>
        <v>7740.9</v>
      </c>
      <c r="O92" s="668">
        <f t="shared" si="7"/>
        <v>8.8329859025544993E-2</v>
      </c>
      <c r="P92" s="667">
        <v>750</v>
      </c>
      <c r="R92" t="b">
        <v>0</v>
      </c>
      <c r="S92" t="b">
        <v>0</v>
      </c>
      <c r="T92">
        <v>38</v>
      </c>
      <c r="U92" s="669">
        <v>45973</v>
      </c>
      <c r="V92" t="str">
        <f t="shared" si="8"/>
        <v>2025-11</v>
      </c>
      <c r="W92" s="667"/>
      <c r="AA92" s="670"/>
      <c r="AB92" s="670"/>
    </row>
    <row r="93" spans="1:28">
      <c r="A93" s="670" t="s">
        <v>5606</v>
      </c>
      <c r="B93" t="s">
        <v>5323</v>
      </c>
      <c r="C93" t="s">
        <v>5607</v>
      </c>
      <c r="D93" t="s">
        <v>5608</v>
      </c>
      <c r="E93" t="s">
        <v>953</v>
      </c>
      <c r="F93" t="s">
        <v>5325</v>
      </c>
      <c r="G93" t="s">
        <v>5326</v>
      </c>
      <c r="H93" s="670" t="s">
        <v>5609</v>
      </c>
      <c r="I93" s="669">
        <v>45484</v>
      </c>
      <c r="J93" s="669">
        <v>45413</v>
      </c>
      <c r="K93" t="s">
        <v>5323</v>
      </c>
      <c r="L93" s="667">
        <v>2380</v>
      </c>
      <c r="M93" s="667">
        <v>1000</v>
      </c>
      <c r="N93" s="667">
        <f t="shared" si="6"/>
        <v>1380</v>
      </c>
      <c r="O93" s="668">
        <f t="shared" si="7"/>
        <v>0.42016806722689076</v>
      </c>
      <c r="P93" s="667">
        <v>1000</v>
      </c>
      <c r="R93" t="b">
        <v>0</v>
      </c>
      <c r="S93" t="b">
        <v>0</v>
      </c>
      <c r="T93">
        <v>111</v>
      </c>
      <c r="U93" s="669">
        <v>45373</v>
      </c>
      <c r="V93" t="str">
        <f t="shared" si="8"/>
        <v>2024-03</v>
      </c>
      <c r="W93" s="667"/>
      <c r="AA93" s="670"/>
    </row>
    <row r="94" spans="1:28">
      <c r="A94" s="670" t="s">
        <v>5610</v>
      </c>
      <c r="B94" t="s">
        <v>5323</v>
      </c>
      <c r="C94" t="s">
        <v>4482</v>
      </c>
      <c r="D94" t="s">
        <v>2935</v>
      </c>
      <c r="E94" t="s">
        <v>953</v>
      </c>
      <c r="F94" t="s">
        <v>5325</v>
      </c>
      <c r="G94" t="s">
        <v>5326</v>
      </c>
      <c r="H94" s="670" t="s">
        <v>5611</v>
      </c>
      <c r="I94" s="669">
        <v>46010</v>
      </c>
      <c r="J94" s="669"/>
      <c r="K94" t="s">
        <v>5323</v>
      </c>
      <c r="L94" s="667">
        <v>10456.66</v>
      </c>
      <c r="M94" s="667">
        <v>750</v>
      </c>
      <c r="N94" s="667">
        <f t="shared" si="6"/>
        <v>9706.66</v>
      </c>
      <c r="O94" s="668">
        <f t="shared" si="7"/>
        <v>7.172462335009458E-2</v>
      </c>
      <c r="P94" s="667">
        <v>750</v>
      </c>
      <c r="R94" t="b">
        <v>0</v>
      </c>
      <c r="S94" t="b">
        <v>0</v>
      </c>
      <c r="T94">
        <v>37</v>
      </c>
      <c r="U94" s="669">
        <v>45973</v>
      </c>
      <c r="V94" t="str">
        <f t="shared" si="8"/>
        <v>2025-11</v>
      </c>
      <c r="W94" s="667"/>
      <c r="AA94" s="670"/>
    </row>
    <row r="95" spans="1:28">
      <c r="A95" s="670" t="s">
        <v>5612</v>
      </c>
      <c r="B95" t="s">
        <v>5323</v>
      </c>
      <c r="C95" t="s">
        <v>4496</v>
      </c>
      <c r="D95" t="s">
        <v>5613</v>
      </c>
      <c r="E95" t="s">
        <v>953</v>
      </c>
      <c r="F95" t="s">
        <v>5325</v>
      </c>
      <c r="G95" t="s">
        <v>5345</v>
      </c>
      <c r="H95" s="670" t="s">
        <v>5614</v>
      </c>
      <c r="I95" s="669">
        <v>46010</v>
      </c>
      <c r="J95" s="669"/>
      <c r="K95" t="s">
        <v>5323</v>
      </c>
      <c r="L95" s="667">
        <v>1728.85</v>
      </c>
      <c r="M95" s="667">
        <v>415</v>
      </c>
      <c r="N95" s="667">
        <f t="shared" si="6"/>
        <v>1313.85</v>
      </c>
      <c r="O95" s="668">
        <f t="shared" si="7"/>
        <v>0.24004395985770891</v>
      </c>
      <c r="P95" s="667">
        <v>750</v>
      </c>
      <c r="R95" t="b">
        <v>1</v>
      </c>
      <c r="S95" t="b">
        <v>0</v>
      </c>
      <c r="T95">
        <v>31</v>
      </c>
      <c r="U95" s="669">
        <v>45979</v>
      </c>
      <c r="V95" t="str">
        <f t="shared" si="8"/>
        <v>2025-11</v>
      </c>
      <c r="W95" s="667"/>
      <c r="AA95" s="670"/>
    </row>
    <row r="96" spans="1:28">
      <c r="A96" s="670" t="s">
        <v>5615</v>
      </c>
      <c r="B96" t="s">
        <v>5323</v>
      </c>
      <c r="C96" t="s">
        <v>5616</v>
      </c>
      <c r="D96">
        <v>201</v>
      </c>
      <c r="E96" t="s">
        <v>953</v>
      </c>
      <c r="F96" t="s">
        <v>5325</v>
      </c>
      <c r="G96" t="s">
        <v>5333</v>
      </c>
      <c r="H96" s="670" t="s">
        <v>5617</v>
      </c>
      <c r="I96" s="669">
        <v>45484</v>
      </c>
      <c r="J96" s="669">
        <v>45451</v>
      </c>
      <c r="K96" t="s">
        <v>5323</v>
      </c>
      <c r="L96" s="667">
        <v>1949</v>
      </c>
      <c r="M96" s="667">
        <v>0</v>
      </c>
      <c r="N96" s="667">
        <f t="shared" si="6"/>
        <v>1949</v>
      </c>
      <c r="O96" s="668">
        <f t="shared" si="7"/>
        <v>0</v>
      </c>
      <c r="P96" s="667">
        <v>1000</v>
      </c>
      <c r="R96" t="b">
        <v>0</v>
      </c>
      <c r="S96" t="b">
        <v>1</v>
      </c>
      <c r="T96">
        <v>111</v>
      </c>
      <c r="U96" s="669">
        <v>45373</v>
      </c>
      <c r="V96" t="str">
        <f t="shared" si="8"/>
        <v>2024-03</v>
      </c>
      <c r="W96" s="667"/>
      <c r="AA96" s="670"/>
    </row>
    <row r="97" spans="1:28">
      <c r="A97" s="670" t="s">
        <v>5618</v>
      </c>
      <c r="B97" t="s">
        <v>5323</v>
      </c>
      <c r="C97" t="s">
        <v>5619</v>
      </c>
      <c r="D97" t="s">
        <v>1827</v>
      </c>
      <c r="E97" t="s">
        <v>953</v>
      </c>
      <c r="F97" t="s">
        <v>5325</v>
      </c>
      <c r="G97" t="s">
        <v>5326</v>
      </c>
      <c r="H97" s="670" t="s">
        <v>5620</v>
      </c>
      <c r="I97" s="669">
        <v>45933</v>
      </c>
      <c r="J97" s="669">
        <v>45899</v>
      </c>
      <c r="K97" t="s">
        <v>5323</v>
      </c>
      <c r="L97" s="667">
        <v>3556.07</v>
      </c>
      <c r="M97" s="667">
        <v>750</v>
      </c>
      <c r="N97" s="667">
        <f t="shared" si="6"/>
        <v>2806.07</v>
      </c>
      <c r="O97" s="668">
        <f t="shared" si="7"/>
        <v>0.21090698439569525</v>
      </c>
      <c r="P97" s="667">
        <v>750</v>
      </c>
      <c r="R97" t="b">
        <v>0</v>
      </c>
      <c r="S97" t="b">
        <v>0</v>
      </c>
      <c r="T97">
        <v>56</v>
      </c>
      <c r="U97" s="669">
        <v>45877</v>
      </c>
      <c r="V97" t="str">
        <f t="shared" si="8"/>
        <v>2025-08</v>
      </c>
      <c r="W97" s="667"/>
      <c r="AA97" s="670"/>
    </row>
    <row r="98" spans="1:28">
      <c r="A98" s="670" t="s">
        <v>5621</v>
      </c>
      <c r="B98" t="s">
        <v>5323</v>
      </c>
      <c r="C98" t="s">
        <v>5622</v>
      </c>
      <c r="D98" t="s">
        <v>5623</v>
      </c>
      <c r="E98" t="s">
        <v>953</v>
      </c>
      <c r="F98" t="s">
        <v>5325</v>
      </c>
      <c r="G98" t="s">
        <v>5326</v>
      </c>
      <c r="H98" s="670" t="s">
        <v>5624</v>
      </c>
      <c r="I98" s="669">
        <v>45890</v>
      </c>
      <c r="J98" s="669"/>
      <c r="K98" t="s">
        <v>5323</v>
      </c>
      <c r="L98" s="667">
        <v>6001.76</v>
      </c>
      <c r="M98" s="667">
        <v>750</v>
      </c>
      <c r="N98" s="667">
        <f t="shared" ref="N98:N105" si="9">L98-M98</f>
        <v>5251.76</v>
      </c>
      <c r="O98" s="668">
        <f t="shared" ref="O98:O105" si="10">IF(L98=0,"",M98/L98)</f>
        <v>0.12496334408573484</v>
      </c>
      <c r="P98" s="667">
        <v>750</v>
      </c>
      <c r="R98" t="b">
        <v>0</v>
      </c>
      <c r="S98" t="b">
        <v>0</v>
      </c>
      <c r="T98">
        <v>52</v>
      </c>
      <c r="U98" s="669">
        <v>45838</v>
      </c>
      <c r="V98" t="str">
        <f t="shared" ref="V98:V105" si="11">TEXT(U98,"YYYY-MM")</f>
        <v>2025-06</v>
      </c>
      <c r="W98" s="667"/>
      <c r="AA98" s="670"/>
      <c r="AB98" s="670"/>
    </row>
    <row r="99" spans="1:28">
      <c r="A99" s="670" t="s">
        <v>5625</v>
      </c>
      <c r="B99" t="s">
        <v>5323</v>
      </c>
      <c r="C99" t="s">
        <v>4627</v>
      </c>
      <c r="D99" t="s">
        <v>3561</v>
      </c>
      <c r="E99" t="s">
        <v>953</v>
      </c>
      <c r="F99" t="s">
        <v>5325</v>
      </c>
      <c r="G99" t="s">
        <v>5326</v>
      </c>
      <c r="H99" s="670" t="s">
        <v>5626</v>
      </c>
      <c r="I99" s="669">
        <v>46010</v>
      </c>
      <c r="J99" s="669"/>
      <c r="K99" t="s">
        <v>5323</v>
      </c>
      <c r="L99" s="667">
        <v>2931.69</v>
      </c>
      <c r="M99" s="667">
        <v>750</v>
      </c>
      <c r="N99" s="667">
        <f t="shared" si="9"/>
        <v>2181.69</v>
      </c>
      <c r="O99" s="668">
        <f t="shared" si="10"/>
        <v>0.25582513840139987</v>
      </c>
      <c r="P99" s="667">
        <v>750</v>
      </c>
      <c r="R99" t="b">
        <v>0</v>
      </c>
      <c r="S99" t="b">
        <v>0</v>
      </c>
      <c r="T99">
        <v>60</v>
      </c>
      <c r="U99" s="669">
        <v>45950</v>
      </c>
      <c r="V99" t="str">
        <f t="shared" si="11"/>
        <v>2025-10</v>
      </c>
      <c r="W99" s="667"/>
      <c r="AA99" s="670"/>
    </row>
    <row r="100" spans="1:28">
      <c r="A100" s="670" t="s">
        <v>5627</v>
      </c>
      <c r="B100" t="s">
        <v>5323</v>
      </c>
      <c r="C100" t="s">
        <v>4615</v>
      </c>
      <c r="D100" t="s">
        <v>2325</v>
      </c>
      <c r="E100" t="s">
        <v>953</v>
      </c>
      <c r="F100" t="s">
        <v>5325</v>
      </c>
      <c r="G100" t="s">
        <v>5326</v>
      </c>
      <c r="H100" s="670" t="s">
        <v>5628</v>
      </c>
      <c r="I100" s="669">
        <v>46010</v>
      </c>
      <c r="J100" s="669"/>
      <c r="K100" t="s">
        <v>5323</v>
      </c>
      <c r="L100" s="667">
        <v>2846.62</v>
      </c>
      <c r="M100" s="667">
        <v>750</v>
      </c>
      <c r="N100" s="667">
        <f t="shared" si="9"/>
        <v>2096.62</v>
      </c>
      <c r="O100" s="668">
        <f t="shared" si="10"/>
        <v>0.26347036134081825</v>
      </c>
      <c r="P100" s="667">
        <v>750</v>
      </c>
      <c r="R100" t="b">
        <v>0</v>
      </c>
      <c r="S100" t="b">
        <v>0</v>
      </c>
      <c r="T100">
        <v>39</v>
      </c>
      <c r="U100" s="669">
        <v>45971</v>
      </c>
      <c r="V100" t="str">
        <f t="shared" si="11"/>
        <v>2025-11</v>
      </c>
      <c r="W100" s="667"/>
      <c r="AA100" s="670"/>
      <c r="AB100" s="670"/>
    </row>
    <row r="101" spans="1:28">
      <c r="A101" s="670" t="s">
        <v>5629</v>
      </c>
      <c r="B101" t="s">
        <v>4997</v>
      </c>
      <c r="C101" t="s">
        <v>5630</v>
      </c>
      <c r="D101" s="518" t="s">
        <v>1388</v>
      </c>
      <c r="E101" t="s">
        <v>953</v>
      </c>
      <c r="F101" t="s">
        <v>5325</v>
      </c>
      <c r="G101" t="s">
        <v>5337</v>
      </c>
      <c r="H101" s="670">
        <v>3640369616</v>
      </c>
      <c r="I101" s="669">
        <v>46062</v>
      </c>
      <c r="J101" s="669"/>
      <c r="K101" t="s">
        <v>4997</v>
      </c>
      <c r="L101" s="667">
        <v>1057.3499999999999</v>
      </c>
      <c r="M101" s="667">
        <v>522.58000000000004</v>
      </c>
      <c r="N101" s="667">
        <v>534.77</v>
      </c>
      <c r="O101" s="668">
        <v>0.49419999999999997</v>
      </c>
      <c r="P101" s="667">
        <v>750</v>
      </c>
      <c r="R101" t="b">
        <v>0</v>
      </c>
      <c r="S101" t="b">
        <v>0</v>
      </c>
      <c r="T101">
        <v>53</v>
      </c>
      <c r="U101" s="669">
        <v>46009</v>
      </c>
      <c r="V101" t="s">
        <v>6784</v>
      </c>
      <c r="W101" s="667">
        <v>750</v>
      </c>
      <c r="X101" t="b">
        <v>0</v>
      </c>
      <c r="Z101" t="s">
        <v>4997</v>
      </c>
      <c r="AA101" s="670">
        <v>100139438</v>
      </c>
      <c r="AB101">
        <v>16800951</v>
      </c>
    </row>
    <row r="102" spans="1:28">
      <c r="A102" s="670" t="s">
        <v>5631</v>
      </c>
      <c r="B102" t="s">
        <v>4997</v>
      </c>
      <c r="C102" t="s">
        <v>4890</v>
      </c>
      <c r="D102" t="s">
        <v>1334</v>
      </c>
      <c r="E102" t="s">
        <v>953</v>
      </c>
      <c r="F102" t="s">
        <v>5325</v>
      </c>
      <c r="G102" t="s">
        <v>5326</v>
      </c>
      <c r="H102" s="670">
        <v>4872373693</v>
      </c>
      <c r="I102" s="669">
        <v>46104</v>
      </c>
      <c r="J102" s="669"/>
      <c r="K102" t="s">
        <v>4997</v>
      </c>
      <c r="L102" s="667">
        <v>10269.18</v>
      </c>
      <c r="M102" s="667">
        <v>1000</v>
      </c>
      <c r="N102" s="667">
        <v>9269.18</v>
      </c>
      <c r="O102" s="668">
        <v>9.74E-2</v>
      </c>
      <c r="P102" s="667">
        <v>1000</v>
      </c>
      <c r="R102" t="b">
        <v>0</v>
      </c>
      <c r="S102" t="b">
        <v>0</v>
      </c>
      <c r="T102">
        <v>59</v>
      </c>
      <c r="U102" s="669">
        <v>46045</v>
      </c>
      <c r="V102" t="s">
        <v>6781</v>
      </c>
      <c r="W102" s="667">
        <v>1000</v>
      </c>
      <c r="X102" t="b">
        <v>0</v>
      </c>
      <c r="Z102" t="s">
        <v>4997</v>
      </c>
      <c r="AA102" s="670">
        <v>100139438</v>
      </c>
      <c r="AB102">
        <v>16800962</v>
      </c>
    </row>
    <row r="103" spans="1:28">
      <c r="A103" s="670" t="s">
        <v>5632</v>
      </c>
      <c r="B103" t="s">
        <v>4997</v>
      </c>
      <c r="C103" t="s">
        <v>4857</v>
      </c>
      <c r="D103" t="s">
        <v>1339</v>
      </c>
      <c r="E103" t="s">
        <v>953</v>
      </c>
      <c r="F103" t="s">
        <v>5349</v>
      </c>
      <c r="G103" t="s">
        <v>5349</v>
      </c>
      <c r="H103" s="670">
        <v>6200470591</v>
      </c>
      <c r="I103" s="669">
        <v>46105</v>
      </c>
      <c r="J103" s="669"/>
      <c r="K103" t="s">
        <v>4997</v>
      </c>
      <c r="L103" s="667">
        <v>8349.4</v>
      </c>
      <c r="M103" s="667">
        <v>0</v>
      </c>
      <c r="N103" s="667">
        <v>8349.4</v>
      </c>
      <c r="O103" s="668">
        <v>0</v>
      </c>
      <c r="P103" s="667">
        <v>750</v>
      </c>
      <c r="Q103" t="s">
        <v>5351</v>
      </c>
      <c r="R103" t="b">
        <v>0</v>
      </c>
      <c r="S103" t="b">
        <v>0</v>
      </c>
      <c r="T103">
        <v>60</v>
      </c>
      <c r="U103" s="669">
        <v>46045</v>
      </c>
      <c r="V103" t="s">
        <v>6781</v>
      </c>
      <c r="W103" s="667">
        <v>750</v>
      </c>
      <c r="X103" t="b">
        <v>0</v>
      </c>
      <c r="Z103" t="s">
        <v>4997</v>
      </c>
      <c r="AA103" s="670">
        <v>100139438</v>
      </c>
      <c r="AB103">
        <v>16800966</v>
      </c>
    </row>
    <row r="104" spans="1:28">
      <c r="A104" s="670" t="s">
        <v>5633</v>
      </c>
      <c r="B104" t="s">
        <v>4997</v>
      </c>
      <c r="C104" t="s">
        <v>5634</v>
      </c>
      <c r="D104" t="s">
        <v>1336</v>
      </c>
      <c r="E104" t="s">
        <v>953</v>
      </c>
      <c r="F104" t="s">
        <v>5349</v>
      </c>
      <c r="G104" t="s">
        <v>5349</v>
      </c>
      <c r="H104" s="670">
        <v>6770248630</v>
      </c>
      <c r="I104" s="669">
        <v>46090</v>
      </c>
      <c r="J104" s="669"/>
      <c r="K104" t="s">
        <v>4997</v>
      </c>
      <c r="L104" s="667">
        <v>752</v>
      </c>
      <c r="M104" s="667">
        <v>0</v>
      </c>
      <c r="N104" s="667">
        <v>752</v>
      </c>
      <c r="O104" s="668">
        <v>0</v>
      </c>
      <c r="P104" s="667">
        <v>750</v>
      </c>
      <c r="Q104" t="s">
        <v>5635</v>
      </c>
      <c r="R104" t="b">
        <v>1</v>
      </c>
      <c r="S104" t="b">
        <v>0</v>
      </c>
      <c r="T104">
        <v>53</v>
      </c>
      <c r="U104" s="669">
        <v>46037</v>
      </c>
      <c r="V104" t="s">
        <v>6781</v>
      </c>
      <c r="W104" s="667">
        <v>750</v>
      </c>
      <c r="X104" t="b">
        <v>0</v>
      </c>
      <c r="Z104" t="s">
        <v>4997</v>
      </c>
      <c r="AA104" s="670">
        <v>100139438</v>
      </c>
      <c r="AB104">
        <v>16800968</v>
      </c>
    </row>
    <row r="105" spans="1:28">
      <c r="A105" s="670" t="s">
        <v>5636</v>
      </c>
      <c r="B105" t="s">
        <v>4997</v>
      </c>
      <c r="C105" t="s">
        <v>5637</v>
      </c>
      <c r="D105" t="s">
        <v>852</v>
      </c>
      <c r="E105" t="s">
        <v>953</v>
      </c>
      <c r="F105" t="s">
        <v>706</v>
      </c>
      <c r="G105" t="s">
        <v>5392</v>
      </c>
      <c r="H105" s="670" t="s">
        <v>5638</v>
      </c>
      <c r="I105" s="669">
        <v>46121</v>
      </c>
      <c r="J105" s="669"/>
      <c r="K105" t="s">
        <v>4997</v>
      </c>
      <c r="L105" s="667">
        <v>3861.25</v>
      </c>
      <c r="M105" s="667">
        <v>0</v>
      </c>
      <c r="N105" s="667">
        <f t="shared" si="9"/>
        <v>3861.25</v>
      </c>
      <c r="O105" s="668">
        <f t="shared" si="10"/>
        <v>0</v>
      </c>
      <c r="P105" s="667">
        <v>750</v>
      </c>
      <c r="R105" t="b">
        <v>0</v>
      </c>
      <c r="S105" t="b">
        <v>1</v>
      </c>
      <c r="T105">
        <v>57</v>
      </c>
      <c r="U105" s="669">
        <v>46064</v>
      </c>
      <c r="V105" t="str">
        <f t="shared" si="11"/>
        <v>2026-02</v>
      </c>
      <c r="W105" s="667"/>
      <c r="AA105" s="670"/>
    </row>
    <row r="106" spans="1:28">
      <c r="A106" s="670" t="s">
        <v>5639</v>
      </c>
      <c r="B106" t="s">
        <v>4997</v>
      </c>
      <c r="C106" t="s">
        <v>4981</v>
      </c>
      <c r="D106" t="s">
        <v>1113</v>
      </c>
      <c r="E106" t="s">
        <v>953</v>
      </c>
      <c r="F106" t="s">
        <v>5325</v>
      </c>
      <c r="G106" t="s">
        <v>5326</v>
      </c>
      <c r="H106" s="670">
        <v>7030176492</v>
      </c>
      <c r="I106" s="669">
        <v>46105</v>
      </c>
      <c r="J106" s="669"/>
      <c r="K106" t="s">
        <v>4997</v>
      </c>
      <c r="L106" s="667">
        <v>904.2</v>
      </c>
      <c r="M106" s="667">
        <v>750</v>
      </c>
      <c r="N106" s="667">
        <v>154.19999999999999</v>
      </c>
      <c r="O106" s="668">
        <v>0.82950000000000002</v>
      </c>
      <c r="P106" s="667">
        <v>750</v>
      </c>
      <c r="R106" t="b">
        <v>0</v>
      </c>
      <c r="S106" t="b">
        <v>0</v>
      </c>
      <c r="T106">
        <v>60</v>
      </c>
      <c r="U106" s="669">
        <v>46045</v>
      </c>
      <c r="V106" t="s">
        <v>6781</v>
      </c>
      <c r="W106" s="667">
        <v>750</v>
      </c>
      <c r="X106" t="b">
        <v>0</v>
      </c>
      <c r="Z106" t="s">
        <v>4997</v>
      </c>
      <c r="AA106" s="670">
        <v>100139438</v>
      </c>
      <c r="AB106">
        <v>16800983</v>
      </c>
    </row>
    <row r="107" spans="1:28">
      <c r="A107" s="670" t="s">
        <v>5640</v>
      </c>
      <c r="B107" t="s">
        <v>4997</v>
      </c>
      <c r="C107" t="s">
        <v>5641</v>
      </c>
      <c r="D107" t="s">
        <v>874</v>
      </c>
      <c r="E107" t="s">
        <v>953</v>
      </c>
      <c r="F107" t="s">
        <v>5325</v>
      </c>
      <c r="G107" t="s">
        <v>5326</v>
      </c>
      <c r="H107" s="670">
        <v>6339584759</v>
      </c>
      <c r="I107" s="669">
        <v>46120</v>
      </c>
      <c r="J107" s="669"/>
      <c r="K107" t="s">
        <v>4997</v>
      </c>
      <c r="L107" s="667">
        <v>1818</v>
      </c>
      <c r="M107" s="667">
        <v>750</v>
      </c>
      <c r="N107" s="667">
        <v>1068</v>
      </c>
      <c r="O107" s="668">
        <v>0.41249999999999998</v>
      </c>
      <c r="P107" s="667">
        <v>750</v>
      </c>
      <c r="R107" t="b">
        <v>0</v>
      </c>
      <c r="S107" t="b">
        <v>0</v>
      </c>
      <c r="T107">
        <v>56</v>
      </c>
      <c r="U107" s="669">
        <v>46064</v>
      </c>
      <c r="V107" t="s">
        <v>6782</v>
      </c>
      <c r="W107" s="667">
        <v>750</v>
      </c>
      <c r="X107" t="b">
        <v>0</v>
      </c>
      <c r="Z107" t="s">
        <v>4997</v>
      </c>
      <c r="AA107" s="670">
        <v>100139438</v>
      </c>
      <c r="AB107">
        <v>16800990</v>
      </c>
    </row>
    <row r="108" spans="1:28">
      <c r="A108" s="670" t="s">
        <v>5642</v>
      </c>
      <c r="B108" t="s">
        <v>4997</v>
      </c>
      <c r="C108" t="s">
        <v>5643</v>
      </c>
      <c r="D108" t="s">
        <v>1395</v>
      </c>
      <c r="E108" t="s">
        <v>953</v>
      </c>
      <c r="F108" t="s">
        <v>5325</v>
      </c>
      <c r="G108" t="s">
        <v>5437</v>
      </c>
      <c r="H108" s="670">
        <v>6348409898</v>
      </c>
      <c r="I108" s="669">
        <v>46083</v>
      </c>
      <c r="J108" s="669"/>
      <c r="K108" t="s">
        <v>4997</v>
      </c>
      <c r="L108" s="667">
        <v>128</v>
      </c>
      <c r="M108" s="667">
        <v>85</v>
      </c>
      <c r="N108" s="667">
        <v>43</v>
      </c>
      <c r="O108" s="668">
        <v>0.66410000000000002</v>
      </c>
      <c r="P108" s="667">
        <v>128</v>
      </c>
      <c r="R108" t="b">
        <v>0</v>
      </c>
      <c r="S108" t="b">
        <v>0</v>
      </c>
      <c r="T108">
        <v>59</v>
      </c>
      <c r="U108" s="669">
        <v>46024</v>
      </c>
      <c r="V108" t="s">
        <v>6781</v>
      </c>
      <c r="W108" s="667">
        <v>128</v>
      </c>
      <c r="X108" t="b">
        <v>0</v>
      </c>
      <c r="Z108" t="s">
        <v>4997</v>
      </c>
      <c r="AA108" s="670">
        <v>100139438</v>
      </c>
      <c r="AB108" s="670">
        <v>16800995</v>
      </c>
    </row>
    <row r="109" spans="1:28">
      <c r="A109" s="670" t="s">
        <v>5644</v>
      </c>
      <c r="B109" t="s">
        <v>4997</v>
      </c>
      <c r="C109" t="s">
        <v>4113</v>
      </c>
      <c r="D109" t="s">
        <v>1384</v>
      </c>
      <c r="E109" t="s">
        <v>953</v>
      </c>
      <c r="F109" t="s">
        <v>5349</v>
      </c>
      <c r="G109" t="s">
        <v>5349</v>
      </c>
      <c r="H109" s="670">
        <v>862539403</v>
      </c>
      <c r="I109" s="669">
        <v>46113</v>
      </c>
      <c r="J109" s="669"/>
      <c r="K109" t="s">
        <v>4997</v>
      </c>
      <c r="L109" s="667">
        <v>1235</v>
      </c>
      <c r="M109" s="667">
        <v>0</v>
      </c>
      <c r="N109" s="667">
        <v>1235</v>
      </c>
      <c r="O109" s="668">
        <v>0</v>
      </c>
      <c r="P109" s="667">
        <v>750</v>
      </c>
      <c r="Q109" t="s">
        <v>5645</v>
      </c>
      <c r="R109" t="b">
        <v>0</v>
      </c>
      <c r="S109" t="b">
        <v>0</v>
      </c>
      <c r="T109">
        <v>92</v>
      </c>
      <c r="U109" s="669">
        <v>46021</v>
      </c>
      <c r="V109" t="s">
        <v>6784</v>
      </c>
      <c r="W109" s="667">
        <v>750</v>
      </c>
      <c r="X109" t="b">
        <v>0</v>
      </c>
      <c r="Z109" t="s">
        <v>4997</v>
      </c>
      <c r="AA109" s="670">
        <v>100139438</v>
      </c>
      <c r="AB109">
        <v>16801000</v>
      </c>
    </row>
    <row r="110" spans="1:28">
      <c r="A110" s="670" t="s">
        <v>5646</v>
      </c>
      <c r="B110" t="s">
        <v>4997</v>
      </c>
      <c r="C110" t="s">
        <v>5647</v>
      </c>
      <c r="D110" t="s">
        <v>1378</v>
      </c>
      <c r="E110" t="s">
        <v>953</v>
      </c>
      <c r="F110" t="s">
        <v>5349</v>
      </c>
      <c r="G110" t="s">
        <v>5349</v>
      </c>
      <c r="H110" s="670">
        <v>6403137752</v>
      </c>
      <c r="I110" s="669">
        <v>46113</v>
      </c>
      <c r="J110" s="669"/>
      <c r="K110" t="s">
        <v>4997</v>
      </c>
      <c r="L110" s="667">
        <v>1645</v>
      </c>
      <c r="M110" s="667">
        <v>0</v>
      </c>
      <c r="N110" s="667">
        <v>1645</v>
      </c>
      <c r="O110" s="668">
        <v>0</v>
      </c>
      <c r="P110" s="667">
        <v>750</v>
      </c>
      <c r="Q110" t="s">
        <v>5645</v>
      </c>
      <c r="R110" t="b">
        <v>0</v>
      </c>
      <c r="S110" t="b">
        <v>0</v>
      </c>
      <c r="T110">
        <v>91</v>
      </c>
      <c r="U110" s="669">
        <v>46022</v>
      </c>
      <c r="V110" t="s">
        <v>6784</v>
      </c>
      <c r="W110" s="667">
        <v>750</v>
      </c>
      <c r="X110" t="b">
        <v>0</v>
      </c>
      <c r="Z110" t="s">
        <v>4997</v>
      </c>
      <c r="AA110" s="670">
        <v>100139438</v>
      </c>
      <c r="AB110" s="670">
        <v>16801001</v>
      </c>
    </row>
    <row r="111" spans="1:28">
      <c r="A111" s="670" t="s">
        <v>5648</v>
      </c>
      <c r="B111" t="s">
        <v>4997</v>
      </c>
      <c r="C111" t="s">
        <v>5649</v>
      </c>
      <c r="D111" t="s">
        <v>877</v>
      </c>
      <c r="E111" t="s">
        <v>953</v>
      </c>
      <c r="F111" t="s">
        <v>5325</v>
      </c>
      <c r="G111" t="s">
        <v>5326</v>
      </c>
      <c r="H111" s="670">
        <v>6770248176</v>
      </c>
      <c r="I111" s="669">
        <v>46084</v>
      </c>
      <c r="J111" s="669"/>
      <c r="K111" t="s">
        <v>4997</v>
      </c>
      <c r="L111" s="667">
        <v>2590</v>
      </c>
      <c r="M111" s="667">
        <v>750</v>
      </c>
      <c r="N111" s="667">
        <v>1840</v>
      </c>
      <c r="O111" s="668">
        <v>0.28960000000000002</v>
      </c>
      <c r="P111" s="667">
        <v>750</v>
      </c>
      <c r="R111" t="b">
        <v>0</v>
      </c>
      <c r="S111" t="b">
        <v>0</v>
      </c>
      <c r="T111">
        <v>59</v>
      </c>
      <c r="U111" s="669">
        <v>46025</v>
      </c>
      <c r="V111" t="s">
        <v>6781</v>
      </c>
      <c r="W111" s="667">
        <v>750</v>
      </c>
      <c r="X111" t="b">
        <v>0</v>
      </c>
      <c r="Z111" t="s">
        <v>4997</v>
      </c>
      <c r="AA111" s="670">
        <v>100139438</v>
      </c>
      <c r="AB111">
        <v>16801014</v>
      </c>
    </row>
    <row r="112" spans="1:28">
      <c r="A112" s="670" t="s">
        <v>5650</v>
      </c>
      <c r="B112" t="s">
        <v>4997</v>
      </c>
      <c r="C112" t="s">
        <v>4792</v>
      </c>
      <c r="D112" t="s">
        <v>1347</v>
      </c>
      <c r="E112" t="s">
        <v>953</v>
      </c>
      <c r="F112" t="s">
        <v>5325</v>
      </c>
      <c r="G112" t="s">
        <v>5326</v>
      </c>
      <c r="H112" s="670">
        <v>6770248389</v>
      </c>
      <c r="I112" s="669">
        <v>46105</v>
      </c>
      <c r="J112" s="669"/>
      <c r="K112" t="s">
        <v>4997</v>
      </c>
      <c r="L112" s="667">
        <v>1785</v>
      </c>
      <c r="M112" s="667">
        <v>750</v>
      </c>
      <c r="N112" s="667">
        <v>1035</v>
      </c>
      <c r="O112" s="668">
        <v>0.42020000000000002</v>
      </c>
      <c r="P112" s="667">
        <v>750</v>
      </c>
      <c r="R112" t="b">
        <v>0</v>
      </c>
      <c r="S112" t="b">
        <v>0</v>
      </c>
      <c r="T112">
        <v>60</v>
      </c>
      <c r="U112" s="669">
        <v>46045</v>
      </c>
      <c r="V112" t="s">
        <v>6781</v>
      </c>
      <c r="W112" s="667">
        <v>750</v>
      </c>
      <c r="X112" t="b">
        <v>0</v>
      </c>
      <c r="Z112" t="s">
        <v>4997</v>
      </c>
      <c r="AA112" s="670">
        <v>100139438</v>
      </c>
      <c r="AB112">
        <v>16801020</v>
      </c>
    </row>
    <row r="113" spans="1:28">
      <c r="A113" s="670" t="s">
        <v>5651</v>
      </c>
      <c r="B113" t="s">
        <v>4997</v>
      </c>
      <c r="C113" t="s">
        <v>5652</v>
      </c>
      <c r="D113" t="s">
        <v>1351</v>
      </c>
      <c r="E113" t="s">
        <v>953</v>
      </c>
      <c r="F113" t="s">
        <v>5325</v>
      </c>
      <c r="G113" t="s">
        <v>5326</v>
      </c>
      <c r="H113" s="670">
        <v>6770249251</v>
      </c>
      <c r="I113" s="669">
        <v>46105</v>
      </c>
      <c r="J113" s="669"/>
      <c r="K113" t="s">
        <v>4997</v>
      </c>
      <c r="L113" s="667">
        <v>6254.32</v>
      </c>
      <c r="M113" s="667">
        <v>750</v>
      </c>
      <c r="N113" s="667">
        <v>5504.32</v>
      </c>
      <c r="O113" s="668">
        <v>0.11990000000000001</v>
      </c>
      <c r="P113" s="667">
        <v>750</v>
      </c>
      <c r="R113" t="b">
        <v>0</v>
      </c>
      <c r="S113" t="b">
        <v>0</v>
      </c>
      <c r="T113">
        <v>60</v>
      </c>
      <c r="U113" s="669">
        <v>46045</v>
      </c>
      <c r="V113" t="s">
        <v>6781</v>
      </c>
      <c r="W113" s="667">
        <v>750</v>
      </c>
      <c r="X113" t="b">
        <v>0</v>
      </c>
      <c r="Z113" t="s">
        <v>4997</v>
      </c>
      <c r="AA113" s="670">
        <v>100139438</v>
      </c>
      <c r="AB113">
        <v>16801029</v>
      </c>
    </row>
    <row r="114" spans="1:28">
      <c r="A114" s="670" t="s">
        <v>5653</v>
      </c>
      <c r="B114" t="s">
        <v>4997</v>
      </c>
      <c r="C114" t="s">
        <v>4934</v>
      </c>
      <c r="D114" t="s">
        <v>859</v>
      </c>
      <c r="E114" t="s">
        <v>953</v>
      </c>
      <c r="F114" t="s">
        <v>706</v>
      </c>
      <c r="G114" t="s">
        <v>5392</v>
      </c>
      <c r="H114" s="670">
        <v>6770249388</v>
      </c>
      <c r="I114" s="669">
        <v>46122</v>
      </c>
      <c r="J114" s="669"/>
      <c r="K114" t="s">
        <v>4997</v>
      </c>
      <c r="L114" s="667">
        <v>3249.25</v>
      </c>
      <c r="M114" s="667">
        <v>0</v>
      </c>
      <c r="N114" s="667">
        <v>3249.25</v>
      </c>
      <c r="O114" s="668">
        <v>0</v>
      </c>
      <c r="P114" s="667">
        <v>750</v>
      </c>
      <c r="R114" t="b">
        <v>0</v>
      </c>
      <c r="S114" t="b">
        <v>1</v>
      </c>
      <c r="T114">
        <v>57</v>
      </c>
      <c r="U114" s="669">
        <v>46065</v>
      </c>
      <c r="V114" t="s">
        <v>6782</v>
      </c>
      <c r="W114" s="667">
        <v>750</v>
      </c>
      <c r="X114" t="b">
        <v>1</v>
      </c>
      <c r="Y114" t="s">
        <v>6783</v>
      </c>
      <c r="Z114" t="s">
        <v>4997</v>
      </c>
      <c r="AA114" s="670">
        <v>100139438</v>
      </c>
      <c r="AB114">
        <v>16801032</v>
      </c>
    </row>
    <row r="115" spans="1:28">
      <c r="A115" s="670" t="s">
        <v>5654</v>
      </c>
      <c r="B115" t="s">
        <v>4997</v>
      </c>
      <c r="C115" t="s">
        <v>5655</v>
      </c>
      <c r="D115" t="s">
        <v>1360</v>
      </c>
      <c r="E115" t="s">
        <v>953</v>
      </c>
      <c r="F115" t="s">
        <v>5325</v>
      </c>
      <c r="G115" t="s">
        <v>5326</v>
      </c>
      <c r="H115" s="670">
        <v>7338640603</v>
      </c>
      <c r="I115" s="669">
        <v>46105</v>
      </c>
      <c r="J115" s="669"/>
      <c r="K115" t="s">
        <v>4997</v>
      </c>
      <c r="L115" s="667">
        <v>5011.16</v>
      </c>
      <c r="M115" s="667">
        <v>750</v>
      </c>
      <c r="N115" s="667">
        <v>4261.16</v>
      </c>
      <c r="O115" s="668">
        <v>0.1497</v>
      </c>
      <c r="P115" s="667">
        <v>750</v>
      </c>
      <c r="R115" t="b">
        <v>0</v>
      </c>
      <c r="S115" t="b">
        <v>0</v>
      </c>
      <c r="T115">
        <v>60</v>
      </c>
      <c r="U115" s="669">
        <v>46045</v>
      </c>
      <c r="V115" t="s">
        <v>6781</v>
      </c>
      <c r="W115" s="667">
        <v>750</v>
      </c>
      <c r="X115" t="b">
        <v>0</v>
      </c>
      <c r="Z115" t="s">
        <v>4997</v>
      </c>
      <c r="AA115">
        <v>100139438</v>
      </c>
      <c r="AB115">
        <v>16801163</v>
      </c>
    </row>
    <row r="116" spans="1:28">
      <c r="A116" s="670" t="s">
        <v>5656</v>
      </c>
      <c r="B116" t="s">
        <v>4997</v>
      </c>
      <c r="C116" t="s">
        <v>4928</v>
      </c>
      <c r="D116" t="s">
        <v>1356</v>
      </c>
      <c r="E116" t="s">
        <v>953</v>
      </c>
      <c r="F116" t="s">
        <v>5325</v>
      </c>
      <c r="G116" t="s">
        <v>5326</v>
      </c>
      <c r="H116" s="670">
        <v>4171873033</v>
      </c>
      <c r="I116" s="669">
        <v>46104</v>
      </c>
      <c r="J116" s="669"/>
      <c r="K116" t="s">
        <v>4997</v>
      </c>
      <c r="L116" s="667">
        <v>5838.37</v>
      </c>
      <c r="M116" s="667">
        <v>750</v>
      </c>
      <c r="N116" s="667">
        <v>5088.37</v>
      </c>
      <c r="O116" s="668">
        <v>0.1285</v>
      </c>
      <c r="P116" s="667">
        <v>750</v>
      </c>
      <c r="R116" t="b">
        <v>0</v>
      </c>
      <c r="S116" t="b">
        <v>0</v>
      </c>
      <c r="T116">
        <v>59</v>
      </c>
      <c r="U116" s="669">
        <v>46045</v>
      </c>
      <c r="V116" t="s">
        <v>6781</v>
      </c>
      <c r="W116" s="667">
        <v>750</v>
      </c>
      <c r="X116" t="b">
        <v>0</v>
      </c>
      <c r="Z116" t="s">
        <v>4997</v>
      </c>
      <c r="AA116" s="670">
        <v>100139438</v>
      </c>
      <c r="AB116" s="670">
        <v>16801286</v>
      </c>
    </row>
    <row r="117" spans="1:28">
      <c r="A117" s="670" t="s">
        <v>5657</v>
      </c>
      <c r="B117" t="s">
        <v>4997</v>
      </c>
      <c r="C117" t="s">
        <v>4737</v>
      </c>
      <c r="D117" t="s">
        <v>1167</v>
      </c>
      <c r="E117" t="s">
        <v>953</v>
      </c>
      <c r="F117" t="s">
        <v>5349</v>
      </c>
      <c r="G117" t="s">
        <v>5349</v>
      </c>
      <c r="H117" s="670">
        <v>8582135080</v>
      </c>
      <c r="I117" s="669">
        <v>46113</v>
      </c>
      <c r="J117" s="669"/>
      <c r="K117" t="s">
        <v>4997</v>
      </c>
      <c r="L117" s="667">
        <v>3900</v>
      </c>
      <c r="M117" s="667">
        <v>0</v>
      </c>
      <c r="N117" s="667">
        <v>3900</v>
      </c>
      <c r="O117" s="668">
        <v>0</v>
      </c>
      <c r="P117" s="667">
        <v>750</v>
      </c>
      <c r="Q117" t="s">
        <v>5645</v>
      </c>
      <c r="R117" t="b">
        <v>0</v>
      </c>
      <c r="S117" t="b">
        <v>0</v>
      </c>
      <c r="T117">
        <v>76</v>
      </c>
      <c r="U117" s="669">
        <v>46037</v>
      </c>
      <c r="V117" t="s">
        <v>6781</v>
      </c>
      <c r="W117" s="667">
        <v>750</v>
      </c>
      <c r="X117" t="b">
        <v>0</v>
      </c>
      <c r="Z117" t="s">
        <v>4997</v>
      </c>
      <c r="AA117">
        <v>100139438</v>
      </c>
      <c r="AB117">
        <v>16801290</v>
      </c>
    </row>
    <row r="118" spans="1:28">
      <c r="A118" s="670" t="s">
        <v>5658</v>
      </c>
      <c r="B118" t="s">
        <v>4997</v>
      </c>
      <c r="C118" t="s">
        <v>4896</v>
      </c>
      <c r="D118" t="s">
        <v>1332</v>
      </c>
      <c r="E118" t="s">
        <v>953</v>
      </c>
      <c r="F118" t="s">
        <v>5325</v>
      </c>
      <c r="G118" t="s">
        <v>5326</v>
      </c>
      <c r="H118" s="670">
        <v>8828995701</v>
      </c>
      <c r="I118" s="669">
        <v>46121</v>
      </c>
      <c r="J118" s="669"/>
      <c r="K118" t="s">
        <v>4997</v>
      </c>
      <c r="L118" s="667">
        <v>2724</v>
      </c>
      <c r="M118" s="667">
        <v>750</v>
      </c>
      <c r="N118" s="667">
        <v>1974</v>
      </c>
      <c r="O118" s="668">
        <v>0.27529999999999999</v>
      </c>
      <c r="P118" s="667">
        <v>750</v>
      </c>
      <c r="R118" t="b">
        <v>0</v>
      </c>
      <c r="S118" t="b">
        <v>0</v>
      </c>
      <c r="T118">
        <v>57</v>
      </c>
      <c r="U118" s="669">
        <v>46064</v>
      </c>
      <c r="V118" t="s">
        <v>6782</v>
      </c>
      <c r="W118" s="667">
        <v>750</v>
      </c>
      <c r="X118" t="b">
        <v>0</v>
      </c>
      <c r="Z118" t="s">
        <v>4997</v>
      </c>
      <c r="AA118">
        <v>100139438</v>
      </c>
      <c r="AB118">
        <v>16801337</v>
      </c>
    </row>
    <row r="119" spans="1:28">
      <c r="A119" s="670" t="s">
        <v>5659</v>
      </c>
      <c r="B119" t="s">
        <v>4997</v>
      </c>
      <c r="C119" t="s">
        <v>4872</v>
      </c>
      <c r="D119" t="s">
        <v>1353</v>
      </c>
      <c r="E119" t="s">
        <v>953</v>
      </c>
      <c r="F119" t="s">
        <v>5325</v>
      </c>
      <c r="G119" t="s">
        <v>5326</v>
      </c>
      <c r="H119" s="670">
        <v>8828993535</v>
      </c>
      <c r="I119" s="669">
        <v>46105</v>
      </c>
      <c r="J119" s="669"/>
      <c r="K119" t="s">
        <v>4997</v>
      </c>
      <c r="L119" s="667">
        <v>6191.77</v>
      </c>
      <c r="M119" s="667">
        <v>750</v>
      </c>
      <c r="N119" s="667">
        <v>5441.77</v>
      </c>
      <c r="O119" s="668">
        <v>0.1211</v>
      </c>
      <c r="P119" s="667">
        <v>750</v>
      </c>
      <c r="R119" t="b">
        <v>0</v>
      </c>
      <c r="S119" t="b">
        <v>0</v>
      </c>
      <c r="T119">
        <v>60</v>
      </c>
      <c r="U119" s="669">
        <v>46045</v>
      </c>
      <c r="V119" t="s">
        <v>6781</v>
      </c>
      <c r="W119" s="667">
        <v>750</v>
      </c>
      <c r="X119" t="b">
        <v>0</v>
      </c>
      <c r="Z119" t="s">
        <v>4997</v>
      </c>
      <c r="AA119">
        <v>100139438</v>
      </c>
      <c r="AB119">
        <v>16801340</v>
      </c>
    </row>
    <row r="120" spans="1:28">
      <c r="A120" s="670" t="s">
        <v>5660</v>
      </c>
      <c r="B120" t="s">
        <v>4997</v>
      </c>
      <c r="C120" t="s">
        <v>5012</v>
      </c>
      <c r="D120" t="s">
        <v>1169</v>
      </c>
      <c r="E120" t="s">
        <v>953</v>
      </c>
      <c r="F120" t="s">
        <v>5325</v>
      </c>
      <c r="G120" t="s">
        <v>5326</v>
      </c>
      <c r="H120" s="670">
        <v>8931630922</v>
      </c>
      <c r="I120" s="669">
        <v>46122</v>
      </c>
      <c r="J120" s="669"/>
      <c r="K120" t="s">
        <v>4997</v>
      </c>
      <c r="L120" s="667">
        <v>3243</v>
      </c>
      <c r="M120" s="667">
        <v>750</v>
      </c>
      <c r="N120" s="667">
        <v>2493</v>
      </c>
      <c r="O120" s="668">
        <v>0.23130000000000001</v>
      </c>
      <c r="P120" s="667">
        <v>750</v>
      </c>
      <c r="R120" t="b">
        <v>0</v>
      </c>
      <c r="S120" t="b">
        <v>0</v>
      </c>
      <c r="T120">
        <v>58</v>
      </c>
      <c r="U120" s="669">
        <v>46064</v>
      </c>
      <c r="V120" t="s">
        <v>6782</v>
      </c>
      <c r="W120" s="667">
        <v>750</v>
      </c>
      <c r="X120" t="b">
        <v>0</v>
      </c>
      <c r="Z120" t="s">
        <v>4997</v>
      </c>
      <c r="AA120">
        <v>100139438</v>
      </c>
      <c r="AB120">
        <v>16801342</v>
      </c>
    </row>
    <row r="121" spans="1:28">
      <c r="A121" s="670" t="s">
        <v>5661</v>
      </c>
      <c r="B121" t="s">
        <v>4997</v>
      </c>
      <c r="C121" t="s">
        <v>5662</v>
      </c>
      <c r="D121" t="s">
        <v>1381</v>
      </c>
      <c r="E121" t="s">
        <v>953</v>
      </c>
      <c r="F121" t="s">
        <v>5325</v>
      </c>
      <c r="G121" t="s">
        <v>5326</v>
      </c>
      <c r="H121" s="670">
        <v>9295357312</v>
      </c>
      <c r="I121" s="669">
        <v>46113</v>
      </c>
      <c r="J121" s="669"/>
      <c r="K121" t="s">
        <v>4997</v>
      </c>
      <c r="L121" s="667">
        <v>1272.22</v>
      </c>
      <c r="M121" s="667">
        <v>750</v>
      </c>
      <c r="N121" s="667">
        <v>522.22</v>
      </c>
      <c r="O121" s="668">
        <v>0.58950000000000002</v>
      </c>
      <c r="P121" s="667">
        <v>750</v>
      </c>
      <c r="R121" t="b">
        <v>0</v>
      </c>
      <c r="S121" t="b">
        <v>0</v>
      </c>
      <c r="T121">
        <v>60</v>
      </c>
      <c r="U121" s="669">
        <v>46053</v>
      </c>
      <c r="V121" t="s">
        <v>6781</v>
      </c>
      <c r="W121" s="667">
        <v>750</v>
      </c>
      <c r="X121" t="b">
        <v>0</v>
      </c>
      <c r="Z121" t="s">
        <v>4997</v>
      </c>
      <c r="AA121">
        <v>100139438</v>
      </c>
      <c r="AB121">
        <v>16801402</v>
      </c>
    </row>
    <row r="122" spans="1:28">
      <c r="A122" s="670" t="s">
        <v>5663</v>
      </c>
      <c r="B122" t="s">
        <v>4997</v>
      </c>
      <c r="C122" t="s">
        <v>5664</v>
      </c>
      <c r="D122" t="s">
        <v>1366</v>
      </c>
      <c r="E122" t="s">
        <v>953</v>
      </c>
      <c r="F122" t="s">
        <v>5325</v>
      </c>
      <c r="G122" t="s">
        <v>5326</v>
      </c>
      <c r="H122" s="670">
        <v>9336995240</v>
      </c>
      <c r="I122" s="669">
        <v>46086</v>
      </c>
      <c r="J122" s="669"/>
      <c r="K122" t="s">
        <v>4997</v>
      </c>
      <c r="L122" s="667">
        <v>1372</v>
      </c>
      <c r="M122" s="667">
        <v>750</v>
      </c>
      <c r="N122" s="667">
        <v>622</v>
      </c>
      <c r="O122" s="668">
        <v>0.54669999999999996</v>
      </c>
      <c r="P122" s="667">
        <v>750</v>
      </c>
      <c r="R122" t="b">
        <v>0</v>
      </c>
      <c r="S122" t="b">
        <v>0</v>
      </c>
      <c r="T122">
        <v>56</v>
      </c>
      <c r="U122" s="669">
        <v>46030</v>
      </c>
      <c r="V122" t="s">
        <v>6781</v>
      </c>
      <c r="W122" s="667">
        <v>750</v>
      </c>
      <c r="X122" t="b">
        <v>0</v>
      </c>
      <c r="Z122" t="s">
        <v>4997</v>
      </c>
      <c r="AA122">
        <v>100139438</v>
      </c>
      <c r="AB122">
        <v>16801409</v>
      </c>
    </row>
    <row r="123" spans="1:28">
      <c r="A123" s="670" t="s">
        <v>6785</v>
      </c>
      <c r="B123" t="s">
        <v>4997</v>
      </c>
      <c r="C123" t="s">
        <v>4120</v>
      </c>
      <c r="D123" t="s">
        <v>869</v>
      </c>
      <c r="E123" t="s">
        <v>953</v>
      </c>
      <c r="F123" t="s">
        <v>5325</v>
      </c>
      <c r="G123" t="s">
        <v>5392</v>
      </c>
      <c r="H123" s="670">
        <v>4908659219</v>
      </c>
      <c r="I123" s="669">
        <v>46126</v>
      </c>
      <c r="J123" s="669"/>
      <c r="K123" t="s">
        <v>4997</v>
      </c>
      <c r="L123" s="667">
        <v>2311</v>
      </c>
      <c r="M123" s="667">
        <v>387</v>
      </c>
      <c r="N123" s="667">
        <v>1924</v>
      </c>
      <c r="O123" s="668">
        <v>0.16750000000000001</v>
      </c>
      <c r="P123" s="667">
        <v>750</v>
      </c>
      <c r="R123" t="b">
        <v>0</v>
      </c>
      <c r="S123" t="b">
        <v>1</v>
      </c>
      <c r="T123">
        <v>57</v>
      </c>
      <c r="U123" s="669">
        <v>46069</v>
      </c>
      <c r="V123" t="s">
        <v>6782</v>
      </c>
      <c r="W123" s="667">
        <v>750</v>
      </c>
      <c r="X123" t="b">
        <v>1</v>
      </c>
      <c r="Y123" t="s">
        <v>6786</v>
      </c>
      <c r="Z123" t="s">
        <v>4997</v>
      </c>
      <c r="AA123">
        <v>100139438</v>
      </c>
      <c r="AB123">
        <v>16801631</v>
      </c>
    </row>
    <row r="124" spans="1:28">
      <c r="A124" s="670" t="s">
        <v>6787</v>
      </c>
      <c r="B124" t="s">
        <v>4997</v>
      </c>
      <c r="C124" t="s">
        <v>4893</v>
      </c>
      <c r="D124" t="s">
        <v>1349</v>
      </c>
      <c r="E124" t="s">
        <v>953</v>
      </c>
      <c r="F124" t="s">
        <v>5325</v>
      </c>
      <c r="G124" t="s">
        <v>5333</v>
      </c>
      <c r="H124" s="670">
        <v>7657720885</v>
      </c>
      <c r="I124" s="669">
        <v>46105</v>
      </c>
      <c r="J124" s="669"/>
      <c r="K124" t="s">
        <v>4997</v>
      </c>
      <c r="L124" s="667">
        <v>955</v>
      </c>
      <c r="M124" s="667">
        <v>0</v>
      </c>
      <c r="N124" s="667">
        <v>955</v>
      </c>
      <c r="O124" s="668">
        <v>0</v>
      </c>
      <c r="P124" s="667">
        <v>750</v>
      </c>
      <c r="R124" t="b">
        <v>0</v>
      </c>
      <c r="S124" t="b">
        <v>1</v>
      </c>
      <c r="T124">
        <v>60</v>
      </c>
      <c r="U124" s="669">
        <v>46045</v>
      </c>
      <c r="V124" t="s">
        <v>6781</v>
      </c>
      <c r="W124" s="667">
        <v>750</v>
      </c>
      <c r="X124" t="b">
        <v>1</v>
      </c>
      <c r="Y124" t="s">
        <v>6788</v>
      </c>
      <c r="Z124" t="s">
        <v>4997</v>
      </c>
      <c r="AA124">
        <v>100139438</v>
      </c>
      <c r="AB124">
        <v>16801281</v>
      </c>
    </row>
    <row r="125" spans="1:28">
      <c r="A125" s="670" t="s">
        <v>6789</v>
      </c>
      <c r="B125" t="s">
        <v>4997</v>
      </c>
      <c r="C125" t="s">
        <v>6790</v>
      </c>
      <c r="D125" t="s">
        <v>864</v>
      </c>
      <c r="E125" t="s">
        <v>953</v>
      </c>
      <c r="F125" t="s">
        <v>5349</v>
      </c>
      <c r="G125" t="s">
        <v>5349</v>
      </c>
      <c r="H125" s="670">
        <v>7648615785</v>
      </c>
      <c r="I125" s="669">
        <v>46126</v>
      </c>
      <c r="J125" s="669"/>
      <c r="K125" t="s">
        <v>4997</v>
      </c>
      <c r="L125" s="667">
        <v>4188</v>
      </c>
      <c r="M125" s="667">
        <v>0</v>
      </c>
      <c r="N125" s="667">
        <v>4188</v>
      </c>
      <c r="O125" s="668">
        <v>0</v>
      </c>
      <c r="P125" s="667">
        <v>750</v>
      </c>
      <c r="Q125" t="s">
        <v>5351</v>
      </c>
      <c r="R125" t="b">
        <v>0</v>
      </c>
      <c r="S125" t="b">
        <v>0</v>
      </c>
      <c r="T125">
        <v>48</v>
      </c>
      <c r="U125" s="669">
        <v>46078</v>
      </c>
      <c r="V125" t="s">
        <v>6782</v>
      </c>
      <c r="W125" s="667">
        <v>750</v>
      </c>
      <c r="X125" t="b">
        <v>0</v>
      </c>
      <c r="Z125" t="s">
        <v>4997</v>
      </c>
      <c r="AA125">
        <v>100139438</v>
      </c>
      <c r="AB125">
        <v>16801277</v>
      </c>
    </row>
    <row r="126" spans="1:28">
      <c r="A126" s="670" t="s">
        <v>6791</v>
      </c>
      <c r="B126" t="s">
        <v>4997</v>
      </c>
      <c r="C126" t="s">
        <v>6792</v>
      </c>
      <c r="D126" t="s">
        <v>872</v>
      </c>
      <c r="E126" t="s">
        <v>953</v>
      </c>
      <c r="F126" t="s">
        <v>5325</v>
      </c>
      <c r="G126" t="s">
        <v>5326</v>
      </c>
      <c r="H126" s="670">
        <v>7489153312</v>
      </c>
      <c r="I126" s="669">
        <v>46126</v>
      </c>
      <c r="J126" s="669"/>
      <c r="K126" t="s">
        <v>4997</v>
      </c>
      <c r="L126" s="667">
        <v>2032</v>
      </c>
      <c r="M126" s="667">
        <v>750</v>
      </c>
      <c r="N126" s="667">
        <v>1282</v>
      </c>
      <c r="O126" s="668">
        <v>0.36909999999999998</v>
      </c>
      <c r="P126" s="667">
        <v>750</v>
      </c>
      <c r="R126" t="b">
        <v>0</v>
      </c>
      <c r="S126" t="b">
        <v>0</v>
      </c>
      <c r="T126">
        <v>55</v>
      </c>
      <c r="U126" s="669">
        <v>46071</v>
      </c>
      <c r="V126" t="s">
        <v>6782</v>
      </c>
      <c r="W126" s="667">
        <v>750</v>
      </c>
      <c r="X126" t="b">
        <v>0</v>
      </c>
      <c r="Z126" t="s">
        <v>4997</v>
      </c>
      <c r="AA126">
        <v>100139438</v>
      </c>
      <c r="AB126">
        <v>16801223</v>
      </c>
    </row>
    <row r="127" spans="1:28">
      <c r="A127" s="670" t="s">
        <v>6793</v>
      </c>
      <c r="B127" t="s">
        <v>4997</v>
      </c>
      <c r="C127" t="s">
        <v>6794</v>
      </c>
      <c r="D127" t="s">
        <v>862</v>
      </c>
      <c r="E127" t="s">
        <v>953</v>
      </c>
      <c r="F127" t="s">
        <v>5349</v>
      </c>
      <c r="G127" t="s">
        <v>5349</v>
      </c>
      <c r="H127" s="670">
        <v>7338647101</v>
      </c>
      <c r="I127" s="669">
        <v>46126</v>
      </c>
      <c r="J127" s="669"/>
      <c r="K127" t="s">
        <v>4997</v>
      </c>
      <c r="L127" s="667">
        <v>3564.25</v>
      </c>
      <c r="M127" s="667">
        <v>0</v>
      </c>
      <c r="N127" s="667">
        <v>3564.25</v>
      </c>
      <c r="O127" s="668">
        <v>0</v>
      </c>
      <c r="P127" s="667">
        <v>750</v>
      </c>
      <c r="Q127" t="s">
        <v>5351</v>
      </c>
      <c r="R127" t="b">
        <v>0</v>
      </c>
      <c r="S127" t="b">
        <v>0</v>
      </c>
      <c r="T127">
        <v>48</v>
      </c>
      <c r="U127" s="669">
        <v>46078</v>
      </c>
      <c r="V127" t="s">
        <v>6782</v>
      </c>
      <c r="W127" s="667">
        <v>750</v>
      </c>
      <c r="X127" t="b">
        <v>0</v>
      </c>
      <c r="Z127" t="s">
        <v>4997</v>
      </c>
      <c r="AA127">
        <v>100139438</v>
      </c>
      <c r="AB127">
        <v>16801164</v>
      </c>
    </row>
    <row r="128" spans="1:28">
      <c r="A128" s="670" t="s">
        <v>6795</v>
      </c>
      <c r="B128" t="s">
        <v>4997</v>
      </c>
      <c r="C128" t="s">
        <v>6796</v>
      </c>
      <c r="D128" t="s">
        <v>871</v>
      </c>
      <c r="E128" t="s">
        <v>953</v>
      </c>
      <c r="F128" t="s">
        <v>5325</v>
      </c>
      <c r="G128" t="s">
        <v>5326</v>
      </c>
      <c r="H128" s="670">
        <v>3899779684</v>
      </c>
      <c r="I128" s="669">
        <v>46134</v>
      </c>
      <c r="J128" s="669"/>
      <c r="K128" t="s">
        <v>4997</v>
      </c>
      <c r="L128" s="667">
        <v>2384.71</v>
      </c>
      <c r="M128" s="667">
        <v>750</v>
      </c>
      <c r="N128" s="667">
        <v>1634.71</v>
      </c>
      <c r="O128" s="668">
        <v>0.3145</v>
      </c>
      <c r="P128" s="667">
        <v>750</v>
      </c>
      <c r="R128" t="b">
        <v>0</v>
      </c>
      <c r="S128" t="b">
        <v>0</v>
      </c>
      <c r="T128">
        <v>53</v>
      </c>
      <c r="U128" s="669">
        <v>46081</v>
      </c>
      <c r="V128" t="s">
        <v>6782</v>
      </c>
      <c r="W128" s="667">
        <v>750</v>
      </c>
      <c r="X128" t="b">
        <v>0</v>
      </c>
      <c r="Z128" t="s">
        <v>4997</v>
      </c>
      <c r="AA128">
        <v>100139438</v>
      </c>
      <c r="AB128">
        <v>16801115</v>
      </c>
    </row>
    <row r="129" spans="1:28">
      <c r="A129" s="670" t="s">
        <v>6797</v>
      </c>
      <c r="B129" t="s">
        <v>4997</v>
      </c>
      <c r="C129" t="s">
        <v>6798</v>
      </c>
      <c r="D129" t="s">
        <v>876</v>
      </c>
      <c r="E129" t="s">
        <v>953</v>
      </c>
      <c r="F129" t="s">
        <v>5325</v>
      </c>
      <c r="G129" t="s">
        <v>5326</v>
      </c>
      <c r="H129" s="670">
        <v>3899773357</v>
      </c>
      <c r="I129" s="669">
        <v>46126</v>
      </c>
      <c r="J129" s="669"/>
      <c r="K129" t="s">
        <v>4997</v>
      </c>
      <c r="L129" s="667">
        <v>1960</v>
      </c>
      <c r="M129" s="667">
        <v>750</v>
      </c>
      <c r="N129" s="667">
        <v>1210</v>
      </c>
      <c r="O129" s="668">
        <v>0.38269999999999998</v>
      </c>
      <c r="P129" s="667">
        <v>750</v>
      </c>
      <c r="R129" t="b">
        <v>0</v>
      </c>
      <c r="S129" t="b">
        <v>0</v>
      </c>
      <c r="T129">
        <v>46</v>
      </c>
      <c r="U129" s="669">
        <v>46080</v>
      </c>
      <c r="V129" t="s">
        <v>6782</v>
      </c>
      <c r="W129" s="667">
        <v>750</v>
      </c>
      <c r="X129" t="b">
        <v>0</v>
      </c>
      <c r="Z129" t="s">
        <v>4997</v>
      </c>
      <c r="AA129">
        <v>100139438</v>
      </c>
      <c r="AB129">
        <v>16801103</v>
      </c>
    </row>
    <row r="130" spans="1:28">
      <c r="A130" s="670" t="s">
        <v>6799</v>
      </c>
      <c r="B130" t="s">
        <v>4997</v>
      </c>
      <c r="C130" t="s">
        <v>4842</v>
      </c>
      <c r="D130" t="s">
        <v>854</v>
      </c>
      <c r="E130" t="s">
        <v>953</v>
      </c>
      <c r="F130" t="s">
        <v>5325</v>
      </c>
      <c r="G130" t="s">
        <v>5326</v>
      </c>
      <c r="H130" s="670">
        <v>7489152660</v>
      </c>
      <c r="I130" s="669">
        <v>46126</v>
      </c>
      <c r="J130" s="669"/>
      <c r="K130" t="s">
        <v>4997</v>
      </c>
      <c r="L130" s="667">
        <v>3142</v>
      </c>
      <c r="M130" s="667">
        <v>750</v>
      </c>
      <c r="N130" s="667">
        <v>2392</v>
      </c>
      <c r="O130" s="668">
        <v>0.2387</v>
      </c>
      <c r="P130" s="667">
        <v>750</v>
      </c>
      <c r="R130" t="b">
        <v>0</v>
      </c>
      <c r="S130" t="b">
        <v>0</v>
      </c>
      <c r="T130">
        <v>60</v>
      </c>
      <c r="U130" s="669">
        <v>46066</v>
      </c>
      <c r="V130" t="s">
        <v>6782</v>
      </c>
      <c r="W130" s="667">
        <v>750</v>
      </c>
      <c r="X130" t="b">
        <v>0</v>
      </c>
      <c r="Z130" t="s">
        <v>4997</v>
      </c>
      <c r="AA130">
        <v>100139438</v>
      </c>
      <c r="AB130">
        <v>16801096</v>
      </c>
    </row>
    <row r="131" spans="1:28">
      <c r="A131" s="670" t="s">
        <v>6800</v>
      </c>
      <c r="B131" t="s">
        <v>4997</v>
      </c>
      <c r="C131" t="s">
        <v>6801</v>
      </c>
      <c r="D131" t="s">
        <v>873</v>
      </c>
      <c r="E131" t="s">
        <v>953</v>
      </c>
      <c r="F131" t="s">
        <v>5325</v>
      </c>
      <c r="G131" t="s">
        <v>5326</v>
      </c>
      <c r="H131" s="670">
        <v>3613714491</v>
      </c>
      <c r="I131" s="669">
        <v>46126</v>
      </c>
      <c r="J131" s="669"/>
      <c r="K131" t="s">
        <v>4997</v>
      </c>
      <c r="L131" s="667">
        <v>1954</v>
      </c>
      <c r="M131" s="667">
        <v>750</v>
      </c>
      <c r="N131" s="667">
        <v>1204</v>
      </c>
      <c r="O131" s="668">
        <v>0.38379999999999997</v>
      </c>
      <c r="P131" s="667">
        <v>750</v>
      </c>
      <c r="R131" t="b">
        <v>0</v>
      </c>
      <c r="S131" t="b">
        <v>0</v>
      </c>
      <c r="T131">
        <v>50</v>
      </c>
      <c r="U131" s="669">
        <v>46076</v>
      </c>
      <c r="V131" t="s">
        <v>6782</v>
      </c>
      <c r="W131" s="667">
        <v>750</v>
      </c>
      <c r="X131" t="b">
        <v>0</v>
      </c>
      <c r="Z131" t="s">
        <v>4997</v>
      </c>
      <c r="AA131">
        <v>100139438</v>
      </c>
      <c r="AB131">
        <v>16801048</v>
      </c>
    </row>
    <row r="132" spans="1:28">
      <c r="A132" s="670" t="s">
        <v>6802</v>
      </c>
      <c r="B132" t="s">
        <v>4997</v>
      </c>
      <c r="C132" t="s">
        <v>6803</v>
      </c>
      <c r="D132" t="s">
        <v>1375</v>
      </c>
      <c r="E132" t="s">
        <v>953</v>
      </c>
      <c r="F132" t="s">
        <v>5325</v>
      </c>
      <c r="H132" s="670">
        <v>862539313</v>
      </c>
      <c r="I132" s="669">
        <v>46062</v>
      </c>
      <c r="J132" s="669"/>
      <c r="K132" t="s">
        <v>4997</v>
      </c>
      <c r="L132" s="667"/>
      <c r="M132" s="667">
        <v>602.71</v>
      </c>
      <c r="N132" s="667"/>
      <c r="O132" s="668"/>
      <c r="P132" s="667">
        <v>750</v>
      </c>
      <c r="R132" t="b">
        <v>0</v>
      </c>
      <c r="S132" t="b">
        <v>0</v>
      </c>
      <c r="U132" s="669"/>
      <c r="W132" s="667"/>
      <c r="X132" t="b">
        <v>0</v>
      </c>
      <c r="Z132" t="s">
        <v>4997</v>
      </c>
      <c r="AA132">
        <v>100139438</v>
      </c>
      <c r="AB132">
        <v>16800950</v>
      </c>
    </row>
    <row r="133" spans="1:28">
      <c r="A133" s="670" t="s">
        <v>6804</v>
      </c>
      <c r="B133" t="s">
        <v>4997</v>
      </c>
      <c r="C133" t="s">
        <v>6805</v>
      </c>
      <c r="D133" t="s">
        <v>882</v>
      </c>
      <c r="E133" t="s">
        <v>953</v>
      </c>
      <c r="F133" t="s">
        <v>5325</v>
      </c>
      <c r="H133" s="670"/>
      <c r="I133" s="669">
        <v>46114</v>
      </c>
      <c r="J133" s="669"/>
      <c r="K133" t="s">
        <v>4997</v>
      </c>
      <c r="L133" s="667"/>
      <c r="M133" s="667">
        <v>312.5</v>
      </c>
      <c r="N133" s="667"/>
      <c r="O133" s="668"/>
      <c r="P133" s="667">
        <v>750</v>
      </c>
      <c r="R133" t="b">
        <v>0</v>
      </c>
      <c r="S133" t="b">
        <v>0</v>
      </c>
      <c r="U133" s="669"/>
      <c r="W133" s="667"/>
      <c r="X133" t="b">
        <v>0</v>
      </c>
      <c r="Z133" t="s">
        <v>4997</v>
      </c>
      <c r="AA133">
        <v>100139438</v>
      </c>
    </row>
    <row r="134" spans="1:28">
      <c r="A134" s="670" t="s">
        <v>6806</v>
      </c>
      <c r="B134" t="s">
        <v>4997</v>
      </c>
      <c r="C134" t="s">
        <v>6807</v>
      </c>
      <c r="D134" t="s">
        <v>560</v>
      </c>
      <c r="E134" t="s">
        <v>953</v>
      </c>
      <c r="F134" t="s">
        <v>5325</v>
      </c>
      <c r="H134" s="670"/>
      <c r="I134" s="669">
        <v>46113</v>
      </c>
      <c r="J134" s="669"/>
      <c r="K134" t="s">
        <v>4997</v>
      </c>
      <c r="L134" s="667"/>
      <c r="M134" s="667">
        <v>89.64</v>
      </c>
      <c r="N134" s="667"/>
      <c r="O134" s="668"/>
      <c r="P134" s="667">
        <v>750</v>
      </c>
      <c r="R134" t="b">
        <v>0</v>
      </c>
      <c r="S134" t="b">
        <v>0</v>
      </c>
      <c r="U134" s="669"/>
      <c r="W134" s="667"/>
      <c r="X134" t="b">
        <v>0</v>
      </c>
      <c r="Z134" t="s">
        <v>4997</v>
      </c>
      <c r="AA134">
        <v>100139438</v>
      </c>
    </row>
    <row r="135" spans="1:28">
      <c r="A135" s="670" t="s">
        <v>6808</v>
      </c>
      <c r="B135" t="s">
        <v>4997</v>
      </c>
      <c r="C135" t="s">
        <v>6809</v>
      </c>
      <c r="D135" t="s">
        <v>881</v>
      </c>
      <c r="E135" t="s">
        <v>953</v>
      </c>
      <c r="F135" t="s">
        <v>5325</v>
      </c>
      <c r="H135" s="670"/>
      <c r="I135" s="669">
        <v>46113</v>
      </c>
      <c r="J135" s="669"/>
      <c r="K135" t="s">
        <v>4997</v>
      </c>
      <c r="L135" s="667"/>
      <c r="M135" s="667">
        <v>712.28</v>
      </c>
      <c r="N135" s="667"/>
      <c r="O135" s="668"/>
      <c r="P135" s="667">
        <v>750</v>
      </c>
      <c r="R135" t="b">
        <v>0</v>
      </c>
      <c r="S135" t="b">
        <v>0</v>
      </c>
      <c r="U135" s="669"/>
      <c r="W135" s="667"/>
      <c r="X135" t="b">
        <v>0</v>
      </c>
      <c r="Z135" t="s">
        <v>4997</v>
      </c>
      <c r="AA135">
        <v>100139438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E37CE-276B-43E7-95D9-A8028BEBB15E}">
  <sheetPr>
    <tabColor theme="6" tint="-0.499984740745262"/>
  </sheetPr>
  <dimension ref="A1:N881"/>
  <sheetViews>
    <sheetView workbookViewId="0">
      <selection activeCell="M11" sqref="M11"/>
    </sheetView>
  </sheetViews>
  <sheetFormatPr defaultRowHeight="14.5"/>
  <sheetData>
    <row r="1" spans="1:14">
      <c r="A1" t="s">
        <v>962</v>
      </c>
      <c r="B1" t="s">
        <v>1466</v>
      </c>
      <c r="C1" t="s">
        <v>2070</v>
      </c>
      <c r="D1" t="s">
        <v>5665</v>
      </c>
      <c r="E1" t="s">
        <v>497</v>
      </c>
      <c r="F1" t="s">
        <v>1626</v>
      </c>
      <c r="G1" t="s">
        <v>1627</v>
      </c>
      <c r="H1" t="s">
        <v>1628</v>
      </c>
      <c r="I1" t="s">
        <v>5666</v>
      </c>
      <c r="J1" t="s">
        <v>1905</v>
      </c>
      <c r="K1" t="s">
        <v>5667</v>
      </c>
      <c r="L1" t="s">
        <v>5668</v>
      </c>
      <c r="M1" t="s">
        <v>5669</v>
      </c>
      <c r="N1" t="s">
        <v>5670</v>
      </c>
    </row>
    <row r="2" spans="1:14">
      <c r="A2" t="s">
        <v>5671</v>
      </c>
      <c r="B2" t="s">
        <v>419</v>
      </c>
      <c r="C2">
        <v>420</v>
      </c>
      <c r="D2" t="s">
        <v>5781</v>
      </c>
      <c r="E2" t="s">
        <v>5673</v>
      </c>
      <c r="J2">
        <v>863</v>
      </c>
      <c r="K2">
        <v>0</v>
      </c>
      <c r="L2">
        <v>0</v>
      </c>
      <c r="N2">
        <v>0</v>
      </c>
    </row>
    <row r="3" spans="1:14">
      <c r="A3" t="s">
        <v>5674</v>
      </c>
      <c r="B3" t="s">
        <v>419</v>
      </c>
      <c r="C3">
        <v>420</v>
      </c>
      <c r="D3" t="s">
        <v>1487</v>
      </c>
      <c r="E3" t="s">
        <v>5675</v>
      </c>
      <c r="F3" s="519">
        <v>44302</v>
      </c>
      <c r="G3" s="519">
        <v>46113</v>
      </c>
      <c r="H3" s="519">
        <v>46477</v>
      </c>
      <c r="J3">
        <v>743</v>
      </c>
      <c r="K3">
        <v>993.26</v>
      </c>
      <c r="L3">
        <v>944</v>
      </c>
      <c r="M3">
        <v>0</v>
      </c>
      <c r="N3">
        <v>0</v>
      </c>
    </row>
    <row r="4" spans="1:14">
      <c r="A4" t="s">
        <v>1764</v>
      </c>
      <c r="B4" t="s">
        <v>419</v>
      </c>
      <c r="C4">
        <v>420</v>
      </c>
      <c r="D4" t="s">
        <v>5672</v>
      </c>
      <c r="E4" t="s">
        <v>5673</v>
      </c>
      <c r="J4">
        <v>798</v>
      </c>
      <c r="K4">
        <v>0</v>
      </c>
      <c r="L4">
        <v>0</v>
      </c>
      <c r="N4">
        <v>0</v>
      </c>
    </row>
    <row r="5" spans="1:14">
      <c r="A5" t="s">
        <v>1766</v>
      </c>
      <c r="B5" t="s">
        <v>419</v>
      </c>
      <c r="C5">
        <v>420</v>
      </c>
      <c r="D5" t="s">
        <v>1487</v>
      </c>
      <c r="E5" t="s">
        <v>1767</v>
      </c>
      <c r="F5" s="519">
        <v>45717</v>
      </c>
      <c r="G5" s="519">
        <v>46113</v>
      </c>
      <c r="J5">
        <v>863</v>
      </c>
      <c r="K5" s="520">
        <v>1310.26</v>
      </c>
      <c r="L5" s="520">
        <v>1116</v>
      </c>
      <c r="M5" s="520">
        <v>3251.4</v>
      </c>
      <c r="N5">
        <v>0</v>
      </c>
    </row>
    <row r="6" spans="1:14">
      <c r="A6" t="s">
        <v>5676</v>
      </c>
      <c r="B6" t="s">
        <v>419</v>
      </c>
      <c r="C6">
        <v>420</v>
      </c>
      <c r="D6" t="s">
        <v>1487</v>
      </c>
      <c r="E6" t="s">
        <v>5677</v>
      </c>
      <c r="F6" s="519">
        <v>45172</v>
      </c>
      <c r="G6" s="519">
        <v>45901</v>
      </c>
      <c r="H6" s="519">
        <v>46265</v>
      </c>
      <c r="J6">
        <v>743</v>
      </c>
      <c r="K6" s="520">
        <v>1026.32</v>
      </c>
      <c r="L6">
        <v>950.5</v>
      </c>
      <c r="M6">
        <v>0</v>
      </c>
      <c r="N6">
        <v>0</v>
      </c>
    </row>
    <row r="7" spans="1:14">
      <c r="A7" t="s">
        <v>5678</v>
      </c>
      <c r="B7" t="s">
        <v>419</v>
      </c>
      <c r="C7">
        <v>420</v>
      </c>
      <c r="D7" t="s">
        <v>1487</v>
      </c>
      <c r="E7" t="s">
        <v>5679</v>
      </c>
      <c r="F7" s="519">
        <v>44348</v>
      </c>
      <c r="G7" s="519">
        <v>45809</v>
      </c>
      <c r="H7" s="519">
        <v>46173</v>
      </c>
      <c r="J7">
        <v>848</v>
      </c>
      <c r="K7" s="520">
        <v>1222.26</v>
      </c>
      <c r="L7" s="520">
        <v>1038.49</v>
      </c>
      <c r="M7">
        <v>0</v>
      </c>
      <c r="N7">
        <v>0</v>
      </c>
    </row>
    <row r="8" spans="1:14">
      <c r="A8" t="s">
        <v>879</v>
      </c>
      <c r="B8" t="s">
        <v>419</v>
      </c>
      <c r="C8">
        <v>420</v>
      </c>
      <c r="D8" t="s">
        <v>5672</v>
      </c>
      <c r="E8" t="s">
        <v>5673</v>
      </c>
      <c r="J8">
        <v>768</v>
      </c>
      <c r="K8">
        <v>0</v>
      </c>
      <c r="L8">
        <v>0</v>
      </c>
      <c r="N8">
        <v>0</v>
      </c>
    </row>
    <row r="9" spans="1:14">
      <c r="A9" t="s">
        <v>5680</v>
      </c>
      <c r="B9" t="s">
        <v>419</v>
      </c>
      <c r="C9">
        <v>420</v>
      </c>
      <c r="D9" t="s">
        <v>1487</v>
      </c>
      <c r="E9" t="s">
        <v>5681</v>
      </c>
      <c r="F9" s="519">
        <v>41891</v>
      </c>
      <c r="G9" s="519">
        <v>45931</v>
      </c>
      <c r="H9" s="519">
        <v>46295</v>
      </c>
      <c r="J9">
        <v>743</v>
      </c>
      <c r="K9">
        <v>915.32</v>
      </c>
      <c r="L9">
        <v>840</v>
      </c>
      <c r="M9">
        <v>0</v>
      </c>
      <c r="N9">
        <v>200</v>
      </c>
    </row>
    <row r="10" spans="1:14">
      <c r="A10" t="s">
        <v>1770</v>
      </c>
      <c r="B10" t="s">
        <v>419</v>
      </c>
      <c r="C10">
        <v>420</v>
      </c>
      <c r="D10" t="s">
        <v>5672</v>
      </c>
      <c r="E10" t="s">
        <v>5673</v>
      </c>
      <c r="J10">
        <v>753</v>
      </c>
      <c r="K10">
        <v>0</v>
      </c>
      <c r="L10">
        <v>0</v>
      </c>
      <c r="N10">
        <v>0</v>
      </c>
    </row>
    <row r="11" spans="1:14">
      <c r="A11" t="s">
        <v>2912</v>
      </c>
      <c r="B11" t="s">
        <v>419</v>
      </c>
      <c r="C11">
        <v>420</v>
      </c>
      <c r="D11" t="s">
        <v>5672</v>
      </c>
      <c r="E11" t="s">
        <v>5673</v>
      </c>
      <c r="J11">
        <v>813</v>
      </c>
      <c r="K11">
        <v>0</v>
      </c>
      <c r="L11">
        <v>0</v>
      </c>
      <c r="N11">
        <v>0</v>
      </c>
    </row>
    <row r="12" spans="1:14">
      <c r="A12" t="s">
        <v>5682</v>
      </c>
      <c r="B12" t="s">
        <v>419</v>
      </c>
      <c r="C12">
        <v>420</v>
      </c>
      <c r="D12" t="s">
        <v>1487</v>
      </c>
      <c r="E12" t="s">
        <v>5683</v>
      </c>
      <c r="F12" s="519">
        <v>45078</v>
      </c>
      <c r="G12" s="519">
        <v>45809</v>
      </c>
      <c r="H12" s="519">
        <v>46173</v>
      </c>
      <c r="J12">
        <v>788</v>
      </c>
      <c r="K12" s="520">
        <v>1104.26</v>
      </c>
      <c r="L12" s="520">
        <v>1054.5</v>
      </c>
      <c r="M12">
        <v>0</v>
      </c>
      <c r="N12">
        <v>0</v>
      </c>
    </row>
    <row r="13" spans="1:14">
      <c r="A13" t="s">
        <v>1772</v>
      </c>
      <c r="B13" t="s">
        <v>419</v>
      </c>
      <c r="C13">
        <v>420</v>
      </c>
      <c r="D13" t="s">
        <v>5672</v>
      </c>
      <c r="E13" t="s">
        <v>5673</v>
      </c>
      <c r="J13">
        <v>753</v>
      </c>
      <c r="K13">
        <v>0</v>
      </c>
      <c r="L13">
        <v>0</v>
      </c>
      <c r="N13">
        <v>0</v>
      </c>
    </row>
    <row r="14" spans="1:14">
      <c r="A14" t="s">
        <v>1777</v>
      </c>
      <c r="B14" t="s">
        <v>419</v>
      </c>
      <c r="C14">
        <v>420</v>
      </c>
      <c r="D14" t="s">
        <v>5672</v>
      </c>
      <c r="E14" t="s">
        <v>5673</v>
      </c>
      <c r="J14">
        <v>798</v>
      </c>
      <c r="K14">
        <v>0</v>
      </c>
      <c r="L14">
        <v>0</v>
      </c>
      <c r="N14">
        <v>0</v>
      </c>
    </row>
    <row r="15" spans="1:14">
      <c r="A15" t="s">
        <v>5684</v>
      </c>
      <c r="B15" t="s">
        <v>419</v>
      </c>
      <c r="C15">
        <v>420</v>
      </c>
      <c r="D15" t="s">
        <v>1487</v>
      </c>
      <c r="E15" t="s">
        <v>5685</v>
      </c>
      <c r="F15" s="519">
        <v>38078</v>
      </c>
      <c r="G15" s="519">
        <v>46073</v>
      </c>
      <c r="H15" s="519">
        <v>46437</v>
      </c>
      <c r="J15">
        <v>743</v>
      </c>
      <c r="K15">
        <v>847.26</v>
      </c>
      <c r="L15">
        <v>742</v>
      </c>
      <c r="M15">
        <v>0</v>
      </c>
      <c r="N15">
        <v>150</v>
      </c>
    </row>
    <row r="16" spans="1:14">
      <c r="A16" t="s">
        <v>2578</v>
      </c>
      <c r="B16" t="s">
        <v>419</v>
      </c>
      <c r="C16">
        <v>420</v>
      </c>
      <c r="D16" t="s">
        <v>5686</v>
      </c>
      <c r="E16" t="s">
        <v>5673</v>
      </c>
      <c r="J16">
        <v>798</v>
      </c>
      <c r="K16">
        <v>0</v>
      </c>
      <c r="L16">
        <v>0</v>
      </c>
      <c r="N16">
        <v>0</v>
      </c>
    </row>
    <row r="17" spans="1:14">
      <c r="A17" t="s">
        <v>5687</v>
      </c>
      <c r="B17" t="s">
        <v>419</v>
      </c>
      <c r="C17">
        <v>420</v>
      </c>
      <c r="D17" t="s">
        <v>1487</v>
      </c>
      <c r="E17" t="s">
        <v>5688</v>
      </c>
      <c r="F17" s="519">
        <v>45535</v>
      </c>
      <c r="G17" s="519">
        <v>45901</v>
      </c>
      <c r="H17" s="519">
        <v>46265</v>
      </c>
      <c r="J17">
        <v>768</v>
      </c>
      <c r="K17">
        <v>930.26</v>
      </c>
      <c r="L17">
        <v>880.5</v>
      </c>
      <c r="M17">
        <v>0</v>
      </c>
      <c r="N17">
        <v>750</v>
      </c>
    </row>
    <row r="18" spans="1:14">
      <c r="A18" t="s">
        <v>5689</v>
      </c>
      <c r="B18" t="s">
        <v>419</v>
      </c>
      <c r="C18">
        <v>420</v>
      </c>
      <c r="D18" t="s">
        <v>1487</v>
      </c>
      <c r="E18" t="s">
        <v>5690</v>
      </c>
      <c r="F18" s="519">
        <v>45276</v>
      </c>
      <c r="G18" s="519">
        <v>46069</v>
      </c>
      <c r="J18">
        <v>743</v>
      </c>
      <c r="K18">
        <v>992.26</v>
      </c>
      <c r="L18">
        <v>942.5</v>
      </c>
      <c r="M18">
        <v>0</v>
      </c>
      <c r="N18">
        <v>0</v>
      </c>
    </row>
    <row r="19" spans="1:14">
      <c r="A19" t="s">
        <v>5691</v>
      </c>
      <c r="B19" t="s">
        <v>419</v>
      </c>
      <c r="C19">
        <v>420</v>
      </c>
      <c r="D19" t="s">
        <v>1487</v>
      </c>
      <c r="E19" t="s">
        <v>5692</v>
      </c>
      <c r="F19" s="519">
        <v>44036</v>
      </c>
      <c r="G19" s="519">
        <v>45870</v>
      </c>
      <c r="J19">
        <v>848</v>
      </c>
      <c r="K19" s="520">
        <v>1221.26</v>
      </c>
      <c r="L19" s="520">
        <v>1171.49</v>
      </c>
      <c r="M19">
        <v>0</v>
      </c>
      <c r="N19">
        <v>150</v>
      </c>
    </row>
    <row r="20" spans="1:14">
      <c r="A20" t="s">
        <v>868</v>
      </c>
      <c r="B20" t="s">
        <v>419</v>
      </c>
      <c r="C20">
        <v>420</v>
      </c>
      <c r="D20" t="s">
        <v>5672</v>
      </c>
      <c r="E20" t="s">
        <v>5673</v>
      </c>
      <c r="J20">
        <v>768</v>
      </c>
      <c r="K20">
        <v>0</v>
      </c>
      <c r="L20">
        <v>0</v>
      </c>
      <c r="N20">
        <v>0</v>
      </c>
    </row>
    <row r="21" spans="1:14">
      <c r="A21" t="s">
        <v>1785</v>
      </c>
      <c r="B21" t="s">
        <v>419</v>
      </c>
      <c r="C21">
        <v>420</v>
      </c>
      <c r="D21" t="s">
        <v>5672</v>
      </c>
      <c r="E21" t="s">
        <v>5673</v>
      </c>
      <c r="J21">
        <v>743</v>
      </c>
      <c r="K21">
        <v>0</v>
      </c>
      <c r="L21">
        <v>0</v>
      </c>
      <c r="N21">
        <v>0</v>
      </c>
    </row>
    <row r="22" spans="1:14">
      <c r="A22" t="s">
        <v>5693</v>
      </c>
      <c r="B22" t="s">
        <v>419</v>
      </c>
      <c r="C22">
        <v>420</v>
      </c>
      <c r="D22" t="s">
        <v>1487</v>
      </c>
      <c r="E22" t="s">
        <v>5694</v>
      </c>
      <c r="F22" s="519">
        <v>42795</v>
      </c>
      <c r="G22" s="519">
        <v>45901</v>
      </c>
      <c r="H22" s="519">
        <v>46265</v>
      </c>
      <c r="J22">
        <v>753</v>
      </c>
      <c r="K22">
        <v>924.26</v>
      </c>
      <c r="L22">
        <v>874.5</v>
      </c>
      <c r="M22">
        <v>0</v>
      </c>
      <c r="N22">
        <v>250</v>
      </c>
    </row>
    <row r="23" spans="1:14">
      <c r="A23" t="s">
        <v>5695</v>
      </c>
      <c r="B23" t="s">
        <v>419</v>
      </c>
      <c r="C23">
        <v>420</v>
      </c>
      <c r="D23" t="s">
        <v>1487</v>
      </c>
      <c r="E23" t="s">
        <v>5696</v>
      </c>
      <c r="F23" s="519">
        <v>44232</v>
      </c>
      <c r="G23" s="519">
        <v>46082</v>
      </c>
      <c r="H23" s="519">
        <v>46445</v>
      </c>
      <c r="J23">
        <v>768</v>
      </c>
      <c r="K23">
        <v>853.26</v>
      </c>
      <c r="L23">
        <v>804</v>
      </c>
      <c r="M23">
        <v>0</v>
      </c>
      <c r="N23">
        <v>0</v>
      </c>
    </row>
    <row r="24" spans="1:14">
      <c r="A24" t="s">
        <v>3351</v>
      </c>
      <c r="B24" t="s">
        <v>419</v>
      </c>
      <c r="C24">
        <v>420</v>
      </c>
      <c r="D24" t="s">
        <v>5672</v>
      </c>
      <c r="E24" t="s">
        <v>5673</v>
      </c>
      <c r="J24">
        <v>743</v>
      </c>
      <c r="K24">
        <v>0</v>
      </c>
      <c r="L24">
        <v>0</v>
      </c>
      <c r="N24">
        <v>0</v>
      </c>
    </row>
    <row r="25" spans="1:14">
      <c r="A25" t="s">
        <v>874</v>
      </c>
      <c r="B25" t="s">
        <v>419</v>
      </c>
      <c r="C25">
        <v>420</v>
      </c>
      <c r="D25" t="s">
        <v>5672</v>
      </c>
      <c r="E25" t="s">
        <v>5673</v>
      </c>
      <c r="J25">
        <v>753</v>
      </c>
      <c r="K25">
        <v>0</v>
      </c>
      <c r="L25">
        <v>0</v>
      </c>
      <c r="N25">
        <v>0</v>
      </c>
    </row>
    <row r="26" spans="1:14">
      <c r="A26" t="s">
        <v>5697</v>
      </c>
      <c r="B26" t="s">
        <v>419</v>
      </c>
      <c r="C26">
        <v>420</v>
      </c>
      <c r="D26" t="s">
        <v>1487</v>
      </c>
      <c r="E26" t="s">
        <v>5698</v>
      </c>
      <c r="F26" s="519">
        <v>45854</v>
      </c>
      <c r="G26" s="519">
        <v>45854</v>
      </c>
      <c r="H26" s="519">
        <v>46218</v>
      </c>
      <c r="J26">
        <v>863</v>
      </c>
      <c r="K26">
        <v>937.26</v>
      </c>
      <c r="L26">
        <v>888</v>
      </c>
      <c r="M26">
        <v>0</v>
      </c>
      <c r="N26">
        <v>750</v>
      </c>
    </row>
    <row r="27" spans="1:14">
      <c r="A27" t="s">
        <v>2593</v>
      </c>
      <c r="B27" t="s">
        <v>419</v>
      </c>
      <c r="C27">
        <v>420</v>
      </c>
      <c r="D27" t="s">
        <v>1487</v>
      </c>
      <c r="E27" t="s">
        <v>2592</v>
      </c>
      <c r="F27" s="519">
        <v>46102</v>
      </c>
      <c r="G27" s="519">
        <v>46102</v>
      </c>
      <c r="H27" s="519">
        <v>46466</v>
      </c>
      <c r="J27">
        <v>838</v>
      </c>
      <c r="K27">
        <v>321</v>
      </c>
      <c r="L27">
        <v>997</v>
      </c>
      <c r="M27">
        <v>0</v>
      </c>
      <c r="N27">
        <v>500</v>
      </c>
    </row>
    <row r="28" spans="1:14">
      <c r="A28" t="s">
        <v>1145</v>
      </c>
      <c r="B28" t="s">
        <v>419</v>
      </c>
      <c r="C28">
        <v>420</v>
      </c>
      <c r="D28" t="s">
        <v>1487</v>
      </c>
      <c r="E28" t="s">
        <v>1146</v>
      </c>
      <c r="F28" s="519">
        <v>46093</v>
      </c>
      <c r="G28" s="519">
        <v>46093</v>
      </c>
      <c r="H28" s="519">
        <v>46457</v>
      </c>
      <c r="J28">
        <v>753</v>
      </c>
      <c r="K28">
        <v>245</v>
      </c>
      <c r="L28">
        <v>857</v>
      </c>
      <c r="M28">
        <v>0</v>
      </c>
      <c r="N28">
        <v>500</v>
      </c>
    </row>
    <row r="29" spans="1:14">
      <c r="A29" t="s">
        <v>5699</v>
      </c>
      <c r="B29" t="s">
        <v>419</v>
      </c>
      <c r="C29">
        <v>420</v>
      </c>
      <c r="D29" t="s">
        <v>5672</v>
      </c>
      <c r="E29" t="s">
        <v>5673</v>
      </c>
      <c r="J29">
        <v>813</v>
      </c>
      <c r="K29">
        <v>0</v>
      </c>
      <c r="L29">
        <v>0</v>
      </c>
      <c r="N29">
        <v>0</v>
      </c>
    </row>
    <row r="30" spans="1:14">
      <c r="A30" t="s">
        <v>875</v>
      </c>
      <c r="B30" t="s">
        <v>419</v>
      </c>
      <c r="C30">
        <v>420</v>
      </c>
      <c r="D30" t="s">
        <v>5672</v>
      </c>
      <c r="E30" t="s">
        <v>5673</v>
      </c>
      <c r="J30">
        <v>743</v>
      </c>
      <c r="K30">
        <v>0</v>
      </c>
      <c r="L30">
        <v>0</v>
      </c>
      <c r="N30">
        <v>0</v>
      </c>
    </row>
    <row r="31" spans="1:14">
      <c r="A31" t="s">
        <v>1813</v>
      </c>
      <c r="B31" t="s">
        <v>419</v>
      </c>
      <c r="C31">
        <v>420</v>
      </c>
      <c r="D31" t="s">
        <v>5686</v>
      </c>
      <c r="E31" t="s">
        <v>5673</v>
      </c>
      <c r="J31">
        <v>798</v>
      </c>
      <c r="K31">
        <v>0</v>
      </c>
      <c r="L31">
        <v>0</v>
      </c>
      <c r="N31">
        <v>0</v>
      </c>
    </row>
    <row r="32" spans="1:14">
      <c r="A32" t="s">
        <v>1816</v>
      </c>
      <c r="B32" t="s">
        <v>419</v>
      </c>
      <c r="C32">
        <v>420</v>
      </c>
      <c r="D32" t="s">
        <v>5672</v>
      </c>
      <c r="E32" t="s">
        <v>5673</v>
      </c>
      <c r="J32">
        <v>863</v>
      </c>
      <c r="K32">
        <v>0</v>
      </c>
      <c r="L32">
        <v>0</v>
      </c>
      <c r="N32">
        <v>0</v>
      </c>
    </row>
    <row r="33" spans="1:14">
      <c r="A33" t="s">
        <v>5700</v>
      </c>
      <c r="B33" t="s">
        <v>419</v>
      </c>
      <c r="C33">
        <v>420</v>
      </c>
      <c r="D33" t="s">
        <v>1487</v>
      </c>
      <c r="E33" t="s">
        <v>5701</v>
      </c>
      <c r="F33" s="519">
        <v>42305</v>
      </c>
      <c r="G33" s="519">
        <v>45809</v>
      </c>
      <c r="H33" s="519">
        <v>46173</v>
      </c>
      <c r="J33">
        <v>743</v>
      </c>
      <c r="K33">
        <v>929.32</v>
      </c>
      <c r="L33">
        <v>853.99</v>
      </c>
      <c r="M33">
        <v>-800</v>
      </c>
      <c r="N33">
        <v>200</v>
      </c>
    </row>
    <row r="34" spans="1:14">
      <c r="A34" t="s">
        <v>5702</v>
      </c>
      <c r="B34" t="s">
        <v>419</v>
      </c>
      <c r="C34">
        <v>420</v>
      </c>
      <c r="D34" t="s">
        <v>1486</v>
      </c>
      <c r="E34" t="s">
        <v>5703</v>
      </c>
      <c r="F34" s="519">
        <v>45748</v>
      </c>
      <c r="G34" s="519">
        <v>46113</v>
      </c>
      <c r="H34" s="519">
        <v>46198</v>
      </c>
      <c r="I34" s="519">
        <v>46198</v>
      </c>
      <c r="J34">
        <v>798</v>
      </c>
      <c r="K34" s="520">
        <v>1198.26</v>
      </c>
      <c r="L34" s="520">
        <v>1149</v>
      </c>
      <c r="M34">
        <v>0</v>
      </c>
      <c r="N34">
        <v>0</v>
      </c>
    </row>
    <row r="35" spans="1:14">
      <c r="A35" t="s">
        <v>1818</v>
      </c>
      <c r="B35" t="s">
        <v>419</v>
      </c>
      <c r="C35">
        <v>420</v>
      </c>
      <c r="D35" t="s">
        <v>1487</v>
      </c>
      <c r="E35" t="s">
        <v>1819</v>
      </c>
      <c r="F35" s="519">
        <v>42613</v>
      </c>
      <c r="G35" s="519">
        <v>45992</v>
      </c>
      <c r="H35" s="519">
        <v>46356</v>
      </c>
      <c r="J35">
        <v>768</v>
      </c>
      <c r="K35" s="520">
        <v>1052.26</v>
      </c>
      <c r="L35">
        <v>880.5</v>
      </c>
      <c r="M35">
        <v>52.26</v>
      </c>
      <c r="N35">
        <v>150</v>
      </c>
    </row>
    <row r="36" spans="1:14">
      <c r="A36" t="s">
        <v>5704</v>
      </c>
      <c r="B36" t="s">
        <v>419</v>
      </c>
      <c r="C36">
        <v>420</v>
      </c>
      <c r="D36" t="s">
        <v>1487</v>
      </c>
      <c r="E36" t="s">
        <v>5705</v>
      </c>
      <c r="F36" s="519">
        <v>40558</v>
      </c>
      <c r="G36" s="519">
        <v>46113</v>
      </c>
      <c r="H36" s="519">
        <v>46477</v>
      </c>
      <c r="J36">
        <v>743</v>
      </c>
      <c r="K36">
        <v>986.32</v>
      </c>
      <c r="L36">
        <v>911</v>
      </c>
      <c r="M36">
        <v>0</v>
      </c>
      <c r="N36">
        <v>100</v>
      </c>
    </row>
    <row r="37" spans="1:14">
      <c r="A37" t="s">
        <v>1820</v>
      </c>
      <c r="B37" t="s">
        <v>419</v>
      </c>
      <c r="C37">
        <v>420</v>
      </c>
      <c r="D37" t="s">
        <v>1487</v>
      </c>
      <c r="E37" t="s">
        <v>1821</v>
      </c>
      <c r="F37" s="519">
        <v>43927</v>
      </c>
      <c r="G37" s="519">
        <v>46113</v>
      </c>
      <c r="H37" s="519">
        <v>46477</v>
      </c>
      <c r="J37">
        <v>753</v>
      </c>
      <c r="K37" s="520">
        <v>1108.32</v>
      </c>
      <c r="L37">
        <v>911</v>
      </c>
      <c r="M37" s="520">
        <v>2149.36</v>
      </c>
      <c r="N37">
        <v>150</v>
      </c>
    </row>
    <row r="38" spans="1:14">
      <c r="A38" t="s">
        <v>1034</v>
      </c>
      <c r="B38" t="s">
        <v>1493</v>
      </c>
      <c r="C38">
        <v>505</v>
      </c>
      <c r="D38" t="s">
        <v>1487</v>
      </c>
      <c r="E38" t="s">
        <v>3053</v>
      </c>
      <c r="F38" s="519">
        <v>46125</v>
      </c>
      <c r="G38" s="519">
        <v>46125</v>
      </c>
      <c r="H38" s="519">
        <v>46489</v>
      </c>
      <c r="J38">
        <v>797</v>
      </c>
      <c r="K38">
        <v>505</v>
      </c>
      <c r="L38">
        <v>871</v>
      </c>
      <c r="M38">
        <v>0</v>
      </c>
      <c r="N38">
        <v>500</v>
      </c>
    </row>
    <row r="39" spans="1:14">
      <c r="A39" t="s">
        <v>2285</v>
      </c>
      <c r="B39" t="s">
        <v>1493</v>
      </c>
      <c r="C39">
        <v>505</v>
      </c>
      <c r="D39" t="s">
        <v>1487</v>
      </c>
      <c r="E39" t="s">
        <v>5706</v>
      </c>
      <c r="F39" s="519">
        <v>46101</v>
      </c>
      <c r="G39" s="519">
        <v>46101</v>
      </c>
      <c r="H39" s="519">
        <v>46465</v>
      </c>
      <c r="J39">
        <v>797</v>
      </c>
      <c r="K39">
        <v>188</v>
      </c>
      <c r="L39">
        <v>871</v>
      </c>
      <c r="M39">
        <v>0</v>
      </c>
      <c r="N39">
        <v>0</v>
      </c>
    </row>
    <row r="40" spans="1:14">
      <c r="A40" t="s">
        <v>1630</v>
      </c>
      <c r="B40" t="s">
        <v>1493</v>
      </c>
      <c r="C40">
        <v>505</v>
      </c>
      <c r="D40" t="s">
        <v>1487</v>
      </c>
      <c r="E40" t="s">
        <v>3087</v>
      </c>
      <c r="F40" s="519">
        <v>46097</v>
      </c>
      <c r="G40" s="519">
        <v>46097</v>
      </c>
      <c r="H40" s="519">
        <v>46461</v>
      </c>
      <c r="J40">
        <v>842</v>
      </c>
      <c r="K40">
        <v>74</v>
      </c>
      <c r="L40">
        <v>916</v>
      </c>
      <c r="M40">
        <v>0</v>
      </c>
      <c r="N40">
        <v>0</v>
      </c>
    </row>
    <row r="41" spans="1:14">
      <c r="A41" t="s">
        <v>5707</v>
      </c>
      <c r="B41" t="s">
        <v>1493</v>
      </c>
      <c r="C41">
        <v>505</v>
      </c>
      <c r="D41" t="s">
        <v>1486</v>
      </c>
      <c r="E41" t="s">
        <v>5708</v>
      </c>
      <c r="F41" s="519">
        <v>44750</v>
      </c>
      <c r="G41" s="519">
        <v>45839</v>
      </c>
      <c r="H41" s="519">
        <v>46203</v>
      </c>
      <c r="I41" s="519">
        <v>46203</v>
      </c>
      <c r="J41">
        <v>842</v>
      </c>
      <c r="K41" s="520">
        <v>1068.2</v>
      </c>
      <c r="L41" s="520">
        <v>1015.49</v>
      </c>
      <c r="M41">
        <v>0</v>
      </c>
      <c r="N41">
        <v>0</v>
      </c>
    </row>
    <row r="42" spans="1:14">
      <c r="A42" t="s">
        <v>5709</v>
      </c>
      <c r="B42" t="s">
        <v>1493</v>
      </c>
      <c r="C42">
        <v>505</v>
      </c>
      <c r="D42" t="s">
        <v>1486</v>
      </c>
      <c r="E42" t="s">
        <v>5710</v>
      </c>
      <c r="F42" s="519">
        <v>45017</v>
      </c>
      <c r="G42" s="519">
        <v>45839</v>
      </c>
      <c r="H42" s="519">
        <v>46203</v>
      </c>
      <c r="I42" s="519">
        <v>46203</v>
      </c>
      <c r="J42">
        <v>817</v>
      </c>
      <c r="K42" s="520">
        <v>1020.2</v>
      </c>
      <c r="L42">
        <v>967.5</v>
      </c>
      <c r="M42">
        <v>0</v>
      </c>
      <c r="N42">
        <v>0</v>
      </c>
    </row>
    <row r="43" spans="1:14">
      <c r="A43" t="s">
        <v>1633</v>
      </c>
      <c r="B43" t="s">
        <v>1493</v>
      </c>
      <c r="C43">
        <v>505</v>
      </c>
      <c r="D43" t="s">
        <v>1487</v>
      </c>
      <c r="E43" t="s">
        <v>1634</v>
      </c>
      <c r="F43" s="519">
        <v>45873</v>
      </c>
      <c r="G43" s="519">
        <v>45873</v>
      </c>
      <c r="H43" s="519">
        <v>46237</v>
      </c>
      <c r="J43">
        <v>817</v>
      </c>
      <c r="K43" s="520">
        <v>1037.2</v>
      </c>
      <c r="L43">
        <v>867.49</v>
      </c>
      <c r="M43">
        <v>70.45</v>
      </c>
      <c r="N43">
        <v>0</v>
      </c>
    </row>
    <row r="44" spans="1:14">
      <c r="A44" t="s">
        <v>5711</v>
      </c>
      <c r="B44" t="s">
        <v>1493</v>
      </c>
      <c r="C44">
        <v>505</v>
      </c>
      <c r="D44" t="s">
        <v>1487</v>
      </c>
      <c r="E44" t="s">
        <v>5712</v>
      </c>
      <c r="F44" s="519">
        <v>45614</v>
      </c>
      <c r="G44" s="519">
        <v>46040</v>
      </c>
      <c r="J44">
        <v>817</v>
      </c>
      <c r="K44" s="520">
        <v>1037.2</v>
      </c>
      <c r="L44">
        <v>984.5</v>
      </c>
      <c r="M44">
        <v>0</v>
      </c>
      <c r="N44">
        <v>0</v>
      </c>
    </row>
    <row r="45" spans="1:14">
      <c r="A45" t="s">
        <v>5713</v>
      </c>
      <c r="B45" t="s">
        <v>1493</v>
      </c>
      <c r="C45">
        <v>505</v>
      </c>
      <c r="D45" t="s">
        <v>1487</v>
      </c>
      <c r="E45" t="s">
        <v>5714</v>
      </c>
      <c r="F45" s="519">
        <v>45868</v>
      </c>
      <c r="G45" s="519">
        <v>45868</v>
      </c>
      <c r="H45" s="519">
        <v>46232</v>
      </c>
      <c r="J45">
        <v>772</v>
      </c>
      <c r="K45" s="520">
        <v>1018.27</v>
      </c>
      <c r="L45">
        <v>939.5</v>
      </c>
      <c r="M45">
        <v>0</v>
      </c>
      <c r="N45">
        <v>0</v>
      </c>
    </row>
    <row r="46" spans="1:14">
      <c r="A46" t="s">
        <v>5715</v>
      </c>
      <c r="B46" t="s">
        <v>1493</v>
      </c>
      <c r="C46">
        <v>505</v>
      </c>
      <c r="D46" t="s">
        <v>1487</v>
      </c>
      <c r="E46" t="s">
        <v>5716</v>
      </c>
      <c r="F46" s="519">
        <v>45169</v>
      </c>
      <c r="G46" s="519">
        <v>45931</v>
      </c>
      <c r="H46" s="519">
        <v>46295</v>
      </c>
      <c r="J46">
        <v>877</v>
      </c>
      <c r="K46" s="520">
        <v>1205.27</v>
      </c>
      <c r="L46" s="520">
        <v>1126.5</v>
      </c>
      <c r="M46">
        <v>-900</v>
      </c>
      <c r="N46">
        <v>0</v>
      </c>
    </row>
    <row r="47" spans="1:14">
      <c r="A47" t="s">
        <v>1636</v>
      </c>
      <c r="B47" t="s">
        <v>1493</v>
      </c>
      <c r="C47">
        <v>505</v>
      </c>
      <c r="D47" t="s">
        <v>1487</v>
      </c>
      <c r="E47" t="s">
        <v>1637</v>
      </c>
      <c r="F47" s="519">
        <v>45958</v>
      </c>
      <c r="G47" s="519">
        <v>45958</v>
      </c>
      <c r="H47" s="519">
        <v>46315</v>
      </c>
      <c r="J47">
        <v>782</v>
      </c>
      <c r="K47">
        <v>932.2</v>
      </c>
      <c r="L47">
        <v>879.5</v>
      </c>
      <c r="M47">
        <v>0.2</v>
      </c>
      <c r="N47">
        <v>0</v>
      </c>
    </row>
    <row r="48" spans="1:14">
      <c r="A48" t="s">
        <v>1397</v>
      </c>
      <c r="B48" t="s">
        <v>1493</v>
      </c>
      <c r="C48">
        <v>505</v>
      </c>
      <c r="D48" t="s">
        <v>5672</v>
      </c>
      <c r="E48" t="s">
        <v>5673</v>
      </c>
      <c r="J48">
        <v>827</v>
      </c>
      <c r="K48">
        <v>0</v>
      </c>
      <c r="L48">
        <v>0</v>
      </c>
      <c r="N48">
        <v>0</v>
      </c>
    </row>
    <row r="49" spans="1:14">
      <c r="A49" t="s">
        <v>1156</v>
      </c>
      <c r="B49" t="s">
        <v>1493</v>
      </c>
      <c r="C49">
        <v>505</v>
      </c>
      <c r="D49" t="s">
        <v>5686</v>
      </c>
      <c r="E49" t="s">
        <v>5673</v>
      </c>
      <c r="J49">
        <v>827</v>
      </c>
      <c r="K49">
        <v>0</v>
      </c>
      <c r="L49">
        <v>0</v>
      </c>
      <c r="N49">
        <v>0</v>
      </c>
    </row>
    <row r="50" spans="1:14">
      <c r="A50" t="s">
        <v>5717</v>
      </c>
      <c r="B50" t="s">
        <v>1493</v>
      </c>
      <c r="C50">
        <v>505</v>
      </c>
      <c r="D50" t="s">
        <v>1487</v>
      </c>
      <c r="E50" t="s">
        <v>5718</v>
      </c>
      <c r="F50" s="519">
        <v>45611</v>
      </c>
      <c r="G50" s="519">
        <v>45976</v>
      </c>
      <c r="H50" s="519">
        <v>46340</v>
      </c>
      <c r="J50">
        <v>842</v>
      </c>
      <c r="K50">
        <v>938.2</v>
      </c>
      <c r="L50">
        <v>885.5</v>
      </c>
      <c r="M50">
        <v>-6.05</v>
      </c>
      <c r="N50">
        <v>0</v>
      </c>
    </row>
    <row r="51" spans="1:14">
      <c r="A51" t="s">
        <v>1388</v>
      </c>
      <c r="B51" t="s">
        <v>1493</v>
      </c>
      <c r="C51">
        <v>505</v>
      </c>
      <c r="D51" t="s">
        <v>1487</v>
      </c>
      <c r="E51" t="s">
        <v>1657</v>
      </c>
      <c r="F51" s="519">
        <v>46088</v>
      </c>
      <c r="G51" s="519">
        <v>46119</v>
      </c>
      <c r="J51">
        <v>797</v>
      </c>
      <c r="K51">
        <v>746</v>
      </c>
      <c r="L51">
        <v>778.76</v>
      </c>
      <c r="M51">
        <v>148</v>
      </c>
      <c r="N51">
        <v>0</v>
      </c>
    </row>
    <row r="52" spans="1:14">
      <c r="A52" t="s">
        <v>5719</v>
      </c>
      <c r="B52" t="s">
        <v>1493</v>
      </c>
      <c r="C52">
        <v>505</v>
      </c>
      <c r="D52" t="s">
        <v>1487</v>
      </c>
      <c r="E52" t="s">
        <v>5720</v>
      </c>
      <c r="F52" s="519">
        <v>45493</v>
      </c>
      <c r="G52" s="519">
        <v>45920</v>
      </c>
      <c r="J52">
        <v>892</v>
      </c>
      <c r="K52" s="520">
        <v>1317.2</v>
      </c>
      <c r="L52" s="520">
        <v>1264.5</v>
      </c>
      <c r="M52">
        <v>0</v>
      </c>
      <c r="N52">
        <v>0</v>
      </c>
    </row>
    <row r="53" spans="1:14">
      <c r="A53" t="s">
        <v>1658</v>
      </c>
      <c r="B53" t="s">
        <v>1493</v>
      </c>
      <c r="C53">
        <v>505</v>
      </c>
      <c r="D53" t="s">
        <v>1487</v>
      </c>
      <c r="E53" t="s">
        <v>1659</v>
      </c>
      <c r="F53" s="519">
        <v>45646</v>
      </c>
      <c r="G53" s="519">
        <v>46011</v>
      </c>
      <c r="J53">
        <v>827</v>
      </c>
      <c r="K53" s="520">
        <v>1048.2</v>
      </c>
      <c r="L53">
        <v>876.5</v>
      </c>
      <c r="M53" s="520">
        <v>12806.92</v>
      </c>
      <c r="N53">
        <v>0</v>
      </c>
    </row>
    <row r="54" spans="1:14">
      <c r="A54" t="s">
        <v>1106</v>
      </c>
      <c r="B54" t="s">
        <v>1493</v>
      </c>
      <c r="C54">
        <v>505</v>
      </c>
      <c r="D54" t="s">
        <v>5672</v>
      </c>
      <c r="E54" t="s">
        <v>5673</v>
      </c>
      <c r="J54">
        <v>817</v>
      </c>
      <c r="K54">
        <v>0</v>
      </c>
      <c r="L54">
        <v>0</v>
      </c>
      <c r="N54">
        <v>0</v>
      </c>
    </row>
    <row r="55" spans="1:14">
      <c r="A55" t="s">
        <v>5721</v>
      </c>
      <c r="B55" t="s">
        <v>1493</v>
      </c>
      <c r="C55">
        <v>505</v>
      </c>
      <c r="D55" t="s">
        <v>1487</v>
      </c>
      <c r="E55" t="s">
        <v>5722</v>
      </c>
      <c r="F55" s="519">
        <v>42552</v>
      </c>
      <c r="G55" s="519">
        <v>45839</v>
      </c>
      <c r="H55" s="519">
        <v>46203</v>
      </c>
      <c r="J55">
        <v>817</v>
      </c>
      <c r="K55">
        <v>848.2</v>
      </c>
      <c r="L55">
        <v>796</v>
      </c>
      <c r="M55">
        <v>-858.02</v>
      </c>
      <c r="N55">
        <v>0</v>
      </c>
    </row>
    <row r="56" spans="1:14">
      <c r="A56" t="s">
        <v>1660</v>
      </c>
      <c r="B56" t="s">
        <v>1493</v>
      </c>
      <c r="C56">
        <v>505</v>
      </c>
      <c r="D56" t="s">
        <v>1487</v>
      </c>
      <c r="E56" t="s">
        <v>1661</v>
      </c>
      <c r="F56" s="519">
        <v>44160</v>
      </c>
      <c r="G56" s="519">
        <v>45839</v>
      </c>
      <c r="H56" s="519">
        <v>46203</v>
      </c>
      <c r="J56">
        <v>772</v>
      </c>
      <c r="K56">
        <v>830.2</v>
      </c>
      <c r="L56">
        <v>743</v>
      </c>
      <c r="M56">
        <v>261.95</v>
      </c>
      <c r="N56">
        <v>750</v>
      </c>
    </row>
    <row r="57" spans="1:14">
      <c r="A57" t="s">
        <v>5723</v>
      </c>
      <c r="B57" t="s">
        <v>1493</v>
      </c>
      <c r="C57">
        <v>505</v>
      </c>
      <c r="D57" t="s">
        <v>1487</v>
      </c>
      <c r="E57" t="s">
        <v>5724</v>
      </c>
      <c r="F57" s="519">
        <v>43017</v>
      </c>
      <c r="G57" s="519">
        <v>45870</v>
      </c>
      <c r="H57" s="519">
        <v>46234</v>
      </c>
      <c r="J57">
        <v>772</v>
      </c>
      <c r="K57">
        <v>996.27</v>
      </c>
      <c r="L57">
        <v>917.49</v>
      </c>
      <c r="M57">
        <v>0</v>
      </c>
      <c r="N57">
        <v>150</v>
      </c>
    </row>
    <row r="58" spans="1:14">
      <c r="A58" t="s">
        <v>1120</v>
      </c>
      <c r="B58" t="s">
        <v>1493</v>
      </c>
      <c r="C58">
        <v>505</v>
      </c>
      <c r="D58" t="s">
        <v>5686</v>
      </c>
      <c r="E58" t="s">
        <v>5673</v>
      </c>
      <c r="J58">
        <v>842</v>
      </c>
      <c r="K58">
        <v>0</v>
      </c>
      <c r="L58">
        <v>0</v>
      </c>
      <c r="N58">
        <v>0</v>
      </c>
    </row>
    <row r="59" spans="1:14">
      <c r="A59" t="s">
        <v>5725</v>
      </c>
      <c r="B59" t="s">
        <v>1493</v>
      </c>
      <c r="C59">
        <v>505</v>
      </c>
      <c r="D59" t="s">
        <v>1487</v>
      </c>
      <c r="E59" t="s">
        <v>5726</v>
      </c>
      <c r="F59" s="519">
        <v>45047</v>
      </c>
      <c r="G59" s="519">
        <v>45962</v>
      </c>
      <c r="H59" s="519">
        <v>46142</v>
      </c>
      <c r="J59">
        <v>797</v>
      </c>
      <c r="K59" s="520">
        <v>1079.27</v>
      </c>
      <c r="L59" s="520">
        <v>1000.5</v>
      </c>
      <c r="M59">
        <v>0</v>
      </c>
      <c r="N59">
        <v>0</v>
      </c>
    </row>
    <row r="60" spans="1:14">
      <c r="A60" t="s">
        <v>5727</v>
      </c>
      <c r="B60" t="s">
        <v>1493</v>
      </c>
      <c r="C60">
        <v>505</v>
      </c>
      <c r="D60" t="s">
        <v>1487</v>
      </c>
      <c r="E60" t="s">
        <v>5728</v>
      </c>
      <c r="F60" s="519">
        <v>45688</v>
      </c>
      <c r="G60" s="519">
        <v>46055</v>
      </c>
      <c r="J60">
        <v>827</v>
      </c>
      <c r="K60" s="520">
        <v>1195.2</v>
      </c>
      <c r="L60" s="520">
        <v>1038.8599999999999</v>
      </c>
      <c r="M60">
        <v>0</v>
      </c>
      <c r="N60">
        <v>750</v>
      </c>
    </row>
    <row r="61" spans="1:14">
      <c r="A61" t="s">
        <v>1023</v>
      </c>
      <c r="B61" t="s">
        <v>1493</v>
      </c>
      <c r="C61">
        <v>505</v>
      </c>
      <c r="D61" t="s">
        <v>1487</v>
      </c>
      <c r="E61" t="s">
        <v>1024</v>
      </c>
      <c r="F61" s="519">
        <v>46114</v>
      </c>
      <c r="G61" s="519">
        <v>46114</v>
      </c>
      <c r="H61" s="519">
        <v>46478</v>
      </c>
      <c r="J61">
        <v>842</v>
      </c>
      <c r="K61" s="520">
        <v>1388</v>
      </c>
      <c r="L61">
        <v>916</v>
      </c>
      <c r="M61">
        <v>-28</v>
      </c>
      <c r="N61">
        <v>0</v>
      </c>
    </row>
    <row r="62" spans="1:14">
      <c r="A62" t="s">
        <v>1662</v>
      </c>
      <c r="B62" t="s">
        <v>1493</v>
      </c>
      <c r="C62">
        <v>505</v>
      </c>
      <c r="D62" t="s">
        <v>1486</v>
      </c>
      <c r="E62" t="s">
        <v>1663</v>
      </c>
      <c r="F62" s="519">
        <v>45709</v>
      </c>
      <c r="G62" s="519">
        <v>46133</v>
      </c>
      <c r="H62" s="519">
        <v>46162</v>
      </c>
      <c r="I62" s="519">
        <v>46162</v>
      </c>
      <c r="J62">
        <v>772</v>
      </c>
      <c r="K62" s="520">
        <v>1188.2</v>
      </c>
      <c r="L62" s="520">
        <v>1145.3499999999999</v>
      </c>
      <c r="M62" s="520">
        <v>9627.52</v>
      </c>
      <c r="N62">
        <v>0</v>
      </c>
    </row>
    <row r="63" spans="1:14">
      <c r="A63" t="s">
        <v>5729</v>
      </c>
      <c r="B63" t="s">
        <v>1493</v>
      </c>
      <c r="C63">
        <v>505</v>
      </c>
      <c r="D63" t="s">
        <v>5672</v>
      </c>
      <c r="E63" t="s">
        <v>5673</v>
      </c>
      <c r="J63">
        <v>817</v>
      </c>
      <c r="K63">
        <v>0</v>
      </c>
      <c r="L63">
        <v>0</v>
      </c>
      <c r="N63">
        <v>0</v>
      </c>
    </row>
    <row r="64" spans="1:14">
      <c r="A64" t="s">
        <v>2926</v>
      </c>
      <c r="B64" t="s">
        <v>1493</v>
      </c>
      <c r="C64">
        <v>505</v>
      </c>
      <c r="D64" t="s">
        <v>1487</v>
      </c>
      <c r="E64" t="s">
        <v>2925</v>
      </c>
      <c r="F64" s="519">
        <v>46097</v>
      </c>
      <c r="G64" s="519">
        <v>46097</v>
      </c>
      <c r="H64" s="519">
        <v>46461</v>
      </c>
      <c r="J64">
        <v>867</v>
      </c>
      <c r="K64">
        <v>129</v>
      </c>
      <c r="L64">
        <v>996</v>
      </c>
      <c r="M64">
        <v>-997</v>
      </c>
      <c r="N64">
        <v>0</v>
      </c>
    </row>
    <row r="65" spans="1:14">
      <c r="A65" t="s">
        <v>5730</v>
      </c>
      <c r="B65" t="s">
        <v>1493</v>
      </c>
      <c r="C65">
        <v>505</v>
      </c>
      <c r="D65" t="s">
        <v>1487</v>
      </c>
      <c r="E65" t="s">
        <v>3247</v>
      </c>
      <c r="F65" s="519">
        <v>45622</v>
      </c>
      <c r="G65" s="519">
        <v>45987</v>
      </c>
      <c r="H65" s="519">
        <v>46351</v>
      </c>
      <c r="J65">
        <v>817</v>
      </c>
      <c r="K65">
        <v>916.2</v>
      </c>
      <c r="L65">
        <v>863.5</v>
      </c>
      <c r="M65">
        <v>0</v>
      </c>
      <c r="N65">
        <v>0</v>
      </c>
    </row>
    <row r="66" spans="1:14">
      <c r="A66" t="s">
        <v>1128</v>
      </c>
      <c r="B66" t="s">
        <v>1493</v>
      </c>
      <c r="C66">
        <v>505</v>
      </c>
      <c r="D66" t="s">
        <v>1487</v>
      </c>
      <c r="E66" t="s">
        <v>1129</v>
      </c>
      <c r="F66" s="519">
        <v>46094</v>
      </c>
      <c r="G66" s="519">
        <v>46094</v>
      </c>
      <c r="H66" s="519">
        <v>46458</v>
      </c>
      <c r="J66">
        <v>877</v>
      </c>
      <c r="K66">
        <v>129</v>
      </c>
      <c r="L66" s="520">
        <v>1006</v>
      </c>
      <c r="M66">
        <v>0</v>
      </c>
      <c r="N66">
        <v>0</v>
      </c>
    </row>
    <row r="67" spans="1:14">
      <c r="A67" t="s">
        <v>5731</v>
      </c>
      <c r="B67" t="s">
        <v>1493</v>
      </c>
      <c r="C67">
        <v>505</v>
      </c>
      <c r="D67" t="s">
        <v>1487</v>
      </c>
      <c r="E67" t="s">
        <v>5732</v>
      </c>
      <c r="F67" s="519">
        <v>42423</v>
      </c>
      <c r="G67" s="519">
        <v>45901</v>
      </c>
      <c r="H67" s="519">
        <v>46265</v>
      </c>
      <c r="J67">
        <v>782</v>
      </c>
      <c r="K67">
        <v>890.2</v>
      </c>
      <c r="L67">
        <v>838</v>
      </c>
      <c r="M67">
        <v>0</v>
      </c>
      <c r="N67">
        <v>0</v>
      </c>
    </row>
    <row r="68" spans="1:14">
      <c r="A68" t="s">
        <v>1665</v>
      </c>
      <c r="B68" t="s">
        <v>1493</v>
      </c>
      <c r="C68">
        <v>505</v>
      </c>
      <c r="D68" t="s">
        <v>5672</v>
      </c>
      <c r="E68" t="s">
        <v>5673</v>
      </c>
      <c r="J68">
        <v>877</v>
      </c>
      <c r="K68">
        <v>0</v>
      </c>
      <c r="L68">
        <v>0</v>
      </c>
      <c r="N68">
        <v>0</v>
      </c>
    </row>
    <row r="69" spans="1:14">
      <c r="A69" t="s">
        <v>1151</v>
      </c>
      <c r="B69" t="s">
        <v>1493</v>
      </c>
      <c r="C69">
        <v>505</v>
      </c>
      <c r="D69" t="s">
        <v>1487</v>
      </c>
      <c r="E69" t="s">
        <v>3521</v>
      </c>
      <c r="F69" s="519">
        <v>46132</v>
      </c>
      <c r="G69" s="519">
        <v>46132</v>
      </c>
      <c r="H69" s="519">
        <v>46496</v>
      </c>
      <c r="J69">
        <v>877</v>
      </c>
      <c r="K69">
        <v>972</v>
      </c>
      <c r="L69" s="520">
        <v>1006</v>
      </c>
      <c r="M69">
        <v>0</v>
      </c>
      <c r="N69">
        <v>0</v>
      </c>
    </row>
    <row r="70" spans="1:14">
      <c r="A70" t="s">
        <v>5734</v>
      </c>
      <c r="B70" t="s">
        <v>1493</v>
      </c>
      <c r="C70">
        <v>505</v>
      </c>
      <c r="D70" t="s">
        <v>1487</v>
      </c>
      <c r="E70" t="s">
        <v>5735</v>
      </c>
      <c r="F70" s="519">
        <v>44316</v>
      </c>
      <c r="G70" s="519">
        <v>45778</v>
      </c>
      <c r="H70" s="519">
        <v>46142</v>
      </c>
      <c r="J70">
        <v>797</v>
      </c>
      <c r="K70" s="520">
        <v>1015.2</v>
      </c>
      <c r="L70">
        <v>878.5</v>
      </c>
      <c r="M70">
        <v>0</v>
      </c>
      <c r="N70">
        <v>0</v>
      </c>
    </row>
    <row r="71" spans="1:14">
      <c r="A71" t="s">
        <v>5736</v>
      </c>
      <c r="B71" t="s">
        <v>1493</v>
      </c>
      <c r="C71">
        <v>505</v>
      </c>
      <c r="D71" t="s">
        <v>1487</v>
      </c>
      <c r="E71" t="s">
        <v>5737</v>
      </c>
      <c r="F71" s="519">
        <v>43531</v>
      </c>
      <c r="G71" s="519">
        <v>45931</v>
      </c>
      <c r="H71" s="519">
        <v>46295</v>
      </c>
      <c r="J71">
        <v>842</v>
      </c>
      <c r="K71" s="520">
        <v>1016.2</v>
      </c>
      <c r="L71">
        <v>963.5</v>
      </c>
      <c r="M71">
        <v>0</v>
      </c>
      <c r="N71">
        <v>150</v>
      </c>
    </row>
    <row r="72" spans="1:14">
      <c r="A72" t="s">
        <v>5738</v>
      </c>
      <c r="B72" t="s">
        <v>1493</v>
      </c>
      <c r="C72">
        <v>505</v>
      </c>
      <c r="D72" t="s">
        <v>1487</v>
      </c>
      <c r="E72" t="s">
        <v>5739</v>
      </c>
      <c r="F72" s="519">
        <v>45551</v>
      </c>
      <c r="G72" s="519">
        <v>45916</v>
      </c>
      <c r="H72" s="519">
        <v>46280</v>
      </c>
      <c r="J72">
        <v>842</v>
      </c>
      <c r="K72" s="520">
        <v>1023.2</v>
      </c>
      <c r="L72">
        <v>970.99</v>
      </c>
      <c r="M72">
        <v>0</v>
      </c>
      <c r="N72">
        <v>150</v>
      </c>
    </row>
    <row r="73" spans="1:14">
      <c r="A73" t="s">
        <v>880</v>
      </c>
      <c r="B73" t="s">
        <v>1493</v>
      </c>
      <c r="C73">
        <v>505</v>
      </c>
      <c r="D73" t="s">
        <v>5672</v>
      </c>
      <c r="E73" t="s">
        <v>5673</v>
      </c>
      <c r="J73">
        <v>842</v>
      </c>
      <c r="K73">
        <v>0</v>
      </c>
      <c r="L73">
        <v>0</v>
      </c>
      <c r="N73">
        <v>0</v>
      </c>
    </row>
    <row r="74" spans="1:14">
      <c r="A74" t="s">
        <v>5740</v>
      </c>
      <c r="B74" t="s">
        <v>1493</v>
      </c>
      <c r="C74">
        <v>505</v>
      </c>
      <c r="D74" t="s">
        <v>1487</v>
      </c>
      <c r="E74" t="s">
        <v>5741</v>
      </c>
      <c r="F74" s="519">
        <v>44682</v>
      </c>
      <c r="G74" s="519">
        <v>45962</v>
      </c>
      <c r="H74" s="519">
        <v>46326</v>
      </c>
      <c r="J74">
        <v>772</v>
      </c>
      <c r="K74" s="520">
        <v>1098.2</v>
      </c>
      <c r="L74">
        <v>954.5</v>
      </c>
      <c r="M74">
        <v>0</v>
      </c>
      <c r="N74">
        <v>0</v>
      </c>
    </row>
    <row r="75" spans="1:14">
      <c r="A75" t="s">
        <v>1158</v>
      </c>
      <c r="B75" t="s">
        <v>1493</v>
      </c>
      <c r="C75">
        <v>505</v>
      </c>
      <c r="D75" t="s">
        <v>5672</v>
      </c>
      <c r="E75" t="s">
        <v>5673</v>
      </c>
      <c r="J75">
        <v>817</v>
      </c>
      <c r="K75">
        <v>0</v>
      </c>
      <c r="L75">
        <v>0</v>
      </c>
      <c r="N75">
        <v>0</v>
      </c>
    </row>
    <row r="76" spans="1:14">
      <c r="A76" t="s">
        <v>2335</v>
      </c>
      <c r="B76" t="s">
        <v>1493</v>
      </c>
      <c r="C76">
        <v>505</v>
      </c>
      <c r="D76" t="s">
        <v>1487</v>
      </c>
      <c r="E76" t="s">
        <v>2334</v>
      </c>
      <c r="F76" s="519">
        <v>46095</v>
      </c>
      <c r="G76" s="519">
        <v>46095</v>
      </c>
      <c r="H76" s="519">
        <v>46459</v>
      </c>
      <c r="J76">
        <v>867</v>
      </c>
      <c r="K76">
        <v>96</v>
      </c>
      <c r="L76">
        <v>963</v>
      </c>
      <c r="M76">
        <v>0</v>
      </c>
      <c r="N76">
        <v>500</v>
      </c>
    </row>
    <row r="77" spans="1:14">
      <c r="A77" t="s">
        <v>5742</v>
      </c>
      <c r="B77" t="s">
        <v>1493</v>
      </c>
      <c r="C77">
        <v>505</v>
      </c>
      <c r="D77" t="s">
        <v>1486</v>
      </c>
      <c r="E77" t="s">
        <v>5743</v>
      </c>
      <c r="F77" s="519">
        <v>45777</v>
      </c>
      <c r="G77" s="519">
        <v>45777</v>
      </c>
      <c r="H77" s="519">
        <v>46141</v>
      </c>
      <c r="I77" s="519">
        <v>46141</v>
      </c>
      <c r="J77">
        <v>817</v>
      </c>
      <c r="K77">
        <v>967.2</v>
      </c>
      <c r="L77">
        <v>945.99</v>
      </c>
      <c r="M77">
        <v>-41</v>
      </c>
      <c r="N77">
        <v>750</v>
      </c>
    </row>
    <row r="78" spans="1:14">
      <c r="A78" t="s">
        <v>1670</v>
      </c>
      <c r="B78" t="s">
        <v>1493</v>
      </c>
      <c r="C78">
        <v>505</v>
      </c>
      <c r="D78" t="s">
        <v>1487</v>
      </c>
      <c r="E78" t="s">
        <v>1671</v>
      </c>
      <c r="F78" s="519">
        <v>45926</v>
      </c>
      <c r="G78" s="519">
        <v>45926</v>
      </c>
      <c r="H78" s="519">
        <v>46290</v>
      </c>
      <c r="J78">
        <v>827</v>
      </c>
      <c r="K78" s="520">
        <v>1050.2</v>
      </c>
      <c r="L78">
        <v>878.5</v>
      </c>
      <c r="M78" s="520">
        <v>4295.3999999999996</v>
      </c>
      <c r="N78">
        <v>0</v>
      </c>
    </row>
    <row r="79" spans="1:14">
      <c r="A79" t="s">
        <v>5744</v>
      </c>
      <c r="B79" t="s">
        <v>1493</v>
      </c>
      <c r="C79">
        <v>505</v>
      </c>
      <c r="D79" t="s">
        <v>1487</v>
      </c>
      <c r="E79" t="s">
        <v>5745</v>
      </c>
      <c r="F79" s="519">
        <v>45642</v>
      </c>
      <c r="G79" s="519">
        <v>46016</v>
      </c>
      <c r="H79" s="519">
        <v>46379</v>
      </c>
      <c r="J79">
        <v>827</v>
      </c>
      <c r="K79" s="520">
        <v>1768.2</v>
      </c>
      <c r="L79">
        <v>873</v>
      </c>
      <c r="M79">
        <v>0</v>
      </c>
      <c r="N79">
        <v>0</v>
      </c>
    </row>
    <row r="80" spans="1:14">
      <c r="A80" t="s">
        <v>5348</v>
      </c>
      <c r="B80" t="s">
        <v>1493</v>
      </c>
      <c r="C80">
        <v>505</v>
      </c>
      <c r="D80" t="s">
        <v>5672</v>
      </c>
      <c r="E80" t="s">
        <v>5673</v>
      </c>
      <c r="J80">
        <v>827</v>
      </c>
      <c r="K80">
        <v>0</v>
      </c>
      <c r="L80">
        <v>0</v>
      </c>
      <c r="N80">
        <v>0</v>
      </c>
    </row>
    <row r="81" spans="1:14">
      <c r="A81" t="s">
        <v>3076</v>
      </c>
      <c r="B81" t="s">
        <v>1493</v>
      </c>
      <c r="C81">
        <v>505</v>
      </c>
      <c r="D81" t="s">
        <v>5672</v>
      </c>
      <c r="E81" t="s">
        <v>5673</v>
      </c>
      <c r="J81">
        <v>827</v>
      </c>
      <c r="K81">
        <v>0</v>
      </c>
      <c r="L81">
        <v>0</v>
      </c>
      <c r="N81">
        <v>0</v>
      </c>
    </row>
    <row r="82" spans="1:14">
      <c r="A82" t="s">
        <v>5746</v>
      </c>
      <c r="B82" t="s">
        <v>1493</v>
      </c>
      <c r="C82">
        <v>505</v>
      </c>
      <c r="D82" t="s">
        <v>1487</v>
      </c>
      <c r="E82" t="s">
        <v>5747</v>
      </c>
      <c r="F82" s="519">
        <v>45078</v>
      </c>
      <c r="G82" s="519">
        <v>45800</v>
      </c>
      <c r="H82" s="519">
        <v>46164</v>
      </c>
      <c r="J82">
        <v>797</v>
      </c>
      <c r="K82" s="520">
        <v>1077.2</v>
      </c>
      <c r="L82" s="520">
        <v>1024.5</v>
      </c>
      <c r="M82">
        <v>0</v>
      </c>
      <c r="N82">
        <v>0</v>
      </c>
    </row>
    <row r="83" spans="1:14">
      <c r="A83" t="s">
        <v>5748</v>
      </c>
      <c r="B83" t="s">
        <v>1493</v>
      </c>
      <c r="C83">
        <v>505</v>
      </c>
      <c r="D83" t="s">
        <v>1487</v>
      </c>
      <c r="E83" t="s">
        <v>5749</v>
      </c>
      <c r="F83" s="519">
        <v>45281</v>
      </c>
      <c r="G83" s="519">
        <v>46074</v>
      </c>
      <c r="J83">
        <v>827</v>
      </c>
      <c r="K83" s="520">
        <v>1341.27</v>
      </c>
      <c r="L83" s="520">
        <v>1261.8800000000001</v>
      </c>
      <c r="M83">
        <v>0</v>
      </c>
      <c r="N83">
        <v>0</v>
      </c>
    </row>
    <row r="84" spans="1:14">
      <c r="A84" t="s">
        <v>5750</v>
      </c>
      <c r="B84" t="s">
        <v>1493</v>
      </c>
      <c r="C84">
        <v>505</v>
      </c>
      <c r="D84" t="s">
        <v>1487</v>
      </c>
      <c r="E84" t="s">
        <v>5751</v>
      </c>
      <c r="F84" s="519">
        <v>43462</v>
      </c>
      <c r="G84" s="519">
        <v>45962</v>
      </c>
      <c r="J84">
        <v>797</v>
      </c>
      <c r="K84" s="520">
        <v>1238.2</v>
      </c>
      <c r="L84" s="520">
        <v>1185.5</v>
      </c>
      <c r="M84">
        <v>0</v>
      </c>
      <c r="N84">
        <v>150</v>
      </c>
    </row>
    <row r="85" spans="1:14">
      <c r="A85" t="s">
        <v>1030</v>
      </c>
      <c r="B85" t="s">
        <v>1493</v>
      </c>
      <c r="C85">
        <v>505</v>
      </c>
      <c r="D85" t="s">
        <v>5686</v>
      </c>
      <c r="E85" t="s">
        <v>5673</v>
      </c>
      <c r="J85">
        <v>797</v>
      </c>
      <c r="K85">
        <v>0</v>
      </c>
      <c r="L85">
        <v>0</v>
      </c>
      <c r="N85">
        <v>0</v>
      </c>
    </row>
    <row r="86" spans="1:14">
      <c r="A86" t="s">
        <v>5752</v>
      </c>
      <c r="B86" t="s">
        <v>1493</v>
      </c>
      <c r="C86">
        <v>505</v>
      </c>
      <c r="D86" t="s">
        <v>1487</v>
      </c>
      <c r="E86" t="s">
        <v>5753</v>
      </c>
      <c r="F86" s="519">
        <v>42399</v>
      </c>
      <c r="G86" s="519">
        <v>46054</v>
      </c>
      <c r="J86">
        <v>772</v>
      </c>
      <c r="K86">
        <v>915.2</v>
      </c>
      <c r="L86">
        <v>862.5</v>
      </c>
      <c r="M86">
        <v>0</v>
      </c>
      <c r="N86">
        <v>0</v>
      </c>
    </row>
    <row r="87" spans="1:14">
      <c r="A87" t="s">
        <v>5754</v>
      </c>
      <c r="B87" t="s">
        <v>1493</v>
      </c>
      <c r="C87">
        <v>505</v>
      </c>
      <c r="D87" t="s">
        <v>1487</v>
      </c>
      <c r="E87" t="s">
        <v>2353</v>
      </c>
      <c r="F87" s="519">
        <v>44776</v>
      </c>
      <c r="G87" s="519">
        <v>45870</v>
      </c>
      <c r="H87" s="519">
        <v>46234</v>
      </c>
      <c r="J87">
        <v>772</v>
      </c>
      <c r="K87" s="520">
        <v>1062.2</v>
      </c>
      <c r="L87" s="520">
        <v>1009.5</v>
      </c>
      <c r="M87">
        <v>0</v>
      </c>
      <c r="N87">
        <v>0</v>
      </c>
    </row>
    <row r="88" spans="1:14">
      <c r="A88" t="s">
        <v>5755</v>
      </c>
      <c r="B88" t="s">
        <v>1493</v>
      </c>
      <c r="C88">
        <v>505</v>
      </c>
      <c r="D88" t="s">
        <v>1487</v>
      </c>
      <c r="E88" t="s">
        <v>5756</v>
      </c>
      <c r="F88" s="519">
        <v>45899</v>
      </c>
      <c r="G88" s="519">
        <v>45899</v>
      </c>
      <c r="H88" s="519">
        <v>46263</v>
      </c>
      <c r="J88">
        <v>817</v>
      </c>
      <c r="K88" s="520">
        <v>1037.2</v>
      </c>
      <c r="L88">
        <v>984.5</v>
      </c>
      <c r="M88">
        <v>0</v>
      </c>
      <c r="N88">
        <v>0</v>
      </c>
    </row>
    <row r="89" spans="1:14">
      <c r="A89" t="s">
        <v>5757</v>
      </c>
      <c r="B89" t="s">
        <v>1493</v>
      </c>
      <c r="C89">
        <v>505</v>
      </c>
      <c r="D89" t="s">
        <v>1487</v>
      </c>
      <c r="E89" t="s">
        <v>5758</v>
      </c>
      <c r="F89" s="519">
        <v>42850</v>
      </c>
      <c r="G89" s="519">
        <v>46082</v>
      </c>
      <c r="J89">
        <v>772</v>
      </c>
      <c r="K89" s="520">
        <v>1345.27</v>
      </c>
      <c r="L89" s="520">
        <v>1267</v>
      </c>
      <c r="M89">
        <v>0</v>
      </c>
      <c r="N89">
        <v>0</v>
      </c>
    </row>
    <row r="90" spans="1:14">
      <c r="A90" t="s">
        <v>5759</v>
      </c>
      <c r="B90" t="s">
        <v>1493</v>
      </c>
      <c r="C90">
        <v>505</v>
      </c>
      <c r="D90" t="s">
        <v>5672</v>
      </c>
      <c r="E90" t="s">
        <v>5673</v>
      </c>
      <c r="J90">
        <v>877</v>
      </c>
      <c r="K90">
        <v>0</v>
      </c>
      <c r="L90">
        <v>0</v>
      </c>
      <c r="N90">
        <v>0</v>
      </c>
    </row>
    <row r="91" spans="1:14">
      <c r="A91" t="s">
        <v>5760</v>
      </c>
      <c r="B91" t="s">
        <v>1493</v>
      </c>
      <c r="C91">
        <v>505</v>
      </c>
      <c r="D91" t="s">
        <v>1487</v>
      </c>
      <c r="E91" t="s">
        <v>5761</v>
      </c>
      <c r="F91" s="519">
        <v>43987</v>
      </c>
      <c r="G91" s="519">
        <v>45992</v>
      </c>
      <c r="H91" s="519">
        <v>46356</v>
      </c>
      <c r="J91">
        <v>782</v>
      </c>
      <c r="K91">
        <v>957.2</v>
      </c>
      <c r="L91">
        <v>905</v>
      </c>
      <c r="M91">
        <v>0</v>
      </c>
      <c r="N91">
        <v>150</v>
      </c>
    </row>
    <row r="92" spans="1:14">
      <c r="A92" t="s">
        <v>3330</v>
      </c>
      <c r="B92" t="s">
        <v>1493</v>
      </c>
      <c r="C92">
        <v>505</v>
      </c>
      <c r="D92" t="s">
        <v>1486</v>
      </c>
      <c r="E92" t="s">
        <v>5762</v>
      </c>
      <c r="F92" s="519">
        <v>45181</v>
      </c>
      <c r="G92" s="519">
        <v>45962</v>
      </c>
      <c r="H92" s="519">
        <v>46142</v>
      </c>
      <c r="I92" s="519">
        <v>46142</v>
      </c>
      <c r="J92">
        <v>782</v>
      </c>
      <c r="K92" s="520">
        <v>1040.27</v>
      </c>
      <c r="L92">
        <v>961.5</v>
      </c>
      <c r="M92">
        <v>0</v>
      </c>
      <c r="N92">
        <v>750</v>
      </c>
    </row>
    <row r="93" spans="1:14">
      <c r="A93" t="s">
        <v>1680</v>
      </c>
      <c r="B93" t="s">
        <v>1493</v>
      </c>
      <c r="C93">
        <v>505</v>
      </c>
      <c r="D93" t="s">
        <v>5672</v>
      </c>
      <c r="E93" t="s">
        <v>5673</v>
      </c>
      <c r="J93">
        <v>877</v>
      </c>
      <c r="K93">
        <v>0</v>
      </c>
      <c r="L93">
        <v>0</v>
      </c>
      <c r="N93">
        <v>0</v>
      </c>
    </row>
    <row r="94" spans="1:14">
      <c r="A94" t="s">
        <v>5531</v>
      </c>
      <c r="B94" t="s">
        <v>1494</v>
      </c>
      <c r="C94">
        <v>560</v>
      </c>
      <c r="D94" t="s">
        <v>1487</v>
      </c>
      <c r="E94" t="s">
        <v>5763</v>
      </c>
      <c r="F94" s="519">
        <v>45948</v>
      </c>
      <c r="G94" s="519">
        <v>45948</v>
      </c>
      <c r="H94" s="519">
        <v>46312</v>
      </c>
      <c r="J94">
        <v>813</v>
      </c>
      <c r="K94">
        <v>891.09</v>
      </c>
      <c r="L94">
        <v>836.5</v>
      </c>
      <c r="M94">
        <v>0</v>
      </c>
      <c r="N94">
        <v>0</v>
      </c>
    </row>
    <row r="95" spans="1:14">
      <c r="A95" t="s">
        <v>5764</v>
      </c>
      <c r="B95" t="s">
        <v>1494</v>
      </c>
      <c r="C95">
        <v>560</v>
      </c>
      <c r="D95" t="s">
        <v>1487</v>
      </c>
      <c r="E95" t="s">
        <v>5765</v>
      </c>
      <c r="F95" s="519">
        <v>45912</v>
      </c>
      <c r="G95" s="519">
        <v>45912</v>
      </c>
      <c r="H95" s="519">
        <v>46276</v>
      </c>
      <c r="J95">
        <v>858</v>
      </c>
      <c r="K95" s="520">
        <v>1071.0899999999999</v>
      </c>
      <c r="L95" s="520">
        <v>1016.5</v>
      </c>
      <c r="M95">
        <v>0</v>
      </c>
      <c r="N95">
        <v>0</v>
      </c>
    </row>
    <row r="96" spans="1:14">
      <c r="A96" t="s">
        <v>2454</v>
      </c>
      <c r="B96" t="s">
        <v>1494</v>
      </c>
      <c r="C96">
        <v>560</v>
      </c>
      <c r="D96" t="s">
        <v>5672</v>
      </c>
      <c r="E96" t="s">
        <v>5673</v>
      </c>
      <c r="J96">
        <v>858</v>
      </c>
      <c r="K96">
        <v>0</v>
      </c>
      <c r="L96">
        <v>0</v>
      </c>
      <c r="N96">
        <v>0</v>
      </c>
    </row>
    <row r="97" spans="1:14">
      <c r="A97" t="s">
        <v>1856</v>
      </c>
      <c r="B97" t="s">
        <v>1494</v>
      </c>
      <c r="C97">
        <v>560</v>
      </c>
      <c r="D97" t="s">
        <v>1487</v>
      </c>
      <c r="E97" t="s">
        <v>1857</v>
      </c>
      <c r="F97" s="519">
        <v>45625</v>
      </c>
      <c r="G97" s="519">
        <v>46077</v>
      </c>
      <c r="H97" s="519">
        <v>46441</v>
      </c>
      <c r="J97">
        <v>813</v>
      </c>
      <c r="K97" s="520">
        <v>1090.0899999999999</v>
      </c>
      <c r="L97">
        <v>999</v>
      </c>
      <c r="M97">
        <v>66</v>
      </c>
      <c r="N97">
        <v>0</v>
      </c>
    </row>
    <row r="98" spans="1:14">
      <c r="A98" t="s">
        <v>1858</v>
      </c>
      <c r="B98" t="s">
        <v>1494</v>
      </c>
      <c r="C98">
        <v>560</v>
      </c>
      <c r="D98" t="s">
        <v>1487</v>
      </c>
      <c r="E98" t="s">
        <v>1859</v>
      </c>
      <c r="F98" s="519">
        <v>44107</v>
      </c>
      <c r="G98" s="519">
        <v>45931</v>
      </c>
      <c r="H98" s="519">
        <v>46295</v>
      </c>
      <c r="J98">
        <v>858</v>
      </c>
      <c r="K98" s="520">
        <v>1150.0899999999999</v>
      </c>
      <c r="L98">
        <v>999</v>
      </c>
      <c r="M98">
        <v>97</v>
      </c>
      <c r="N98">
        <v>0</v>
      </c>
    </row>
    <row r="99" spans="1:14">
      <c r="A99" t="s">
        <v>5766</v>
      </c>
      <c r="B99" t="s">
        <v>1494</v>
      </c>
      <c r="C99">
        <v>560</v>
      </c>
      <c r="D99" t="s">
        <v>1487</v>
      </c>
      <c r="E99" t="s">
        <v>5767</v>
      </c>
      <c r="F99" s="519">
        <v>44459</v>
      </c>
      <c r="G99" s="519">
        <v>45994</v>
      </c>
      <c r="H99" s="519">
        <v>46358</v>
      </c>
      <c r="J99">
        <v>813</v>
      </c>
      <c r="K99" s="520">
        <v>1056.0899999999999</v>
      </c>
      <c r="L99" s="520">
        <v>1001.5</v>
      </c>
      <c r="M99">
        <v>0</v>
      </c>
      <c r="N99">
        <v>0</v>
      </c>
    </row>
    <row r="100" spans="1:14">
      <c r="A100" t="s">
        <v>5768</v>
      </c>
      <c r="B100" t="s">
        <v>1494</v>
      </c>
      <c r="C100">
        <v>560</v>
      </c>
      <c r="D100" t="s">
        <v>1487</v>
      </c>
      <c r="E100" t="s">
        <v>5769</v>
      </c>
      <c r="F100" s="519">
        <v>44501</v>
      </c>
      <c r="G100" s="519">
        <v>45962</v>
      </c>
      <c r="H100" s="519">
        <v>46326</v>
      </c>
      <c r="J100">
        <v>813</v>
      </c>
      <c r="K100">
        <v>995.09</v>
      </c>
      <c r="L100">
        <v>940.5</v>
      </c>
      <c r="M100">
        <v>0</v>
      </c>
      <c r="N100">
        <v>150</v>
      </c>
    </row>
    <row r="101" spans="1:14">
      <c r="A101" t="s">
        <v>1860</v>
      </c>
      <c r="B101" t="s">
        <v>1494</v>
      </c>
      <c r="C101">
        <v>560</v>
      </c>
      <c r="D101" t="s">
        <v>1487</v>
      </c>
      <c r="E101" t="s">
        <v>1861</v>
      </c>
      <c r="F101" s="519">
        <v>45856</v>
      </c>
      <c r="G101" s="519">
        <v>45856</v>
      </c>
      <c r="H101" s="519">
        <v>46220</v>
      </c>
      <c r="J101">
        <v>813</v>
      </c>
      <c r="K101" s="520">
        <v>1152.0899999999999</v>
      </c>
      <c r="L101">
        <v>969.5</v>
      </c>
      <c r="M101" s="520">
        <v>2127.91</v>
      </c>
      <c r="N101">
        <v>0</v>
      </c>
    </row>
    <row r="102" spans="1:14">
      <c r="A102" t="s">
        <v>5770</v>
      </c>
      <c r="B102" t="s">
        <v>1494</v>
      </c>
      <c r="C102">
        <v>560</v>
      </c>
      <c r="D102" t="s">
        <v>1487</v>
      </c>
      <c r="E102" t="s">
        <v>5771</v>
      </c>
      <c r="F102" s="519">
        <v>46039</v>
      </c>
      <c r="G102" s="519">
        <v>46039</v>
      </c>
      <c r="H102" s="519">
        <v>46403</v>
      </c>
      <c r="J102">
        <v>813</v>
      </c>
      <c r="K102">
        <v>881</v>
      </c>
      <c r="L102">
        <v>881</v>
      </c>
      <c r="M102">
        <v>0</v>
      </c>
      <c r="N102">
        <v>500</v>
      </c>
    </row>
    <row r="103" spans="1:14">
      <c r="A103" t="s">
        <v>5772</v>
      </c>
      <c r="B103" t="s">
        <v>1494</v>
      </c>
      <c r="C103">
        <v>560</v>
      </c>
      <c r="D103" t="s">
        <v>1487</v>
      </c>
      <c r="E103" t="s">
        <v>5773</v>
      </c>
      <c r="F103" s="519">
        <v>45710</v>
      </c>
      <c r="G103" s="519">
        <v>46134</v>
      </c>
      <c r="H103" s="519">
        <v>46498</v>
      </c>
      <c r="J103">
        <v>908</v>
      </c>
      <c r="K103" s="520">
        <v>1186.0899999999999</v>
      </c>
      <c r="L103" s="520">
        <v>1149</v>
      </c>
      <c r="M103">
        <v>0</v>
      </c>
      <c r="N103">
        <v>0</v>
      </c>
    </row>
    <row r="104" spans="1:14">
      <c r="A104" t="s">
        <v>3118</v>
      </c>
      <c r="B104" t="s">
        <v>1494</v>
      </c>
      <c r="C104">
        <v>560</v>
      </c>
      <c r="D104" t="s">
        <v>1486</v>
      </c>
      <c r="E104" t="s">
        <v>5774</v>
      </c>
      <c r="F104" s="519">
        <v>45807</v>
      </c>
      <c r="G104" s="519">
        <v>45807</v>
      </c>
      <c r="H104" s="519">
        <v>46171</v>
      </c>
      <c r="I104" s="519">
        <v>46171</v>
      </c>
      <c r="J104">
        <v>833</v>
      </c>
      <c r="K104">
        <v>921.09</v>
      </c>
      <c r="L104">
        <v>866.5</v>
      </c>
      <c r="M104">
        <v>0</v>
      </c>
      <c r="N104">
        <v>0</v>
      </c>
    </row>
    <row r="105" spans="1:14">
      <c r="A105" t="s">
        <v>1154</v>
      </c>
      <c r="B105" t="s">
        <v>1494</v>
      </c>
      <c r="C105">
        <v>560</v>
      </c>
      <c r="D105" t="s">
        <v>5672</v>
      </c>
      <c r="E105" t="s">
        <v>5673</v>
      </c>
      <c r="J105">
        <v>883</v>
      </c>
      <c r="K105">
        <v>0</v>
      </c>
      <c r="L105">
        <v>0</v>
      </c>
      <c r="N105">
        <v>0</v>
      </c>
    </row>
    <row r="106" spans="1:14">
      <c r="A106" t="s">
        <v>5775</v>
      </c>
      <c r="B106" t="s">
        <v>1494</v>
      </c>
      <c r="C106">
        <v>560</v>
      </c>
      <c r="D106" t="s">
        <v>1487</v>
      </c>
      <c r="E106" t="s">
        <v>5776</v>
      </c>
      <c r="F106" s="519">
        <v>43189</v>
      </c>
      <c r="G106" s="519">
        <v>46113</v>
      </c>
      <c r="J106">
        <v>833</v>
      </c>
      <c r="K106" s="520">
        <v>1202.0899999999999</v>
      </c>
      <c r="L106" s="520">
        <v>1147.0999999999999</v>
      </c>
      <c r="M106">
        <v>0</v>
      </c>
      <c r="N106">
        <v>150</v>
      </c>
    </row>
    <row r="107" spans="1:14">
      <c r="A107" t="s">
        <v>5777</v>
      </c>
      <c r="B107" t="s">
        <v>1494</v>
      </c>
      <c r="C107">
        <v>560</v>
      </c>
      <c r="D107" t="s">
        <v>1487</v>
      </c>
      <c r="E107" t="s">
        <v>5778</v>
      </c>
      <c r="F107" s="519">
        <v>45202</v>
      </c>
      <c r="G107" s="519">
        <v>46073</v>
      </c>
      <c r="H107" s="519">
        <v>46437</v>
      </c>
      <c r="J107">
        <v>833</v>
      </c>
      <c r="K107" s="520">
        <v>1119.17</v>
      </c>
      <c r="L107" s="520">
        <v>1039</v>
      </c>
      <c r="M107">
        <v>0</v>
      </c>
      <c r="N107">
        <v>0</v>
      </c>
    </row>
    <row r="108" spans="1:14">
      <c r="A108" t="s">
        <v>5779</v>
      </c>
      <c r="B108" t="s">
        <v>1494</v>
      </c>
      <c r="C108">
        <v>560</v>
      </c>
      <c r="D108" t="s">
        <v>1487</v>
      </c>
      <c r="E108" t="s">
        <v>5780</v>
      </c>
      <c r="F108" s="519">
        <v>41969</v>
      </c>
      <c r="G108" s="519">
        <v>46073</v>
      </c>
      <c r="H108" s="519">
        <v>46437</v>
      </c>
      <c r="J108">
        <v>788</v>
      </c>
      <c r="K108">
        <v>854.09</v>
      </c>
      <c r="L108">
        <v>800</v>
      </c>
      <c r="M108">
        <v>0</v>
      </c>
      <c r="N108">
        <v>150</v>
      </c>
    </row>
    <row r="109" spans="1:14">
      <c r="A109" t="s">
        <v>1862</v>
      </c>
      <c r="B109" t="s">
        <v>1494</v>
      </c>
      <c r="C109">
        <v>560</v>
      </c>
      <c r="D109" t="s">
        <v>5672</v>
      </c>
      <c r="E109" t="s">
        <v>5673</v>
      </c>
      <c r="J109">
        <v>833</v>
      </c>
      <c r="K109">
        <v>0</v>
      </c>
      <c r="L109">
        <v>0</v>
      </c>
      <c r="N109">
        <v>0</v>
      </c>
    </row>
    <row r="110" spans="1:14">
      <c r="A110" t="s">
        <v>873</v>
      </c>
      <c r="B110" t="s">
        <v>1494</v>
      </c>
      <c r="C110">
        <v>560</v>
      </c>
      <c r="D110" t="s">
        <v>5672</v>
      </c>
      <c r="E110" t="s">
        <v>5673</v>
      </c>
      <c r="J110">
        <v>883</v>
      </c>
      <c r="K110">
        <v>0</v>
      </c>
      <c r="L110">
        <v>0</v>
      </c>
      <c r="N110">
        <v>0</v>
      </c>
    </row>
    <row r="111" spans="1:14">
      <c r="A111" t="s">
        <v>1132</v>
      </c>
      <c r="B111" t="s">
        <v>1494</v>
      </c>
      <c r="C111">
        <v>560</v>
      </c>
      <c r="D111" t="s">
        <v>5781</v>
      </c>
      <c r="E111" t="s">
        <v>5673</v>
      </c>
      <c r="J111">
        <v>833</v>
      </c>
      <c r="K111">
        <v>0</v>
      </c>
      <c r="L111">
        <v>0</v>
      </c>
      <c r="N111">
        <v>0</v>
      </c>
    </row>
    <row r="112" spans="1:14">
      <c r="A112" t="s">
        <v>5782</v>
      </c>
      <c r="B112" t="s">
        <v>1494</v>
      </c>
      <c r="C112">
        <v>560</v>
      </c>
      <c r="D112" t="s">
        <v>1487</v>
      </c>
      <c r="E112" t="s">
        <v>5783</v>
      </c>
      <c r="F112" s="519">
        <v>45689</v>
      </c>
      <c r="G112" s="519">
        <v>46054</v>
      </c>
      <c r="J112">
        <v>788</v>
      </c>
      <c r="K112">
        <v>887.09</v>
      </c>
      <c r="L112">
        <v>832.5</v>
      </c>
      <c r="M112">
        <v>0</v>
      </c>
      <c r="N112">
        <v>0</v>
      </c>
    </row>
    <row r="113" spans="1:14">
      <c r="A113" t="s">
        <v>5784</v>
      </c>
      <c r="B113" t="s">
        <v>1494</v>
      </c>
      <c r="C113">
        <v>560</v>
      </c>
      <c r="D113" t="s">
        <v>1487</v>
      </c>
      <c r="E113" t="s">
        <v>5785</v>
      </c>
      <c r="F113" s="519">
        <v>44328</v>
      </c>
      <c r="G113" s="519">
        <v>45627</v>
      </c>
      <c r="J113">
        <v>883</v>
      </c>
      <c r="K113" s="520">
        <v>1254.0899999999999</v>
      </c>
      <c r="L113" s="520">
        <v>1200</v>
      </c>
      <c r="M113">
        <v>0</v>
      </c>
      <c r="N113">
        <v>750</v>
      </c>
    </row>
    <row r="114" spans="1:14">
      <c r="A114" t="s">
        <v>5786</v>
      </c>
      <c r="B114" t="s">
        <v>1495</v>
      </c>
      <c r="C114">
        <v>594</v>
      </c>
      <c r="D114" t="s">
        <v>1487</v>
      </c>
      <c r="E114" t="s">
        <v>5787</v>
      </c>
      <c r="F114" s="519">
        <v>45882</v>
      </c>
      <c r="G114" s="519">
        <v>45882</v>
      </c>
      <c r="H114" s="519">
        <v>46246</v>
      </c>
      <c r="J114">
        <v>846</v>
      </c>
      <c r="K114" s="520">
        <v>1060.26</v>
      </c>
      <c r="L114" s="520">
        <v>1004.5</v>
      </c>
      <c r="M114">
        <v>0</v>
      </c>
      <c r="N114">
        <v>0</v>
      </c>
    </row>
    <row r="115" spans="1:14">
      <c r="A115" t="s">
        <v>5391</v>
      </c>
      <c r="B115" t="s">
        <v>1495</v>
      </c>
      <c r="C115">
        <v>594</v>
      </c>
      <c r="D115" t="s">
        <v>1487</v>
      </c>
      <c r="E115" t="s">
        <v>5788</v>
      </c>
      <c r="F115" s="519">
        <v>45960</v>
      </c>
      <c r="G115" s="519">
        <v>45960</v>
      </c>
      <c r="H115" s="519">
        <v>46324</v>
      </c>
      <c r="J115">
        <v>791</v>
      </c>
      <c r="K115">
        <v>836.26</v>
      </c>
      <c r="L115">
        <v>780.5</v>
      </c>
      <c r="M115">
        <v>0</v>
      </c>
      <c r="N115">
        <v>750</v>
      </c>
    </row>
    <row r="116" spans="1:14">
      <c r="A116" t="s">
        <v>5428</v>
      </c>
      <c r="B116" t="s">
        <v>1495</v>
      </c>
      <c r="C116">
        <v>594</v>
      </c>
      <c r="D116" t="s">
        <v>1487</v>
      </c>
      <c r="E116" t="s">
        <v>5789</v>
      </c>
      <c r="F116" s="519">
        <v>45962</v>
      </c>
      <c r="G116" s="519">
        <v>45962</v>
      </c>
      <c r="H116" s="519">
        <v>46326</v>
      </c>
      <c r="J116">
        <v>896</v>
      </c>
      <c r="K116">
        <v>996.26</v>
      </c>
      <c r="L116">
        <v>940.5</v>
      </c>
      <c r="M116">
        <v>0</v>
      </c>
      <c r="N116">
        <v>750</v>
      </c>
    </row>
    <row r="117" spans="1:14">
      <c r="A117" t="s">
        <v>1167</v>
      </c>
      <c r="B117" t="s">
        <v>1495</v>
      </c>
      <c r="C117">
        <v>594</v>
      </c>
      <c r="D117" t="s">
        <v>5672</v>
      </c>
      <c r="E117" t="s">
        <v>5673</v>
      </c>
      <c r="J117">
        <v>861</v>
      </c>
      <c r="K117">
        <v>0</v>
      </c>
      <c r="L117">
        <v>0</v>
      </c>
      <c r="N117">
        <v>0</v>
      </c>
    </row>
    <row r="118" spans="1:14">
      <c r="A118" t="s">
        <v>5790</v>
      </c>
      <c r="B118" t="s">
        <v>1495</v>
      </c>
      <c r="C118">
        <v>594</v>
      </c>
      <c r="D118" t="s">
        <v>1486</v>
      </c>
      <c r="E118" t="s">
        <v>6753</v>
      </c>
      <c r="F118" s="519">
        <v>45869</v>
      </c>
      <c r="G118" s="519">
        <v>45869</v>
      </c>
      <c r="H118" s="519">
        <v>46233</v>
      </c>
      <c r="I118" s="519">
        <v>46233</v>
      </c>
      <c r="J118">
        <v>886</v>
      </c>
      <c r="K118" s="520">
        <v>1322.34</v>
      </c>
      <c r="L118" s="520">
        <v>1099.5</v>
      </c>
      <c r="M118">
        <v>-0.46</v>
      </c>
      <c r="N118">
        <v>0</v>
      </c>
    </row>
    <row r="119" spans="1:14">
      <c r="A119" t="s">
        <v>5791</v>
      </c>
      <c r="B119" t="s">
        <v>1495</v>
      </c>
      <c r="C119">
        <v>594</v>
      </c>
      <c r="D119" t="s">
        <v>1487</v>
      </c>
      <c r="E119" t="s">
        <v>5792</v>
      </c>
      <c r="F119" s="519">
        <v>45997</v>
      </c>
      <c r="G119" s="519">
        <v>45997</v>
      </c>
      <c r="H119" s="519">
        <v>46361</v>
      </c>
      <c r="J119">
        <v>896</v>
      </c>
      <c r="K119">
        <v>980.87</v>
      </c>
      <c r="L119">
        <v>940.5</v>
      </c>
      <c r="M119">
        <v>0</v>
      </c>
      <c r="N119">
        <v>750</v>
      </c>
    </row>
    <row r="120" spans="1:14">
      <c r="A120" t="s">
        <v>5793</v>
      </c>
      <c r="B120" t="s">
        <v>1495</v>
      </c>
      <c r="C120">
        <v>594</v>
      </c>
      <c r="D120" t="s">
        <v>1487</v>
      </c>
      <c r="E120" t="s">
        <v>5794</v>
      </c>
      <c r="F120" s="519">
        <v>44652</v>
      </c>
      <c r="G120" s="519">
        <v>45931</v>
      </c>
      <c r="H120" s="519">
        <v>46295</v>
      </c>
      <c r="J120">
        <v>861</v>
      </c>
      <c r="K120" s="520">
        <v>1098.3399999999999</v>
      </c>
      <c r="L120" s="520">
        <v>1016.5</v>
      </c>
      <c r="M120">
        <v>0</v>
      </c>
      <c r="N120">
        <v>0</v>
      </c>
    </row>
    <row r="121" spans="1:14">
      <c r="A121" t="s">
        <v>5795</v>
      </c>
      <c r="B121" t="s">
        <v>1495</v>
      </c>
      <c r="C121">
        <v>594</v>
      </c>
      <c r="D121" t="s">
        <v>1487</v>
      </c>
      <c r="E121" t="s">
        <v>5796</v>
      </c>
      <c r="F121" s="519">
        <v>44621</v>
      </c>
      <c r="G121" s="519">
        <v>46113</v>
      </c>
      <c r="H121" s="519">
        <v>46477</v>
      </c>
      <c r="J121">
        <v>836</v>
      </c>
      <c r="K121" s="520">
        <v>1055.3399999999999</v>
      </c>
      <c r="L121">
        <v>974</v>
      </c>
      <c r="M121">
        <v>0</v>
      </c>
      <c r="N121">
        <v>150</v>
      </c>
    </row>
    <row r="122" spans="1:14">
      <c r="A122" t="s">
        <v>5797</v>
      </c>
      <c r="B122" t="s">
        <v>1495</v>
      </c>
      <c r="C122">
        <v>594</v>
      </c>
      <c r="D122" t="s">
        <v>1487</v>
      </c>
      <c r="E122" t="s">
        <v>5798</v>
      </c>
      <c r="F122" s="519">
        <v>45878</v>
      </c>
      <c r="G122" s="519">
        <v>45878</v>
      </c>
      <c r="H122" s="519">
        <v>46242</v>
      </c>
      <c r="J122">
        <v>846</v>
      </c>
      <c r="K122" s="520">
        <v>1060.26</v>
      </c>
      <c r="L122" s="520">
        <v>1004.5</v>
      </c>
      <c r="M122">
        <v>0</v>
      </c>
      <c r="N122">
        <v>0</v>
      </c>
    </row>
    <row r="123" spans="1:14">
      <c r="A123" t="s">
        <v>5799</v>
      </c>
      <c r="B123" t="s">
        <v>1495</v>
      </c>
      <c r="C123">
        <v>594</v>
      </c>
      <c r="D123" t="s">
        <v>1487</v>
      </c>
      <c r="E123" t="s">
        <v>5800</v>
      </c>
      <c r="F123" s="519">
        <v>43091</v>
      </c>
      <c r="G123" s="519">
        <v>45839</v>
      </c>
      <c r="H123" s="519">
        <v>46203</v>
      </c>
      <c r="J123">
        <v>816</v>
      </c>
      <c r="K123">
        <v>972.26</v>
      </c>
      <c r="L123">
        <v>916.5</v>
      </c>
      <c r="M123">
        <v>0</v>
      </c>
      <c r="N123">
        <v>150</v>
      </c>
    </row>
    <row r="124" spans="1:14">
      <c r="A124" t="s">
        <v>5801</v>
      </c>
      <c r="B124" t="s">
        <v>1495</v>
      </c>
      <c r="C124">
        <v>594</v>
      </c>
      <c r="D124" t="s">
        <v>1487</v>
      </c>
      <c r="E124" t="s">
        <v>5802</v>
      </c>
      <c r="F124" s="519">
        <v>43435</v>
      </c>
      <c r="G124" s="519">
        <v>45992</v>
      </c>
      <c r="H124" s="519">
        <v>46356</v>
      </c>
      <c r="J124">
        <v>836</v>
      </c>
      <c r="K124" s="520">
        <v>1052.26</v>
      </c>
      <c r="L124">
        <v>996.49</v>
      </c>
      <c r="M124">
        <v>0</v>
      </c>
      <c r="N124">
        <v>150</v>
      </c>
    </row>
    <row r="125" spans="1:14">
      <c r="A125" t="s">
        <v>5803</v>
      </c>
      <c r="B125" t="s">
        <v>1495</v>
      </c>
      <c r="C125">
        <v>594</v>
      </c>
      <c r="D125" t="s">
        <v>1487</v>
      </c>
      <c r="E125" t="s">
        <v>5804</v>
      </c>
      <c r="F125" s="519">
        <v>45535</v>
      </c>
      <c r="G125" s="519">
        <v>45961</v>
      </c>
      <c r="H125" s="519">
        <v>46142</v>
      </c>
      <c r="J125">
        <v>896</v>
      </c>
      <c r="K125" s="520">
        <v>1161.26</v>
      </c>
      <c r="L125" s="520">
        <v>1105.5</v>
      </c>
      <c r="M125">
        <v>0</v>
      </c>
      <c r="N125">
        <v>0</v>
      </c>
    </row>
    <row r="126" spans="1:14">
      <c r="A126" t="s">
        <v>5805</v>
      </c>
      <c r="B126" t="s">
        <v>1495</v>
      </c>
      <c r="C126">
        <v>594</v>
      </c>
      <c r="D126" t="s">
        <v>1487</v>
      </c>
      <c r="E126" t="s">
        <v>5806</v>
      </c>
      <c r="F126" s="519">
        <v>45412</v>
      </c>
      <c r="G126" s="519">
        <v>45838</v>
      </c>
      <c r="H126" s="519">
        <v>46202</v>
      </c>
      <c r="J126">
        <v>861</v>
      </c>
      <c r="K126" s="520">
        <v>1085.26</v>
      </c>
      <c r="L126" s="520">
        <v>1029.5</v>
      </c>
      <c r="M126">
        <v>0</v>
      </c>
      <c r="N126">
        <v>0</v>
      </c>
    </row>
    <row r="127" spans="1:14">
      <c r="A127" t="s">
        <v>5807</v>
      </c>
      <c r="B127" t="s">
        <v>1495</v>
      </c>
      <c r="C127">
        <v>594</v>
      </c>
      <c r="D127" t="s">
        <v>1487</v>
      </c>
      <c r="E127" t="s">
        <v>5808</v>
      </c>
      <c r="F127" s="519">
        <v>44705</v>
      </c>
      <c r="G127" s="519">
        <v>45992</v>
      </c>
      <c r="H127" s="519">
        <v>46356</v>
      </c>
      <c r="J127">
        <v>836</v>
      </c>
      <c r="K127" s="520">
        <v>1052.26</v>
      </c>
      <c r="L127">
        <v>996.5</v>
      </c>
      <c r="M127">
        <v>0</v>
      </c>
      <c r="N127">
        <v>0</v>
      </c>
    </row>
    <row r="128" spans="1:14">
      <c r="A128" t="s">
        <v>5809</v>
      </c>
      <c r="B128" t="s">
        <v>1495</v>
      </c>
      <c r="C128">
        <v>594</v>
      </c>
      <c r="D128" t="s">
        <v>1487</v>
      </c>
      <c r="E128" t="s">
        <v>5810</v>
      </c>
      <c r="F128" s="519">
        <v>45628</v>
      </c>
      <c r="G128" s="519">
        <v>45993</v>
      </c>
      <c r="H128" s="519">
        <v>46357</v>
      </c>
      <c r="J128">
        <v>846</v>
      </c>
      <c r="K128">
        <v>912.26</v>
      </c>
      <c r="L128">
        <v>856.49</v>
      </c>
      <c r="M128">
        <v>0</v>
      </c>
      <c r="N128">
        <v>750</v>
      </c>
    </row>
    <row r="129" spans="1:14">
      <c r="A129" t="s">
        <v>895</v>
      </c>
      <c r="B129" t="s">
        <v>1495</v>
      </c>
      <c r="C129">
        <v>594</v>
      </c>
      <c r="D129" t="s">
        <v>1487</v>
      </c>
      <c r="E129" t="s">
        <v>2097</v>
      </c>
      <c r="F129" s="519">
        <v>46136</v>
      </c>
      <c r="G129" s="519">
        <v>46136</v>
      </c>
      <c r="H129" s="519">
        <v>46165</v>
      </c>
      <c r="J129">
        <v>861</v>
      </c>
      <c r="K129">
        <v>153</v>
      </c>
      <c r="L129">
        <v>643.70000000000005</v>
      </c>
      <c r="M129">
        <v>-65.16</v>
      </c>
      <c r="N129">
        <v>0</v>
      </c>
    </row>
    <row r="130" spans="1:14">
      <c r="A130" t="s">
        <v>5811</v>
      </c>
      <c r="B130" t="s">
        <v>1495</v>
      </c>
      <c r="C130">
        <v>594</v>
      </c>
      <c r="D130" t="s">
        <v>1487</v>
      </c>
      <c r="E130" t="s">
        <v>5812</v>
      </c>
      <c r="F130" s="519">
        <v>45702</v>
      </c>
      <c r="G130" s="519">
        <v>46126</v>
      </c>
      <c r="H130" s="519">
        <v>46490</v>
      </c>
      <c r="J130">
        <v>836</v>
      </c>
      <c r="K130" s="520">
        <v>1100.3399999999999</v>
      </c>
      <c r="L130" s="520">
        <v>1024</v>
      </c>
      <c r="M130">
        <v>0</v>
      </c>
      <c r="N130">
        <v>0</v>
      </c>
    </row>
    <row r="131" spans="1:14">
      <c r="A131" t="s">
        <v>5813</v>
      </c>
      <c r="B131" t="s">
        <v>1495</v>
      </c>
      <c r="C131">
        <v>594</v>
      </c>
      <c r="D131" t="s">
        <v>1487</v>
      </c>
      <c r="E131" t="s">
        <v>5814</v>
      </c>
      <c r="F131" s="519">
        <v>45611</v>
      </c>
      <c r="G131" s="519">
        <v>45976</v>
      </c>
      <c r="H131" s="519">
        <v>46340</v>
      </c>
      <c r="J131">
        <v>846</v>
      </c>
      <c r="K131">
        <v>941.26</v>
      </c>
      <c r="L131">
        <v>885.5</v>
      </c>
      <c r="M131">
        <v>0</v>
      </c>
      <c r="N131">
        <v>750</v>
      </c>
    </row>
    <row r="132" spans="1:14">
      <c r="A132" t="s">
        <v>5815</v>
      </c>
      <c r="B132" t="s">
        <v>1495</v>
      </c>
      <c r="C132">
        <v>594</v>
      </c>
      <c r="D132" t="s">
        <v>1487</v>
      </c>
      <c r="E132" t="s">
        <v>5816</v>
      </c>
      <c r="F132" s="519">
        <v>41432</v>
      </c>
      <c r="G132" s="519">
        <v>45839</v>
      </c>
      <c r="H132" s="519">
        <v>46203</v>
      </c>
      <c r="J132">
        <v>816</v>
      </c>
      <c r="K132" s="520">
        <v>1088.26</v>
      </c>
      <c r="L132">
        <v>907</v>
      </c>
      <c r="M132">
        <v>0</v>
      </c>
      <c r="N132">
        <v>200</v>
      </c>
    </row>
    <row r="133" spans="1:14">
      <c r="A133" t="s">
        <v>1007</v>
      </c>
      <c r="B133" t="s">
        <v>1495</v>
      </c>
      <c r="C133">
        <v>594</v>
      </c>
      <c r="D133" t="s">
        <v>1487</v>
      </c>
      <c r="E133" t="s">
        <v>1008</v>
      </c>
      <c r="F133" s="519">
        <v>46109</v>
      </c>
      <c r="G133" s="519">
        <v>46109</v>
      </c>
      <c r="H133" s="519">
        <v>46473</v>
      </c>
      <c r="J133">
        <v>836</v>
      </c>
      <c r="K133" s="520">
        <v>1031</v>
      </c>
      <c r="L133">
        <v>910</v>
      </c>
      <c r="M133">
        <v>0</v>
      </c>
      <c r="N133">
        <v>0</v>
      </c>
    </row>
    <row r="134" spans="1:14">
      <c r="A134" t="s">
        <v>5817</v>
      </c>
      <c r="B134" t="s">
        <v>1495</v>
      </c>
      <c r="C134">
        <v>594</v>
      </c>
      <c r="D134" t="s">
        <v>1487</v>
      </c>
      <c r="E134" t="s">
        <v>5818</v>
      </c>
      <c r="F134" s="519">
        <v>42940</v>
      </c>
      <c r="G134" s="519">
        <v>46113</v>
      </c>
      <c r="H134" s="519">
        <v>46477</v>
      </c>
      <c r="J134">
        <v>801</v>
      </c>
      <c r="K134">
        <v>931.26</v>
      </c>
      <c r="L134">
        <v>876</v>
      </c>
      <c r="M134" s="520">
        <v>-1043.3</v>
      </c>
      <c r="N134">
        <v>150</v>
      </c>
    </row>
    <row r="135" spans="1:14">
      <c r="A135" t="s">
        <v>1358</v>
      </c>
      <c r="B135" t="s">
        <v>1495</v>
      </c>
      <c r="C135">
        <v>594</v>
      </c>
      <c r="D135" t="s">
        <v>1487</v>
      </c>
      <c r="E135" t="s">
        <v>1359</v>
      </c>
      <c r="F135" s="519">
        <v>45521</v>
      </c>
      <c r="G135" s="519">
        <v>45947</v>
      </c>
      <c r="H135" s="519">
        <v>46311</v>
      </c>
      <c r="J135">
        <v>911</v>
      </c>
      <c r="K135" s="520">
        <v>1279.26</v>
      </c>
      <c r="L135" s="520">
        <v>1084.5</v>
      </c>
      <c r="M135" s="520">
        <v>9364.7999999999993</v>
      </c>
      <c r="N135">
        <v>0</v>
      </c>
    </row>
    <row r="136" spans="1:14">
      <c r="A136" t="s">
        <v>5819</v>
      </c>
      <c r="B136" t="s">
        <v>1495</v>
      </c>
      <c r="C136">
        <v>594</v>
      </c>
      <c r="D136" t="s">
        <v>1487</v>
      </c>
      <c r="E136" t="s">
        <v>5820</v>
      </c>
      <c r="F136" s="519">
        <v>44776</v>
      </c>
      <c r="G136" s="519">
        <v>45870</v>
      </c>
      <c r="H136" s="519">
        <v>46234</v>
      </c>
      <c r="J136">
        <v>791</v>
      </c>
      <c r="K136" s="520">
        <v>1145.3399999999999</v>
      </c>
      <c r="L136" s="520">
        <v>1063.49</v>
      </c>
      <c r="M136">
        <v>0</v>
      </c>
      <c r="N136">
        <v>0</v>
      </c>
    </row>
    <row r="137" spans="1:14">
      <c r="A137" t="s">
        <v>2409</v>
      </c>
      <c r="B137" t="s">
        <v>1495</v>
      </c>
      <c r="C137">
        <v>594</v>
      </c>
      <c r="D137" t="s">
        <v>5686</v>
      </c>
      <c r="E137" t="s">
        <v>5673</v>
      </c>
      <c r="J137">
        <v>846</v>
      </c>
      <c r="K137">
        <v>0</v>
      </c>
      <c r="L137">
        <v>0</v>
      </c>
      <c r="N137">
        <v>0</v>
      </c>
    </row>
    <row r="138" spans="1:14">
      <c r="A138" t="s">
        <v>1779</v>
      </c>
      <c r="B138" t="s">
        <v>1495</v>
      </c>
      <c r="C138">
        <v>594</v>
      </c>
      <c r="D138" t="s">
        <v>1487</v>
      </c>
      <c r="E138" t="s">
        <v>1780</v>
      </c>
      <c r="F138" s="519">
        <v>43204</v>
      </c>
      <c r="G138" s="519">
        <v>46113</v>
      </c>
      <c r="J138">
        <v>816</v>
      </c>
      <c r="K138" s="520">
        <v>1440.34</v>
      </c>
      <c r="L138" s="520">
        <v>1209</v>
      </c>
      <c r="M138" s="520">
        <v>3926.41</v>
      </c>
      <c r="N138">
        <v>150</v>
      </c>
    </row>
    <row r="139" spans="1:14">
      <c r="A139" t="s">
        <v>563</v>
      </c>
      <c r="B139" t="s">
        <v>1495</v>
      </c>
      <c r="C139">
        <v>594</v>
      </c>
      <c r="D139" t="s">
        <v>1487</v>
      </c>
      <c r="E139" t="s">
        <v>997</v>
      </c>
      <c r="F139" s="519">
        <v>46109</v>
      </c>
      <c r="G139" s="519">
        <v>46109</v>
      </c>
      <c r="H139" s="519">
        <v>46473</v>
      </c>
      <c r="J139">
        <v>821</v>
      </c>
      <c r="K139">
        <v>603</v>
      </c>
      <c r="L139">
        <v>895</v>
      </c>
      <c r="M139">
        <v>-292</v>
      </c>
      <c r="N139">
        <v>0</v>
      </c>
    </row>
    <row r="140" spans="1:14">
      <c r="A140" t="s">
        <v>5821</v>
      </c>
      <c r="B140" t="s">
        <v>1495</v>
      </c>
      <c r="C140">
        <v>594</v>
      </c>
      <c r="D140" t="s">
        <v>1487</v>
      </c>
      <c r="E140" t="s">
        <v>5822</v>
      </c>
      <c r="F140" s="519">
        <v>43580</v>
      </c>
      <c r="G140" s="519">
        <v>45839</v>
      </c>
      <c r="H140" s="519">
        <v>46203</v>
      </c>
      <c r="J140">
        <v>846</v>
      </c>
      <c r="K140">
        <v>949.26</v>
      </c>
      <c r="L140">
        <v>894</v>
      </c>
      <c r="M140">
        <v>0</v>
      </c>
      <c r="N140">
        <v>150</v>
      </c>
    </row>
    <row r="141" spans="1:14">
      <c r="A141" t="s">
        <v>5340</v>
      </c>
      <c r="B141" t="s">
        <v>1495</v>
      </c>
      <c r="C141">
        <v>594</v>
      </c>
      <c r="D141" t="s">
        <v>1487</v>
      </c>
      <c r="E141" t="s">
        <v>5823</v>
      </c>
      <c r="F141" s="519">
        <v>45967</v>
      </c>
      <c r="G141" s="519">
        <v>45967</v>
      </c>
      <c r="H141" s="519">
        <v>46331</v>
      </c>
      <c r="J141">
        <v>911</v>
      </c>
      <c r="K141" s="520">
        <v>1080.3399999999999</v>
      </c>
      <c r="L141">
        <v>998.48</v>
      </c>
      <c r="M141">
        <v>0</v>
      </c>
      <c r="N141">
        <v>0</v>
      </c>
    </row>
    <row r="142" spans="1:14">
      <c r="A142" t="s">
        <v>5824</v>
      </c>
      <c r="B142" t="s">
        <v>1495</v>
      </c>
      <c r="C142">
        <v>594</v>
      </c>
      <c r="D142" t="s">
        <v>1487</v>
      </c>
      <c r="E142" t="s">
        <v>5825</v>
      </c>
      <c r="F142" s="519">
        <v>45103</v>
      </c>
      <c r="G142" s="519">
        <v>45839</v>
      </c>
      <c r="H142" s="519">
        <v>46203</v>
      </c>
      <c r="J142">
        <v>886</v>
      </c>
      <c r="K142" s="520">
        <v>1264.26</v>
      </c>
      <c r="L142" s="520">
        <v>1209</v>
      </c>
      <c r="M142">
        <v>0</v>
      </c>
      <c r="N142">
        <v>0</v>
      </c>
    </row>
    <row r="143" spans="1:14">
      <c r="A143" t="s">
        <v>5826</v>
      </c>
      <c r="B143" t="s">
        <v>1495</v>
      </c>
      <c r="C143">
        <v>594</v>
      </c>
      <c r="D143" t="s">
        <v>1487</v>
      </c>
      <c r="E143" t="s">
        <v>5827</v>
      </c>
      <c r="F143" s="519">
        <v>41992</v>
      </c>
      <c r="G143" s="519">
        <v>45170</v>
      </c>
      <c r="J143">
        <v>801</v>
      </c>
      <c r="K143" s="520">
        <v>1166.26</v>
      </c>
      <c r="L143" s="520">
        <v>1110.5</v>
      </c>
      <c r="M143">
        <v>0</v>
      </c>
      <c r="N143">
        <v>200</v>
      </c>
    </row>
    <row r="144" spans="1:14">
      <c r="A144" t="s">
        <v>5828</v>
      </c>
      <c r="B144" t="s">
        <v>1495</v>
      </c>
      <c r="C144">
        <v>594</v>
      </c>
      <c r="D144" t="s">
        <v>1487</v>
      </c>
      <c r="E144" t="s">
        <v>5829</v>
      </c>
      <c r="F144" s="519">
        <v>45555</v>
      </c>
      <c r="G144" s="519">
        <v>45981</v>
      </c>
      <c r="H144" s="519">
        <v>46345</v>
      </c>
      <c r="J144">
        <v>861</v>
      </c>
      <c r="K144" s="520">
        <v>1083.26</v>
      </c>
      <c r="L144" s="520">
        <v>1027.49</v>
      </c>
      <c r="M144" s="520">
        <v>-1074.3</v>
      </c>
      <c r="N144">
        <v>0</v>
      </c>
    </row>
    <row r="145" spans="1:14">
      <c r="A145" t="s">
        <v>5830</v>
      </c>
      <c r="B145" t="s">
        <v>1495</v>
      </c>
      <c r="C145">
        <v>594</v>
      </c>
      <c r="D145" t="s">
        <v>1487</v>
      </c>
      <c r="E145" t="s">
        <v>5831</v>
      </c>
      <c r="F145" s="519">
        <v>45899</v>
      </c>
      <c r="G145" s="519">
        <v>45899</v>
      </c>
      <c r="H145" s="519">
        <v>46263</v>
      </c>
      <c r="J145">
        <v>836</v>
      </c>
      <c r="K145" s="520">
        <v>1050.26</v>
      </c>
      <c r="L145">
        <v>994.5</v>
      </c>
      <c r="M145">
        <v>0</v>
      </c>
      <c r="N145">
        <v>0</v>
      </c>
    </row>
    <row r="146" spans="1:14">
      <c r="A146" t="s">
        <v>1781</v>
      </c>
      <c r="B146" t="s">
        <v>1495</v>
      </c>
      <c r="C146">
        <v>594</v>
      </c>
      <c r="D146" t="s">
        <v>5672</v>
      </c>
      <c r="E146" t="s">
        <v>5673</v>
      </c>
      <c r="J146">
        <v>896</v>
      </c>
      <c r="K146">
        <v>0</v>
      </c>
      <c r="L146">
        <v>0</v>
      </c>
      <c r="N146">
        <v>0</v>
      </c>
    </row>
    <row r="147" spans="1:14">
      <c r="A147" t="s">
        <v>5832</v>
      </c>
      <c r="B147" t="s">
        <v>1495</v>
      </c>
      <c r="C147">
        <v>594</v>
      </c>
      <c r="D147" t="s">
        <v>1487</v>
      </c>
      <c r="E147" t="s">
        <v>5833</v>
      </c>
      <c r="F147" s="519">
        <v>45535</v>
      </c>
      <c r="G147" s="519">
        <v>45962</v>
      </c>
      <c r="H147" s="519">
        <v>46142</v>
      </c>
      <c r="J147">
        <v>911</v>
      </c>
      <c r="K147" s="520">
        <v>1167.26</v>
      </c>
      <c r="L147" s="520">
        <v>1111.49</v>
      </c>
      <c r="M147">
        <v>0</v>
      </c>
      <c r="N147">
        <v>0</v>
      </c>
    </row>
    <row r="148" spans="1:14">
      <c r="A148" t="s">
        <v>872</v>
      </c>
      <c r="B148" t="s">
        <v>1495</v>
      </c>
      <c r="C148">
        <v>594</v>
      </c>
      <c r="D148" t="s">
        <v>1487</v>
      </c>
      <c r="E148" t="s">
        <v>1040</v>
      </c>
      <c r="F148" s="519">
        <v>46129</v>
      </c>
      <c r="G148" s="519">
        <v>46129</v>
      </c>
      <c r="H148" s="519">
        <v>46493</v>
      </c>
      <c r="J148">
        <v>791</v>
      </c>
      <c r="K148">
        <v>490</v>
      </c>
      <c r="L148">
        <v>832</v>
      </c>
      <c r="M148">
        <v>30.47</v>
      </c>
      <c r="N148">
        <v>500</v>
      </c>
    </row>
    <row r="149" spans="1:14">
      <c r="A149" t="s">
        <v>5834</v>
      </c>
      <c r="B149" t="s">
        <v>1495</v>
      </c>
      <c r="C149">
        <v>594</v>
      </c>
      <c r="D149" t="s">
        <v>1487</v>
      </c>
      <c r="E149" t="s">
        <v>5835</v>
      </c>
      <c r="F149" s="519">
        <v>45992</v>
      </c>
      <c r="G149" s="519">
        <v>45992</v>
      </c>
      <c r="H149" s="519">
        <v>46356</v>
      </c>
      <c r="J149">
        <v>801</v>
      </c>
      <c r="K149">
        <v>869.55</v>
      </c>
      <c r="L149">
        <v>821.5</v>
      </c>
      <c r="M149">
        <v>0</v>
      </c>
      <c r="N149">
        <v>0</v>
      </c>
    </row>
    <row r="150" spans="1:14">
      <c r="A150" t="s">
        <v>5836</v>
      </c>
      <c r="B150" t="s">
        <v>1495</v>
      </c>
      <c r="C150">
        <v>594</v>
      </c>
      <c r="D150" t="s">
        <v>1487</v>
      </c>
      <c r="E150" t="s">
        <v>5837</v>
      </c>
      <c r="F150" s="519">
        <v>42861</v>
      </c>
      <c r="G150" s="519">
        <v>45962</v>
      </c>
      <c r="H150" s="519">
        <v>46326</v>
      </c>
      <c r="J150">
        <v>861</v>
      </c>
      <c r="K150" s="520">
        <v>1046.26</v>
      </c>
      <c r="L150">
        <v>990.5</v>
      </c>
      <c r="M150">
        <v>0</v>
      </c>
      <c r="N150">
        <v>150</v>
      </c>
    </row>
    <row r="151" spans="1:14">
      <c r="A151" t="s">
        <v>5838</v>
      </c>
      <c r="B151" t="s">
        <v>1495</v>
      </c>
      <c r="C151">
        <v>594</v>
      </c>
      <c r="D151" t="s">
        <v>1487</v>
      </c>
      <c r="E151" t="s">
        <v>5839</v>
      </c>
      <c r="F151" s="519">
        <v>45686</v>
      </c>
      <c r="G151" s="519">
        <v>46051</v>
      </c>
      <c r="J151">
        <v>886</v>
      </c>
      <c r="K151" s="520">
        <v>1187.3399999999999</v>
      </c>
      <c r="L151" s="520">
        <v>1105.49</v>
      </c>
      <c r="M151">
        <v>0</v>
      </c>
      <c r="N151">
        <v>0</v>
      </c>
    </row>
    <row r="152" spans="1:14">
      <c r="A152" t="s">
        <v>1808</v>
      </c>
      <c r="B152" t="s">
        <v>1495</v>
      </c>
      <c r="C152">
        <v>594</v>
      </c>
      <c r="D152" t="s">
        <v>5672</v>
      </c>
      <c r="E152" t="s">
        <v>5673</v>
      </c>
      <c r="J152">
        <v>846</v>
      </c>
      <c r="K152">
        <v>0</v>
      </c>
      <c r="L152">
        <v>0</v>
      </c>
      <c r="N152">
        <v>0</v>
      </c>
    </row>
    <row r="153" spans="1:14">
      <c r="A153" t="s">
        <v>5840</v>
      </c>
      <c r="B153" t="s">
        <v>1495</v>
      </c>
      <c r="C153">
        <v>594</v>
      </c>
      <c r="D153" t="s">
        <v>1487</v>
      </c>
      <c r="E153" t="s">
        <v>5841</v>
      </c>
      <c r="F153" s="519">
        <v>45047</v>
      </c>
      <c r="G153" s="519">
        <v>45778</v>
      </c>
      <c r="H153" s="519">
        <v>46142</v>
      </c>
      <c r="J153">
        <v>816</v>
      </c>
      <c r="K153" s="520">
        <v>1116.26</v>
      </c>
      <c r="L153" s="520">
        <v>1060.49</v>
      </c>
      <c r="M153">
        <v>0</v>
      </c>
      <c r="N153">
        <v>0</v>
      </c>
    </row>
    <row r="154" spans="1:14">
      <c r="A154" t="s">
        <v>5842</v>
      </c>
      <c r="B154" t="s">
        <v>1495</v>
      </c>
      <c r="C154">
        <v>594</v>
      </c>
      <c r="D154" t="s">
        <v>1487</v>
      </c>
      <c r="E154" t="s">
        <v>5843</v>
      </c>
      <c r="F154" s="519">
        <v>45628</v>
      </c>
      <c r="G154" s="519">
        <v>45993</v>
      </c>
      <c r="H154" s="519">
        <v>46357</v>
      </c>
      <c r="J154">
        <v>821</v>
      </c>
      <c r="K154">
        <v>945.26</v>
      </c>
      <c r="L154">
        <v>889.5</v>
      </c>
      <c r="M154">
        <v>0</v>
      </c>
      <c r="N154">
        <v>0</v>
      </c>
    </row>
    <row r="155" spans="1:14">
      <c r="A155" t="s">
        <v>5844</v>
      </c>
      <c r="B155" t="s">
        <v>1495</v>
      </c>
      <c r="C155">
        <v>594</v>
      </c>
      <c r="D155" t="s">
        <v>1487</v>
      </c>
      <c r="E155" t="s">
        <v>5845</v>
      </c>
      <c r="F155" s="519">
        <v>45731</v>
      </c>
      <c r="G155" s="519">
        <v>45731</v>
      </c>
      <c r="H155" s="519">
        <v>46156</v>
      </c>
      <c r="J155">
        <v>801</v>
      </c>
      <c r="K155" s="520">
        <v>1015.26</v>
      </c>
      <c r="L155">
        <v>959.5</v>
      </c>
      <c r="M155">
        <v>0</v>
      </c>
      <c r="N155">
        <v>0</v>
      </c>
    </row>
    <row r="156" spans="1:14">
      <c r="A156" t="s">
        <v>3387</v>
      </c>
      <c r="B156" t="s">
        <v>1495</v>
      </c>
      <c r="C156">
        <v>594</v>
      </c>
      <c r="D156" t="s">
        <v>5672</v>
      </c>
      <c r="E156" t="s">
        <v>5673</v>
      </c>
      <c r="J156">
        <v>861</v>
      </c>
      <c r="K156">
        <v>0</v>
      </c>
      <c r="L156">
        <v>0</v>
      </c>
      <c r="N156">
        <v>0</v>
      </c>
    </row>
    <row r="157" spans="1:14">
      <c r="A157" t="s">
        <v>5846</v>
      </c>
      <c r="B157" t="s">
        <v>1495</v>
      </c>
      <c r="C157">
        <v>594</v>
      </c>
      <c r="D157" t="s">
        <v>1487</v>
      </c>
      <c r="E157" t="s">
        <v>5847</v>
      </c>
      <c r="F157" s="519">
        <v>45616</v>
      </c>
      <c r="G157" s="519">
        <v>45981</v>
      </c>
      <c r="H157" s="519">
        <v>46345</v>
      </c>
      <c r="J157">
        <v>836</v>
      </c>
      <c r="K157" s="520">
        <v>1072.3399999999999</v>
      </c>
      <c r="L157">
        <v>916</v>
      </c>
      <c r="M157">
        <v>75</v>
      </c>
      <c r="N157">
        <v>0</v>
      </c>
    </row>
    <row r="158" spans="1:14">
      <c r="A158" t="s">
        <v>5848</v>
      </c>
      <c r="B158" t="s">
        <v>1495</v>
      </c>
      <c r="C158">
        <v>594</v>
      </c>
      <c r="D158" t="s">
        <v>1487</v>
      </c>
      <c r="E158" t="s">
        <v>5849</v>
      </c>
      <c r="F158" s="519">
        <v>45535</v>
      </c>
      <c r="G158" s="519">
        <v>45992</v>
      </c>
      <c r="H158" s="519">
        <v>46356</v>
      </c>
      <c r="J158">
        <v>896</v>
      </c>
      <c r="K158" s="520">
        <v>1142.26</v>
      </c>
      <c r="L158" s="520">
        <v>1086.5</v>
      </c>
      <c r="M158">
        <v>0</v>
      </c>
      <c r="N158">
        <v>0</v>
      </c>
    </row>
    <row r="159" spans="1:14">
      <c r="A159" t="s">
        <v>5850</v>
      </c>
      <c r="B159" t="s">
        <v>1495</v>
      </c>
      <c r="C159">
        <v>594</v>
      </c>
      <c r="D159" t="s">
        <v>1487</v>
      </c>
      <c r="E159" t="s">
        <v>5851</v>
      </c>
      <c r="F159" s="519">
        <v>45764</v>
      </c>
      <c r="G159" s="519">
        <v>46129</v>
      </c>
      <c r="H159" s="519">
        <v>46493</v>
      </c>
      <c r="J159">
        <v>861</v>
      </c>
      <c r="K159" s="520">
        <v>1064.26</v>
      </c>
      <c r="L159" s="520">
        <v>1016</v>
      </c>
      <c r="M159">
        <v>0</v>
      </c>
      <c r="N159">
        <v>750</v>
      </c>
    </row>
    <row r="160" spans="1:14">
      <c r="A160" t="s">
        <v>5852</v>
      </c>
      <c r="B160" t="s">
        <v>1495</v>
      </c>
      <c r="C160">
        <v>594</v>
      </c>
      <c r="D160" t="s">
        <v>1487</v>
      </c>
      <c r="E160" t="s">
        <v>5853</v>
      </c>
      <c r="F160" s="519">
        <v>44453</v>
      </c>
      <c r="G160" s="519">
        <v>45901</v>
      </c>
      <c r="H160" s="519">
        <v>46265</v>
      </c>
      <c r="J160">
        <v>836</v>
      </c>
      <c r="K160" s="520">
        <v>1103.26</v>
      </c>
      <c r="L160" s="520">
        <v>1048</v>
      </c>
      <c r="M160" s="520">
        <v>-1113.68</v>
      </c>
      <c r="N160">
        <v>0</v>
      </c>
    </row>
    <row r="161" spans="1:14">
      <c r="A161" t="s">
        <v>5854</v>
      </c>
      <c r="B161" t="s">
        <v>1495</v>
      </c>
      <c r="C161">
        <v>594</v>
      </c>
      <c r="D161" t="s">
        <v>1487</v>
      </c>
      <c r="E161" t="s">
        <v>5855</v>
      </c>
      <c r="F161" s="519">
        <v>44678</v>
      </c>
      <c r="G161" s="519">
        <v>45778</v>
      </c>
      <c r="H161" s="519">
        <v>46142</v>
      </c>
      <c r="J161">
        <v>846</v>
      </c>
      <c r="K161" s="520">
        <v>1102.26</v>
      </c>
      <c r="L161" s="520">
        <v>1046.5</v>
      </c>
      <c r="M161">
        <v>0</v>
      </c>
      <c r="N161">
        <v>0</v>
      </c>
    </row>
    <row r="162" spans="1:14">
      <c r="A162" t="s">
        <v>5856</v>
      </c>
      <c r="B162" t="s">
        <v>1495</v>
      </c>
      <c r="C162">
        <v>594</v>
      </c>
      <c r="D162" t="s">
        <v>1487</v>
      </c>
      <c r="E162" t="s">
        <v>5857</v>
      </c>
      <c r="F162" s="519">
        <v>45409</v>
      </c>
      <c r="G162" s="519">
        <v>45835</v>
      </c>
      <c r="H162" s="519">
        <v>46199</v>
      </c>
      <c r="J162">
        <v>846</v>
      </c>
      <c r="K162" s="520">
        <v>1154.26</v>
      </c>
      <c r="L162" s="520">
        <v>1099</v>
      </c>
      <c r="M162">
        <v>0</v>
      </c>
      <c r="N162">
        <v>0</v>
      </c>
    </row>
    <row r="163" spans="1:14">
      <c r="A163" t="s">
        <v>5858</v>
      </c>
      <c r="B163" t="s">
        <v>1495</v>
      </c>
      <c r="C163">
        <v>594</v>
      </c>
      <c r="D163" t="s">
        <v>1487</v>
      </c>
      <c r="E163" t="s">
        <v>5859</v>
      </c>
      <c r="F163" s="519">
        <v>45412</v>
      </c>
      <c r="G163" s="519">
        <v>45840</v>
      </c>
      <c r="H163" s="519">
        <v>46204</v>
      </c>
      <c r="J163">
        <v>836</v>
      </c>
      <c r="K163" s="520">
        <v>1216.3399999999999</v>
      </c>
      <c r="L163" s="520">
        <v>1035.49</v>
      </c>
      <c r="M163">
        <v>0</v>
      </c>
      <c r="N163">
        <v>0</v>
      </c>
    </row>
    <row r="164" spans="1:14">
      <c r="A164" t="s">
        <v>5860</v>
      </c>
      <c r="B164" t="s">
        <v>1495</v>
      </c>
      <c r="C164">
        <v>594</v>
      </c>
      <c r="D164" t="s">
        <v>1487</v>
      </c>
      <c r="E164" t="s">
        <v>5861</v>
      </c>
      <c r="F164" s="519">
        <v>45570</v>
      </c>
      <c r="G164" s="519">
        <v>45996</v>
      </c>
      <c r="H164" s="519">
        <v>46360</v>
      </c>
      <c r="J164">
        <v>846</v>
      </c>
      <c r="K164" s="520">
        <v>1088.3399999999999</v>
      </c>
      <c r="L164" s="520">
        <v>1006.5</v>
      </c>
      <c r="M164" s="520">
        <v>-1104.6199999999999</v>
      </c>
      <c r="N164">
        <v>0</v>
      </c>
    </row>
    <row r="165" spans="1:14">
      <c r="A165" t="s">
        <v>5862</v>
      </c>
      <c r="B165" t="s">
        <v>1495</v>
      </c>
      <c r="C165">
        <v>594</v>
      </c>
      <c r="D165" t="s">
        <v>1487</v>
      </c>
      <c r="E165" t="s">
        <v>5863</v>
      </c>
      <c r="F165" s="519">
        <v>41884</v>
      </c>
      <c r="G165" s="519">
        <v>45901</v>
      </c>
      <c r="H165" s="519">
        <v>46265</v>
      </c>
      <c r="J165">
        <v>816</v>
      </c>
      <c r="K165">
        <v>943.26</v>
      </c>
      <c r="L165">
        <v>888</v>
      </c>
      <c r="M165">
        <v>0</v>
      </c>
      <c r="N165">
        <v>200</v>
      </c>
    </row>
    <row r="166" spans="1:14">
      <c r="A166" t="s">
        <v>867</v>
      </c>
      <c r="B166" t="s">
        <v>1495</v>
      </c>
      <c r="C166">
        <v>594</v>
      </c>
      <c r="D166" t="s">
        <v>5672</v>
      </c>
      <c r="E166" t="s">
        <v>5673</v>
      </c>
      <c r="J166">
        <v>791</v>
      </c>
      <c r="K166">
        <v>0</v>
      </c>
      <c r="L166">
        <v>0</v>
      </c>
      <c r="N166">
        <v>0</v>
      </c>
    </row>
    <row r="167" spans="1:14">
      <c r="A167" t="s">
        <v>5864</v>
      </c>
      <c r="B167" t="s">
        <v>1495</v>
      </c>
      <c r="C167">
        <v>594</v>
      </c>
      <c r="D167" t="s">
        <v>1487</v>
      </c>
      <c r="E167" t="s">
        <v>5865</v>
      </c>
      <c r="F167" s="519">
        <v>44357</v>
      </c>
      <c r="G167" s="519">
        <v>45839</v>
      </c>
      <c r="H167" s="519">
        <v>46203</v>
      </c>
      <c r="J167">
        <v>896</v>
      </c>
      <c r="K167" s="520">
        <v>1193.26</v>
      </c>
      <c r="L167" s="520">
        <v>1137.49</v>
      </c>
      <c r="M167">
        <v>0</v>
      </c>
      <c r="N167">
        <v>0</v>
      </c>
    </row>
    <row r="168" spans="1:14">
      <c r="A168" t="s">
        <v>5866</v>
      </c>
      <c r="B168" t="s">
        <v>1495</v>
      </c>
      <c r="C168">
        <v>594</v>
      </c>
      <c r="D168" t="s">
        <v>1487</v>
      </c>
      <c r="E168" t="s">
        <v>5867</v>
      </c>
      <c r="F168" s="519">
        <v>45660</v>
      </c>
      <c r="G168" s="519">
        <v>46073</v>
      </c>
      <c r="H168" s="519">
        <v>46437</v>
      </c>
      <c r="J168">
        <v>846</v>
      </c>
      <c r="K168">
        <v>969.26</v>
      </c>
      <c r="L168">
        <v>914</v>
      </c>
      <c r="M168">
        <v>0</v>
      </c>
      <c r="N168">
        <v>0</v>
      </c>
    </row>
    <row r="169" spans="1:14">
      <c r="A169" t="s">
        <v>5868</v>
      </c>
      <c r="B169" t="s">
        <v>1495</v>
      </c>
      <c r="C169">
        <v>594</v>
      </c>
      <c r="D169" t="s">
        <v>1487</v>
      </c>
      <c r="E169" t="s">
        <v>5869</v>
      </c>
      <c r="F169" s="519">
        <v>43800</v>
      </c>
      <c r="G169" s="519">
        <v>45992</v>
      </c>
      <c r="H169" s="519">
        <v>46356</v>
      </c>
      <c r="J169">
        <v>836</v>
      </c>
      <c r="K169" s="520">
        <v>1018.26</v>
      </c>
      <c r="L169">
        <v>962.5</v>
      </c>
      <c r="M169">
        <v>0</v>
      </c>
      <c r="N169">
        <v>150</v>
      </c>
    </row>
    <row r="170" spans="1:14">
      <c r="A170" t="s">
        <v>3779</v>
      </c>
      <c r="B170" t="s">
        <v>1495</v>
      </c>
      <c r="C170">
        <v>594</v>
      </c>
      <c r="D170" t="s">
        <v>1487</v>
      </c>
      <c r="E170" t="s">
        <v>3778</v>
      </c>
      <c r="F170" s="519">
        <v>46039</v>
      </c>
      <c r="G170" s="519">
        <v>46039</v>
      </c>
      <c r="H170" s="519">
        <v>46403</v>
      </c>
      <c r="J170">
        <v>896</v>
      </c>
      <c r="K170" s="520">
        <v>1054</v>
      </c>
      <c r="L170" s="520">
        <v>1054</v>
      </c>
      <c r="M170">
        <v>0</v>
      </c>
      <c r="N170">
        <v>0</v>
      </c>
    </row>
    <row r="171" spans="1:14">
      <c r="A171" t="s">
        <v>5870</v>
      </c>
      <c r="B171" t="s">
        <v>1495</v>
      </c>
      <c r="C171">
        <v>594</v>
      </c>
      <c r="D171" t="s">
        <v>1487</v>
      </c>
      <c r="E171" t="s">
        <v>5871</v>
      </c>
      <c r="F171" s="519">
        <v>45682</v>
      </c>
      <c r="G171" s="519">
        <v>46047</v>
      </c>
      <c r="J171">
        <v>861</v>
      </c>
      <c r="K171">
        <v>924.26</v>
      </c>
      <c r="L171">
        <v>868.5</v>
      </c>
      <c r="M171">
        <v>0</v>
      </c>
      <c r="N171">
        <v>750</v>
      </c>
    </row>
    <row r="172" spans="1:14">
      <c r="A172" t="s">
        <v>5872</v>
      </c>
      <c r="B172" t="s">
        <v>1495</v>
      </c>
      <c r="C172">
        <v>594</v>
      </c>
      <c r="D172" t="s">
        <v>1487</v>
      </c>
      <c r="E172" t="s">
        <v>5873</v>
      </c>
      <c r="F172" s="519">
        <v>44258</v>
      </c>
      <c r="G172" s="519">
        <v>45870</v>
      </c>
      <c r="H172" s="519">
        <v>46234</v>
      </c>
      <c r="J172">
        <v>791</v>
      </c>
      <c r="K172">
        <v>944.26</v>
      </c>
      <c r="L172">
        <v>888.5</v>
      </c>
      <c r="M172">
        <v>-50</v>
      </c>
      <c r="N172">
        <v>75</v>
      </c>
    </row>
    <row r="173" spans="1:14">
      <c r="A173" t="s">
        <v>1013</v>
      </c>
      <c r="B173" t="s">
        <v>1495</v>
      </c>
      <c r="C173">
        <v>594</v>
      </c>
      <c r="D173" t="s">
        <v>5672</v>
      </c>
      <c r="E173" t="s">
        <v>5673</v>
      </c>
      <c r="J173">
        <v>846</v>
      </c>
      <c r="K173">
        <v>0</v>
      </c>
      <c r="L173">
        <v>0</v>
      </c>
      <c r="N173">
        <v>0</v>
      </c>
    </row>
    <row r="174" spans="1:14">
      <c r="A174" t="s">
        <v>5874</v>
      </c>
      <c r="B174" t="s">
        <v>1495</v>
      </c>
      <c r="C174">
        <v>594</v>
      </c>
      <c r="D174" t="s">
        <v>1487</v>
      </c>
      <c r="E174" t="s">
        <v>5875</v>
      </c>
      <c r="F174" s="519">
        <v>45033</v>
      </c>
      <c r="G174" s="519">
        <v>45778</v>
      </c>
      <c r="H174" s="519">
        <v>46142</v>
      </c>
      <c r="J174">
        <v>861</v>
      </c>
      <c r="K174" s="520">
        <v>1165.26</v>
      </c>
      <c r="L174" s="520">
        <v>1109.5</v>
      </c>
      <c r="M174">
        <v>0</v>
      </c>
      <c r="N174">
        <v>0</v>
      </c>
    </row>
    <row r="175" spans="1:14">
      <c r="A175" t="s">
        <v>5876</v>
      </c>
      <c r="B175" t="s">
        <v>1495</v>
      </c>
      <c r="C175">
        <v>594</v>
      </c>
      <c r="D175" t="s">
        <v>1487</v>
      </c>
      <c r="E175" t="s">
        <v>5877</v>
      </c>
      <c r="F175" s="519">
        <v>45682</v>
      </c>
      <c r="G175" s="519">
        <v>46106</v>
      </c>
      <c r="H175" s="519">
        <v>46470</v>
      </c>
      <c r="J175">
        <v>836</v>
      </c>
      <c r="K175" s="520">
        <v>1079.26</v>
      </c>
      <c r="L175" s="520">
        <v>1024</v>
      </c>
      <c r="M175">
        <v>0</v>
      </c>
      <c r="N175">
        <v>0</v>
      </c>
    </row>
    <row r="176" spans="1:14">
      <c r="A176" t="s">
        <v>5878</v>
      </c>
      <c r="B176" t="s">
        <v>1495</v>
      </c>
      <c r="C176">
        <v>594</v>
      </c>
      <c r="D176" t="s">
        <v>1487</v>
      </c>
      <c r="E176" t="s">
        <v>5879</v>
      </c>
      <c r="F176" s="519">
        <v>44872</v>
      </c>
      <c r="G176" s="519">
        <v>45809</v>
      </c>
      <c r="H176" s="519">
        <v>46173</v>
      </c>
      <c r="J176">
        <v>846</v>
      </c>
      <c r="K176" s="520">
        <v>1009.26</v>
      </c>
      <c r="L176">
        <v>954</v>
      </c>
      <c r="M176">
        <v>0</v>
      </c>
      <c r="N176">
        <v>0</v>
      </c>
    </row>
    <row r="177" spans="1:14">
      <c r="A177" t="s">
        <v>5880</v>
      </c>
      <c r="B177" t="s">
        <v>1495</v>
      </c>
      <c r="C177">
        <v>594</v>
      </c>
      <c r="D177" t="s">
        <v>1487</v>
      </c>
      <c r="E177" t="s">
        <v>5881</v>
      </c>
      <c r="F177" s="519">
        <v>45723</v>
      </c>
      <c r="G177" s="519">
        <v>46088</v>
      </c>
      <c r="H177" s="519">
        <v>46452</v>
      </c>
      <c r="J177">
        <v>861</v>
      </c>
      <c r="K177">
        <v>982.26</v>
      </c>
      <c r="L177">
        <v>927</v>
      </c>
      <c r="M177">
        <v>0</v>
      </c>
      <c r="N177">
        <v>0</v>
      </c>
    </row>
    <row r="178" spans="1:14">
      <c r="A178" t="s">
        <v>1825</v>
      </c>
      <c r="B178" t="s">
        <v>1495</v>
      </c>
      <c r="C178">
        <v>594</v>
      </c>
      <c r="D178" t="s">
        <v>5672</v>
      </c>
      <c r="E178" t="s">
        <v>5673</v>
      </c>
      <c r="J178">
        <v>836</v>
      </c>
      <c r="K178">
        <v>0</v>
      </c>
      <c r="L178">
        <v>0</v>
      </c>
      <c r="N178">
        <v>0</v>
      </c>
    </row>
    <row r="179" spans="1:14">
      <c r="A179" t="s">
        <v>5882</v>
      </c>
      <c r="B179" t="s">
        <v>1495</v>
      </c>
      <c r="C179">
        <v>594</v>
      </c>
      <c r="D179" t="s">
        <v>1487</v>
      </c>
      <c r="E179" t="s">
        <v>5883</v>
      </c>
      <c r="F179" s="519">
        <v>42641</v>
      </c>
      <c r="G179" s="519">
        <v>45778</v>
      </c>
      <c r="H179" s="519">
        <v>46142</v>
      </c>
      <c r="J179">
        <v>846</v>
      </c>
      <c r="K179">
        <v>977.26</v>
      </c>
      <c r="L179">
        <v>922</v>
      </c>
      <c r="M179">
        <v>0</v>
      </c>
      <c r="N179">
        <v>150</v>
      </c>
    </row>
    <row r="180" spans="1:14">
      <c r="A180" t="s">
        <v>3399</v>
      </c>
      <c r="B180" t="s">
        <v>1495</v>
      </c>
      <c r="C180">
        <v>594</v>
      </c>
      <c r="D180" t="s">
        <v>1487</v>
      </c>
      <c r="E180" t="s">
        <v>2944</v>
      </c>
      <c r="F180" s="519">
        <v>46052</v>
      </c>
      <c r="G180" s="519">
        <v>46052</v>
      </c>
      <c r="H180" s="519">
        <v>46416</v>
      </c>
      <c r="J180">
        <v>861</v>
      </c>
      <c r="K180">
        <v>931</v>
      </c>
      <c r="L180">
        <v>931</v>
      </c>
      <c r="M180">
        <v>0</v>
      </c>
      <c r="N180">
        <v>500</v>
      </c>
    </row>
    <row r="181" spans="1:14">
      <c r="A181" t="s">
        <v>5884</v>
      </c>
      <c r="B181" t="s">
        <v>1495</v>
      </c>
      <c r="C181">
        <v>594</v>
      </c>
      <c r="D181" t="s">
        <v>1487</v>
      </c>
      <c r="E181" t="s">
        <v>5885</v>
      </c>
      <c r="F181" s="519">
        <v>45751</v>
      </c>
      <c r="G181" s="519">
        <v>46116</v>
      </c>
      <c r="H181" s="519">
        <v>46480</v>
      </c>
      <c r="J181">
        <v>791</v>
      </c>
      <c r="K181" s="520">
        <v>1035.26</v>
      </c>
      <c r="L181">
        <v>979</v>
      </c>
      <c r="M181">
        <v>0</v>
      </c>
      <c r="N181">
        <v>0</v>
      </c>
    </row>
    <row r="182" spans="1:14">
      <c r="A182" t="s">
        <v>5886</v>
      </c>
      <c r="B182" t="s">
        <v>1495</v>
      </c>
      <c r="C182">
        <v>594</v>
      </c>
      <c r="D182" t="s">
        <v>1487</v>
      </c>
      <c r="E182" t="s">
        <v>5887</v>
      </c>
      <c r="F182" s="519">
        <v>45197</v>
      </c>
      <c r="G182" s="519">
        <v>45931</v>
      </c>
      <c r="H182" s="519">
        <v>46295</v>
      </c>
      <c r="J182">
        <v>896</v>
      </c>
      <c r="K182" s="520">
        <v>1428.26</v>
      </c>
      <c r="L182" s="520">
        <v>1152.49</v>
      </c>
      <c r="M182">
        <v>0</v>
      </c>
      <c r="N182">
        <v>0</v>
      </c>
    </row>
    <row r="183" spans="1:14">
      <c r="A183" t="s">
        <v>1341</v>
      </c>
      <c r="B183" t="s">
        <v>1495</v>
      </c>
      <c r="C183">
        <v>594</v>
      </c>
      <c r="D183" t="s">
        <v>1487</v>
      </c>
      <c r="E183" t="s">
        <v>1342</v>
      </c>
      <c r="F183" s="519">
        <v>45807</v>
      </c>
      <c r="G183" s="519">
        <v>45807</v>
      </c>
      <c r="H183" s="519">
        <v>46171</v>
      </c>
      <c r="J183">
        <v>861</v>
      </c>
      <c r="K183" s="520">
        <v>1173.26</v>
      </c>
      <c r="L183" s="520">
        <v>1019.5</v>
      </c>
      <c r="M183" s="520">
        <v>12528.26</v>
      </c>
      <c r="N183">
        <v>0</v>
      </c>
    </row>
    <row r="184" spans="1:14">
      <c r="A184" t="s">
        <v>1827</v>
      </c>
      <c r="B184" t="s">
        <v>1495</v>
      </c>
      <c r="C184">
        <v>594</v>
      </c>
      <c r="D184" t="s">
        <v>1487</v>
      </c>
      <c r="E184" t="s">
        <v>1828</v>
      </c>
      <c r="F184" s="519">
        <v>45899</v>
      </c>
      <c r="G184" s="519">
        <v>45899</v>
      </c>
      <c r="H184" s="519">
        <v>46263</v>
      </c>
      <c r="J184">
        <v>836</v>
      </c>
      <c r="K184" s="520">
        <v>1074.26</v>
      </c>
      <c r="L184">
        <v>898.49</v>
      </c>
      <c r="M184" s="520">
        <v>5625.77</v>
      </c>
      <c r="N184">
        <v>0</v>
      </c>
    </row>
    <row r="185" spans="1:14">
      <c r="A185" t="s">
        <v>5888</v>
      </c>
      <c r="B185" t="s">
        <v>1495</v>
      </c>
      <c r="C185">
        <v>594</v>
      </c>
      <c r="D185" t="s">
        <v>1487</v>
      </c>
      <c r="E185" t="s">
        <v>5889</v>
      </c>
      <c r="F185" s="519">
        <v>44620</v>
      </c>
      <c r="G185" s="519">
        <v>45992</v>
      </c>
      <c r="H185" s="519">
        <v>46356</v>
      </c>
      <c r="J185">
        <v>846</v>
      </c>
      <c r="K185" s="520">
        <v>1154.26</v>
      </c>
      <c r="L185" s="520">
        <v>1098.49</v>
      </c>
      <c r="M185">
        <v>0</v>
      </c>
      <c r="N185">
        <v>0</v>
      </c>
    </row>
    <row r="186" spans="1:14">
      <c r="A186" t="s">
        <v>5890</v>
      </c>
      <c r="B186" t="s">
        <v>1496</v>
      </c>
      <c r="C186">
        <v>650</v>
      </c>
      <c r="D186" t="s">
        <v>5672</v>
      </c>
      <c r="E186" t="s">
        <v>5673</v>
      </c>
      <c r="J186">
        <v>880</v>
      </c>
      <c r="K186">
        <v>0</v>
      </c>
      <c r="L186">
        <v>0</v>
      </c>
      <c r="N186">
        <v>0</v>
      </c>
    </row>
    <row r="187" spans="1:14">
      <c r="A187" t="s">
        <v>5891</v>
      </c>
      <c r="B187" t="s">
        <v>1496</v>
      </c>
      <c r="C187">
        <v>650</v>
      </c>
      <c r="D187" t="s">
        <v>1487</v>
      </c>
      <c r="E187" t="s">
        <v>5892</v>
      </c>
      <c r="F187" s="519">
        <v>45471</v>
      </c>
      <c r="G187" s="519">
        <v>45897</v>
      </c>
      <c r="H187" s="519">
        <v>46261</v>
      </c>
      <c r="J187">
        <v>830</v>
      </c>
      <c r="K187" s="520">
        <v>1045.2</v>
      </c>
      <c r="L187">
        <v>988</v>
      </c>
      <c r="M187">
        <v>0</v>
      </c>
      <c r="N187">
        <v>750</v>
      </c>
    </row>
    <row r="188" spans="1:14">
      <c r="A188" t="s">
        <v>1640</v>
      </c>
      <c r="B188" t="s">
        <v>1496</v>
      </c>
      <c r="C188">
        <v>650</v>
      </c>
      <c r="D188" t="s">
        <v>1486</v>
      </c>
      <c r="E188" t="s">
        <v>1641</v>
      </c>
      <c r="F188" s="519">
        <v>38257</v>
      </c>
      <c r="G188" s="519">
        <v>45931</v>
      </c>
      <c r="H188" s="519">
        <v>46295</v>
      </c>
      <c r="I188" s="519">
        <v>46165</v>
      </c>
      <c r="J188">
        <v>785</v>
      </c>
      <c r="K188" s="520">
        <v>1031.2</v>
      </c>
      <c r="L188">
        <v>885</v>
      </c>
      <c r="M188" s="520">
        <v>3100.94</v>
      </c>
      <c r="N188">
        <v>0</v>
      </c>
    </row>
    <row r="189" spans="1:14">
      <c r="A189" t="s">
        <v>5893</v>
      </c>
      <c r="B189" t="s">
        <v>1496</v>
      </c>
      <c r="C189">
        <v>650</v>
      </c>
      <c r="D189" t="s">
        <v>1487</v>
      </c>
      <c r="E189" t="s">
        <v>5894</v>
      </c>
      <c r="F189" s="519">
        <v>45941</v>
      </c>
      <c r="G189" s="519">
        <v>45941</v>
      </c>
      <c r="H189" s="519">
        <v>46305</v>
      </c>
      <c r="J189">
        <v>880</v>
      </c>
      <c r="K189" s="520">
        <v>1053.2</v>
      </c>
      <c r="L189">
        <v>995.99</v>
      </c>
      <c r="M189">
        <v>0</v>
      </c>
      <c r="N189">
        <v>0</v>
      </c>
    </row>
    <row r="190" spans="1:14">
      <c r="A190" t="s">
        <v>2266</v>
      </c>
      <c r="B190" t="s">
        <v>1496</v>
      </c>
      <c r="C190">
        <v>650</v>
      </c>
      <c r="D190" t="s">
        <v>5733</v>
      </c>
      <c r="E190" t="s">
        <v>5673</v>
      </c>
      <c r="J190">
        <v>830</v>
      </c>
      <c r="K190">
        <v>0</v>
      </c>
      <c r="L190">
        <v>0</v>
      </c>
      <c r="N190">
        <v>0</v>
      </c>
    </row>
    <row r="191" spans="1:14">
      <c r="A191" t="s">
        <v>5895</v>
      </c>
      <c r="B191" t="s">
        <v>1496</v>
      </c>
      <c r="C191">
        <v>650</v>
      </c>
      <c r="D191" t="s">
        <v>5672</v>
      </c>
      <c r="E191" t="s">
        <v>5673</v>
      </c>
      <c r="J191">
        <v>830</v>
      </c>
      <c r="K191">
        <v>0</v>
      </c>
      <c r="L191">
        <v>0</v>
      </c>
      <c r="N191">
        <v>0</v>
      </c>
    </row>
    <row r="192" spans="1:14">
      <c r="A192" t="s">
        <v>1037</v>
      </c>
      <c r="B192" t="s">
        <v>1496</v>
      </c>
      <c r="C192">
        <v>650</v>
      </c>
      <c r="D192" t="s">
        <v>5686</v>
      </c>
      <c r="E192" t="s">
        <v>5673</v>
      </c>
      <c r="J192">
        <v>785</v>
      </c>
      <c r="K192">
        <v>0</v>
      </c>
      <c r="L192">
        <v>0</v>
      </c>
      <c r="N192">
        <v>0</v>
      </c>
    </row>
    <row r="193" spans="1:14">
      <c r="A193" t="s">
        <v>5896</v>
      </c>
      <c r="B193" t="s">
        <v>1496</v>
      </c>
      <c r="C193">
        <v>650</v>
      </c>
      <c r="D193" t="s">
        <v>1487</v>
      </c>
      <c r="E193" t="s">
        <v>5897</v>
      </c>
      <c r="F193" s="519">
        <v>45849</v>
      </c>
      <c r="G193" s="519">
        <v>45849</v>
      </c>
      <c r="H193" s="519">
        <v>46213</v>
      </c>
      <c r="J193">
        <v>880</v>
      </c>
      <c r="K193" s="520">
        <v>1171.2</v>
      </c>
      <c r="L193" s="520">
        <v>1114</v>
      </c>
      <c r="M193">
        <v>0</v>
      </c>
      <c r="N193">
        <v>0</v>
      </c>
    </row>
    <row r="194" spans="1:14">
      <c r="A194" t="s">
        <v>2298</v>
      </c>
      <c r="B194" t="s">
        <v>1496</v>
      </c>
      <c r="C194">
        <v>650</v>
      </c>
      <c r="D194" t="s">
        <v>5686</v>
      </c>
      <c r="E194" t="s">
        <v>5673</v>
      </c>
      <c r="J194">
        <v>805</v>
      </c>
      <c r="K194">
        <v>0</v>
      </c>
      <c r="L194">
        <v>0</v>
      </c>
      <c r="N194">
        <v>0</v>
      </c>
    </row>
    <row r="195" spans="1:14">
      <c r="A195" t="s">
        <v>5898</v>
      </c>
      <c r="B195" t="s">
        <v>1496</v>
      </c>
      <c r="C195">
        <v>650</v>
      </c>
      <c r="D195" t="s">
        <v>1487</v>
      </c>
      <c r="E195" t="s">
        <v>5899</v>
      </c>
      <c r="F195" s="519">
        <v>43943</v>
      </c>
      <c r="G195" s="519">
        <v>46054</v>
      </c>
      <c r="J195">
        <v>805</v>
      </c>
      <c r="K195" s="520">
        <v>1081.2</v>
      </c>
      <c r="L195" s="520">
        <v>1023.5</v>
      </c>
      <c r="M195">
        <v>0</v>
      </c>
      <c r="N195">
        <v>150</v>
      </c>
    </row>
    <row r="196" spans="1:14">
      <c r="A196" t="s">
        <v>5900</v>
      </c>
      <c r="B196" t="s">
        <v>1496</v>
      </c>
      <c r="C196">
        <v>650</v>
      </c>
      <c r="D196" t="s">
        <v>1487</v>
      </c>
      <c r="E196" t="s">
        <v>5901</v>
      </c>
      <c r="F196" s="519">
        <v>44151</v>
      </c>
      <c r="G196" s="519">
        <v>45992</v>
      </c>
      <c r="H196" s="519">
        <v>46173</v>
      </c>
      <c r="J196">
        <v>805</v>
      </c>
      <c r="K196" s="520">
        <v>1231.2</v>
      </c>
      <c r="L196" s="520">
        <v>1173.49</v>
      </c>
      <c r="M196">
        <v>0</v>
      </c>
      <c r="N196">
        <v>0</v>
      </c>
    </row>
    <row r="197" spans="1:14">
      <c r="A197" t="s">
        <v>5902</v>
      </c>
      <c r="B197" t="s">
        <v>1496</v>
      </c>
      <c r="C197">
        <v>650</v>
      </c>
      <c r="D197" t="s">
        <v>1487</v>
      </c>
      <c r="E197" t="s">
        <v>5903</v>
      </c>
      <c r="F197" s="519">
        <v>45504</v>
      </c>
      <c r="G197" s="519">
        <v>45931</v>
      </c>
      <c r="H197" s="519">
        <v>46295</v>
      </c>
      <c r="J197">
        <v>805</v>
      </c>
      <c r="K197" s="520">
        <v>1063.2</v>
      </c>
      <c r="L197" s="520">
        <v>1005.49</v>
      </c>
      <c r="M197">
        <v>0</v>
      </c>
      <c r="N197">
        <v>0</v>
      </c>
    </row>
    <row r="198" spans="1:14">
      <c r="A198" t="s">
        <v>1334</v>
      </c>
      <c r="B198" t="s">
        <v>1496</v>
      </c>
      <c r="C198">
        <v>650</v>
      </c>
      <c r="D198" t="s">
        <v>5733</v>
      </c>
      <c r="E198" t="s">
        <v>5673</v>
      </c>
      <c r="J198">
        <v>855</v>
      </c>
      <c r="K198">
        <v>0</v>
      </c>
      <c r="L198">
        <v>0</v>
      </c>
      <c r="N198">
        <v>0</v>
      </c>
    </row>
    <row r="199" spans="1:14">
      <c r="A199" t="s">
        <v>5904</v>
      </c>
      <c r="B199" t="s">
        <v>1496</v>
      </c>
      <c r="C199">
        <v>650</v>
      </c>
      <c r="D199" t="s">
        <v>1487</v>
      </c>
      <c r="E199" t="s">
        <v>5905</v>
      </c>
      <c r="F199" s="519">
        <v>45474</v>
      </c>
      <c r="G199" s="519">
        <v>45867</v>
      </c>
      <c r="H199" s="519">
        <v>46231</v>
      </c>
      <c r="J199">
        <v>805</v>
      </c>
      <c r="K199" s="520">
        <v>1090.2</v>
      </c>
      <c r="L199" s="520">
        <v>1032.5</v>
      </c>
      <c r="M199">
        <v>0</v>
      </c>
      <c r="N199">
        <v>0</v>
      </c>
    </row>
    <row r="200" spans="1:14">
      <c r="A200" t="s">
        <v>1349</v>
      </c>
      <c r="B200" t="s">
        <v>1496</v>
      </c>
      <c r="C200">
        <v>650</v>
      </c>
      <c r="D200" t="s">
        <v>5672</v>
      </c>
      <c r="E200" t="s">
        <v>5673</v>
      </c>
      <c r="J200">
        <v>805</v>
      </c>
      <c r="K200">
        <v>0</v>
      </c>
      <c r="L200">
        <v>0</v>
      </c>
      <c r="N200">
        <v>0</v>
      </c>
    </row>
    <row r="201" spans="1:14">
      <c r="A201" t="s">
        <v>1643</v>
      </c>
      <c r="B201" t="s">
        <v>1496</v>
      </c>
      <c r="C201">
        <v>650</v>
      </c>
      <c r="D201" t="s">
        <v>5672</v>
      </c>
      <c r="E201" t="s">
        <v>5673</v>
      </c>
      <c r="J201">
        <v>760</v>
      </c>
      <c r="K201">
        <v>0</v>
      </c>
      <c r="L201">
        <v>0</v>
      </c>
      <c r="N201">
        <v>0</v>
      </c>
    </row>
    <row r="202" spans="1:14">
      <c r="A202" t="s">
        <v>3046</v>
      </c>
      <c r="B202" t="s">
        <v>1496</v>
      </c>
      <c r="C202">
        <v>650</v>
      </c>
      <c r="D202" t="s">
        <v>5672</v>
      </c>
      <c r="E202" t="s">
        <v>5673</v>
      </c>
      <c r="J202">
        <v>815</v>
      </c>
      <c r="K202">
        <v>0</v>
      </c>
      <c r="L202">
        <v>0</v>
      </c>
      <c r="N202">
        <v>0</v>
      </c>
    </row>
    <row r="203" spans="1:14">
      <c r="A203" t="s">
        <v>5906</v>
      </c>
      <c r="B203" t="s">
        <v>1496</v>
      </c>
      <c r="C203">
        <v>650</v>
      </c>
      <c r="D203" t="s">
        <v>1487</v>
      </c>
      <c r="E203" t="s">
        <v>5907</v>
      </c>
      <c r="F203" s="519">
        <v>42716</v>
      </c>
      <c r="G203" s="519">
        <v>45901</v>
      </c>
      <c r="H203" s="519">
        <v>46265</v>
      </c>
      <c r="J203">
        <v>770</v>
      </c>
      <c r="K203" s="520">
        <v>1176.27</v>
      </c>
      <c r="L203" s="520">
        <v>1092.5</v>
      </c>
      <c r="M203">
        <v>0</v>
      </c>
      <c r="N203">
        <v>0</v>
      </c>
    </row>
    <row r="204" spans="1:14">
      <c r="A204" t="s">
        <v>5908</v>
      </c>
      <c r="B204" t="s">
        <v>1496</v>
      </c>
      <c r="C204">
        <v>650</v>
      </c>
      <c r="D204" t="s">
        <v>1486</v>
      </c>
      <c r="E204" t="s">
        <v>5909</v>
      </c>
      <c r="F204" s="519">
        <v>45470</v>
      </c>
      <c r="G204" s="519">
        <v>45870</v>
      </c>
      <c r="H204" s="519">
        <v>46234</v>
      </c>
      <c r="I204" s="519">
        <v>46234</v>
      </c>
      <c r="J204">
        <v>815</v>
      </c>
      <c r="K204" s="520">
        <v>1268.27</v>
      </c>
      <c r="L204" s="520">
        <v>1049.49</v>
      </c>
      <c r="M204">
        <v>0</v>
      </c>
      <c r="N204">
        <v>0</v>
      </c>
    </row>
    <row r="205" spans="1:14">
      <c r="A205" t="s">
        <v>1645</v>
      </c>
      <c r="B205" t="s">
        <v>1496</v>
      </c>
      <c r="C205">
        <v>650</v>
      </c>
      <c r="D205" t="s">
        <v>1487</v>
      </c>
      <c r="E205" t="s">
        <v>1646</v>
      </c>
      <c r="F205" s="519">
        <v>45611</v>
      </c>
      <c r="G205" s="519">
        <v>46037</v>
      </c>
      <c r="J205">
        <v>815</v>
      </c>
      <c r="K205" s="520">
        <v>1060.2</v>
      </c>
      <c r="L205">
        <v>883.5</v>
      </c>
      <c r="M205" s="520">
        <v>2089.0700000000002</v>
      </c>
      <c r="N205">
        <v>0</v>
      </c>
    </row>
    <row r="206" spans="1:14">
      <c r="A206" t="s">
        <v>5910</v>
      </c>
      <c r="B206" t="s">
        <v>1496</v>
      </c>
      <c r="C206">
        <v>650</v>
      </c>
      <c r="D206" t="s">
        <v>1487</v>
      </c>
      <c r="E206" t="s">
        <v>5911</v>
      </c>
      <c r="F206" s="519">
        <v>43839</v>
      </c>
      <c r="G206" s="519">
        <v>45658</v>
      </c>
      <c r="J206">
        <v>815</v>
      </c>
      <c r="K206" s="520">
        <v>1188.2</v>
      </c>
      <c r="L206" s="520">
        <v>1130.5</v>
      </c>
      <c r="M206">
        <v>0</v>
      </c>
      <c r="N206">
        <v>150</v>
      </c>
    </row>
    <row r="207" spans="1:14">
      <c r="A207" t="s">
        <v>1648</v>
      </c>
      <c r="B207" t="s">
        <v>1496</v>
      </c>
      <c r="C207">
        <v>650</v>
      </c>
      <c r="D207" t="s">
        <v>1487</v>
      </c>
      <c r="E207" t="s">
        <v>1649</v>
      </c>
      <c r="F207" s="519">
        <v>45661</v>
      </c>
      <c r="G207" s="519">
        <v>46085</v>
      </c>
      <c r="H207" s="519">
        <v>46449</v>
      </c>
      <c r="J207">
        <v>865</v>
      </c>
      <c r="K207" s="520">
        <v>1328.2</v>
      </c>
      <c r="L207" s="520">
        <v>1144</v>
      </c>
      <c r="M207">
        <v>835.07</v>
      </c>
      <c r="N207">
        <v>0</v>
      </c>
    </row>
    <row r="208" spans="1:14">
      <c r="A208" t="s">
        <v>1650</v>
      </c>
      <c r="B208" t="s">
        <v>1496</v>
      </c>
      <c r="C208">
        <v>650</v>
      </c>
      <c r="D208" t="s">
        <v>1487</v>
      </c>
      <c r="E208" t="s">
        <v>1651</v>
      </c>
      <c r="F208" s="519">
        <v>44967</v>
      </c>
      <c r="G208" s="519">
        <v>46073</v>
      </c>
      <c r="H208" s="519">
        <v>46437</v>
      </c>
      <c r="J208">
        <v>815</v>
      </c>
      <c r="K208" s="520">
        <v>1211.27</v>
      </c>
      <c r="L208" s="520">
        <v>1091</v>
      </c>
      <c r="M208">
        <v>62</v>
      </c>
      <c r="N208">
        <v>750</v>
      </c>
    </row>
    <row r="209" spans="1:14">
      <c r="A209" t="s">
        <v>5912</v>
      </c>
      <c r="B209" t="s">
        <v>1496</v>
      </c>
      <c r="C209">
        <v>650</v>
      </c>
      <c r="D209" t="s">
        <v>5672</v>
      </c>
      <c r="E209" t="s">
        <v>5673</v>
      </c>
      <c r="J209">
        <v>815</v>
      </c>
      <c r="K209">
        <v>0</v>
      </c>
      <c r="L209">
        <v>0</v>
      </c>
      <c r="N209">
        <v>0</v>
      </c>
    </row>
    <row r="210" spans="1:14">
      <c r="A210" t="s">
        <v>1673</v>
      </c>
      <c r="B210" t="s">
        <v>1496</v>
      </c>
      <c r="C210">
        <v>650</v>
      </c>
      <c r="D210" t="s">
        <v>5672</v>
      </c>
      <c r="E210" t="s">
        <v>5673</v>
      </c>
      <c r="J210">
        <v>830</v>
      </c>
      <c r="K210">
        <v>0</v>
      </c>
      <c r="L210">
        <v>0</v>
      </c>
      <c r="N210">
        <v>0</v>
      </c>
    </row>
    <row r="211" spans="1:14">
      <c r="A211" t="s">
        <v>5913</v>
      </c>
      <c r="B211" t="s">
        <v>1496</v>
      </c>
      <c r="C211">
        <v>650</v>
      </c>
      <c r="D211" t="s">
        <v>1487</v>
      </c>
      <c r="E211" t="s">
        <v>5914</v>
      </c>
      <c r="F211" s="519">
        <v>40389</v>
      </c>
      <c r="G211" s="519">
        <v>45989</v>
      </c>
      <c r="H211" s="519">
        <v>46353</v>
      </c>
      <c r="J211">
        <v>785</v>
      </c>
      <c r="K211">
        <v>913.2</v>
      </c>
      <c r="L211">
        <v>855.5</v>
      </c>
      <c r="M211">
        <v>0</v>
      </c>
      <c r="N211">
        <v>150</v>
      </c>
    </row>
    <row r="212" spans="1:14">
      <c r="A212" t="s">
        <v>863</v>
      </c>
      <c r="B212" t="s">
        <v>1496</v>
      </c>
      <c r="C212">
        <v>650</v>
      </c>
      <c r="D212" t="s">
        <v>5781</v>
      </c>
      <c r="E212" t="s">
        <v>5673</v>
      </c>
      <c r="J212">
        <v>785</v>
      </c>
      <c r="K212">
        <v>0</v>
      </c>
      <c r="L212">
        <v>0</v>
      </c>
      <c r="N212">
        <v>0</v>
      </c>
    </row>
    <row r="213" spans="1:14">
      <c r="A213" t="s">
        <v>5915</v>
      </c>
      <c r="B213" t="s">
        <v>1496</v>
      </c>
      <c r="C213">
        <v>650</v>
      </c>
      <c r="D213" t="s">
        <v>1487</v>
      </c>
      <c r="E213" t="s">
        <v>5916</v>
      </c>
      <c r="F213" s="519">
        <v>44187</v>
      </c>
      <c r="G213" s="519">
        <v>46023</v>
      </c>
      <c r="J213">
        <v>830</v>
      </c>
      <c r="K213">
        <v>963.2</v>
      </c>
      <c r="L213">
        <v>905.5</v>
      </c>
      <c r="M213">
        <v>0</v>
      </c>
      <c r="N213">
        <v>0</v>
      </c>
    </row>
    <row r="214" spans="1:14">
      <c r="A214" t="s">
        <v>5917</v>
      </c>
      <c r="B214" t="s">
        <v>1496</v>
      </c>
      <c r="C214">
        <v>650</v>
      </c>
      <c r="D214" t="s">
        <v>1487</v>
      </c>
      <c r="E214" t="s">
        <v>5918</v>
      </c>
      <c r="F214" s="519">
        <v>45745</v>
      </c>
      <c r="G214" s="519">
        <v>46110</v>
      </c>
      <c r="H214" s="519">
        <v>46473</v>
      </c>
      <c r="J214">
        <v>880</v>
      </c>
      <c r="K214" s="520">
        <v>1216.2</v>
      </c>
      <c r="L214" s="520">
        <v>1159</v>
      </c>
      <c r="M214">
        <v>0</v>
      </c>
      <c r="N214">
        <v>0</v>
      </c>
    </row>
    <row r="215" spans="1:14">
      <c r="A215" t="s">
        <v>889</v>
      </c>
      <c r="B215" t="s">
        <v>1496</v>
      </c>
      <c r="C215">
        <v>650</v>
      </c>
      <c r="D215" t="s">
        <v>5672</v>
      </c>
      <c r="E215" t="s">
        <v>5673</v>
      </c>
      <c r="J215">
        <v>785</v>
      </c>
      <c r="K215">
        <v>0</v>
      </c>
      <c r="L215">
        <v>0</v>
      </c>
      <c r="N215">
        <v>0</v>
      </c>
    </row>
    <row r="216" spans="1:14">
      <c r="A216" t="s">
        <v>1675</v>
      </c>
      <c r="B216" t="s">
        <v>1496</v>
      </c>
      <c r="C216">
        <v>650</v>
      </c>
      <c r="D216" t="s">
        <v>1486</v>
      </c>
      <c r="E216" t="s">
        <v>1676</v>
      </c>
      <c r="F216" s="519">
        <v>45838</v>
      </c>
      <c r="G216" s="519">
        <v>45838</v>
      </c>
      <c r="H216" s="519">
        <v>46202</v>
      </c>
      <c r="I216" s="519">
        <v>46202</v>
      </c>
      <c r="J216">
        <v>830</v>
      </c>
      <c r="K216" s="520">
        <v>1241.27</v>
      </c>
      <c r="L216" s="520">
        <v>1024.5</v>
      </c>
      <c r="M216">
        <v>131.27000000000001</v>
      </c>
      <c r="N216">
        <v>0</v>
      </c>
    </row>
    <row r="217" spans="1:14">
      <c r="A217" t="s">
        <v>5919</v>
      </c>
      <c r="B217" t="s">
        <v>1496</v>
      </c>
      <c r="C217">
        <v>650</v>
      </c>
      <c r="D217" t="s">
        <v>1487</v>
      </c>
      <c r="E217" t="s">
        <v>5920</v>
      </c>
      <c r="F217" s="519">
        <v>43607</v>
      </c>
      <c r="G217" s="519">
        <v>45839</v>
      </c>
      <c r="H217" s="519">
        <v>46203</v>
      </c>
      <c r="J217">
        <v>830</v>
      </c>
      <c r="K217" s="520">
        <v>1063.27</v>
      </c>
      <c r="L217">
        <v>980</v>
      </c>
      <c r="M217">
        <v>0</v>
      </c>
      <c r="N217">
        <v>150</v>
      </c>
    </row>
    <row r="218" spans="1:14">
      <c r="A218" t="s">
        <v>3409</v>
      </c>
      <c r="B218" t="s">
        <v>1496</v>
      </c>
      <c r="C218">
        <v>650</v>
      </c>
      <c r="D218" t="s">
        <v>5672</v>
      </c>
      <c r="E218" t="s">
        <v>5673</v>
      </c>
      <c r="J218">
        <v>805</v>
      </c>
      <c r="K218">
        <v>0</v>
      </c>
      <c r="L218">
        <v>0</v>
      </c>
      <c r="N218">
        <v>0</v>
      </c>
    </row>
    <row r="219" spans="1:14">
      <c r="A219" t="s">
        <v>2337</v>
      </c>
      <c r="B219" t="s">
        <v>1496</v>
      </c>
      <c r="C219">
        <v>650</v>
      </c>
      <c r="D219" t="s">
        <v>5686</v>
      </c>
      <c r="E219" t="s">
        <v>5673</v>
      </c>
      <c r="J219">
        <v>805</v>
      </c>
      <c r="K219">
        <v>0</v>
      </c>
      <c r="L219">
        <v>0</v>
      </c>
      <c r="N219">
        <v>0</v>
      </c>
    </row>
    <row r="220" spans="1:14">
      <c r="A220" t="s">
        <v>5921</v>
      </c>
      <c r="B220" t="s">
        <v>1496</v>
      </c>
      <c r="C220">
        <v>650</v>
      </c>
      <c r="D220" t="s">
        <v>1485</v>
      </c>
      <c r="E220" t="s">
        <v>5922</v>
      </c>
      <c r="F220" s="519">
        <v>43841</v>
      </c>
      <c r="G220" s="519">
        <v>45839</v>
      </c>
      <c r="H220" s="519">
        <v>46203</v>
      </c>
      <c r="I220" s="519">
        <v>46140</v>
      </c>
      <c r="J220">
        <v>855</v>
      </c>
      <c r="K220" s="520">
        <v>1210.2</v>
      </c>
      <c r="L220" s="520">
        <v>1234.5</v>
      </c>
      <c r="M220">
        <v>-82</v>
      </c>
      <c r="N220">
        <v>150</v>
      </c>
    </row>
    <row r="221" spans="1:14">
      <c r="A221" t="s">
        <v>5923</v>
      </c>
      <c r="B221" t="s">
        <v>1496</v>
      </c>
      <c r="C221">
        <v>650</v>
      </c>
      <c r="D221" t="s">
        <v>1487</v>
      </c>
      <c r="E221" t="s">
        <v>5924</v>
      </c>
      <c r="F221" s="519">
        <v>45955</v>
      </c>
      <c r="G221" s="519">
        <v>45955</v>
      </c>
      <c r="H221" s="519">
        <v>46319</v>
      </c>
      <c r="J221">
        <v>855</v>
      </c>
      <c r="K221" s="520">
        <v>1038.2</v>
      </c>
      <c r="L221">
        <v>980.5</v>
      </c>
      <c r="M221">
        <v>0</v>
      </c>
      <c r="N221">
        <v>0</v>
      </c>
    </row>
    <row r="222" spans="1:14">
      <c r="A222" t="s">
        <v>5925</v>
      </c>
      <c r="B222" t="s">
        <v>1496</v>
      </c>
      <c r="C222">
        <v>650</v>
      </c>
      <c r="D222" t="s">
        <v>1487</v>
      </c>
      <c r="E222" t="s">
        <v>5926</v>
      </c>
      <c r="F222" s="519">
        <v>44237</v>
      </c>
      <c r="G222" s="519">
        <v>45931</v>
      </c>
      <c r="H222" s="519">
        <v>46295</v>
      </c>
      <c r="J222">
        <v>760</v>
      </c>
      <c r="K222" s="520">
        <v>1029.2</v>
      </c>
      <c r="L222">
        <v>971.5</v>
      </c>
      <c r="M222">
        <v>0</v>
      </c>
      <c r="N222">
        <v>0</v>
      </c>
    </row>
    <row r="223" spans="1:14">
      <c r="A223" t="s">
        <v>5927</v>
      </c>
      <c r="B223" t="s">
        <v>1496</v>
      </c>
      <c r="C223">
        <v>650</v>
      </c>
      <c r="D223" t="s">
        <v>1487</v>
      </c>
      <c r="E223" t="s">
        <v>5928</v>
      </c>
      <c r="F223" s="519">
        <v>45047</v>
      </c>
      <c r="G223" s="519">
        <v>45778</v>
      </c>
      <c r="H223" s="519">
        <v>46142</v>
      </c>
      <c r="J223">
        <v>805</v>
      </c>
      <c r="K223" s="520">
        <v>1182.2</v>
      </c>
      <c r="L223" s="520">
        <v>1124.5</v>
      </c>
      <c r="M223">
        <v>0</v>
      </c>
      <c r="N223">
        <v>0</v>
      </c>
    </row>
    <row r="224" spans="1:14">
      <c r="A224" t="s">
        <v>5929</v>
      </c>
      <c r="B224" t="s">
        <v>1496</v>
      </c>
      <c r="C224">
        <v>650</v>
      </c>
      <c r="D224" t="s">
        <v>1487</v>
      </c>
      <c r="E224" t="s">
        <v>5930</v>
      </c>
      <c r="F224" s="519">
        <v>45819</v>
      </c>
      <c r="G224" s="519">
        <v>45819</v>
      </c>
      <c r="H224" s="519">
        <v>46183</v>
      </c>
      <c r="J224">
        <v>805</v>
      </c>
      <c r="K224" s="520">
        <v>1060.27</v>
      </c>
      <c r="L224">
        <v>976.49</v>
      </c>
      <c r="M224">
        <v>0</v>
      </c>
      <c r="N224">
        <v>750</v>
      </c>
    </row>
    <row r="225" spans="1:14">
      <c r="A225" t="s">
        <v>5931</v>
      </c>
      <c r="B225" t="s">
        <v>1496</v>
      </c>
      <c r="C225">
        <v>650</v>
      </c>
      <c r="D225" t="s">
        <v>1487</v>
      </c>
      <c r="E225" t="s">
        <v>3692</v>
      </c>
      <c r="F225" s="519">
        <v>44630</v>
      </c>
      <c r="G225" s="519">
        <v>46082</v>
      </c>
      <c r="H225" s="519">
        <v>46445</v>
      </c>
      <c r="J225">
        <v>805</v>
      </c>
      <c r="K225" s="520">
        <v>1217.2</v>
      </c>
      <c r="L225" s="520">
        <v>1160</v>
      </c>
      <c r="M225">
        <v>0</v>
      </c>
      <c r="N225">
        <v>0</v>
      </c>
    </row>
    <row r="226" spans="1:14">
      <c r="A226" t="s">
        <v>5526</v>
      </c>
      <c r="B226" t="s">
        <v>1496</v>
      </c>
      <c r="C226">
        <v>650</v>
      </c>
      <c r="D226" t="s">
        <v>5672</v>
      </c>
      <c r="E226" t="s">
        <v>5673</v>
      </c>
      <c r="J226">
        <v>815</v>
      </c>
      <c r="K226">
        <v>0</v>
      </c>
      <c r="L226">
        <v>0</v>
      </c>
      <c r="N226">
        <v>0</v>
      </c>
    </row>
    <row r="227" spans="1:14">
      <c r="A227" t="s">
        <v>5932</v>
      </c>
      <c r="B227" t="s">
        <v>1496</v>
      </c>
      <c r="C227">
        <v>650</v>
      </c>
      <c r="D227" t="s">
        <v>1487</v>
      </c>
      <c r="E227" t="s">
        <v>5933</v>
      </c>
      <c r="F227" s="519">
        <v>45541</v>
      </c>
      <c r="G227" s="519">
        <v>45967</v>
      </c>
      <c r="H227" s="519">
        <v>46331</v>
      </c>
      <c r="J227">
        <v>770</v>
      </c>
      <c r="K227" s="520">
        <v>1065.27</v>
      </c>
      <c r="L227">
        <v>981.5</v>
      </c>
      <c r="M227">
        <v>0</v>
      </c>
      <c r="N227">
        <v>0</v>
      </c>
    </row>
    <row r="228" spans="1:14">
      <c r="A228" t="s">
        <v>5934</v>
      </c>
      <c r="B228" t="s">
        <v>1496</v>
      </c>
      <c r="C228">
        <v>650</v>
      </c>
      <c r="D228" t="s">
        <v>1487</v>
      </c>
      <c r="E228" t="s">
        <v>5935</v>
      </c>
      <c r="F228" s="519">
        <v>43574</v>
      </c>
      <c r="G228" s="519">
        <v>45962</v>
      </c>
      <c r="H228" s="519">
        <v>46326</v>
      </c>
      <c r="J228">
        <v>770</v>
      </c>
      <c r="K228" s="520">
        <v>1127.2</v>
      </c>
      <c r="L228">
        <v>941.5</v>
      </c>
      <c r="M228">
        <v>0</v>
      </c>
      <c r="N228">
        <v>150</v>
      </c>
    </row>
    <row r="229" spans="1:14">
      <c r="A229" t="s">
        <v>856</v>
      </c>
      <c r="B229" t="s">
        <v>1496</v>
      </c>
      <c r="C229">
        <v>650</v>
      </c>
      <c r="D229" t="s">
        <v>5781</v>
      </c>
      <c r="E229" t="s">
        <v>5673</v>
      </c>
      <c r="J229">
        <v>865</v>
      </c>
      <c r="K229">
        <v>0</v>
      </c>
      <c r="L229">
        <v>0</v>
      </c>
    </row>
    <row r="230" spans="1:14">
      <c r="A230" t="s">
        <v>5344</v>
      </c>
      <c r="B230" t="s">
        <v>1496</v>
      </c>
      <c r="C230">
        <v>650</v>
      </c>
      <c r="D230" t="s">
        <v>1487</v>
      </c>
      <c r="E230" t="s">
        <v>5936</v>
      </c>
      <c r="F230" s="519">
        <v>46002</v>
      </c>
      <c r="G230" s="519">
        <v>46002</v>
      </c>
      <c r="H230" s="519">
        <v>46366</v>
      </c>
      <c r="J230">
        <v>770</v>
      </c>
      <c r="K230">
        <v>858.21</v>
      </c>
      <c r="L230">
        <v>825</v>
      </c>
      <c r="M230">
        <v>0</v>
      </c>
      <c r="N230">
        <v>0</v>
      </c>
    </row>
    <row r="231" spans="1:14">
      <c r="A231" t="s">
        <v>1677</v>
      </c>
      <c r="B231" t="s">
        <v>1496</v>
      </c>
      <c r="C231">
        <v>650</v>
      </c>
      <c r="D231" t="s">
        <v>1487</v>
      </c>
      <c r="E231" t="s">
        <v>1678</v>
      </c>
      <c r="F231" s="519">
        <v>45796</v>
      </c>
      <c r="G231" s="519">
        <v>45796</v>
      </c>
      <c r="H231" s="519">
        <v>46160</v>
      </c>
      <c r="J231">
        <v>770</v>
      </c>
      <c r="K231" s="520">
        <v>1149.2</v>
      </c>
      <c r="L231">
        <v>964.5</v>
      </c>
      <c r="M231">
        <v>447.99</v>
      </c>
      <c r="N231">
        <v>0</v>
      </c>
    </row>
    <row r="232" spans="1:14">
      <c r="A232" t="s">
        <v>5937</v>
      </c>
      <c r="B232" t="s">
        <v>1496</v>
      </c>
      <c r="C232">
        <v>650</v>
      </c>
      <c r="D232" t="s">
        <v>1487</v>
      </c>
      <c r="E232" t="s">
        <v>5938</v>
      </c>
      <c r="F232" s="519">
        <v>44693</v>
      </c>
      <c r="G232" s="519">
        <v>45962</v>
      </c>
      <c r="H232" s="519">
        <v>46142</v>
      </c>
      <c r="J232">
        <v>815</v>
      </c>
      <c r="K232" s="520">
        <v>1210.27</v>
      </c>
      <c r="L232" s="520">
        <v>1126.5</v>
      </c>
      <c r="M232">
        <v>0</v>
      </c>
      <c r="N232">
        <v>0</v>
      </c>
    </row>
    <row r="233" spans="1:14">
      <c r="A233" t="s">
        <v>5939</v>
      </c>
      <c r="B233" t="s">
        <v>1496</v>
      </c>
      <c r="C233">
        <v>650</v>
      </c>
      <c r="D233" t="s">
        <v>1487</v>
      </c>
      <c r="E233" t="s">
        <v>5940</v>
      </c>
      <c r="F233" s="519">
        <v>45594</v>
      </c>
      <c r="G233" s="519">
        <v>46020</v>
      </c>
      <c r="J233">
        <v>815</v>
      </c>
      <c r="K233" s="520">
        <v>1231.27</v>
      </c>
      <c r="L233" s="520">
        <v>1015.49</v>
      </c>
      <c r="M233">
        <v>0</v>
      </c>
      <c r="N233">
        <v>0</v>
      </c>
    </row>
    <row r="234" spans="1:14">
      <c r="A234" t="s">
        <v>5941</v>
      </c>
      <c r="B234" t="s">
        <v>1496</v>
      </c>
      <c r="C234">
        <v>650</v>
      </c>
      <c r="D234" t="s">
        <v>1487</v>
      </c>
      <c r="E234" t="s">
        <v>5942</v>
      </c>
      <c r="F234" s="519">
        <v>45955</v>
      </c>
      <c r="G234" s="519">
        <v>45955</v>
      </c>
      <c r="H234" s="519">
        <v>46319</v>
      </c>
      <c r="J234">
        <v>880</v>
      </c>
      <c r="K234" s="520">
        <v>1120.27</v>
      </c>
      <c r="L234" s="520">
        <v>1036.49</v>
      </c>
      <c r="M234">
        <v>0</v>
      </c>
      <c r="N234">
        <v>300</v>
      </c>
    </row>
    <row r="235" spans="1:14">
      <c r="A235" t="s">
        <v>896</v>
      </c>
      <c r="B235" t="s">
        <v>1496</v>
      </c>
      <c r="C235">
        <v>650</v>
      </c>
      <c r="D235" t="s">
        <v>5672</v>
      </c>
      <c r="E235" t="s">
        <v>5673</v>
      </c>
      <c r="J235">
        <v>830</v>
      </c>
      <c r="K235">
        <v>0</v>
      </c>
      <c r="L235">
        <v>0</v>
      </c>
      <c r="N235">
        <v>0</v>
      </c>
    </row>
    <row r="236" spans="1:14">
      <c r="A236" t="s">
        <v>5943</v>
      </c>
      <c r="B236" t="s">
        <v>1496</v>
      </c>
      <c r="C236">
        <v>650</v>
      </c>
      <c r="D236" t="s">
        <v>1487</v>
      </c>
      <c r="E236" t="s">
        <v>5944</v>
      </c>
      <c r="F236" s="519">
        <v>45635</v>
      </c>
      <c r="G236" s="519">
        <v>46064</v>
      </c>
      <c r="H236" s="519">
        <v>46428</v>
      </c>
      <c r="J236">
        <v>830</v>
      </c>
      <c r="K236" s="520">
        <v>1140.2</v>
      </c>
      <c r="L236" s="520">
        <v>1083</v>
      </c>
      <c r="M236">
        <v>0</v>
      </c>
      <c r="N236">
        <v>0</v>
      </c>
    </row>
    <row r="237" spans="1:14">
      <c r="A237" t="s">
        <v>1693</v>
      </c>
      <c r="B237" t="s">
        <v>1496</v>
      </c>
      <c r="C237">
        <v>650</v>
      </c>
      <c r="D237" t="s">
        <v>1487</v>
      </c>
      <c r="E237" t="s">
        <v>1694</v>
      </c>
      <c r="F237" s="519">
        <v>46022</v>
      </c>
      <c r="G237" s="519">
        <v>46022</v>
      </c>
      <c r="H237" s="519">
        <v>46386</v>
      </c>
      <c r="J237">
        <v>880</v>
      </c>
      <c r="K237" s="520">
        <v>1047</v>
      </c>
      <c r="L237" s="520">
        <v>1047</v>
      </c>
      <c r="M237">
        <v>35</v>
      </c>
      <c r="N237">
        <v>125</v>
      </c>
    </row>
    <row r="238" spans="1:14">
      <c r="A238" t="s">
        <v>5945</v>
      </c>
      <c r="B238" t="s">
        <v>1496</v>
      </c>
      <c r="C238">
        <v>650</v>
      </c>
      <c r="D238" t="s">
        <v>1487</v>
      </c>
      <c r="E238" t="s">
        <v>5946</v>
      </c>
      <c r="F238" s="519">
        <v>44529</v>
      </c>
      <c r="G238" s="519">
        <v>45992</v>
      </c>
      <c r="H238" s="519">
        <v>46356</v>
      </c>
      <c r="J238">
        <v>830</v>
      </c>
      <c r="K238" s="520">
        <v>1164.2</v>
      </c>
      <c r="L238" s="520">
        <v>1106.5</v>
      </c>
      <c r="M238">
        <v>0</v>
      </c>
      <c r="N238">
        <v>0</v>
      </c>
    </row>
    <row r="239" spans="1:14">
      <c r="A239" t="s">
        <v>5947</v>
      </c>
      <c r="B239" t="s">
        <v>1496</v>
      </c>
      <c r="C239">
        <v>650</v>
      </c>
      <c r="D239" t="s">
        <v>1487</v>
      </c>
      <c r="E239" t="s">
        <v>5948</v>
      </c>
      <c r="F239" s="519">
        <v>45931</v>
      </c>
      <c r="G239" s="519">
        <v>45931</v>
      </c>
      <c r="H239" s="519">
        <v>46295</v>
      </c>
      <c r="J239">
        <v>785</v>
      </c>
      <c r="K239" s="520">
        <v>1065.27</v>
      </c>
      <c r="L239">
        <v>981.5</v>
      </c>
      <c r="M239">
        <v>0</v>
      </c>
      <c r="N239">
        <v>0</v>
      </c>
    </row>
    <row r="240" spans="1:14">
      <c r="A240" t="s">
        <v>1695</v>
      </c>
      <c r="B240" t="s">
        <v>1496</v>
      </c>
      <c r="C240">
        <v>650</v>
      </c>
      <c r="D240" t="s">
        <v>1487</v>
      </c>
      <c r="E240" t="s">
        <v>1696</v>
      </c>
      <c r="F240" s="519">
        <v>44233</v>
      </c>
      <c r="G240" s="519">
        <v>46054</v>
      </c>
      <c r="J240">
        <v>830</v>
      </c>
      <c r="K240" s="520">
        <v>1188.27</v>
      </c>
      <c r="L240">
        <v>975.5</v>
      </c>
      <c r="M240" s="520">
        <v>1188.27</v>
      </c>
      <c r="N240">
        <v>0</v>
      </c>
    </row>
    <row r="241" spans="1:14">
      <c r="A241" t="s">
        <v>5949</v>
      </c>
      <c r="B241" t="s">
        <v>1496</v>
      </c>
      <c r="C241">
        <v>650</v>
      </c>
      <c r="D241" t="s">
        <v>1487</v>
      </c>
      <c r="E241" t="s">
        <v>5950</v>
      </c>
      <c r="F241" s="519">
        <v>45674</v>
      </c>
      <c r="G241" s="519">
        <v>46098</v>
      </c>
      <c r="J241">
        <v>830</v>
      </c>
      <c r="K241" s="520">
        <v>1272.2</v>
      </c>
      <c r="L241" s="520">
        <v>1214.5</v>
      </c>
      <c r="M241">
        <v>0</v>
      </c>
      <c r="N241">
        <v>0</v>
      </c>
    </row>
    <row r="242" spans="1:14">
      <c r="A242" t="s">
        <v>1697</v>
      </c>
      <c r="B242" t="s">
        <v>1496</v>
      </c>
      <c r="C242">
        <v>650</v>
      </c>
      <c r="D242" t="s">
        <v>1487</v>
      </c>
      <c r="E242" t="s">
        <v>1698</v>
      </c>
      <c r="F242" s="519">
        <v>45563</v>
      </c>
      <c r="G242" s="519">
        <v>45989</v>
      </c>
      <c r="H242" s="519">
        <v>46353</v>
      </c>
      <c r="J242">
        <v>855</v>
      </c>
      <c r="K242" s="520">
        <v>1289.2</v>
      </c>
      <c r="L242" s="520">
        <v>1091</v>
      </c>
      <c r="M242" s="520">
        <v>1035.81</v>
      </c>
      <c r="N242">
        <v>0</v>
      </c>
    </row>
    <row r="243" spans="1:14">
      <c r="A243" t="s">
        <v>1699</v>
      </c>
      <c r="B243" t="s">
        <v>1496</v>
      </c>
      <c r="C243">
        <v>650</v>
      </c>
      <c r="D243" t="s">
        <v>5672</v>
      </c>
      <c r="E243" t="s">
        <v>5673</v>
      </c>
      <c r="J243">
        <v>805</v>
      </c>
      <c r="K243">
        <v>0</v>
      </c>
      <c r="L243">
        <v>0</v>
      </c>
      <c r="N243">
        <v>0</v>
      </c>
    </row>
    <row r="244" spans="1:14">
      <c r="A244" t="s">
        <v>5951</v>
      </c>
      <c r="B244" t="s">
        <v>1496</v>
      </c>
      <c r="C244">
        <v>650</v>
      </c>
      <c r="D244" t="s">
        <v>1487</v>
      </c>
      <c r="E244" t="s">
        <v>5952</v>
      </c>
      <c r="F244" s="519">
        <v>45532</v>
      </c>
      <c r="G244" s="519">
        <v>45931</v>
      </c>
      <c r="H244" s="519">
        <v>46295</v>
      </c>
      <c r="J244">
        <v>760</v>
      </c>
      <c r="K244">
        <v>992.2</v>
      </c>
      <c r="L244">
        <v>935</v>
      </c>
      <c r="M244">
        <v>0</v>
      </c>
      <c r="N244">
        <v>750</v>
      </c>
    </row>
    <row r="245" spans="1:14">
      <c r="A245" t="s">
        <v>2818</v>
      </c>
      <c r="B245" t="s">
        <v>1496</v>
      </c>
      <c r="C245">
        <v>650</v>
      </c>
      <c r="D245" t="s">
        <v>1487</v>
      </c>
      <c r="E245" t="s">
        <v>3621</v>
      </c>
      <c r="F245" s="519">
        <v>46139</v>
      </c>
      <c r="G245" s="519">
        <v>46139</v>
      </c>
      <c r="H245" s="519">
        <v>46503</v>
      </c>
      <c r="J245">
        <v>805</v>
      </c>
      <c r="K245">
        <v>214</v>
      </c>
      <c r="L245">
        <v>846</v>
      </c>
      <c r="M245">
        <v>-823.7</v>
      </c>
      <c r="N245">
        <v>500</v>
      </c>
    </row>
    <row r="246" spans="1:14">
      <c r="A246" t="s">
        <v>5953</v>
      </c>
      <c r="B246" t="s">
        <v>1496</v>
      </c>
      <c r="C246">
        <v>650</v>
      </c>
      <c r="D246" t="s">
        <v>1487</v>
      </c>
      <c r="E246" t="s">
        <v>5954</v>
      </c>
      <c r="F246" s="519">
        <v>45479</v>
      </c>
      <c r="G246" s="519">
        <v>46082</v>
      </c>
      <c r="H246" s="519">
        <v>46445</v>
      </c>
      <c r="J246">
        <v>805</v>
      </c>
      <c r="K246" s="520">
        <v>1157.2</v>
      </c>
      <c r="L246" s="520">
        <v>1100</v>
      </c>
      <c r="M246">
        <v>0</v>
      </c>
      <c r="N246">
        <v>0</v>
      </c>
    </row>
    <row r="247" spans="1:14">
      <c r="A247" t="s">
        <v>1701</v>
      </c>
      <c r="B247" t="s">
        <v>1496</v>
      </c>
      <c r="C247">
        <v>650</v>
      </c>
      <c r="D247" t="s">
        <v>1486</v>
      </c>
      <c r="E247" t="s">
        <v>1702</v>
      </c>
      <c r="F247" s="519">
        <v>45995</v>
      </c>
      <c r="G247" s="519">
        <v>45995</v>
      </c>
      <c r="H247" s="519">
        <v>46359</v>
      </c>
      <c r="I247" s="519">
        <v>46165</v>
      </c>
      <c r="J247">
        <v>760</v>
      </c>
      <c r="K247">
        <v>989.4</v>
      </c>
      <c r="L247">
        <v>830.5</v>
      </c>
      <c r="M247" s="520">
        <v>3763.17</v>
      </c>
      <c r="N247">
        <v>0</v>
      </c>
    </row>
    <row r="248" spans="1:14">
      <c r="A248" t="s">
        <v>5955</v>
      </c>
      <c r="B248" t="s">
        <v>1496</v>
      </c>
      <c r="C248">
        <v>650</v>
      </c>
      <c r="D248" t="s">
        <v>1487</v>
      </c>
      <c r="E248" t="s">
        <v>5956</v>
      </c>
      <c r="F248" s="519">
        <v>45940</v>
      </c>
      <c r="G248" s="519">
        <v>45940</v>
      </c>
      <c r="H248" s="519">
        <v>46304</v>
      </c>
      <c r="J248">
        <v>760</v>
      </c>
      <c r="K248">
        <v>888.2</v>
      </c>
      <c r="L248">
        <v>830.5</v>
      </c>
      <c r="M248">
        <v>0</v>
      </c>
      <c r="N248">
        <v>0</v>
      </c>
    </row>
    <row r="249" spans="1:14">
      <c r="A249" t="s">
        <v>5957</v>
      </c>
      <c r="B249" t="s">
        <v>1496</v>
      </c>
      <c r="C249">
        <v>650</v>
      </c>
      <c r="D249" t="s">
        <v>1487</v>
      </c>
      <c r="E249" t="s">
        <v>5958</v>
      </c>
      <c r="F249" s="519">
        <v>44870</v>
      </c>
      <c r="G249" s="519">
        <v>46054</v>
      </c>
      <c r="J249">
        <v>760</v>
      </c>
      <c r="K249">
        <v>982.2</v>
      </c>
      <c r="L249">
        <v>924.5</v>
      </c>
      <c r="M249">
        <v>0</v>
      </c>
      <c r="N249">
        <v>0</v>
      </c>
    </row>
    <row r="250" spans="1:14">
      <c r="A250" t="s">
        <v>5959</v>
      </c>
      <c r="B250" t="s">
        <v>1496</v>
      </c>
      <c r="C250">
        <v>650</v>
      </c>
      <c r="D250" t="s">
        <v>5672</v>
      </c>
      <c r="E250" t="s">
        <v>5673</v>
      </c>
      <c r="J250">
        <v>815</v>
      </c>
      <c r="K250">
        <v>0</v>
      </c>
      <c r="L250">
        <v>0</v>
      </c>
      <c r="N250">
        <v>0</v>
      </c>
    </row>
    <row r="251" spans="1:14">
      <c r="A251" t="s">
        <v>2983</v>
      </c>
      <c r="B251" t="s">
        <v>1496</v>
      </c>
      <c r="C251">
        <v>650</v>
      </c>
      <c r="D251" t="s">
        <v>1486</v>
      </c>
      <c r="E251" t="s">
        <v>5960</v>
      </c>
      <c r="F251" s="519">
        <v>45539</v>
      </c>
      <c r="G251" s="519">
        <v>45965</v>
      </c>
      <c r="H251" s="519">
        <v>46145</v>
      </c>
      <c r="I251" s="519">
        <v>46146</v>
      </c>
      <c r="J251">
        <v>770</v>
      </c>
      <c r="K251" s="520">
        <v>1044.2</v>
      </c>
      <c r="L251">
        <v>986.5</v>
      </c>
      <c r="M251">
        <v>0</v>
      </c>
      <c r="N251">
        <v>750</v>
      </c>
    </row>
    <row r="252" spans="1:14">
      <c r="A252" t="s">
        <v>5961</v>
      </c>
      <c r="B252" t="s">
        <v>1496</v>
      </c>
      <c r="C252">
        <v>650</v>
      </c>
      <c r="D252" t="s">
        <v>1487</v>
      </c>
      <c r="E252" t="s">
        <v>5962</v>
      </c>
      <c r="F252" s="519">
        <v>45946</v>
      </c>
      <c r="G252" s="519">
        <v>45946</v>
      </c>
      <c r="H252" s="519">
        <v>46310</v>
      </c>
      <c r="J252">
        <v>865</v>
      </c>
      <c r="K252" s="520">
        <v>1048.2</v>
      </c>
      <c r="L252">
        <v>990.5</v>
      </c>
      <c r="M252">
        <v>0</v>
      </c>
      <c r="N252">
        <v>0</v>
      </c>
    </row>
    <row r="253" spans="1:14">
      <c r="A253" t="s">
        <v>5963</v>
      </c>
      <c r="B253" t="s">
        <v>1496</v>
      </c>
      <c r="C253">
        <v>650</v>
      </c>
      <c r="D253" t="s">
        <v>5733</v>
      </c>
      <c r="E253" t="s">
        <v>5673</v>
      </c>
      <c r="J253">
        <v>815</v>
      </c>
      <c r="K253">
        <v>0</v>
      </c>
      <c r="L253">
        <v>0</v>
      </c>
      <c r="N253">
        <v>0</v>
      </c>
    </row>
    <row r="254" spans="1:14">
      <c r="A254" t="s">
        <v>5964</v>
      </c>
      <c r="B254" t="s">
        <v>1496</v>
      </c>
      <c r="C254">
        <v>650</v>
      </c>
      <c r="D254" t="s">
        <v>1487</v>
      </c>
      <c r="E254" t="s">
        <v>5965</v>
      </c>
      <c r="F254" s="519">
        <v>42699</v>
      </c>
      <c r="G254" s="519">
        <v>45809</v>
      </c>
      <c r="H254" s="519">
        <v>46173</v>
      </c>
      <c r="J254">
        <v>815</v>
      </c>
      <c r="K254" s="520">
        <v>1065.27</v>
      </c>
      <c r="L254">
        <v>982</v>
      </c>
      <c r="M254">
        <v>0</v>
      </c>
      <c r="N254">
        <v>150</v>
      </c>
    </row>
    <row r="255" spans="1:14">
      <c r="A255" t="s">
        <v>5966</v>
      </c>
      <c r="B255" t="s">
        <v>1496</v>
      </c>
      <c r="C255">
        <v>650</v>
      </c>
      <c r="D255" t="s">
        <v>5672</v>
      </c>
      <c r="E255" t="s">
        <v>5673</v>
      </c>
      <c r="J255">
        <v>815</v>
      </c>
      <c r="K255">
        <v>0</v>
      </c>
      <c r="L255">
        <v>0</v>
      </c>
      <c r="N255">
        <v>0</v>
      </c>
    </row>
    <row r="256" spans="1:14">
      <c r="A256" t="s">
        <v>5613</v>
      </c>
      <c r="B256" t="s">
        <v>1496</v>
      </c>
      <c r="C256">
        <v>650</v>
      </c>
      <c r="D256" t="s">
        <v>5672</v>
      </c>
      <c r="E256" t="s">
        <v>5673</v>
      </c>
      <c r="J256">
        <v>815</v>
      </c>
      <c r="K256">
        <v>0</v>
      </c>
      <c r="L256">
        <v>0</v>
      </c>
      <c r="N256">
        <v>0</v>
      </c>
    </row>
    <row r="257" spans="1:14">
      <c r="A257" t="s">
        <v>5967</v>
      </c>
      <c r="B257" t="s">
        <v>1496</v>
      </c>
      <c r="C257">
        <v>650</v>
      </c>
      <c r="D257" t="s">
        <v>5672</v>
      </c>
      <c r="E257" t="s">
        <v>5673</v>
      </c>
      <c r="J257">
        <v>815</v>
      </c>
      <c r="K257">
        <v>0</v>
      </c>
      <c r="L257">
        <v>0</v>
      </c>
      <c r="N257">
        <v>0</v>
      </c>
    </row>
    <row r="258" spans="1:14">
      <c r="A258" t="s">
        <v>5968</v>
      </c>
      <c r="B258" t="s">
        <v>1497</v>
      </c>
      <c r="C258">
        <v>667</v>
      </c>
      <c r="D258" t="s">
        <v>1487</v>
      </c>
      <c r="E258" t="s">
        <v>5969</v>
      </c>
      <c r="F258" s="519">
        <v>45717</v>
      </c>
      <c r="G258" s="519">
        <v>46083</v>
      </c>
      <c r="H258" s="519">
        <v>46447</v>
      </c>
      <c r="J258">
        <v>948</v>
      </c>
      <c r="K258" s="520">
        <v>1131.78</v>
      </c>
      <c r="L258" s="520">
        <v>1074</v>
      </c>
      <c r="M258">
        <v>0</v>
      </c>
      <c r="N258">
        <v>0</v>
      </c>
    </row>
    <row r="259" spans="1:14">
      <c r="A259" t="s">
        <v>5970</v>
      </c>
      <c r="B259" t="s">
        <v>1497</v>
      </c>
      <c r="C259">
        <v>667</v>
      </c>
      <c r="D259" t="s">
        <v>1487</v>
      </c>
      <c r="E259" t="s">
        <v>5971</v>
      </c>
      <c r="F259" s="519">
        <v>45777</v>
      </c>
      <c r="G259" s="519">
        <v>45777</v>
      </c>
      <c r="H259" s="519">
        <v>46141</v>
      </c>
      <c r="J259">
        <v>973</v>
      </c>
      <c r="K259" s="520">
        <v>1180.78</v>
      </c>
      <c r="L259" s="520">
        <v>1115.49</v>
      </c>
      <c r="M259">
        <v>-6</v>
      </c>
      <c r="N259">
        <v>0</v>
      </c>
    </row>
    <row r="260" spans="1:14">
      <c r="A260" t="s">
        <v>1742</v>
      </c>
      <c r="B260" t="s">
        <v>1497</v>
      </c>
      <c r="C260">
        <v>667</v>
      </c>
      <c r="D260" t="s">
        <v>1486</v>
      </c>
      <c r="E260" t="s">
        <v>1743</v>
      </c>
      <c r="F260" s="519">
        <v>45155</v>
      </c>
      <c r="G260" s="519">
        <v>45870</v>
      </c>
      <c r="H260" s="519">
        <v>46234</v>
      </c>
      <c r="I260" s="519">
        <v>46234</v>
      </c>
      <c r="J260">
        <v>933</v>
      </c>
      <c r="K260" s="520">
        <v>1238.78</v>
      </c>
      <c r="L260" s="520">
        <v>1045.49</v>
      </c>
      <c r="M260">
        <v>738.78</v>
      </c>
      <c r="N260">
        <v>0</v>
      </c>
    </row>
    <row r="261" spans="1:14">
      <c r="A261" t="s">
        <v>5972</v>
      </c>
      <c r="B261" t="s">
        <v>1497</v>
      </c>
      <c r="C261">
        <v>667</v>
      </c>
      <c r="D261" t="s">
        <v>1486</v>
      </c>
      <c r="E261" t="s">
        <v>5973</v>
      </c>
      <c r="F261" s="519">
        <v>45593</v>
      </c>
      <c r="G261" s="519">
        <v>46019</v>
      </c>
      <c r="H261" s="519">
        <v>46200</v>
      </c>
      <c r="I261" s="519">
        <v>46200</v>
      </c>
      <c r="J261">
        <v>903</v>
      </c>
      <c r="K261" s="520">
        <v>1025.78</v>
      </c>
      <c r="L261">
        <v>968</v>
      </c>
      <c r="M261">
        <v>0</v>
      </c>
      <c r="N261">
        <v>0</v>
      </c>
    </row>
    <row r="262" spans="1:14">
      <c r="A262" t="s">
        <v>5974</v>
      </c>
      <c r="B262" t="s">
        <v>1497</v>
      </c>
      <c r="C262">
        <v>667</v>
      </c>
      <c r="D262" t="s">
        <v>1487</v>
      </c>
      <c r="E262" t="s">
        <v>5975</v>
      </c>
      <c r="F262" s="519">
        <v>44153</v>
      </c>
      <c r="G262" s="519">
        <v>45992</v>
      </c>
      <c r="H262" s="519">
        <v>46356</v>
      </c>
      <c r="J262">
        <v>878</v>
      </c>
      <c r="K262" s="520">
        <v>1025.78</v>
      </c>
      <c r="L262">
        <v>967.49</v>
      </c>
      <c r="M262">
        <v>0</v>
      </c>
      <c r="N262">
        <v>0</v>
      </c>
    </row>
    <row r="263" spans="1:14">
      <c r="A263" t="s">
        <v>2113</v>
      </c>
      <c r="B263" t="s">
        <v>1497</v>
      </c>
      <c r="C263">
        <v>667</v>
      </c>
      <c r="D263" t="s">
        <v>1487</v>
      </c>
      <c r="E263" t="s">
        <v>2114</v>
      </c>
      <c r="F263" s="519">
        <v>45908</v>
      </c>
      <c r="G263" s="519">
        <v>45908</v>
      </c>
      <c r="H263" s="519">
        <v>46272</v>
      </c>
      <c r="J263">
        <v>933</v>
      </c>
      <c r="K263" s="520">
        <v>1120.78</v>
      </c>
      <c r="L263">
        <v>892.5</v>
      </c>
      <c r="M263">
        <v>0</v>
      </c>
      <c r="N263">
        <v>0</v>
      </c>
    </row>
    <row r="264" spans="1:14">
      <c r="A264" t="s">
        <v>5976</v>
      </c>
      <c r="B264" t="s">
        <v>1497</v>
      </c>
      <c r="C264">
        <v>667</v>
      </c>
      <c r="D264" t="s">
        <v>1487</v>
      </c>
      <c r="E264" t="s">
        <v>5977</v>
      </c>
      <c r="F264" s="519">
        <v>45236</v>
      </c>
      <c r="G264" s="519">
        <v>45967</v>
      </c>
      <c r="H264" s="519">
        <v>46331</v>
      </c>
      <c r="J264">
        <v>998</v>
      </c>
      <c r="K264" s="520">
        <v>1300.8499999999999</v>
      </c>
      <c r="L264" s="520">
        <v>1216.5</v>
      </c>
      <c r="M264">
        <v>0</v>
      </c>
      <c r="N264">
        <v>0</v>
      </c>
    </row>
    <row r="265" spans="1:14">
      <c r="A265" t="s">
        <v>1744</v>
      </c>
      <c r="B265" t="s">
        <v>1497</v>
      </c>
      <c r="C265">
        <v>667</v>
      </c>
      <c r="D265" t="s">
        <v>1487</v>
      </c>
      <c r="E265" t="s">
        <v>1745</v>
      </c>
      <c r="F265" s="519">
        <v>45383</v>
      </c>
      <c r="G265" s="519">
        <v>45807</v>
      </c>
      <c r="H265" s="519">
        <v>46171</v>
      </c>
      <c r="J265">
        <v>973</v>
      </c>
      <c r="K265" s="520">
        <v>1413.85</v>
      </c>
      <c r="L265" s="520">
        <v>1181.48</v>
      </c>
      <c r="M265" s="520">
        <v>7208</v>
      </c>
      <c r="N265">
        <v>0</v>
      </c>
    </row>
    <row r="266" spans="1:14">
      <c r="A266" t="s">
        <v>887</v>
      </c>
      <c r="B266" t="s">
        <v>1497</v>
      </c>
      <c r="C266">
        <v>667</v>
      </c>
      <c r="D266" t="s">
        <v>5672</v>
      </c>
      <c r="E266" t="s">
        <v>5673</v>
      </c>
      <c r="J266">
        <v>933</v>
      </c>
      <c r="K266">
        <v>0</v>
      </c>
      <c r="L266">
        <v>0</v>
      </c>
      <c r="N266">
        <v>0</v>
      </c>
    </row>
    <row r="267" spans="1:14">
      <c r="A267" t="s">
        <v>5978</v>
      </c>
      <c r="B267" t="s">
        <v>1497</v>
      </c>
      <c r="C267">
        <v>667</v>
      </c>
      <c r="D267" t="s">
        <v>1487</v>
      </c>
      <c r="E267" t="s">
        <v>5979</v>
      </c>
      <c r="F267" s="519">
        <v>44228</v>
      </c>
      <c r="G267" s="519">
        <v>45870</v>
      </c>
      <c r="H267" s="519">
        <v>46234</v>
      </c>
      <c r="J267">
        <v>903</v>
      </c>
      <c r="K267" s="520">
        <v>1014.78</v>
      </c>
      <c r="L267">
        <v>956.5</v>
      </c>
      <c r="M267">
        <v>0</v>
      </c>
      <c r="N267">
        <v>0</v>
      </c>
    </row>
    <row r="268" spans="1:14">
      <c r="A268" t="s">
        <v>1746</v>
      </c>
      <c r="B268" t="s">
        <v>1497</v>
      </c>
      <c r="C268">
        <v>667</v>
      </c>
      <c r="D268" t="s">
        <v>5672</v>
      </c>
      <c r="E268" t="s">
        <v>5673</v>
      </c>
      <c r="J268">
        <v>923</v>
      </c>
      <c r="K268">
        <v>0</v>
      </c>
      <c r="L268">
        <v>0</v>
      </c>
      <c r="N268">
        <v>0</v>
      </c>
    </row>
    <row r="269" spans="1:14">
      <c r="A269" t="s">
        <v>5980</v>
      </c>
      <c r="B269" t="s">
        <v>1497</v>
      </c>
      <c r="C269">
        <v>667</v>
      </c>
      <c r="D269" t="s">
        <v>1487</v>
      </c>
      <c r="E269" t="s">
        <v>5981</v>
      </c>
      <c r="F269" s="519">
        <v>45313</v>
      </c>
      <c r="G269" s="519">
        <v>46103</v>
      </c>
      <c r="H269" s="519">
        <v>46466</v>
      </c>
      <c r="J269">
        <v>888</v>
      </c>
      <c r="K269" s="520">
        <v>1131.78</v>
      </c>
      <c r="L269" s="520">
        <v>1074</v>
      </c>
      <c r="M269">
        <v>0</v>
      </c>
      <c r="N269">
        <v>0</v>
      </c>
    </row>
    <row r="270" spans="1:14">
      <c r="A270" t="s">
        <v>5982</v>
      </c>
      <c r="B270" t="s">
        <v>1497</v>
      </c>
      <c r="C270">
        <v>667</v>
      </c>
      <c r="D270" t="s">
        <v>1486</v>
      </c>
      <c r="E270" t="s">
        <v>5983</v>
      </c>
      <c r="F270" s="519">
        <v>45843</v>
      </c>
      <c r="G270" s="519">
        <v>45843</v>
      </c>
      <c r="H270" s="519">
        <v>46207</v>
      </c>
      <c r="I270" s="519">
        <v>46209</v>
      </c>
      <c r="J270">
        <v>948</v>
      </c>
      <c r="K270" s="520">
        <v>1210.78</v>
      </c>
      <c r="L270" s="520">
        <v>1019.5</v>
      </c>
      <c r="M270">
        <v>0</v>
      </c>
      <c r="N270">
        <v>0</v>
      </c>
    </row>
    <row r="271" spans="1:14">
      <c r="A271" t="s">
        <v>5984</v>
      </c>
      <c r="B271" t="s">
        <v>1497</v>
      </c>
      <c r="C271">
        <v>667</v>
      </c>
      <c r="D271" t="s">
        <v>1487</v>
      </c>
      <c r="E271" t="s">
        <v>5985</v>
      </c>
      <c r="F271" s="519">
        <v>45859</v>
      </c>
      <c r="G271" s="519">
        <v>45859</v>
      </c>
      <c r="H271" s="519">
        <v>46223</v>
      </c>
      <c r="J271">
        <v>923</v>
      </c>
      <c r="K271" s="520">
        <v>1062.78</v>
      </c>
      <c r="L271" s="520">
        <v>1004.5</v>
      </c>
      <c r="M271">
        <v>0</v>
      </c>
      <c r="N271">
        <v>0</v>
      </c>
    </row>
    <row r="272" spans="1:14">
      <c r="A272" t="s">
        <v>1748</v>
      </c>
      <c r="B272" t="s">
        <v>1497</v>
      </c>
      <c r="C272">
        <v>667</v>
      </c>
      <c r="D272" t="s">
        <v>5672</v>
      </c>
      <c r="E272" t="s">
        <v>5673</v>
      </c>
      <c r="J272">
        <v>888</v>
      </c>
      <c r="K272">
        <v>0</v>
      </c>
      <c r="L272">
        <v>0</v>
      </c>
      <c r="N272">
        <v>0</v>
      </c>
    </row>
    <row r="273" spans="1:14">
      <c r="A273" t="s">
        <v>5986</v>
      </c>
      <c r="B273" t="s">
        <v>1497</v>
      </c>
      <c r="C273">
        <v>667</v>
      </c>
      <c r="D273" t="s">
        <v>1487</v>
      </c>
      <c r="E273" t="s">
        <v>5987</v>
      </c>
      <c r="F273" s="519">
        <v>44536</v>
      </c>
      <c r="G273" s="519">
        <v>45992</v>
      </c>
      <c r="H273" s="519">
        <v>46356</v>
      </c>
      <c r="J273">
        <v>903</v>
      </c>
      <c r="K273" s="520">
        <v>1063.78</v>
      </c>
      <c r="L273" s="520">
        <v>1005.5</v>
      </c>
      <c r="M273">
        <v>0</v>
      </c>
      <c r="N273">
        <v>750</v>
      </c>
    </row>
    <row r="274" spans="1:14">
      <c r="A274" t="s">
        <v>1003</v>
      </c>
      <c r="B274" t="s">
        <v>1497</v>
      </c>
      <c r="C274">
        <v>667</v>
      </c>
      <c r="D274" t="s">
        <v>5672</v>
      </c>
      <c r="E274" t="s">
        <v>5673</v>
      </c>
      <c r="J274">
        <v>973</v>
      </c>
      <c r="K274">
        <v>0</v>
      </c>
      <c r="L274">
        <v>0</v>
      </c>
      <c r="N274">
        <v>0</v>
      </c>
    </row>
    <row r="275" spans="1:14">
      <c r="A275" t="s">
        <v>5989</v>
      </c>
      <c r="B275" t="s">
        <v>1497</v>
      </c>
      <c r="C275">
        <v>667</v>
      </c>
      <c r="D275" t="s">
        <v>1487</v>
      </c>
      <c r="E275" t="s">
        <v>5990</v>
      </c>
      <c r="F275" s="519">
        <v>44760</v>
      </c>
      <c r="G275" s="519">
        <v>45870</v>
      </c>
      <c r="H275" s="519">
        <v>46234</v>
      </c>
      <c r="J275">
        <v>933</v>
      </c>
      <c r="K275" s="520">
        <v>1078.78</v>
      </c>
      <c r="L275" s="520">
        <v>1020.5</v>
      </c>
      <c r="M275">
        <v>0</v>
      </c>
      <c r="N275">
        <v>0</v>
      </c>
    </row>
    <row r="276" spans="1:14">
      <c r="A276" t="s">
        <v>5449</v>
      </c>
      <c r="B276" t="s">
        <v>1497</v>
      </c>
      <c r="C276">
        <v>667</v>
      </c>
      <c r="D276" t="s">
        <v>1487</v>
      </c>
      <c r="E276" t="s">
        <v>5991</v>
      </c>
      <c r="F276" s="519">
        <v>46051</v>
      </c>
      <c r="G276" s="519">
        <v>46051</v>
      </c>
      <c r="H276" s="519">
        <v>46415</v>
      </c>
      <c r="J276">
        <v>998</v>
      </c>
      <c r="K276" s="520">
        <v>1076</v>
      </c>
      <c r="L276" s="520">
        <v>1076</v>
      </c>
      <c r="M276">
        <v>0</v>
      </c>
      <c r="N276">
        <v>500</v>
      </c>
    </row>
    <row r="277" spans="1:14">
      <c r="A277" t="s">
        <v>5601</v>
      </c>
      <c r="B277" t="s">
        <v>1497</v>
      </c>
      <c r="C277">
        <v>667</v>
      </c>
      <c r="D277" t="s">
        <v>1487</v>
      </c>
      <c r="E277" t="s">
        <v>5992</v>
      </c>
      <c r="F277" s="519">
        <v>45954</v>
      </c>
      <c r="G277" s="519">
        <v>45954</v>
      </c>
      <c r="H277" s="519">
        <v>46318</v>
      </c>
      <c r="J277">
        <v>878</v>
      </c>
      <c r="K277">
        <v>988.78</v>
      </c>
      <c r="L277">
        <v>930.5</v>
      </c>
      <c r="M277">
        <v>0</v>
      </c>
      <c r="N277">
        <v>750</v>
      </c>
    </row>
    <row r="278" spans="1:14">
      <c r="A278" t="s">
        <v>5993</v>
      </c>
      <c r="B278" t="s">
        <v>1497</v>
      </c>
      <c r="C278">
        <v>667</v>
      </c>
      <c r="D278" t="s">
        <v>1487</v>
      </c>
      <c r="E278" t="s">
        <v>5994</v>
      </c>
      <c r="F278" s="519">
        <v>39612</v>
      </c>
      <c r="G278" s="519">
        <v>45870</v>
      </c>
      <c r="H278" s="519">
        <v>46234</v>
      </c>
      <c r="J278">
        <v>888</v>
      </c>
      <c r="K278">
        <v>970.78</v>
      </c>
      <c r="L278">
        <v>913</v>
      </c>
      <c r="M278">
        <v>0</v>
      </c>
      <c r="N278">
        <v>0</v>
      </c>
    </row>
    <row r="279" spans="1:14">
      <c r="A279" t="s">
        <v>878</v>
      </c>
      <c r="B279" t="s">
        <v>1497</v>
      </c>
      <c r="C279">
        <v>667</v>
      </c>
      <c r="D279" t="s">
        <v>5672</v>
      </c>
      <c r="E279" t="s">
        <v>5673</v>
      </c>
      <c r="J279">
        <v>903</v>
      </c>
      <c r="K279">
        <v>0</v>
      </c>
      <c r="L279">
        <v>0</v>
      </c>
      <c r="N279">
        <v>0</v>
      </c>
    </row>
    <row r="280" spans="1:14">
      <c r="A280" t="s">
        <v>1751</v>
      </c>
      <c r="B280" t="s">
        <v>1497</v>
      </c>
      <c r="C280">
        <v>667</v>
      </c>
      <c r="D280" t="s">
        <v>1487</v>
      </c>
      <c r="E280" t="s">
        <v>1752</v>
      </c>
      <c r="F280" s="519">
        <v>44896</v>
      </c>
      <c r="G280" s="519">
        <v>46073</v>
      </c>
      <c r="H280" s="519">
        <v>46437</v>
      </c>
      <c r="J280">
        <v>878</v>
      </c>
      <c r="K280" s="520">
        <v>1243.78</v>
      </c>
      <c r="L280" s="520">
        <v>1144</v>
      </c>
      <c r="M280">
        <v>71</v>
      </c>
      <c r="N280">
        <v>0</v>
      </c>
    </row>
    <row r="281" spans="1:14">
      <c r="A281" t="s">
        <v>3561</v>
      </c>
      <c r="B281" t="s">
        <v>1497</v>
      </c>
      <c r="C281">
        <v>667</v>
      </c>
      <c r="D281" t="s">
        <v>5672</v>
      </c>
      <c r="E281" t="s">
        <v>5673</v>
      </c>
      <c r="J281">
        <v>933</v>
      </c>
      <c r="K281">
        <v>0</v>
      </c>
      <c r="L281">
        <v>0</v>
      </c>
      <c r="N281">
        <v>0</v>
      </c>
    </row>
    <row r="282" spans="1:14">
      <c r="A282" t="s">
        <v>1113</v>
      </c>
      <c r="B282" t="s">
        <v>1497</v>
      </c>
      <c r="C282">
        <v>667</v>
      </c>
      <c r="D282" t="s">
        <v>5672</v>
      </c>
      <c r="E282" t="s">
        <v>5673</v>
      </c>
      <c r="J282">
        <v>903</v>
      </c>
      <c r="K282">
        <v>0</v>
      </c>
      <c r="L282">
        <v>0</v>
      </c>
      <c r="N282">
        <v>0</v>
      </c>
    </row>
    <row r="283" spans="1:14">
      <c r="A283" t="s">
        <v>5995</v>
      </c>
      <c r="B283" t="s">
        <v>1497</v>
      </c>
      <c r="C283">
        <v>667</v>
      </c>
      <c r="D283" t="s">
        <v>1487</v>
      </c>
      <c r="E283" t="s">
        <v>5996</v>
      </c>
      <c r="F283" s="519">
        <v>44313</v>
      </c>
      <c r="G283" s="519">
        <v>45778</v>
      </c>
      <c r="H283" s="519">
        <v>46142</v>
      </c>
      <c r="J283">
        <v>973</v>
      </c>
      <c r="K283" s="520">
        <v>1304.78</v>
      </c>
      <c r="L283" s="520">
        <v>1246.5</v>
      </c>
      <c r="M283">
        <v>-500</v>
      </c>
      <c r="N283">
        <v>0</v>
      </c>
    </row>
    <row r="284" spans="1:14">
      <c r="A284" t="s">
        <v>5997</v>
      </c>
      <c r="B284" t="s">
        <v>1497</v>
      </c>
      <c r="C284">
        <v>667</v>
      </c>
      <c r="D284" t="s">
        <v>1487</v>
      </c>
      <c r="E284" t="s">
        <v>5998</v>
      </c>
      <c r="F284" s="519">
        <v>44007</v>
      </c>
      <c r="G284" s="519">
        <v>45870</v>
      </c>
      <c r="H284" s="519">
        <v>46234</v>
      </c>
      <c r="J284">
        <v>888</v>
      </c>
      <c r="K284">
        <v>955.78</v>
      </c>
      <c r="L284">
        <v>897.5</v>
      </c>
      <c r="M284">
        <v>-966.69</v>
      </c>
      <c r="N284">
        <v>150</v>
      </c>
    </row>
    <row r="285" spans="1:14">
      <c r="A285" t="s">
        <v>1366</v>
      </c>
      <c r="B285" t="s">
        <v>1497</v>
      </c>
      <c r="C285">
        <v>667</v>
      </c>
      <c r="D285" t="s">
        <v>5781</v>
      </c>
      <c r="E285" t="s">
        <v>5673</v>
      </c>
      <c r="J285">
        <v>998</v>
      </c>
      <c r="K285">
        <v>0</v>
      </c>
      <c r="L285">
        <v>0</v>
      </c>
    </row>
    <row r="286" spans="1:14">
      <c r="A286" t="s">
        <v>5999</v>
      </c>
      <c r="B286" t="s">
        <v>1497</v>
      </c>
      <c r="C286">
        <v>667</v>
      </c>
      <c r="D286" t="s">
        <v>1487</v>
      </c>
      <c r="E286" t="s">
        <v>6000</v>
      </c>
      <c r="F286" s="519">
        <v>44835</v>
      </c>
      <c r="G286" s="519">
        <v>45931</v>
      </c>
      <c r="H286" s="519">
        <v>46295</v>
      </c>
      <c r="J286">
        <v>923</v>
      </c>
      <c r="K286" s="520">
        <v>1154.8499999999999</v>
      </c>
      <c r="L286" s="520">
        <v>1070.5</v>
      </c>
      <c r="M286">
        <v>0</v>
      </c>
      <c r="N286">
        <v>0</v>
      </c>
    </row>
    <row r="287" spans="1:14">
      <c r="A287" t="s">
        <v>6001</v>
      </c>
      <c r="B287" t="s">
        <v>1497</v>
      </c>
      <c r="C287">
        <v>667</v>
      </c>
      <c r="D287" t="s">
        <v>1487</v>
      </c>
      <c r="E287" t="s">
        <v>6002</v>
      </c>
      <c r="F287" s="519">
        <v>38716</v>
      </c>
      <c r="G287" s="519">
        <v>45809</v>
      </c>
      <c r="H287" s="519">
        <v>46173</v>
      </c>
      <c r="J287">
        <v>888</v>
      </c>
      <c r="K287" s="520">
        <v>1020.78</v>
      </c>
      <c r="L287">
        <v>963</v>
      </c>
      <c r="M287" s="520">
        <v>-1031.69</v>
      </c>
      <c r="N287">
        <v>0</v>
      </c>
    </row>
    <row r="288" spans="1:14">
      <c r="A288" t="s">
        <v>6003</v>
      </c>
      <c r="B288" t="s">
        <v>1497</v>
      </c>
      <c r="C288">
        <v>667</v>
      </c>
      <c r="D288" t="s">
        <v>1487</v>
      </c>
      <c r="E288" t="s">
        <v>6004</v>
      </c>
      <c r="F288" s="519">
        <v>45409</v>
      </c>
      <c r="G288" s="519">
        <v>45839</v>
      </c>
      <c r="H288" s="519">
        <v>46203</v>
      </c>
      <c r="J288">
        <v>998</v>
      </c>
      <c r="K288" s="520">
        <v>1227.78</v>
      </c>
      <c r="L288" s="520">
        <v>1169.5</v>
      </c>
      <c r="M288">
        <v>0</v>
      </c>
      <c r="N288">
        <v>0</v>
      </c>
    </row>
    <row r="289" spans="1:14">
      <c r="A289" t="s">
        <v>893</v>
      </c>
      <c r="B289" t="s">
        <v>1497</v>
      </c>
      <c r="C289">
        <v>667</v>
      </c>
      <c r="D289" t="s">
        <v>5672</v>
      </c>
      <c r="E289" t="s">
        <v>5673</v>
      </c>
      <c r="J289">
        <v>923</v>
      </c>
      <c r="K289">
        <v>0</v>
      </c>
      <c r="L289">
        <v>0</v>
      </c>
      <c r="N289">
        <v>0</v>
      </c>
    </row>
    <row r="290" spans="1:14">
      <c r="A290" t="s">
        <v>1758</v>
      </c>
      <c r="B290" t="s">
        <v>1497</v>
      </c>
      <c r="C290">
        <v>667</v>
      </c>
      <c r="D290" t="s">
        <v>1487</v>
      </c>
      <c r="E290" t="s">
        <v>1759</v>
      </c>
      <c r="F290" s="519">
        <v>42349</v>
      </c>
      <c r="G290" s="519">
        <v>46113</v>
      </c>
      <c r="H290" s="519">
        <v>46477</v>
      </c>
      <c r="J290">
        <v>888</v>
      </c>
      <c r="K290" s="520">
        <v>1098.78</v>
      </c>
      <c r="L290" s="520">
        <v>1041</v>
      </c>
      <c r="M290">
        <v>98.78</v>
      </c>
      <c r="N290">
        <v>150</v>
      </c>
    </row>
    <row r="291" spans="1:14">
      <c r="A291" t="s">
        <v>1760</v>
      </c>
      <c r="B291" t="s">
        <v>1497</v>
      </c>
      <c r="C291">
        <v>667</v>
      </c>
      <c r="D291" t="s">
        <v>5672</v>
      </c>
      <c r="E291" t="s">
        <v>5673</v>
      </c>
      <c r="J291">
        <v>948</v>
      </c>
      <c r="K291">
        <v>0</v>
      </c>
      <c r="L291">
        <v>0</v>
      </c>
      <c r="N291">
        <v>0</v>
      </c>
    </row>
    <row r="292" spans="1:14">
      <c r="A292" t="s">
        <v>6005</v>
      </c>
      <c r="B292" t="s">
        <v>1497</v>
      </c>
      <c r="C292">
        <v>667</v>
      </c>
      <c r="D292" t="s">
        <v>1487</v>
      </c>
      <c r="E292" t="s">
        <v>6006</v>
      </c>
      <c r="F292" s="519">
        <v>45409</v>
      </c>
      <c r="G292" s="519">
        <v>45835</v>
      </c>
      <c r="H292" s="519">
        <v>46199</v>
      </c>
      <c r="J292">
        <v>923</v>
      </c>
      <c r="K292" s="520">
        <v>1087.78</v>
      </c>
      <c r="L292" s="520">
        <v>1030</v>
      </c>
      <c r="M292">
        <v>0</v>
      </c>
      <c r="N292">
        <v>750</v>
      </c>
    </row>
    <row r="293" spans="1:14">
      <c r="A293" t="s">
        <v>6007</v>
      </c>
      <c r="B293" t="s">
        <v>1497</v>
      </c>
      <c r="C293">
        <v>667</v>
      </c>
      <c r="D293" t="s">
        <v>5672</v>
      </c>
      <c r="E293" t="s">
        <v>5673</v>
      </c>
      <c r="J293">
        <v>888</v>
      </c>
      <c r="K293">
        <v>0</v>
      </c>
      <c r="L293">
        <v>0</v>
      </c>
      <c r="N293">
        <v>0</v>
      </c>
    </row>
    <row r="294" spans="1:14">
      <c r="A294" t="s">
        <v>6009</v>
      </c>
      <c r="B294" t="s">
        <v>1497</v>
      </c>
      <c r="C294">
        <v>667</v>
      </c>
      <c r="D294" t="s">
        <v>1487</v>
      </c>
      <c r="E294" t="s">
        <v>6010</v>
      </c>
      <c r="F294" s="519">
        <v>45642</v>
      </c>
      <c r="G294" s="519">
        <v>46069</v>
      </c>
      <c r="H294" s="519">
        <v>46433</v>
      </c>
      <c r="J294">
        <v>998</v>
      </c>
      <c r="K294" s="520">
        <v>1282.8499999999999</v>
      </c>
      <c r="L294" s="520">
        <v>1199</v>
      </c>
      <c r="M294">
        <v>0</v>
      </c>
      <c r="N294">
        <v>0</v>
      </c>
    </row>
    <row r="295" spans="1:14">
      <c r="A295" t="s">
        <v>3211</v>
      </c>
      <c r="B295" t="s">
        <v>1497</v>
      </c>
      <c r="C295">
        <v>667</v>
      </c>
      <c r="D295" t="s">
        <v>5672</v>
      </c>
      <c r="E295" t="s">
        <v>5673</v>
      </c>
      <c r="J295">
        <v>878</v>
      </c>
      <c r="K295">
        <v>0</v>
      </c>
      <c r="L295">
        <v>0</v>
      </c>
      <c r="N295">
        <v>0</v>
      </c>
    </row>
    <row r="296" spans="1:14">
      <c r="A296" t="s">
        <v>1773</v>
      </c>
      <c r="B296" t="s">
        <v>1497</v>
      </c>
      <c r="C296">
        <v>667</v>
      </c>
      <c r="D296" t="s">
        <v>1487</v>
      </c>
      <c r="E296" t="s">
        <v>1774</v>
      </c>
      <c r="F296" s="519">
        <v>43964</v>
      </c>
      <c r="G296" s="519">
        <v>45536</v>
      </c>
      <c r="J296">
        <v>983</v>
      </c>
      <c r="K296" s="520">
        <v>1516.78</v>
      </c>
      <c r="L296" s="520">
        <v>1340.5</v>
      </c>
      <c r="M296" s="520">
        <v>33854.15</v>
      </c>
      <c r="N296">
        <v>150</v>
      </c>
    </row>
    <row r="297" spans="1:14">
      <c r="A297" t="s">
        <v>6011</v>
      </c>
      <c r="B297" t="s">
        <v>1497</v>
      </c>
      <c r="C297">
        <v>667</v>
      </c>
      <c r="D297" t="s">
        <v>1487</v>
      </c>
      <c r="E297" t="s">
        <v>6012</v>
      </c>
      <c r="F297" s="519">
        <v>44136</v>
      </c>
      <c r="G297" s="519">
        <v>45778</v>
      </c>
      <c r="H297" s="519">
        <v>46142</v>
      </c>
      <c r="J297">
        <v>948</v>
      </c>
      <c r="K297" s="520">
        <v>1148.8499999999999</v>
      </c>
      <c r="L297" s="520">
        <v>1064.5</v>
      </c>
      <c r="M297">
        <v>0</v>
      </c>
      <c r="N297">
        <v>0</v>
      </c>
    </row>
    <row r="298" spans="1:14">
      <c r="A298" t="s">
        <v>6013</v>
      </c>
      <c r="B298" t="s">
        <v>1497</v>
      </c>
      <c r="C298">
        <v>667</v>
      </c>
      <c r="D298" t="s">
        <v>1487</v>
      </c>
      <c r="E298" t="s">
        <v>6014</v>
      </c>
      <c r="F298" s="519">
        <v>45201</v>
      </c>
      <c r="G298" s="519">
        <v>45931</v>
      </c>
      <c r="H298" s="519">
        <v>46295</v>
      </c>
      <c r="J298">
        <v>878</v>
      </c>
      <c r="K298" s="520">
        <v>1032.78</v>
      </c>
      <c r="L298">
        <v>975</v>
      </c>
      <c r="M298">
        <v>0</v>
      </c>
      <c r="N298">
        <v>750</v>
      </c>
    </row>
    <row r="299" spans="1:14">
      <c r="A299" t="s">
        <v>6015</v>
      </c>
      <c r="B299" t="s">
        <v>1497</v>
      </c>
      <c r="C299">
        <v>667</v>
      </c>
      <c r="D299" t="s">
        <v>1487</v>
      </c>
      <c r="E299" t="s">
        <v>6016</v>
      </c>
      <c r="F299" s="519">
        <v>45597</v>
      </c>
      <c r="G299" s="519">
        <v>45962</v>
      </c>
      <c r="H299" s="519">
        <v>46326</v>
      </c>
      <c r="J299">
        <v>933</v>
      </c>
      <c r="K299">
        <v>973.85</v>
      </c>
      <c r="L299">
        <v>889.5</v>
      </c>
      <c r="M299">
        <v>0</v>
      </c>
      <c r="N299">
        <v>0</v>
      </c>
    </row>
    <row r="300" spans="1:14">
      <c r="A300" t="s">
        <v>884</v>
      </c>
      <c r="B300" t="s">
        <v>1497</v>
      </c>
      <c r="C300">
        <v>667</v>
      </c>
      <c r="D300" t="s">
        <v>5672</v>
      </c>
      <c r="E300" t="s">
        <v>5673</v>
      </c>
      <c r="J300">
        <v>948</v>
      </c>
      <c r="K300">
        <v>0</v>
      </c>
      <c r="L300">
        <v>0</v>
      </c>
      <c r="N300">
        <v>0</v>
      </c>
    </row>
    <row r="301" spans="1:14">
      <c r="A301" t="s">
        <v>6017</v>
      </c>
      <c r="B301" t="s">
        <v>1497</v>
      </c>
      <c r="C301">
        <v>667</v>
      </c>
      <c r="D301" t="s">
        <v>1486</v>
      </c>
      <c r="E301" t="s">
        <v>6018</v>
      </c>
      <c r="F301" s="519">
        <v>44646</v>
      </c>
      <c r="G301" s="519">
        <v>46113</v>
      </c>
      <c r="H301" s="519">
        <v>46178</v>
      </c>
      <c r="I301" s="519">
        <v>46178</v>
      </c>
      <c r="J301">
        <v>923</v>
      </c>
      <c r="K301" s="520">
        <v>1356.85</v>
      </c>
      <c r="L301" s="520">
        <v>1273</v>
      </c>
      <c r="M301">
        <v>0</v>
      </c>
      <c r="N301">
        <v>0</v>
      </c>
    </row>
    <row r="302" spans="1:14">
      <c r="A302" t="s">
        <v>6019</v>
      </c>
      <c r="B302" t="s">
        <v>1497</v>
      </c>
      <c r="C302">
        <v>667</v>
      </c>
      <c r="D302" t="s">
        <v>1487</v>
      </c>
      <c r="E302" t="s">
        <v>6020</v>
      </c>
      <c r="F302" s="519">
        <v>43891</v>
      </c>
      <c r="G302" s="519">
        <v>46082</v>
      </c>
      <c r="H302" s="519">
        <v>46445</v>
      </c>
      <c r="J302">
        <v>983</v>
      </c>
      <c r="K302" s="520">
        <v>1260.8499999999999</v>
      </c>
      <c r="L302" s="520">
        <v>1177</v>
      </c>
      <c r="M302">
        <v>0</v>
      </c>
      <c r="N302">
        <v>150</v>
      </c>
    </row>
    <row r="303" spans="1:14">
      <c r="A303" t="s">
        <v>5419</v>
      </c>
      <c r="B303" t="s">
        <v>1497</v>
      </c>
      <c r="C303">
        <v>667</v>
      </c>
      <c r="D303" t="s">
        <v>1487</v>
      </c>
      <c r="E303" t="s">
        <v>6021</v>
      </c>
      <c r="F303" s="519">
        <v>45626</v>
      </c>
      <c r="G303" s="519">
        <v>46052</v>
      </c>
      <c r="J303">
        <v>948</v>
      </c>
      <c r="K303" s="520">
        <v>1113.8499999999999</v>
      </c>
      <c r="L303" s="520">
        <v>1029.5</v>
      </c>
      <c r="M303">
        <v>0</v>
      </c>
      <c r="N303">
        <v>0</v>
      </c>
    </row>
    <row r="304" spans="1:14">
      <c r="A304" t="s">
        <v>1393</v>
      </c>
      <c r="B304" t="s">
        <v>1497</v>
      </c>
      <c r="C304">
        <v>667</v>
      </c>
      <c r="D304" t="s">
        <v>5672</v>
      </c>
      <c r="E304" t="s">
        <v>5673</v>
      </c>
      <c r="J304">
        <v>908</v>
      </c>
      <c r="K304">
        <v>0</v>
      </c>
      <c r="L304">
        <v>0</v>
      </c>
      <c r="N304">
        <v>0</v>
      </c>
    </row>
    <row r="305" spans="1:14">
      <c r="A305" t="s">
        <v>5566</v>
      </c>
      <c r="B305" t="s">
        <v>1497</v>
      </c>
      <c r="C305">
        <v>667</v>
      </c>
      <c r="D305" t="s">
        <v>1487</v>
      </c>
      <c r="E305" t="s">
        <v>6022</v>
      </c>
      <c r="F305" s="519">
        <v>45931</v>
      </c>
      <c r="G305" s="519">
        <v>45931</v>
      </c>
      <c r="H305" s="519">
        <v>46295</v>
      </c>
      <c r="J305">
        <v>933</v>
      </c>
      <c r="K305" s="520">
        <v>1043.78</v>
      </c>
      <c r="L305">
        <v>985.5</v>
      </c>
      <c r="M305">
        <v>0</v>
      </c>
      <c r="N305">
        <v>750</v>
      </c>
    </row>
    <row r="306" spans="1:14">
      <c r="A306" t="s">
        <v>6023</v>
      </c>
      <c r="B306" t="s">
        <v>1497</v>
      </c>
      <c r="C306">
        <v>667</v>
      </c>
      <c r="D306" t="s">
        <v>1487</v>
      </c>
      <c r="E306" t="s">
        <v>6024</v>
      </c>
      <c r="F306" s="519">
        <v>45098</v>
      </c>
      <c r="G306" s="519">
        <v>45901</v>
      </c>
      <c r="H306" s="519">
        <v>46265</v>
      </c>
      <c r="J306">
        <v>948</v>
      </c>
      <c r="K306" s="520">
        <v>1115.8499999999999</v>
      </c>
      <c r="L306" s="520">
        <v>1031.5</v>
      </c>
      <c r="M306">
        <v>0</v>
      </c>
      <c r="N306">
        <v>0</v>
      </c>
    </row>
    <row r="307" spans="1:14">
      <c r="A307" t="s">
        <v>6025</v>
      </c>
      <c r="B307" t="s">
        <v>1497</v>
      </c>
      <c r="C307">
        <v>667</v>
      </c>
      <c r="D307" t="s">
        <v>1487</v>
      </c>
      <c r="E307" t="s">
        <v>6026</v>
      </c>
      <c r="F307" s="519">
        <v>45199</v>
      </c>
      <c r="G307" s="519">
        <v>45931</v>
      </c>
      <c r="H307" s="519">
        <v>46295</v>
      </c>
      <c r="J307">
        <v>878</v>
      </c>
      <c r="K307" s="520">
        <v>1093.8499999999999</v>
      </c>
      <c r="L307" s="520">
        <v>1009.5</v>
      </c>
      <c r="M307">
        <v>0</v>
      </c>
      <c r="N307">
        <v>0</v>
      </c>
    </row>
    <row r="308" spans="1:14">
      <c r="A308" t="s">
        <v>1787</v>
      </c>
      <c r="B308" t="s">
        <v>1497</v>
      </c>
      <c r="C308">
        <v>667</v>
      </c>
      <c r="D308" t="s">
        <v>1487</v>
      </c>
      <c r="E308" t="s">
        <v>1788</v>
      </c>
      <c r="F308" s="519">
        <v>45395</v>
      </c>
      <c r="G308" s="519">
        <v>45821</v>
      </c>
      <c r="H308" s="519">
        <v>46185</v>
      </c>
      <c r="J308">
        <v>933</v>
      </c>
      <c r="K308" s="520">
        <v>1217.78</v>
      </c>
      <c r="L308" s="520">
        <v>1124.5</v>
      </c>
      <c r="M308">
        <v>272.20999999999998</v>
      </c>
      <c r="N308">
        <v>0</v>
      </c>
    </row>
    <row r="309" spans="1:14">
      <c r="A309" t="s">
        <v>5592</v>
      </c>
      <c r="B309" t="s">
        <v>1497</v>
      </c>
      <c r="C309">
        <v>667</v>
      </c>
      <c r="D309" t="s">
        <v>1487</v>
      </c>
      <c r="E309" t="s">
        <v>6027</v>
      </c>
      <c r="F309" s="519">
        <v>46045</v>
      </c>
      <c r="G309" s="519">
        <v>46045</v>
      </c>
      <c r="H309" s="519">
        <v>46409</v>
      </c>
      <c r="J309">
        <v>998</v>
      </c>
      <c r="K309" s="520">
        <v>1244</v>
      </c>
      <c r="L309" s="520">
        <v>1244</v>
      </c>
      <c r="M309">
        <v>0</v>
      </c>
      <c r="N309">
        <v>0</v>
      </c>
    </row>
    <row r="310" spans="1:14">
      <c r="A310" t="s">
        <v>3238</v>
      </c>
      <c r="B310" t="s">
        <v>1497</v>
      </c>
      <c r="C310">
        <v>667</v>
      </c>
      <c r="D310" t="s">
        <v>5686</v>
      </c>
      <c r="E310" t="s">
        <v>5673</v>
      </c>
      <c r="J310">
        <v>923</v>
      </c>
      <c r="K310">
        <v>0</v>
      </c>
      <c r="L310">
        <v>0</v>
      </c>
      <c r="N310">
        <v>0</v>
      </c>
    </row>
    <row r="311" spans="1:14">
      <c r="A311" t="s">
        <v>1789</v>
      </c>
      <c r="B311" t="s">
        <v>1497</v>
      </c>
      <c r="C311">
        <v>667</v>
      </c>
      <c r="D311" t="s">
        <v>1487</v>
      </c>
      <c r="E311" t="s">
        <v>1790</v>
      </c>
      <c r="F311" s="519">
        <v>44176</v>
      </c>
      <c r="G311" s="519">
        <v>46082</v>
      </c>
      <c r="J311">
        <v>933</v>
      </c>
      <c r="K311" s="520">
        <v>1407.85</v>
      </c>
      <c r="L311" s="520">
        <v>1175.78</v>
      </c>
      <c r="M311" s="520">
        <v>8665.61</v>
      </c>
      <c r="N311">
        <v>0</v>
      </c>
    </row>
    <row r="312" spans="1:14">
      <c r="A312" t="s">
        <v>6028</v>
      </c>
      <c r="B312" t="s">
        <v>1497</v>
      </c>
      <c r="C312">
        <v>667</v>
      </c>
      <c r="D312" t="s">
        <v>1487</v>
      </c>
      <c r="E312" t="s">
        <v>6029</v>
      </c>
      <c r="F312" s="519">
        <v>44856</v>
      </c>
      <c r="G312" s="519">
        <v>45962</v>
      </c>
      <c r="H312" s="519">
        <v>46326</v>
      </c>
      <c r="J312">
        <v>948</v>
      </c>
      <c r="K312" s="520">
        <v>1064.78</v>
      </c>
      <c r="L312" s="520">
        <v>1006.49</v>
      </c>
      <c r="M312">
        <v>0</v>
      </c>
      <c r="N312">
        <v>750</v>
      </c>
    </row>
    <row r="313" spans="1:14">
      <c r="A313" t="s">
        <v>1791</v>
      </c>
      <c r="B313" t="s">
        <v>1497</v>
      </c>
      <c r="C313">
        <v>667</v>
      </c>
      <c r="D313" t="s">
        <v>1487</v>
      </c>
      <c r="E313" t="s">
        <v>1792</v>
      </c>
      <c r="F313" s="519">
        <v>45596</v>
      </c>
      <c r="G313" s="519">
        <v>46022</v>
      </c>
      <c r="J313">
        <v>908</v>
      </c>
      <c r="K313" s="520">
        <v>1183.78</v>
      </c>
      <c r="L313">
        <v>995.49</v>
      </c>
      <c r="M313" s="520">
        <v>7339.77</v>
      </c>
      <c r="N313">
        <v>0</v>
      </c>
    </row>
    <row r="314" spans="1:14">
      <c r="A314" t="s">
        <v>6030</v>
      </c>
      <c r="B314" t="s">
        <v>1497</v>
      </c>
      <c r="C314">
        <v>667</v>
      </c>
      <c r="D314" t="s">
        <v>1487</v>
      </c>
      <c r="E314" t="s">
        <v>6031</v>
      </c>
      <c r="F314" s="519">
        <v>43721</v>
      </c>
      <c r="G314" s="519">
        <v>45931</v>
      </c>
      <c r="H314" s="519">
        <v>46295</v>
      </c>
      <c r="J314">
        <v>933</v>
      </c>
      <c r="K314" s="520">
        <v>1041.78</v>
      </c>
      <c r="L314">
        <v>983.5</v>
      </c>
      <c r="M314">
        <v>0</v>
      </c>
      <c r="N314">
        <v>150</v>
      </c>
    </row>
    <row r="315" spans="1:14">
      <c r="A315" t="s">
        <v>1793</v>
      </c>
      <c r="B315" t="s">
        <v>1497</v>
      </c>
      <c r="C315">
        <v>667</v>
      </c>
      <c r="D315" t="s">
        <v>1487</v>
      </c>
      <c r="E315" t="s">
        <v>1794</v>
      </c>
      <c r="F315" s="519">
        <v>45701</v>
      </c>
      <c r="G315" s="519">
        <v>46125</v>
      </c>
      <c r="H315" s="519">
        <v>46489</v>
      </c>
      <c r="J315">
        <v>903</v>
      </c>
      <c r="K315" s="520">
        <v>1239.78</v>
      </c>
      <c r="L315" s="520">
        <v>1094</v>
      </c>
      <c r="M315">
        <v>388.16</v>
      </c>
      <c r="N315">
        <v>0</v>
      </c>
    </row>
    <row r="316" spans="1:14">
      <c r="A316" t="s">
        <v>3632</v>
      </c>
      <c r="B316" t="s">
        <v>1497</v>
      </c>
      <c r="C316">
        <v>667</v>
      </c>
      <c r="D316" t="s">
        <v>5672</v>
      </c>
      <c r="E316" t="s">
        <v>5673</v>
      </c>
      <c r="J316">
        <v>923</v>
      </c>
      <c r="K316">
        <v>0</v>
      </c>
      <c r="L316">
        <v>0</v>
      </c>
      <c r="N316">
        <v>0</v>
      </c>
    </row>
    <row r="317" spans="1:14">
      <c r="A317" t="s">
        <v>6032</v>
      </c>
      <c r="B317" t="s">
        <v>1497</v>
      </c>
      <c r="C317">
        <v>667</v>
      </c>
      <c r="D317" t="s">
        <v>1487</v>
      </c>
      <c r="E317" t="s">
        <v>6033</v>
      </c>
      <c r="F317" s="519">
        <v>45898</v>
      </c>
      <c r="G317" s="519">
        <v>45901</v>
      </c>
      <c r="H317" s="519">
        <v>46265</v>
      </c>
      <c r="J317">
        <v>933</v>
      </c>
      <c r="K317" s="520">
        <v>1046.78</v>
      </c>
      <c r="L317">
        <v>989</v>
      </c>
      <c r="M317">
        <v>0</v>
      </c>
      <c r="N317">
        <v>0</v>
      </c>
    </row>
    <row r="318" spans="1:14">
      <c r="A318" t="s">
        <v>6034</v>
      </c>
      <c r="B318" t="s">
        <v>1497</v>
      </c>
      <c r="C318">
        <v>667</v>
      </c>
      <c r="D318" t="s">
        <v>1487</v>
      </c>
      <c r="E318" t="s">
        <v>6035</v>
      </c>
      <c r="F318" s="519">
        <v>39149</v>
      </c>
      <c r="G318" s="519">
        <v>45931</v>
      </c>
      <c r="H318" s="519">
        <v>46295</v>
      </c>
      <c r="J318">
        <v>903</v>
      </c>
      <c r="K318">
        <v>941.78</v>
      </c>
      <c r="L318">
        <v>884</v>
      </c>
      <c r="M318">
        <v>0</v>
      </c>
      <c r="N318">
        <v>100</v>
      </c>
    </row>
    <row r="319" spans="1:14">
      <c r="A319" t="s">
        <v>3618</v>
      </c>
      <c r="B319" t="s">
        <v>1497</v>
      </c>
      <c r="C319">
        <v>667</v>
      </c>
      <c r="D319" t="s">
        <v>1486</v>
      </c>
      <c r="E319" t="s">
        <v>6036</v>
      </c>
      <c r="F319" s="519">
        <v>45829</v>
      </c>
      <c r="G319" s="519">
        <v>45829</v>
      </c>
      <c r="H319" s="519">
        <v>46193</v>
      </c>
      <c r="I319" s="519">
        <v>46193</v>
      </c>
      <c r="J319">
        <v>973</v>
      </c>
      <c r="K319" s="520">
        <v>1138.78</v>
      </c>
      <c r="L319" s="520">
        <v>1080.5</v>
      </c>
      <c r="M319">
        <v>0</v>
      </c>
      <c r="N319">
        <v>750</v>
      </c>
    </row>
    <row r="320" spans="1:14">
      <c r="A320" t="s">
        <v>6037</v>
      </c>
      <c r="B320" t="s">
        <v>1497</v>
      </c>
      <c r="C320">
        <v>667</v>
      </c>
      <c r="D320" t="s">
        <v>1487</v>
      </c>
      <c r="E320" t="s">
        <v>6038</v>
      </c>
      <c r="F320" s="519">
        <v>45722</v>
      </c>
      <c r="G320" s="519">
        <v>45722</v>
      </c>
      <c r="H320" s="519">
        <v>46147</v>
      </c>
      <c r="J320">
        <v>918</v>
      </c>
      <c r="K320" s="520">
        <v>1057.78</v>
      </c>
      <c r="L320">
        <v>999.5</v>
      </c>
      <c r="M320">
        <v>0</v>
      </c>
      <c r="N320">
        <v>0</v>
      </c>
    </row>
    <row r="321" spans="1:14">
      <c r="A321" t="s">
        <v>6039</v>
      </c>
      <c r="B321" t="s">
        <v>1497</v>
      </c>
      <c r="C321">
        <v>667</v>
      </c>
      <c r="D321" t="s">
        <v>1486</v>
      </c>
      <c r="E321" t="s">
        <v>6040</v>
      </c>
      <c r="F321" s="519">
        <v>44701</v>
      </c>
      <c r="G321" s="519">
        <v>45809</v>
      </c>
      <c r="H321" s="519">
        <v>46173</v>
      </c>
      <c r="I321" s="519">
        <v>46174</v>
      </c>
      <c r="J321">
        <v>948</v>
      </c>
      <c r="K321" s="520">
        <v>1170.8499999999999</v>
      </c>
      <c r="L321" s="520">
        <v>1086.5</v>
      </c>
      <c r="M321" s="520">
        <v>-1187.6400000000001</v>
      </c>
      <c r="N321">
        <v>0</v>
      </c>
    </row>
    <row r="322" spans="1:14">
      <c r="A322" t="s">
        <v>3546</v>
      </c>
      <c r="B322" t="s">
        <v>1497</v>
      </c>
      <c r="C322">
        <v>667</v>
      </c>
      <c r="D322" t="s">
        <v>6041</v>
      </c>
      <c r="E322" t="s">
        <v>5673</v>
      </c>
      <c r="J322">
        <v>973</v>
      </c>
      <c r="K322">
        <v>0</v>
      </c>
      <c r="L322">
        <v>0</v>
      </c>
      <c r="N322">
        <v>0</v>
      </c>
    </row>
    <row r="323" spans="1:14">
      <c r="A323" t="s">
        <v>6042</v>
      </c>
      <c r="B323" t="s">
        <v>1497</v>
      </c>
      <c r="C323">
        <v>667</v>
      </c>
      <c r="D323" t="s">
        <v>1487</v>
      </c>
      <c r="E323" t="s">
        <v>6043</v>
      </c>
      <c r="F323" s="519">
        <v>44918</v>
      </c>
      <c r="G323" s="519">
        <v>45870</v>
      </c>
      <c r="H323" s="519">
        <v>46234</v>
      </c>
      <c r="J323">
        <v>888</v>
      </c>
      <c r="K323" s="520">
        <v>1162.78</v>
      </c>
      <c r="L323" s="520">
        <v>1104.5</v>
      </c>
      <c r="M323">
        <v>0</v>
      </c>
      <c r="N323">
        <v>0</v>
      </c>
    </row>
    <row r="324" spans="1:14">
      <c r="A324" t="s">
        <v>6044</v>
      </c>
      <c r="B324" t="s">
        <v>1497</v>
      </c>
      <c r="C324">
        <v>667</v>
      </c>
      <c r="D324" t="s">
        <v>1487</v>
      </c>
      <c r="E324" t="s">
        <v>6045</v>
      </c>
      <c r="F324" s="519">
        <v>45419</v>
      </c>
      <c r="G324" s="519">
        <v>45845</v>
      </c>
      <c r="H324" s="519">
        <v>46209</v>
      </c>
      <c r="J324">
        <v>948</v>
      </c>
      <c r="K324" s="520">
        <v>1214.8499999999999</v>
      </c>
      <c r="L324" s="520">
        <v>1130.49</v>
      </c>
      <c r="M324">
        <v>0</v>
      </c>
      <c r="N324">
        <v>0</v>
      </c>
    </row>
    <row r="325" spans="1:14">
      <c r="A325" t="s">
        <v>1362</v>
      </c>
      <c r="B325" t="s">
        <v>1497</v>
      </c>
      <c r="C325">
        <v>667</v>
      </c>
      <c r="D325" t="s">
        <v>5672</v>
      </c>
      <c r="E325" t="s">
        <v>5673</v>
      </c>
      <c r="J325">
        <v>878</v>
      </c>
      <c r="K325">
        <v>0</v>
      </c>
      <c r="L325">
        <v>0</v>
      </c>
      <c r="N325">
        <v>0</v>
      </c>
    </row>
    <row r="326" spans="1:14">
      <c r="A326" t="s">
        <v>6046</v>
      </c>
      <c r="B326" t="s">
        <v>1497</v>
      </c>
      <c r="C326">
        <v>667</v>
      </c>
      <c r="D326" t="s">
        <v>1487</v>
      </c>
      <c r="E326" t="s">
        <v>6047</v>
      </c>
      <c r="F326" s="519">
        <v>45689</v>
      </c>
      <c r="G326" s="519">
        <v>46113</v>
      </c>
      <c r="H326" s="519">
        <v>46477</v>
      </c>
      <c r="J326">
        <v>888</v>
      </c>
      <c r="K326" s="520">
        <v>1131.78</v>
      </c>
      <c r="L326" s="520">
        <v>1074</v>
      </c>
      <c r="M326">
        <v>0</v>
      </c>
      <c r="N326">
        <v>0</v>
      </c>
    </row>
    <row r="327" spans="1:14">
      <c r="A327" t="s">
        <v>6048</v>
      </c>
      <c r="B327" t="s">
        <v>1497</v>
      </c>
      <c r="C327">
        <v>667</v>
      </c>
      <c r="D327" t="s">
        <v>1487</v>
      </c>
      <c r="E327" t="s">
        <v>6049</v>
      </c>
      <c r="F327" s="519">
        <v>44191</v>
      </c>
      <c r="G327" s="519">
        <v>45839</v>
      </c>
      <c r="H327" s="519">
        <v>46203</v>
      </c>
      <c r="J327">
        <v>903</v>
      </c>
      <c r="K327">
        <v>995.85</v>
      </c>
      <c r="L327">
        <v>911.5</v>
      </c>
      <c r="M327">
        <v>0</v>
      </c>
      <c r="N327">
        <v>0</v>
      </c>
    </row>
    <row r="328" spans="1:14">
      <c r="A328" t="s">
        <v>1016</v>
      </c>
      <c r="B328" t="s">
        <v>1497</v>
      </c>
      <c r="C328">
        <v>667</v>
      </c>
      <c r="D328" t="s">
        <v>1487</v>
      </c>
      <c r="E328" t="s">
        <v>1017</v>
      </c>
      <c r="F328" s="519">
        <v>46109</v>
      </c>
      <c r="G328" s="519">
        <v>46109</v>
      </c>
      <c r="H328" s="519">
        <v>46473</v>
      </c>
      <c r="J328">
        <v>878</v>
      </c>
      <c r="K328" s="520">
        <v>1079</v>
      </c>
      <c r="L328">
        <v>952</v>
      </c>
      <c r="M328">
        <v>0</v>
      </c>
      <c r="N328">
        <v>0</v>
      </c>
    </row>
    <row r="329" spans="1:14">
      <c r="A329" t="s">
        <v>6050</v>
      </c>
      <c r="B329" t="s">
        <v>1497</v>
      </c>
      <c r="C329">
        <v>667</v>
      </c>
      <c r="D329" t="s">
        <v>1487</v>
      </c>
      <c r="E329" t="s">
        <v>6051</v>
      </c>
      <c r="F329" s="519">
        <v>44799</v>
      </c>
      <c r="G329" s="519">
        <v>45901</v>
      </c>
      <c r="H329" s="519">
        <v>46265</v>
      </c>
      <c r="J329">
        <v>888</v>
      </c>
      <c r="K329">
        <v>617.85</v>
      </c>
      <c r="L329" s="520">
        <v>1033.49</v>
      </c>
      <c r="M329">
        <v>0</v>
      </c>
      <c r="N329">
        <v>750</v>
      </c>
    </row>
    <row r="330" spans="1:14">
      <c r="A330" t="s">
        <v>1796</v>
      </c>
      <c r="B330" t="s">
        <v>1497</v>
      </c>
      <c r="C330">
        <v>667</v>
      </c>
      <c r="D330" t="s">
        <v>1487</v>
      </c>
      <c r="E330" t="s">
        <v>1797</v>
      </c>
      <c r="F330" s="519">
        <v>45919</v>
      </c>
      <c r="G330" s="519">
        <v>45919</v>
      </c>
      <c r="H330" s="519">
        <v>46283</v>
      </c>
      <c r="J330">
        <v>998</v>
      </c>
      <c r="K330" s="520">
        <v>1344.78</v>
      </c>
      <c r="L330" s="520">
        <v>1142.49</v>
      </c>
      <c r="M330" s="520">
        <v>2571.9899999999998</v>
      </c>
      <c r="N330">
        <v>0</v>
      </c>
    </row>
    <row r="331" spans="1:14">
      <c r="A331" t="s">
        <v>5598</v>
      </c>
      <c r="B331" t="s">
        <v>1497</v>
      </c>
      <c r="C331">
        <v>667</v>
      </c>
      <c r="D331" t="s">
        <v>5672</v>
      </c>
      <c r="E331" t="s">
        <v>5673</v>
      </c>
      <c r="J331">
        <v>923</v>
      </c>
      <c r="K331">
        <v>0</v>
      </c>
      <c r="L331">
        <v>0</v>
      </c>
      <c r="N331">
        <v>0</v>
      </c>
    </row>
    <row r="332" spans="1:14">
      <c r="A332" t="s">
        <v>2957</v>
      </c>
      <c r="B332" t="s">
        <v>1497</v>
      </c>
      <c r="C332">
        <v>667</v>
      </c>
      <c r="D332" t="s">
        <v>1486</v>
      </c>
      <c r="E332" t="s">
        <v>1026</v>
      </c>
      <c r="F332" s="519">
        <v>45980</v>
      </c>
      <c r="G332" s="519">
        <v>45980</v>
      </c>
      <c r="H332" s="519">
        <v>46344</v>
      </c>
      <c r="I332" s="519">
        <v>46151</v>
      </c>
      <c r="J332">
        <v>983</v>
      </c>
      <c r="K332" s="520">
        <v>1203.78</v>
      </c>
      <c r="L332" s="520">
        <v>1145.5</v>
      </c>
      <c r="M332">
        <v>0</v>
      </c>
      <c r="N332">
        <v>0</v>
      </c>
    </row>
    <row r="333" spans="1:14">
      <c r="A333" t="s">
        <v>6052</v>
      </c>
      <c r="B333" t="s">
        <v>1497</v>
      </c>
      <c r="C333">
        <v>667</v>
      </c>
      <c r="D333" t="s">
        <v>1487</v>
      </c>
      <c r="E333" t="s">
        <v>6053</v>
      </c>
      <c r="F333" s="519">
        <v>43881</v>
      </c>
      <c r="G333" s="519">
        <v>46082</v>
      </c>
      <c r="H333" s="519">
        <v>46445</v>
      </c>
      <c r="J333">
        <v>948</v>
      </c>
      <c r="K333" s="520">
        <v>1083.78</v>
      </c>
      <c r="L333" s="520">
        <v>1026</v>
      </c>
      <c r="M333">
        <v>0</v>
      </c>
      <c r="N333">
        <v>150</v>
      </c>
    </row>
    <row r="334" spans="1:14">
      <c r="A334" t="s">
        <v>6054</v>
      </c>
      <c r="B334" t="s">
        <v>1497</v>
      </c>
      <c r="C334">
        <v>667</v>
      </c>
      <c r="D334" t="s">
        <v>1487</v>
      </c>
      <c r="E334" t="s">
        <v>6055</v>
      </c>
      <c r="F334" s="519">
        <v>44491</v>
      </c>
      <c r="G334" s="519">
        <v>45962</v>
      </c>
      <c r="H334" s="519">
        <v>46326</v>
      </c>
      <c r="J334">
        <v>923</v>
      </c>
      <c r="K334" s="520">
        <v>1267.78</v>
      </c>
      <c r="L334" s="520">
        <v>1071.5</v>
      </c>
      <c r="M334">
        <v>0</v>
      </c>
      <c r="N334">
        <v>0</v>
      </c>
    </row>
    <row r="335" spans="1:14">
      <c r="A335" t="s">
        <v>6056</v>
      </c>
      <c r="B335" t="s">
        <v>1497</v>
      </c>
      <c r="C335">
        <v>667</v>
      </c>
      <c r="D335" t="s">
        <v>1487</v>
      </c>
      <c r="E335" t="s">
        <v>6057</v>
      </c>
      <c r="F335" s="519">
        <v>44462</v>
      </c>
      <c r="G335" s="519">
        <v>45901</v>
      </c>
      <c r="H335" s="519">
        <v>46265</v>
      </c>
      <c r="J335">
        <v>933</v>
      </c>
      <c r="K335" s="520">
        <v>1126.8499999999999</v>
      </c>
      <c r="L335" s="520">
        <v>1042.5</v>
      </c>
      <c r="M335">
        <v>0</v>
      </c>
      <c r="N335">
        <v>0</v>
      </c>
    </row>
    <row r="336" spans="1:14">
      <c r="A336" t="s">
        <v>6058</v>
      </c>
      <c r="B336" t="s">
        <v>1497</v>
      </c>
      <c r="C336">
        <v>667</v>
      </c>
      <c r="D336" t="s">
        <v>5672</v>
      </c>
      <c r="E336" t="s">
        <v>5673</v>
      </c>
      <c r="J336">
        <v>948</v>
      </c>
      <c r="K336">
        <v>0</v>
      </c>
      <c r="L336">
        <v>0</v>
      </c>
      <c r="N336">
        <v>0</v>
      </c>
    </row>
    <row r="337" spans="1:14">
      <c r="A337" t="s">
        <v>6059</v>
      </c>
      <c r="B337" t="s">
        <v>1497</v>
      </c>
      <c r="C337">
        <v>667</v>
      </c>
      <c r="D337" t="s">
        <v>1487</v>
      </c>
      <c r="E337" t="s">
        <v>6060</v>
      </c>
      <c r="F337" s="519">
        <v>45838</v>
      </c>
      <c r="G337" s="519">
        <v>45838</v>
      </c>
      <c r="H337" s="519">
        <v>46202</v>
      </c>
      <c r="J337">
        <v>923</v>
      </c>
      <c r="K337" s="520">
        <v>1062.78</v>
      </c>
      <c r="L337" s="520">
        <v>1004.5</v>
      </c>
      <c r="M337">
        <v>0</v>
      </c>
      <c r="N337">
        <v>0</v>
      </c>
    </row>
    <row r="338" spans="1:14">
      <c r="A338" t="s">
        <v>6061</v>
      </c>
      <c r="B338" t="s">
        <v>1497</v>
      </c>
      <c r="C338">
        <v>667</v>
      </c>
      <c r="D338" t="s">
        <v>1487</v>
      </c>
      <c r="E338" t="s">
        <v>6062</v>
      </c>
      <c r="F338" s="519">
        <v>43398</v>
      </c>
      <c r="G338" s="519">
        <v>45962</v>
      </c>
      <c r="H338" s="519">
        <v>46326</v>
      </c>
      <c r="J338">
        <v>933</v>
      </c>
      <c r="K338" s="520">
        <v>1043.78</v>
      </c>
      <c r="L338">
        <v>985.5</v>
      </c>
      <c r="M338">
        <v>0</v>
      </c>
      <c r="N338">
        <v>150</v>
      </c>
    </row>
    <row r="339" spans="1:14">
      <c r="A339" t="s">
        <v>6063</v>
      </c>
      <c r="B339" t="s">
        <v>1497</v>
      </c>
      <c r="C339">
        <v>667</v>
      </c>
      <c r="D339" t="s">
        <v>1486</v>
      </c>
      <c r="E339" t="s">
        <v>6064</v>
      </c>
      <c r="F339" s="519">
        <v>45712</v>
      </c>
      <c r="G339" s="519">
        <v>46136</v>
      </c>
      <c r="H339" s="519">
        <v>46193</v>
      </c>
      <c r="I339" s="519">
        <v>46193</v>
      </c>
      <c r="J339">
        <v>948</v>
      </c>
      <c r="K339" s="520">
        <v>1167.78</v>
      </c>
      <c r="L339" s="520">
        <v>1364</v>
      </c>
      <c r="M339">
        <v>0</v>
      </c>
      <c r="N339">
        <v>0</v>
      </c>
    </row>
    <row r="340" spans="1:14">
      <c r="A340" t="s">
        <v>870</v>
      </c>
      <c r="B340" t="s">
        <v>1497</v>
      </c>
      <c r="C340">
        <v>667</v>
      </c>
      <c r="D340" t="s">
        <v>5672</v>
      </c>
      <c r="E340" t="s">
        <v>5673</v>
      </c>
      <c r="J340">
        <v>923</v>
      </c>
      <c r="K340">
        <v>0</v>
      </c>
      <c r="L340">
        <v>0</v>
      </c>
      <c r="N340">
        <v>0</v>
      </c>
    </row>
    <row r="341" spans="1:14">
      <c r="A341" t="s">
        <v>6065</v>
      </c>
      <c r="B341" t="s">
        <v>1497</v>
      </c>
      <c r="C341">
        <v>667</v>
      </c>
      <c r="D341" t="s">
        <v>1487</v>
      </c>
      <c r="E341" t="s">
        <v>6066</v>
      </c>
      <c r="F341" s="519">
        <v>45809</v>
      </c>
      <c r="G341" s="519">
        <v>45809</v>
      </c>
      <c r="H341" s="519">
        <v>46171</v>
      </c>
      <c r="J341">
        <v>888</v>
      </c>
      <c r="K341">
        <v>998.78</v>
      </c>
      <c r="L341">
        <v>940.5</v>
      </c>
      <c r="M341" s="520">
        <v>-1262.5899999999999</v>
      </c>
      <c r="N341">
        <v>750</v>
      </c>
    </row>
    <row r="342" spans="1:14">
      <c r="A342" t="s">
        <v>2550</v>
      </c>
      <c r="B342" t="s">
        <v>1497</v>
      </c>
      <c r="C342">
        <v>667</v>
      </c>
      <c r="D342" t="s">
        <v>5686</v>
      </c>
      <c r="E342" t="s">
        <v>5673</v>
      </c>
      <c r="J342">
        <v>903</v>
      </c>
      <c r="K342">
        <v>0</v>
      </c>
      <c r="L342">
        <v>0</v>
      </c>
      <c r="N342">
        <v>0</v>
      </c>
    </row>
    <row r="343" spans="1:14">
      <c r="A343" t="s">
        <v>6067</v>
      </c>
      <c r="B343" t="s">
        <v>1497</v>
      </c>
      <c r="C343">
        <v>667</v>
      </c>
      <c r="D343" t="s">
        <v>1487</v>
      </c>
      <c r="E343" t="s">
        <v>6068</v>
      </c>
      <c r="F343" s="519">
        <v>45294</v>
      </c>
      <c r="G343" s="519">
        <v>46085</v>
      </c>
      <c r="J343">
        <v>923</v>
      </c>
      <c r="K343" s="520">
        <v>1427.85</v>
      </c>
      <c r="L343" s="520">
        <v>1344</v>
      </c>
      <c r="M343">
        <v>0</v>
      </c>
      <c r="N343">
        <v>0</v>
      </c>
    </row>
    <row r="344" spans="1:14">
      <c r="A344" t="s">
        <v>1798</v>
      </c>
      <c r="B344" t="s">
        <v>1497</v>
      </c>
      <c r="C344">
        <v>667</v>
      </c>
      <c r="D344" t="s">
        <v>1487</v>
      </c>
      <c r="E344" t="s">
        <v>1799</v>
      </c>
      <c r="F344" s="519">
        <v>45765</v>
      </c>
      <c r="G344" s="519">
        <v>46130</v>
      </c>
      <c r="J344">
        <v>933</v>
      </c>
      <c r="K344" s="520">
        <v>1268.78</v>
      </c>
      <c r="L344" s="520">
        <v>1237.5999999999999</v>
      </c>
      <c r="M344" s="520">
        <v>10267.129999999999</v>
      </c>
      <c r="N344">
        <v>0</v>
      </c>
    </row>
    <row r="345" spans="1:14">
      <c r="A345" t="s">
        <v>1800</v>
      </c>
      <c r="B345" t="s">
        <v>1497</v>
      </c>
      <c r="C345">
        <v>667</v>
      </c>
      <c r="D345" t="s">
        <v>5672</v>
      </c>
      <c r="E345" t="s">
        <v>5673</v>
      </c>
      <c r="J345">
        <v>948</v>
      </c>
      <c r="K345">
        <v>0</v>
      </c>
      <c r="L345">
        <v>0</v>
      </c>
      <c r="N345">
        <v>0</v>
      </c>
    </row>
    <row r="346" spans="1:14">
      <c r="A346" t="s">
        <v>865</v>
      </c>
      <c r="B346" t="s">
        <v>1497</v>
      </c>
      <c r="C346">
        <v>667</v>
      </c>
      <c r="D346" t="s">
        <v>1487</v>
      </c>
      <c r="E346" t="s">
        <v>2098</v>
      </c>
      <c r="F346" s="519">
        <v>46136</v>
      </c>
      <c r="G346" s="519">
        <v>46136</v>
      </c>
      <c r="H346" s="519">
        <v>46500</v>
      </c>
      <c r="J346">
        <v>973</v>
      </c>
      <c r="K346">
        <v>935</v>
      </c>
      <c r="L346" s="520">
        <v>1102</v>
      </c>
      <c r="M346">
        <v>-574.9</v>
      </c>
      <c r="N346">
        <v>0</v>
      </c>
    </row>
    <row r="347" spans="1:14">
      <c r="A347" t="s">
        <v>861</v>
      </c>
      <c r="B347" t="s">
        <v>1497</v>
      </c>
      <c r="C347">
        <v>667</v>
      </c>
      <c r="D347" t="s">
        <v>5672</v>
      </c>
      <c r="E347" t="s">
        <v>5673</v>
      </c>
      <c r="J347">
        <v>933</v>
      </c>
      <c r="K347">
        <v>0</v>
      </c>
      <c r="L347">
        <v>0</v>
      </c>
      <c r="N347">
        <v>0</v>
      </c>
    </row>
    <row r="348" spans="1:14">
      <c r="A348" t="s">
        <v>6069</v>
      </c>
      <c r="B348" t="s">
        <v>1497</v>
      </c>
      <c r="C348">
        <v>667</v>
      </c>
      <c r="D348" t="s">
        <v>1486</v>
      </c>
      <c r="E348" t="s">
        <v>6070</v>
      </c>
      <c r="F348" s="519">
        <v>45846</v>
      </c>
      <c r="G348" s="519">
        <v>45846</v>
      </c>
      <c r="H348" s="519">
        <v>46210</v>
      </c>
      <c r="I348" s="519">
        <v>46210</v>
      </c>
      <c r="J348">
        <v>948</v>
      </c>
      <c r="K348" s="520">
        <v>1093.78</v>
      </c>
      <c r="L348" s="520">
        <v>1035.49</v>
      </c>
      <c r="M348">
        <v>0</v>
      </c>
      <c r="N348">
        <v>0</v>
      </c>
    </row>
    <row r="349" spans="1:14">
      <c r="A349" t="s">
        <v>6071</v>
      </c>
      <c r="B349" t="s">
        <v>1497</v>
      </c>
      <c r="C349">
        <v>667</v>
      </c>
      <c r="D349" t="s">
        <v>1487</v>
      </c>
      <c r="E349" t="s">
        <v>6072</v>
      </c>
      <c r="F349" s="519">
        <v>45884</v>
      </c>
      <c r="G349" s="519">
        <v>45884</v>
      </c>
      <c r="H349" s="519">
        <v>46248</v>
      </c>
      <c r="J349">
        <v>923</v>
      </c>
      <c r="K349" s="520">
        <v>1193.78</v>
      </c>
      <c r="L349" s="520">
        <v>1004.5</v>
      </c>
      <c r="M349">
        <v>0</v>
      </c>
      <c r="N349">
        <v>0</v>
      </c>
    </row>
    <row r="350" spans="1:14">
      <c r="A350" t="s">
        <v>1804</v>
      </c>
      <c r="B350" t="s">
        <v>1497</v>
      </c>
      <c r="C350">
        <v>667</v>
      </c>
      <c r="D350" t="s">
        <v>5672</v>
      </c>
      <c r="E350" t="s">
        <v>5673</v>
      </c>
      <c r="J350">
        <v>933</v>
      </c>
      <c r="K350">
        <v>0</v>
      </c>
      <c r="L350">
        <v>0</v>
      </c>
      <c r="N350">
        <v>0</v>
      </c>
    </row>
    <row r="351" spans="1:14">
      <c r="A351" t="s">
        <v>883</v>
      </c>
      <c r="B351" t="s">
        <v>1497</v>
      </c>
      <c r="C351">
        <v>667</v>
      </c>
      <c r="D351" t="s">
        <v>5672</v>
      </c>
      <c r="E351" t="s">
        <v>5673</v>
      </c>
      <c r="J351">
        <v>998</v>
      </c>
      <c r="K351">
        <v>0</v>
      </c>
      <c r="L351">
        <v>0</v>
      </c>
      <c r="N351">
        <v>0</v>
      </c>
    </row>
    <row r="352" spans="1:14">
      <c r="A352" t="s">
        <v>6073</v>
      </c>
      <c r="B352" t="s">
        <v>1497</v>
      </c>
      <c r="C352">
        <v>667</v>
      </c>
      <c r="D352" t="s">
        <v>1487</v>
      </c>
      <c r="E352" t="s">
        <v>6074</v>
      </c>
      <c r="F352" s="519">
        <v>43659</v>
      </c>
      <c r="G352" s="519">
        <v>46082</v>
      </c>
      <c r="H352" s="519">
        <v>46445</v>
      </c>
      <c r="J352">
        <v>923</v>
      </c>
      <c r="K352" s="520">
        <v>1024.78</v>
      </c>
      <c r="L352">
        <v>967</v>
      </c>
      <c r="M352">
        <v>0</v>
      </c>
      <c r="N352">
        <v>150</v>
      </c>
    </row>
    <row r="353" spans="1:14">
      <c r="A353" t="s">
        <v>6075</v>
      </c>
      <c r="B353" t="s">
        <v>1497</v>
      </c>
      <c r="C353">
        <v>667</v>
      </c>
      <c r="D353" t="s">
        <v>1486</v>
      </c>
      <c r="E353" t="s">
        <v>6076</v>
      </c>
      <c r="F353" s="519">
        <v>45809</v>
      </c>
      <c r="G353" s="519">
        <v>45808</v>
      </c>
      <c r="H353" s="519">
        <v>46172</v>
      </c>
      <c r="I353" s="519">
        <v>46172</v>
      </c>
      <c r="J353">
        <v>983</v>
      </c>
      <c r="K353" s="520">
        <v>1183.78</v>
      </c>
      <c r="L353" s="520">
        <v>1125.49</v>
      </c>
      <c r="M353">
        <v>0</v>
      </c>
      <c r="N353">
        <v>0</v>
      </c>
    </row>
    <row r="354" spans="1:14">
      <c r="A354" t="s">
        <v>1718</v>
      </c>
      <c r="B354" t="s">
        <v>1498</v>
      </c>
      <c r="C354">
        <v>670</v>
      </c>
      <c r="D354" t="s">
        <v>5672</v>
      </c>
      <c r="E354" t="s">
        <v>5673</v>
      </c>
      <c r="J354">
        <v>907</v>
      </c>
      <c r="K354">
        <v>0</v>
      </c>
      <c r="L354">
        <v>0</v>
      </c>
      <c r="N354">
        <v>0</v>
      </c>
    </row>
    <row r="355" spans="1:14">
      <c r="A355" t="s">
        <v>5385</v>
      </c>
      <c r="B355" t="s">
        <v>1498</v>
      </c>
      <c r="C355">
        <v>670</v>
      </c>
      <c r="D355" t="s">
        <v>1487</v>
      </c>
      <c r="E355" t="s">
        <v>6077</v>
      </c>
      <c r="F355" s="519">
        <v>45863</v>
      </c>
      <c r="G355" s="519">
        <v>45863</v>
      </c>
      <c r="H355" s="519">
        <v>46227</v>
      </c>
      <c r="J355">
        <v>907</v>
      </c>
      <c r="K355" s="520">
        <v>1036.8800000000001</v>
      </c>
      <c r="L355">
        <v>979</v>
      </c>
      <c r="M355">
        <v>0</v>
      </c>
      <c r="N355">
        <v>0</v>
      </c>
    </row>
    <row r="356" spans="1:14">
      <c r="A356" t="s">
        <v>1720</v>
      </c>
      <c r="B356" t="s">
        <v>1498</v>
      </c>
      <c r="C356">
        <v>670</v>
      </c>
      <c r="D356" t="s">
        <v>1487</v>
      </c>
      <c r="E356" t="s">
        <v>1721</v>
      </c>
      <c r="F356" s="519">
        <v>45239</v>
      </c>
      <c r="G356" s="519">
        <v>45870</v>
      </c>
      <c r="H356" s="519">
        <v>46234</v>
      </c>
      <c r="J356" s="520">
        <v>1002</v>
      </c>
      <c r="K356" s="520">
        <v>1641.88</v>
      </c>
      <c r="L356" s="520">
        <v>1434.5</v>
      </c>
      <c r="M356" s="520">
        <v>1641.88</v>
      </c>
      <c r="N356">
        <v>0</v>
      </c>
    </row>
    <row r="357" spans="1:14">
      <c r="A357" t="s">
        <v>864</v>
      </c>
      <c r="B357" t="s">
        <v>1498</v>
      </c>
      <c r="C357">
        <v>670</v>
      </c>
      <c r="D357" t="s">
        <v>5672</v>
      </c>
      <c r="E357" t="s">
        <v>5673</v>
      </c>
      <c r="J357" s="520">
        <v>1002</v>
      </c>
      <c r="K357">
        <v>0</v>
      </c>
      <c r="L357">
        <v>0</v>
      </c>
      <c r="N357">
        <v>0</v>
      </c>
    </row>
    <row r="358" spans="1:14">
      <c r="A358" t="s">
        <v>6078</v>
      </c>
      <c r="B358" t="s">
        <v>1498</v>
      </c>
      <c r="C358">
        <v>670</v>
      </c>
      <c r="D358" t="s">
        <v>1487</v>
      </c>
      <c r="E358" t="s">
        <v>6079</v>
      </c>
      <c r="F358" s="519">
        <v>45268</v>
      </c>
      <c r="G358" s="519">
        <v>46064</v>
      </c>
      <c r="H358" s="519">
        <v>46428</v>
      </c>
      <c r="J358" s="520">
        <v>1002</v>
      </c>
      <c r="K358" s="520">
        <v>1479.96</v>
      </c>
      <c r="L358" s="520">
        <v>1259</v>
      </c>
      <c r="M358">
        <v>0</v>
      </c>
      <c r="N358">
        <v>0</v>
      </c>
    </row>
    <row r="359" spans="1:14">
      <c r="A359" t="s">
        <v>6080</v>
      </c>
      <c r="B359" t="s">
        <v>1498</v>
      </c>
      <c r="C359">
        <v>670</v>
      </c>
      <c r="D359" t="s">
        <v>1487</v>
      </c>
      <c r="E359" t="s">
        <v>3498</v>
      </c>
      <c r="F359" s="519">
        <v>44281</v>
      </c>
      <c r="G359" s="519">
        <v>45778</v>
      </c>
      <c r="H359" s="519">
        <v>46142</v>
      </c>
      <c r="J359" s="520">
        <v>1002</v>
      </c>
      <c r="K359" s="520">
        <v>1205.8800000000001</v>
      </c>
      <c r="L359" s="520">
        <v>1147.5</v>
      </c>
      <c r="M359">
        <v>0</v>
      </c>
      <c r="N359">
        <v>0</v>
      </c>
    </row>
    <row r="360" spans="1:14">
      <c r="A360" t="s">
        <v>1136</v>
      </c>
      <c r="B360" t="s">
        <v>1498</v>
      </c>
      <c r="C360">
        <v>670</v>
      </c>
      <c r="D360" t="s">
        <v>1487</v>
      </c>
      <c r="E360" t="s">
        <v>2973</v>
      </c>
      <c r="F360" s="519">
        <v>46130</v>
      </c>
      <c r="G360" s="519">
        <v>46130</v>
      </c>
      <c r="H360" s="519">
        <v>46494</v>
      </c>
      <c r="J360" s="520">
        <v>1002</v>
      </c>
      <c r="K360" s="520">
        <v>1061</v>
      </c>
      <c r="L360" s="520">
        <v>1056</v>
      </c>
      <c r="M360">
        <v>0</v>
      </c>
      <c r="N360">
        <v>0</v>
      </c>
    </row>
    <row r="361" spans="1:14">
      <c r="A361" t="s">
        <v>6081</v>
      </c>
      <c r="B361" t="s">
        <v>1498</v>
      </c>
      <c r="C361">
        <v>670</v>
      </c>
      <c r="D361" t="s">
        <v>1487</v>
      </c>
      <c r="E361" t="s">
        <v>2857</v>
      </c>
      <c r="F361" s="519">
        <v>44713</v>
      </c>
      <c r="G361" s="519">
        <v>45809</v>
      </c>
      <c r="H361" s="519">
        <v>46173</v>
      </c>
      <c r="J361" s="520">
        <v>1002</v>
      </c>
      <c r="K361" s="520">
        <v>1272.96</v>
      </c>
      <c r="L361" s="520">
        <v>1051</v>
      </c>
      <c r="M361">
        <v>0</v>
      </c>
      <c r="N361">
        <v>0</v>
      </c>
    </row>
    <row r="362" spans="1:14">
      <c r="A362" t="s">
        <v>1353</v>
      </c>
      <c r="B362" t="s">
        <v>1498</v>
      </c>
      <c r="C362">
        <v>670</v>
      </c>
      <c r="D362" t="s">
        <v>1487</v>
      </c>
      <c r="E362" t="s">
        <v>2531</v>
      </c>
      <c r="F362" s="519">
        <v>46070</v>
      </c>
      <c r="G362" s="519">
        <v>46070</v>
      </c>
      <c r="H362" s="519">
        <v>46436</v>
      </c>
      <c r="J362">
        <v>977</v>
      </c>
      <c r="K362">
        <v>584</v>
      </c>
      <c r="L362" s="520">
        <v>1073</v>
      </c>
      <c r="M362">
        <v>0</v>
      </c>
      <c r="N362">
        <v>500</v>
      </c>
    </row>
    <row r="363" spans="1:14">
      <c r="A363" t="s">
        <v>6082</v>
      </c>
      <c r="B363" t="s">
        <v>1498</v>
      </c>
      <c r="C363">
        <v>670</v>
      </c>
      <c r="D363" t="s">
        <v>1487</v>
      </c>
      <c r="E363" t="s">
        <v>6083</v>
      </c>
      <c r="F363" s="519">
        <v>45531</v>
      </c>
      <c r="G363" s="519">
        <v>45957</v>
      </c>
      <c r="H363" s="519">
        <v>46321</v>
      </c>
      <c r="J363">
        <v>977</v>
      </c>
      <c r="K363" s="520">
        <v>1229.8800000000001</v>
      </c>
      <c r="L363" s="520">
        <v>1171.5</v>
      </c>
      <c r="M363" s="520">
        <v>-1513.04</v>
      </c>
      <c r="N363">
        <v>0</v>
      </c>
    </row>
    <row r="364" spans="1:14">
      <c r="A364" t="s">
        <v>6084</v>
      </c>
      <c r="B364" t="s">
        <v>1498</v>
      </c>
      <c r="C364">
        <v>670</v>
      </c>
      <c r="D364" t="s">
        <v>1487</v>
      </c>
      <c r="E364" t="s">
        <v>6085</v>
      </c>
      <c r="F364" s="519">
        <v>45891</v>
      </c>
      <c r="G364" s="519">
        <v>45891</v>
      </c>
      <c r="H364" s="519">
        <v>46255</v>
      </c>
      <c r="J364">
        <v>977</v>
      </c>
      <c r="K364" s="520">
        <v>1177.8800000000001</v>
      </c>
      <c r="L364" s="520">
        <v>1119.5</v>
      </c>
      <c r="M364">
        <v>0</v>
      </c>
      <c r="N364">
        <v>0</v>
      </c>
    </row>
    <row r="365" spans="1:14">
      <c r="A365" t="s">
        <v>6086</v>
      </c>
      <c r="B365" t="s">
        <v>1498</v>
      </c>
      <c r="C365">
        <v>670</v>
      </c>
      <c r="D365" t="s">
        <v>1487</v>
      </c>
      <c r="E365" t="s">
        <v>6087</v>
      </c>
      <c r="F365" s="519">
        <v>45869</v>
      </c>
      <c r="G365" s="519">
        <v>45869</v>
      </c>
      <c r="H365" s="519">
        <v>46233</v>
      </c>
      <c r="J365">
        <v>977</v>
      </c>
      <c r="K365" s="520">
        <v>1177.8800000000001</v>
      </c>
      <c r="L365" s="520">
        <v>1119.5</v>
      </c>
      <c r="M365">
        <v>0</v>
      </c>
      <c r="N365">
        <v>0</v>
      </c>
    </row>
    <row r="366" spans="1:14">
      <c r="A366" t="s">
        <v>6088</v>
      </c>
      <c r="B366" t="s">
        <v>1498</v>
      </c>
      <c r="C366">
        <v>670</v>
      </c>
      <c r="D366" t="s">
        <v>1487</v>
      </c>
      <c r="E366" t="s">
        <v>6089</v>
      </c>
      <c r="F366" s="519">
        <v>45352</v>
      </c>
      <c r="G366" s="519">
        <v>46082</v>
      </c>
      <c r="H366" s="519">
        <v>46445</v>
      </c>
      <c r="J366">
        <v>912</v>
      </c>
      <c r="K366" s="520">
        <v>1162.96</v>
      </c>
      <c r="L366" s="520">
        <v>1079</v>
      </c>
      <c r="M366">
        <v>0</v>
      </c>
      <c r="N366">
        <v>0</v>
      </c>
    </row>
    <row r="367" spans="1:14">
      <c r="A367" t="s">
        <v>6090</v>
      </c>
      <c r="B367" t="s">
        <v>1498</v>
      </c>
      <c r="C367">
        <v>670</v>
      </c>
      <c r="D367" t="s">
        <v>1487</v>
      </c>
      <c r="E367" t="s">
        <v>6091</v>
      </c>
      <c r="F367" s="519">
        <v>45465</v>
      </c>
      <c r="G367" s="519">
        <v>45870</v>
      </c>
      <c r="H367" s="519">
        <v>46234</v>
      </c>
      <c r="J367">
        <v>977</v>
      </c>
      <c r="K367" s="520">
        <v>1227.8800000000001</v>
      </c>
      <c r="L367" s="520">
        <v>1169.5</v>
      </c>
      <c r="M367">
        <v>0</v>
      </c>
      <c r="N367">
        <v>0</v>
      </c>
    </row>
    <row r="368" spans="1:14">
      <c r="A368" t="s">
        <v>6092</v>
      </c>
      <c r="B368" t="s">
        <v>1498</v>
      </c>
      <c r="C368">
        <v>670</v>
      </c>
      <c r="D368" t="s">
        <v>1487</v>
      </c>
      <c r="E368" t="s">
        <v>6093</v>
      </c>
      <c r="F368" s="519">
        <v>45447</v>
      </c>
      <c r="G368" s="519">
        <v>45809</v>
      </c>
      <c r="H368" s="519">
        <v>46173</v>
      </c>
      <c r="J368">
        <v>977</v>
      </c>
      <c r="K368" s="520">
        <v>1274.96</v>
      </c>
      <c r="L368" s="520">
        <v>1190.49</v>
      </c>
      <c r="M368">
        <v>0</v>
      </c>
      <c r="N368">
        <v>0</v>
      </c>
    </row>
    <row r="369" spans="1:14">
      <c r="A369" t="s">
        <v>6094</v>
      </c>
      <c r="B369" t="s">
        <v>1498</v>
      </c>
      <c r="C369">
        <v>670</v>
      </c>
      <c r="D369" t="s">
        <v>1487</v>
      </c>
      <c r="E369" t="s">
        <v>6095</v>
      </c>
      <c r="F369" s="519">
        <v>43830</v>
      </c>
      <c r="G369" s="519">
        <v>45839</v>
      </c>
      <c r="H369" s="519">
        <v>46203</v>
      </c>
      <c r="J369">
        <v>977</v>
      </c>
      <c r="K369" s="520">
        <v>1180.96</v>
      </c>
      <c r="L369" s="520">
        <v>1096.49</v>
      </c>
      <c r="M369">
        <v>0</v>
      </c>
      <c r="N369">
        <v>150</v>
      </c>
    </row>
    <row r="370" spans="1:14">
      <c r="A370" t="s">
        <v>6096</v>
      </c>
      <c r="B370" t="s">
        <v>1498</v>
      </c>
      <c r="C370">
        <v>670</v>
      </c>
      <c r="D370" t="s">
        <v>1487</v>
      </c>
      <c r="E370" t="s">
        <v>6097</v>
      </c>
      <c r="F370" s="519">
        <v>45983</v>
      </c>
      <c r="G370" s="519">
        <v>45983</v>
      </c>
      <c r="H370" s="519">
        <v>46347</v>
      </c>
      <c r="J370" s="520">
        <v>1002</v>
      </c>
      <c r="K370" s="520">
        <v>1335.88</v>
      </c>
      <c r="L370" s="520">
        <v>1165.5</v>
      </c>
      <c r="M370">
        <v>0</v>
      </c>
      <c r="N370">
        <v>0</v>
      </c>
    </row>
    <row r="371" spans="1:14">
      <c r="A371" t="s">
        <v>6098</v>
      </c>
      <c r="B371" t="s">
        <v>1498</v>
      </c>
      <c r="C371">
        <v>670</v>
      </c>
      <c r="D371" t="s">
        <v>1487</v>
      </c>
      <c r="E371" t="s">
        <v>6099</v>
      </c>
      <c r="F371" s="519">
        <v>45495</v>
      </c>
      <c r="G371" s="519">
        <v>45922</v>
      </c>
      <c r="H371" s="519">
        <v>46286</v>
      </c>
      <c r="J371" s="520">
        <v>1002</v>
      </c>
      <c r="K371" s="520">
        <v>1261.96</v>
      </c>
      <c r="L371" s="520">
        <v>1177.49</v>
      </c>
      <c r="M371">
        <v>0</v>
      </c>
      <c r="N371">
        <v>0</v>
      </c>
    </row>
    <row r="372" spans="1:14">
      <c r="A372" t="s">
        <v>6100</v>
      </c>
      <c r="B372" t="s">
        <v>1498</v>
      </c>
      <c r="C372">
        <v>670</v>
      </c>
      <c r="D372" t="s">
        <v>1487</v>
      </c>
      <c r="E372" t="s">
        <v>6101</v>
      </c>
      <c r="F372" s="519">
        <v>42486</v>
      </c>
      <c r="G372" s="519">
        <v>46113</v>
      </c>
      <c r="H372" s="519">
        <v>46477</v>
      </c>
      <c r="J372">
        <v>907</v>
      </c>
      <c r="K372" s="520">
        <v>1071.96</v>
      </c>
      <c r="L372">
        <v>988</v>
      </c>
      <c r="M372">
        <v>0</v>
      </c>
      <c r="N372">
        <v>300</v>
      </c>
    </row>
    <row r="373" spans="1:14">
      <c r="A373" t="s">
        <v>6102</v>
      </c>
      <c r="B373" t="s">
        <v>1498</v>
      </c>
      <c r="C373">
        <v>670</v>
      </c>
      <c r="D373" t="s">
        <v>1487</v>
      </c>
      <c r="E373" t="s">
        <v>6103</v>
      </c>
      <c r="F373" s="519">
        <v>44469</v>
      </c>
      <c r="G373" s="519">
        <v>46113</v>
      </c>
      <c r="H373" s="519">
        <v>46477</v>
      </c>
      <c r="J373">
        <v>907</v>
      </c>
      <c r="K373" s="520">
        <v>1181.8800000000001</v>
      </c>
      <c r="L373" s="520">
        <v>1124</v>
      </c>
      <c r="M373">
        <v>0</v>
      </c>
      <c r="N373">
        <v>0</v>
      </c>
    </row>
    <row r="374" spans="1:14">
      <c r="A374" t="s">
        <v>6104</v>
      </c>
      <c r="B374" t="s">
        <v>1498</v>
      </c>
      <c r="C374">
        <v>670</v>
      </c>
      <c r="D374" t="s">
        <v>1487</v>
      </c>
      <c r="E374" t="s">
        <v>6105</v>
      </c>
      <c r="F374" s="519">
        <v>45513</v>
      </c>
      <c r="G374" s="519">
        <v>45878</v>
      </c>
      <c r="H374" s="519">
        <v>46242</v>
      </c>
      <c r="J374">
        <v>937</v>
      </c>
      <c r="K374" s="520">
        <v>1112.8800000000001</v>
      </c>
      <c r="L374" s="520">
        <v>1054.5</v>
      </c>
      <c r="M374">
        <v>0</v>
      </c>
      <c r="N374">
        <v>0</v>
      </c>
    </row>
    <row r="375" spans="1:14">
      <c r="A375" t="s">
        <v>6106</v>
      </c>
      <c r="B375" t="s">
        <v>1498</v>
      </c>
      <c r="C375">
        <v>670</v>
      </c>
      <c r="D375" t="s">
        <v>1487</v>
      </c>
      <c r="E375" t="s">
        <v>6107</v>
      </c>
      <c r="F375" s="519">
        <v>45596</v>
      </c>
      <c r="G375" s="519">
        <v>46022</v>
      </c>
      <c r="J375" s="520">
        <v>1002</v>
      </c>
      <c r="K375" s="520">
        <v>1202.8800000000001</v>
      </c>
      <c r="L375" s="520">
        <v>1144.5</v>
      </c>
      <c r="M375">
        <v>0</v>
      </c>
      <c r="N375">
        <v>0</v>
      </c>
    </row>
    <row r="376" spans="1:14">
      <c r="A376" t="s">
        <v>6108</v>
      </c>
      <c r="B376" t="s">
        <v>1498</v>
      </c>
      <c r="C376">
        <v>670</v>
      </c>
      <c r="D376" t="s">
        <v>1487</v>
      </c>
      <c r="E376" t="s">
        <v>6109</v>
      </c>
      <c r="F376" s="519">
        <v>45807</v>
      </c>
      <c r="G376" s="519">
        <v>45807</v>
      </c>
      <c r="H376" s="519">
        <v>46171</v>
      </c>
      <c r="J376" s="520">
        <v>1002</v>
      </c>
      <c r="K376" s="520">
        <v>1283.8800000000001</v>
      </c>
      <c r="L376" s="520">
        <v>1115.5</v>
      </c>
      <c r="M376">
        <v>0</v>
      </c>
      <c r="N376">
        <v>750</v>
      </c>
    </row>
    <row r="377" spans="1:14">
      <c r="A377" t="s">
        <v>6110</v>
      </c>
      <c r="B377" t="s">
        <v>1498</v>
      </c>
      <c r="C377">
        <v>670</v>
      </c>
      <c r="D377" t="s">
        <v>1487</v>
      </c>
      <c r="E377" t="s">
        <v>6111</v>
      </c>
      <c r="F377" s="519">
        <v>45047</v>
      </c>
      <c r="G377" s="519">
        <v>45962</v>
      </c>
      <c r="H377" s="519">
        <v>46326</v>
      </c>
      <c r="J377" s="520">
        <v>1002</v>
      </c>
      <c r="K377" s="520">
        <v>1259.8800000000001</v>
      </c>
      <c r="L377" s="520">
        <v>1201.99</v>
      </c>
      <c r="M377">
        <v>0</v>
      </c>
      <c r="N377">
        <v>0</v>
      </c>
    </row>
    <row r="378" spans="1:14">
      <c r="A378" t="s">
        <v>6112</v>
      </c>
      <c r="B378" t="s">
        <v>1498</v>
      </c>
      <c r="C378">
        <v>670</v>
      </c>
      <c r="D378" t="s">
        <v>1487</v>
      </c>
      <c r="E378" t="s">
        <v>6113</v>
      </c>
      <c r="F378" s="519">
        <v>45660</v>
      </c>
      <c r="G378" s="519">
        <v>45837</v>
      </c>
      <c r="H378" s="519">
        <v>46201</v>
      </c>
      <c r="J378">
        <v>977</v>
      </c>
      <c r="K378" s="520">
        <v>1203.96</v>
      </c>
      <c r="L378" s="520">
        <v>1119.5</v>
      </c>
      <c r="M378">
        <v>0</v>
      </c>
      <c r="N378">
        <v>0</v>
      </c>
    </row>
    <row r="379" spans="1:14">
      <c r="A379" t="s">
        <v>6114</v>
      </c>
      <c r="B379" t="s">
        <v>1498</v>
      </c>
      <c r="C379">
        <v>670</v>
      </c>
      <c r="D379" t="s">
        <v>1487</v>
      </c>
      <c r="E379" t="s">
        <v>6115</v>
      </c>
      <c r="F379" s="519">
        <v>45570</v>
      </c>
      <c r="G379" s="519">
        <v>45996</v>
      </c>
      <c r="H379" s="519">
        <v>46360</v>
      </c>
      <c r="J379">
        <v>977</v>
      </c>
      <c r="K379" s="520">
        <v>1179.8800000000001</v>
      </c>
      <c r="L379" s="520">
        <v>1121.5</v>
      </c>
      <c r="M379">
        <v>0</v>
      </c>
      <c r="N379">
        <v>0</v>
      </c>
    </row>
    <row r="380" spans="1:14">
      <c r="A380" t="s">
        <v>6116</v>
      </c>
      <c r="B380" t="s">
        <v>1498</v>
      </c>
      <c r="C380">
        <v>670</v>
      </c>
      <c r="D380" t="s">
        <v>1486</v>
      </c>
      <c r="E380" t="s">
        <v>6117</v>
      </c>
      <c r="F380" s="519">
        <v>45139</v>
      </c>
      <c r="G380" s="519">
        <v>46113</v>
      </c>
      <c r="H380" s="519">
        <v>46160</v>
      </c>
      <c r="I380" s="519">
        <v>46160</v>
      </c>
      <c r="J380">
        <v>977</v>
      </c>
      <c r="K380" s="520">
        <v>1409.96</v>
      </c>
      <c r="L380" s="520">
        <v>1325.49</v>
      </c>
      <c r="M380">
        <v>0</v>
      </c>
      <c r="N380">
        <v>0</v>
      </c>
    </row>
    <row r="381" spans="1:14">
      <c r="A381" t="s">
        <v>6118</v>
      </c>
      <c r="B381" t="s">
        <v>1498</v>
      </c>
      <c r="C381">
        <v>670</v>
      </c>
      <c r="D381" t="s">
        <v>1487</v>
      </c>
      <c r="E381" t="s">
        <v>6119</v>
      </c>
      <c r="F381" s="519">
        <v>45777</v>
      </c>
      <c r="G381" s="519">
        <v>45777</v>
      </c>
      <c r="H381" s="519">
        <v>46141</v>
      </c>
      <c r="J381">
        <v>977</v>
      </c>
      <c r="K381" s="520">
        <v>1153.8800000000001</v>
      </c>
      <c r="L381" s="520">
        <v>1090.5</v>
      </c>
      <c r="M381">
        <v>0</v>
      </c>
      <c r="N381">
        <v>750</v>
      </c>
    </row>
    <row r="382" spans="1:14">
      <c r="A382" t="s">
        <v>6120</v>
      </c>
      <c r="B382" t="s">
        <v>1498</v>
      </c>
      <c r="C382">
        <v>670</v>
      </c>
      <c r="D382" t="s">
        <v>1486</v>
      </c>
      <c r="E382" t="s">
        <v>6121</v>
      </c>
      <c r="F382" s="519">
        <v>44383</v>
      </c>
      <c r="G382" s="519">
        <v>46113</v>
      </c>
      <c r="H382" s="519">
        <v>46157</v>
      </c>
      <c r="I382" s="519">
        <v>46157</v>
      </c>
      <c r="J382">
        <v>882</v>
      </c>
      <c r="K382" s="520">
        <v>1454.96</v>
      </c>
      <c r="L382" s="520">
        <v>1370.98</v>
      </c>
      <c r="M382">
        <v>0</v>
      </c>
      <c r="N382">
        <v>0</v>
      </c>
    </row>
    <row r="383" spans="1:14">
      <c r="A383" t="s">
        <v>6122</v>
      </c>
      <c r="B383" t="s">
        <v>1498</v>
      </c>
      <c r="C383">
        <v>670</v>
      </c>
      <c r="D383" t="s">
        <v>1487</v>
      </c>
      <c r="E383" t="s">
        <v>6123</v>
      </c>
      <c r="F383" s="519">
        <v>41130</v>
      </c>
      <c r="G383" s="519">
        <v>45839</v>
      </c>
      <c r="H383" s="519">
        <v>46203</v>
      </c>
      <c r="J383">
        <v>882</v>
      </c>
      <c r="K383">
        <v>860.88</v>
      </c>
      <c r="L383">
        <v>802.5</v>
      </c>
      <c r="M383">
        <v>0</v>
      </c>
      <c r="N383">
        <v>100</v>
      </c>
    </row>
    <row r="384" spans="1:14">
      <c r="A384" t="s">
        <v>1327</v>
      </c>
      <c r="B384" t="s">
        <v>1498</v>
      </c>
      <c r="C384">
        <v>670</v>
      </c>
      <c r="D384" t="s">
        <v>5686</v>
      </c>
      <c r="E384" t="s">
        <v>5673</v>
      </c>
      <c r="J384">
        <v>977</v>
      </c>
      <c r="K384">
        <v>0</v>
      </c>
      <c r="L384">
        <v>0</v>
      </c>
      <c r="N384">
        <v>0</v>
      </c>
    </row>
    <row r="385" spans="1:14">
      <c r="A385" t="s">
        <v>6124</v>
      </c>
      <c r="B385" t="s">
        <v>1498</v>
      </c>
      <c r="C385">
        <v>670</v>
      </c>
      <c r="D385" t="s">
        <v>1487</v>
      </c>
      <c r="E385" t="s">
        <v>6125</v>
      </c>
      <c r="F385" s="519">
        <v>44261</v>
      </c>
      <c r="G385" s="519">
        <v>45809</v>
      </c>
      <c r="H385" s="519">
        <v>46173</v>
      </c>
      <c r="J385">
        <v>977</v>
      </c>
      <c r="K385" s="520">
        <v>1191.8800000000001</v>
      </c>
      <c r="L385" s="520">
        <v>1133.49</v>
      </c>
      <c r="M385">
        <v>0</v>
      </c>
      <c r="N385">
        <v>0</v>
      </c>
    </row>
    <row r="386" spans="1:14">
      <c r="A386" t="s">
        <v>6126</v>
      </c>
      <c r="B386" t="s">
        <v>1498</v>
      </c>
      <c r="C386">
        <v>670</v>
      </c>
      <c r="D386" t="s">
        <v>1487</v>
      </c>
      <c r="E386" t="s">
        <v>6127</v>
      </c>
      <c r="F386" s="519">
        <v>43466</v>
      </c>
      <c r="G386" s="519">
        <v>46082</v>
      </c>
      <c r="H386" s="519">
        <v>46445</v>
      </c>
      <c r="J386">
        <v>907</v>
      </c>
      <c r="K386" s="520">
        <v>1074.8800000000001</v>
      </c>
      <c r="L386">
        <v>897</v>
      </c>
      <c r="M386">
        <v>0</v>
      </c>
      <c r="N386">
        <v>150</v>
      </c>
    </row>
    <row r="387" spans="1:14">
      <c r="A387" t="s">
        <v>6128</v>
      </c>
      <c r="B387" t="s">
        <v>1498</v>
      </c>
      <c r="C387">
        <v>670</v>
      </c>
      <c r="D387" t="s">
        <v>1487</v>
      </c>
      <c r="E387" t="s">
        <v>6129</v>
      </c>
      <c r="F387" s="519">
        <v>44652</v>
      </c>
      <c r="G387" s="519">
        <v>46082</v>
      </c>
      <c r="H387" s="519">
        <v>46445</v>
      </c>
      <c r="J387" s="520">
        <v>1002</v>
      </c>
      <c r="K387" s="520">
        <v>1267.8800000000001</v>
      </c>
      <c r="L387" s="520">
        <v>1210</v>
      </c>
      <c r="M387">
        <v>0</v>
      </c>
      <c r="N387">
        <v>0</v>
      </c>
    </row>
    <row r="388" spans="1:14">
      <c r="A388" t="s">
        <v>1728</v>
      </c>
      <c r="B388" t="s">
        <v>1498</v>
      </c>
      <c r="C388">
        <v>670</v>
      </c>
      <c r="D388" t="s">
        <v>1487</v>
      </c>
      <c r="E388" t="s">
        <v>1729</v>
      </c>
      <c r="F388" s="519">
        <v>45512</v>
      </c>
      <c r="G388" s="519">
        <v>45877</v>
      </c>
      <c r="H388" s="519">
        <v>46241</v>
      </c>
      <c r="J388" s="520">
        <v>1002</v>
      </c>
      <c r="K388" s="520">
        <v>1298.8800000000001</v>
      </c>
      <c r="L388" s="520">
        <v>1140.5</v>
      </c>
      <c r="M388">
        <v>-101.12</v>
      </c>
      <c r="N388">
        <v>750</v>
      </c>
    </row>
    <row r="389" spans="1:14">
      <c r="A389" t="s">
        <v>6130</v>
      </c>
      <c r="B389" t="s">
        <v>1498</v>
      </c>
      <c r="C389">
        <v>670</v>
      </c>
      <c r="D389" t="s">
        <v>1487</v>
      </c>
      <c r="E389" t="s">
        <v>3297</v>
      </c>
      <c r="F389" s="519">
        <v>43227</v>
      </c>
      <c r="G389" s="519">
        <v>45870</v>
      </c>
      <c r="H389" s="519">
        <v>46234</v>
      </c>
      <c r="J389">
        <v>907</v>
      </c>
      <c r="K389" s="520">
        <v>1039.57</v>
      </c>
      <c r="L389">
        <v>978.5</v>
      </c>
      <c r="M389">
        <v>0</v>
      </c>
      <c r="N389">
        <v>750</v>
      </c>
    </row>
    <row r="390" spans="1:14">
      <c r="A390" t="s">
        <v>6131</v>
      </c>
      <c r="B390" t="s">
        <v>1498</v>
      </c>
      <c r="C390">
        <v>670</v>
      </c>
      <c r="D390" t="s">
        <v>1487</v>
      </c>
      <c r="E390" t="s">
        <v>6132</v>
      </c>
      <c r="F390" s="519">
        <v>43791</v>
      </c>
      <c r="G390" s="519">
        <v>45901</v>
      </c>
      <c r="H390" s="519">
        <v>46265</v>
      </c>
      <c r="J390" s="520">
        <v>1002</v>
      </c>
      <c r="K390" s="520">
        <v>1141.8800000000001</v>
      </c>
      <c r="L390" s="520">
        <v>1083.5</v>
      </c>
      <c r="M390">
        <v>0</v>
      </c>
      <c r="N390">
        <v>150</v>
      </c>
    </row>
    <row r="391" spans="1:14">
      <c r="A391" t="s">
        <v>6133</v>
      </c>
      <c r="B391" t="s">
        <v>1498</v>
      </c>
      <c r="C391">
        <v>670</v>
      </c>
      <c r="D391" t="s">
        <v>1487</v>
      </c>
      <c r="E391" t="s">
        <v>6134</v>
      </c>
      <c r="F391" s="519">
        <v>44082</v>
      </c>
      <c r="G391" s="519">
        <v>45901</v>
      </c>
      <c r="H391" s="519">
        <v>46265</v>
      </c>
      <c r="J391">
        <v>907</v>
      </c>
      <c r="K391">
        <v>988.88</v>
      </c>
      <c r="L391">
        <v>930.5</v>
      </c>
      <c r="M391">
        <v>0</v>
      </c>
      <c r="N391">
        <v>750</v>
      </c>
    </row>
    <row r="392" spans="1:14">
      <c r="A392" t="s">
        <v>6135</v>
      </c>
      <c r="B392" t="s">
        <v>1498</v>
      </c>
      <c r="C392">
        <v>670</v>
      </c>
      <c r="D392" t="s">
        <v>1487</v>
      </c>
      <c r="E392" t="s">
        <v>6136</v>
      </c>
      <c r="F392" s="519">
        <v>45748</v>
      </c>
      <c r="G392" s="519">
        <v>46112</v>
      </c>
      <c r="H392" s="519">
        <v>46476</v>
      </c>
      <c r="J392">
        <v>937</v>
      </c>
      <c r="K392" s="520">
        <v>1181.8800000000001</v>
      </c>
      <c r="L392" s="520">
        <v>1124</v>
      </c>
      <c r="M392">
        <v>0</v>
      </c>
      <c r="N392">
        <v>0</v>
      </c>
    </row>
    <row r="393" spans="1:14">
      <c r="A393" t="s">
        <v>6137</v>
      </c>
      <c r="B393" t="s">
        <v>1498</v>
      </c>
      <c r="C393">
        <v>670</v>
      </c>
      <c r="D393" t="s">
        <v>1487</v>
      </c>
      <c r="E393" t="s">
        <v>6138</v>
      </c>
      <c r="F393" s="519">
        <v>44870</v>
      </c>
      <c r="G393" s="519">
        <v>46054</v>
      </c>
      <c r="J393">
        <v>907</v>
      </c>
      <c r="K393" s="520">
        <v>1257.8800000000001</v>
      </c>
      <c r="L393" s="520">
        <v>1058.54</v>
      </c>
      <c r="M393">
        <v>0</v>
      </c>
      <c r="N393">
        <v>0</v>
      </c>
    </row>
    <row r="394" spans="1:14">
      <c r="A394" t="s">
        <v>6139</v>
      </c>
      <c r="B394" t="s">
        <v>1498</v>
      </c>
      <c r="C394">
        <v>670</v>
      </c>
      <c r="D394" t="s">
        <v>1486</v>
      </c>
      <c r="E394" t="s">
        <v>6140</v>
      </c>
      <c r="F394" s="519">
        <v>45421</v>
      </c>
      <c r="G394" s="519">
        <v>45787</v>
      </c>
      <c r="H394" s="519">
        <v>46151</v>
      </c>
      <c r="I394" s="519">
        <v>46151</v>
      </c>
      <c r="J394">
        <v>977</v>
      </c>
      <c r="K394" s="520">
        <v>1293.96</v>
      </c>
      <c r="L394" s="520">
        <v>1209.5</v>
      </c>
      <c r="M394">
        <v>0</v>
      </c>
      <c r="N394">
        <v>0</v>
      </c>
    </row>
    <row r="395" spans="1:14">
      <c r="A395" t="s">
        <v>6141</v>
      </c>
      <c r="B395" t="s">
        <v>1498</v>
      </c>
      <c r="C395">
        <v>670</v>
      </c>
      <c r="D395" t="s">
        <v>1486</v>
      </c>
      <c r="E395" t="s">
        <v>6142</v>
      </c>
      <c r="F395" s="519">
        <v>45183</v>
      </c>
      <c r="G395" s="519">
        <v>45778</v>
      </c>
      <c r="H395" s="519">
        <v>46142</v>
      </c>
      <c r="I395" s="519">
        <v>46181</v>
      </c>
      <c r="J395">
        <v>977</v>
      </c>
      <c r="K395" s="520">
        <v>1265.8800000000001</v>
      </c>
      <c r="L395" s="520">
        <v>1207.5</v>
      </c>
      <c r="M395">
        <v>0</v>
      </c>
      <c r="N395">
        <v>0</v>
      </c>
    </row>
    <row r="396" spans="1:14">
      <c r="A396" t="s">
        <v>1730</v>
      </c>
      <c r="B396" t="s">
        <v>1498</v>
      </c>
      <c r="C396">
        <v>670</v>
      </c>
      <c r="D396" t="s">
        <v>5672</v>
      </c>
      <c r="E396" t="s">
        <v>5673</v>
      </c>
      <c r="J396">
        <v>912</v>
      </c>
      <c r="K396">
        <v>0</v>
      </c>
      <c r="L396">
        <v>0</v>
      </c>
      <c r="N396">
        <v>0</v>
      </c>
    </row>
    <row r="397" spans="1:14">
      <c r="A397" t="s">
        <v>6143</v>
      </c>
      <c r="B397" t="s">
        <v>1498</v>
      </c>
      <c r="C397">
        <v>670</v>
      </c>
      <c r="D397" t="s">
        <v>1487</v>
      </c>
      <c r="E397" t="s">
        <v>6144</v>
      </c>
      <c r="F397" s="519">
        <v>44536</v>
      </c>
      <c r="G397" s="519">
        <v>46082</v>
      </c>
      <c r="J397">
        <v>882</v>
      </c>
      <c r="K397" s="520">
        <v>1298.04</v>
      </c>
      <c r="L397" s="520">
        <v>1187.5</v>
      </c>
      <c r="M397">
        <v>0</v>
      </c>
      <c r="N397">
        <v>0</v>
      </c>
    </row>
    <row r="398" spans="1:14">
      <c r="A398" t="s">
        <v>6145</v>
      </c>
      <c r="B398" t="s">
        <v>1498</v>
      </c>
      <c r="C398">
        <v>670</v>
      </c>
      <c r="D398" t="s">
        <v>1487</v>
      </c>
      <c r="E398" t="s">
        <v>6146</v>
      </c>
      <c r="F398" s="519">
        <v>45884</v>
      </c>
      <c r="G398" s="519">
        <v>45884</v>
      </c>
      <c r="H398" s="519">
        <v>46248</v>
      </c>
      <c r="J398">
        <v>977</v>
      </c>
      <c r="K398" s="520">
        <v>1132.8800000000001</v>
      </c>
      <c r="L398" s="520">
        <v>1075</v>
      </c>
      <c r="M398">
        <v>0</v>
      </c>
      <c r="N398">
        <v>750</v>
      </c>
    </row>
    <row r="399" spans="1:14">
      <c r="A399" t="s">
        <v>6147</v>
      </c>
      <c r="B399" t="s">
        <v>1498</v>
      </c>
      <c r="C399">
        <v>670</v>
      </c>
      <c r="D399" t="s">
        <v>1487</v>
      </c>
      <c r="E399" t="s">
        <v>6148</v>
      </c>
      <c r="F399" s="519">
        <v>44309</v>
      </c>
      <c r="G399" s="519">
        <v>45839</v>
      </c>
      <c r="H399" s="519">
        <v>46203</v>
      </c>
      <c r="J399">
        <v>977</v>
      </c>
      <c r="K399" s="520">
        <v>1253.96</v>
      </c>
      <c r="L399" s="520">
        <v>1169.5</v>
      </c>
      <c r="M399">
        <v>0</v>
      </c>
      <c r="N399">
        <v>0</v>
      </c>
    </row>
    <row r="400" spans="1:14">
      <c r="A400" t="s">
        <v>6149</v>
      </c>
      <c r="B400" t="s">
        <v>1498</v>
      </c>
      <c r="C400">
        <v>670</v>
      </c>
      <c r="D400" t="s">
        <v>1487</v>
      </c>
      <c r="E400" t="s">
        <v>6150</v>
      </c>
      <c r="F400" s="519">
        <v>44400</v>
      </c>
      <c r="G400" s="519">
        <v>45870</v>
      </c>
      <c r="H400" s="519">
        <v>46234</v>
      </c>
      <c r="J400">
        <v>882</v>
      </c>
      <c r="K400" s="520">
        <v>1078.8800000000001</v>
      </c>
      <c r="L400" s="520">
        <v>1020.5</v>
      </c>
      <c r="M400">
        <v>0</v>
      </c>
      <c r="N400">
        <v>0</v>
      </c>
    </row>
    <row r="401" spans="1:14">
      <c r="A401" t="s">
        <v>6151</v>
      </c>
      <c r="B401" t="s">
        <v>1498</v>
      </c>
      <c r="C401">
        <v>670</v>
      </c>
      <c r="D401" t="s">
        <v>1487</v>
      </c>
      <c r="E401" t="s">
        <v>6152</v>
      </c>
      <c r="F401" s="519">
        <v>45476</v>
      </c>
      <c r="G401" s="519">
        <v>45901</v>
      </c>
      <c r="H401" s="519">
        <v>46265</v>
      </c>
      <c r="J401">
        <v>882</v>
      </c>
      <c r="K401" s="520">
        <v>1014.88</v>
      </c>
      <c r="L401">
        <v>956.49</v>
      </c>
      <c r="M401">
        <v>0</v>
      </c>
      <c r="N401">
        <v>750</v>
      </c>
    </row>
    <row r="402" spans="1:14">
      <c r="A402" t="s">
        <v>1124</v>
      </c>
      <c r="B402" t="s">
        <v>1499</v>
      </c>
      <c r="C402">
        <v>700</v>
      </c>
      <c r="D402" t="s">
        <v>5672</v>
      </c>
      <c r="E402" t="s">
        <v>5673</v>
      </c>
      <c r="J402">
        <v>847</v>
      </c>
      <c r="K402">
        <v>0</v>
      </c>
      <c r="L402">
        <v>0</v>
      </c>
      <c r="N402">
        <v>0</v>
      </c>
    </row>
    <row r="403" spans="1:14">
      <c r="A403" t="s">
        <v>5461</v>
      </c>
      <c r="B403" t="s">
        <v>1499</v>
      </c>
      <c r="C403">
        <v>700</v>
      </c>
      <c r="D403" t="s">
        <v>5672</v>
      </c>
      <c r="E403" t="s">
        <v>5673</v>
      </c>
      <c r="J403">
        <v>847</v>
      </c>
      <c r="K403">
        <v>0</v>
      </c>
      <c r="L403">
        <v>0</v>
      </c>
      <c r="N403">
        <v>0</v>
      </c>
    </row>
    <row r="404" spans="1:14">
      <c r="A404" t="s">
        <v>6153</v>
      </c>
      <c r="B404" t="s">
        <v>1499</v>
      </c>
      <c r="C404">
        <v>700</v>
      </c>
      <c r="D404" t="s">
        <v>5672</v>
      </c>
      <c r="E404" t="s">
        <v>5673</v>
      </c>
      <c r="J404">
        <v>847</v>
      </c>
      <c r="K404">
        <v>0</v>
      </c>
      <c r="L404">
        <v>0</v>
      </c>
      <c r="N404">
        <v>0</v>
      </c>
    </row>
    <row r="405" spans="1:14">
      <c r="A405" t="s">
        <v>6154</v>
      </c>
      <c r="B405" t="s">
        <v>1499</v>
      </c>
      <c r="C405">
        <v>700</v>
      </c>
      <c r="D405" t="s">
        <v>1487</v>
      </c>
      <c r="E405" t="s">
        <v>6155</v>
      </c>
      <c r="F405" s="519">
        <v>44105</v>
      </c>
      <c r="G405" s="519">
        <v>45931</v>
      </c>
      <c r="H405" s="519">
        <v>46295</v>
      </c>
      <c r="J405">
        <v>847</v>
      </c>
      <c r="K405" s="520">
        <v>1168</v>
      </c>
      <c r="L405" s="520">
        <v>1082.5</v>
      </c>
      <c r="M405">
        <v>0</v>
      </c>
      <c r="N405">
        <v>0</v>
      </c>
    </row>
    <row r="406" spans="1:14">
      <c r="A406" t="s">
        <v>1866</v>
      </c>
      <c r="B406" t="s">
        <v>1499</v>
      </c>
      <c r="C406">
        <v>700</v>
      </c>
      <c r="D406" t="s">
        <v>1487</v>
      </c>
      <c r="E406" t="s">
        <v>1867</v>
      </c>
      <c r="F406" s="519">
        <v>45552</v>
      </c>
      <c r="G406" s="519">
        <v>45978</v>
      </c>
      <c r="H406" s="519">
        <v>46342</v>
      </c>
      <c r="J406">
        <v>897</v>
      </c>
      <c r="K406" s="520">
        <v>1389.92</v>
      </c>
      <c r="L406" s="520">
        <v>1181.5</v>
      </c>
      <c r="M406" s="520">
        <v>2863.74</v>
      </c>
      <c r="N406">
        <v>0</v>
      </c>
    </row>
    <row r="407" spans="1:14">
      <c r="A407" t="s">
        <v>6156</v>
      </c>
      <c r="B407" t="s">
        <v>1499</v>
      </c>
      <c r="C407">
        <v>700</v>
      </c>
      <c r="D407" t="s">
        <v>1487</v>
      </c>
      <c r="E407" t="s">
        <v>6157</v>
      </c>
      <c r="F407" s="519">
        <v>42035</v>
      </c>
      <c r="G407" s="519">
        <v>46113</v>
      </c>
      <c r="H407" s="519">
        <v>46477</v>
      </c>
      <c r="J407">
        <v>802</v>
      </c>
      <c r="K407" s="520">
        <v>1018.92</v>
      </c>
      <c r="L407">
        <v>995</v>
      </c>
      <c r="M407">
        <v>-35</v>
      </c>
      <c r="N407">
        <v>150</v>
      </c>
    </row>
    <row r="408" spans="1:14">
      <c r="A408" t="s">
        <v>1347</v>
      </c>
      <c r="B408" t="s">
        <v>1499</v>
      </c>
      <c r="C408">
        <v>700</v>
      </c>
      <c r="D408" t="s">
        <v>5733</v>
      </c>
      <c r="E408" t="s">
        <v>5673</v>
      </c>
      <c r="J408">
        <v>847</v>
      </c>
      <c r="K408">
        <v>0</v>
      </c>
      <c r="L408">
        <v>0</v>
      </c>
      <c r="N408">
        <v>0</v>
      </c>
    </row>
    <row r="409" spans="1:14">
      <c r="A409" t="s">
        <v>6158</v>
      </c>
      <c r="B409" t="s">
        <v>1499</v>
      </c>
      <c r="C409">
        <v>700</v>
      </c>
      <c r="D409" t="s">
        <v>1487</v>
      </c>
      <c r="E409" t="s">
        <v>6159</v>
      </c>
      <c r="F409" s="519">
        <v>45227</v>
      </c>
      <c r="G409" s="519">
        <v>46081</v>
      </c>
      <c r="H409" s="519">
        <v>46445</v>
      </c>
      <c r="J409">
        <v>832</v>
      </c>
      <c r="K409" s="520">
        <v>1147.92</v>
      </c>
      <c r="L409" s="520">
        <v>1089</v>
      </c>
      <c r="M409">
        <v>0</v>
      </c>
      <c r="N409">
        <v>0</v>
      </c>
    </row>
    <row r="410" spans="1:14">
      <c r="A410" t="s">
        <v>6160</v>
      </c>
      <c r="B410" t="s">
        <v>1499</v>
      </c>
      <c r="C410">
        <v>700</v>
      </c>
      <c r="D410" t="s">
        <v>1487</v>
      </c>
      <c r="E410" t="s">
        <v>6161</v>
      </c>
      <c r="F410" s="519">
        <v>45868</v>
      </c>
      <c r="G410" s="519">
        <v>45868</v>
      </c>
      <c r="H410" s="519">
        <v>46232</v>
      </c>
      <c r="J410">
        <v>807</v>
      </c>
      <c r="K410" s="520">
        <v>1022.92</v>
      </c>
      <c r="L410">
        <v>879.5</v>
      </c>
      <c r="M410">
        <v>0</v>
      </c>
      <c r="N410">
        <v>0</v>
      </c>
    </row>
    <row r="411" spans="1:14">
      <c r="A411" t="s">
        <v>1868</v>
      </c>
      <c r="B411" t="s">
        <v>1499</v>
      </c>
      <c r="C411">
        <v>700</v>
      </c>
      <c r="D411" t="s">
        <v>1487</v>
      </c>
      <c r="E411" t="s">
        <v>1869</v>
      </c>
      <c r="F411" s="519">
        <v>45224</v>
      </c>
      <c r="G411" s="519">
        <v>46054</v>
      </c>
      <c r="J411">
        <v>822</v>
      </c>
      <c r="K411" s="520">
        <v>1485</v>
      </c>
      <c r="L411" s="520">
        <v>1244.5</v>
      </c>
      <c r="M411" s="520">
        <v>7622.7</v>
      </c>
      <c r="N411">
        <v>0</v>
      </c>
    </row>
    <row r="412" spans="1:14">
      <c r="A412" t="s">
        <v>5324</v>
      </c>
      <c r="B412" t="s">
        <v>1499</v>
      </c>
      <c r="C412">
        <v>700</v>
      </c>
      <c r="D412" t="s">
        <v>5672</v>
      </c>
      <c r="E412" t="s">
        <v>5673</v>
      </c>
      <c r="J412">
        <v>872</v>
      </c>
      <c r="K412">
        <v>0</v>
      </c>
      <c r="L412">
        <v>0</v>
      </c>
      <c r="N412">
        <v>0</v>
      </c>
    </row>
    <row r="413" spans="1:14">
      <c r="A413" t="s">
        <v>6162</v>
      </c>
      <c r="B413" t="s">
        <v>1499</v>
      </c>
      <c r="C413">
        <v>700</v>
      </c>
      <c r="D413" t="s">
        <v>1487</v>
      </c>
      <c r="E413" t="s">
        <v>6163</v>
      </c>
      <c r="F413" s="519">
        <v>45899</v>
      </c>
      <c r="G413" s="519">
        <v>45899</v>
      </c>
      <c r="H413" s="519">
        <v>46263</v>
      </c>
      <c r="J413">
        <v>872</v>
      </c>
      <c r="K413" s="520">
        <v>1218.92</v>
      </c>
      <c r="L413" s="520">
        <v>1124.5</v>
      </c>
      <c r="M413">
        <v>0</v>
      </c>
      <c r="N413">
        <v>0</v>
      </c>
    </row>
    <row r="414" spans="1:14">
      <c r="A414" t="s">
        <v>6164</v>
      </c>
      <c r="B414" t="s">
        <v>1499</v>
      </c>
      <c r="C414">
        <v>700</v>
      </c>
      <c r="D414" t="s">
        <v>1486</v>
      </c>
      <c r="E414" t="s">
        <v>6165</v>
      </c>
      <c r="F414" s="519">
        <v>45838</v>
      </c>
      <c r="G414" s="519">
        <v>45838</v>
      </c>
      <c r="H414" s="519">
        <v>46202</v>
      </c>
      <c r="I414" s="519">
        <v>46202</v>
      </c>
      <c r="J414">
        <v>822</v>
      </c>
      <c r="K414" s="520">
        <v>1182.92</v>
      </c>
      <c r="L414" s="520">
        <v>1025.49</v>
      </c>
      <c r="M414">
        <v>0</v>
      </c>
      <c r="N414">
        <v>0</v>
      </c>
    </row>
    <row r="415" spans="1:14">
      <c r="A415" t="s">
        <v>1870</v>
      </c>
      <c r="B415" t="s">
        <v>1499</v>
      </c>
      <c r="C415">
        <v>700</v>
      </c>
      <c r="D415" t="s">
        <v>5672</v>
      </c>
      <c r="E415" t="s">
        <v>5673</v>
      </c>
      <c r="J415">
        <v>777</v>
      </c>
      <c r="K415">
        <v>0</v>
      </c>
      <c r="L415">
        <v>0</v>
      </c>
      <c r="N415">
        <v>0</v>
      </c>
    </row>
    <row r="416" spans="1:14">
      <c r="A416" t="s">
        <v>6166</v>
      </c>
      <c r="B416" t="s">
        <v>1499</v>
      </c>
      <c r="C416">
        <v>700</v>
      </c>
      <c r="D416" t="s">
        <v>1487</v>
      </c>
      <c r="E416" t="s">
        <v>6167</v>
      </c>
      <c r="F416" s="519">
        <v>45689</v>
      </c>
      <c r="G416" s="519">
        <v>46069</v>
      </c>
      <c r="H416" s="519">
        <v>46433</v>
      </c>
      <c r="J416">
        <v>777</v>
      </c>
      <c r="K416">
        <v>948.92</v>
      </c>
      <c r="L416">
        <v>855</v>
      </c>
      <c r="M416">
        <v>0</v>
      </c>
      <c r="N416">
        <v>750</v>
      </c>
    </row>
    <row r="417" spans="1:14">
      <c r="A417" t="s">
        <v>888</v>
      </c>
      <c r="B417" t="s">
        <v>1499</v>
      </c>
      <c r="C417">
        <v>700</v>
      </c>
      <c r="D417" t="s">
        <v>5672</v>
      </c>
      <c r="E417" t="s">
        <v>5673</v>
      </c>
      <c r="J417">
        <v>822</v>
      </c>
      <c r="K417">
        <v>0</v>
      </c>
      <c r="L417">
        <v>0</v>
      </c>
      <c r="N417">
        <v>0</v>
      </c>
    </row>
    <row r="418" spans="1:14">
      <c r="A418" t="s">
        <v>6168</v>
      </c>
      <c r="B418" t="s">
        <v>1499</v>
      </c>
      <c r="C418">
        <v>700</v>
      </c>
      <c r="D418" t="s">
        <v>1487</v>
      </c>
      <c r="E418" t="s">
        <v>6169</v>
      </c>
      <c r="F418" s="519">
        <v>45870</v>
      </c>
      <c r="G418" s="519">
        <v>45870</v>
      </c>
      <c r="H418" s="519">
        <v>46234</v>
      </c>
      <c r="J418">
        <v>847</v>
      </c>
      <c r="K418" s="520">
        <v>1103.92</v>
      </c>
      <c r="L418" s="520">
        <v>1044.5</v>
      </c>
      <c r="M418">
        <v>0</v>
      </c>
      <c r="N418">
        <v>0</v>
      </c>
    </row>
    <row r="419" spans="1:14">
      <c r="A419" t="s">
        <v>6170</v>
      </c>
      <c r="B419" t="s">
        <v>1499</v>
      </c>
      <c r="C419">
        <v>700</v>
      </c>
      <c r="D419" t="s">
        <v>5672</v>
      </c>
      <c r="E419" t="s">
        <v>5673</v>
      </c>
      <c r="J419">
        <v>897</v>
      </c>
      <c r="K419">
        <v>0</v>
      </c>
      <c r="L419">
        <v>0</v>
      </c>
      <c r="N419">
        <v>0</v>
      </c>
    </row>
    <row r="420" spans="1:14">
      <c r="A420" t="s">
        <v>6171</v>
      </c>
      <c r="B420" t="s">
        <v>1499</v>
      </c>
      <c r="C420">
        <v>700</v>
      </c>
      <c r="D420" t="s">
        <v>1487</v>
      </c>
      <c r="E420" t="s">
        <v>6172</v>
      </c>
      <c r="F420" s="519">
        <v>44470</v>
      </c>
      <c r="G420" s="519">
        <v>45931</v>
      </c>
      <c r="H420" s="519">
        <v>46295</v>
      </c>
      <c r="J420">
        <v>847</v>
      </c>
      <c r="K420" s="520">
        <v>1133</v>
      </c>
      <c r="L420" s="520">
        <v>1047.48</v>
      </c>
      <c r="M420">
        <v>0</v>
      </c>
      <c r="N420">
        <v>150</v>
      </c>
    </row>
    <row r="421" spans="1:14">
      <c r="A421" t="s">
        <v>6173</v>
      </c>
      <c r="B421" t="s">
        <v>1499</v>
      </c>
      <c r="C421">
        <v>700</v>
      </c>
      <c r="D421" t="s">
        <v>1486</v>
      </c>
      <c r="E421" t="s">
        <v>6174</v>
      </c>
      <c r="F421" s="519">
        <v>45869</v>
      </c>
      <c r="G421" s="519">
        <v>45869</v>
      </c>
      <c r="H421" s="519">
        <v>46233</v>
      </c>
      <c r="I421" s="519">
        <v>46233</v>
      </c>
      <c r="J421">
        <v>847</v>
      </c>
      <c r="K421" s="520">
        <v>1238.92</v>
      </c>
      <c r="L421" s="520">
        <v>1044.5</v>
      </c>
      <c r="M421">
        <v>0</v>
      </c>
      <c r="N421">
        <v>0</v>
      </c>
    </row>
    <row r="422" spans="1:14">
      <c r="A422" t="s">
        <v>6175</v>
      </c>
      <c r="B422" t="s">
        <v>1499</v>
      </c>
      <c r="C422">
        <v>700</v>
      </c>
      <c r="D422" t="s">
        <v>5672</v>
      </c>
      <c r="E422" t="s">
        <v>5673</v>
      </c>
      <c r="J422">
        <v>897</v>
      </c>
      <c r="K422">
        <v>0</v>
      </c>
      <c r="L422">
        <v>0</v>
      </c>
      <c r="N422">
        <v>0</v>
      </c>
    </row>
    <row r="423" spans="1:14">
      <c r="A423" t="s">
        <v>1877</v>
      </c>
      <c r="B423" t="s">
        <v>1499</v>
      </c>
      <c r="C423">
        <v>700</v>
      </c>
      <c r="D423" t="s">
        <v>5672</v>
      </c>
      <c r="E423" t="s">
        <v>5673</v>
      </c>
      <c r="J423">
        <v>897</v>
      </c>
      <c r="K423">
        <v>0</v>
      </c>
      <c r="L423">
        <v>0</v>
      </c>
      <c r="N423">
        <v>0</v>
      </c>
    </row>
    <row r="424" spans="1:14">
      <c r="A424" t="s">
        <v>1116</v>
      </c>
      <c r="B424" t="s">
        <v>1499</v>
      </c>
      <c r="C424">
        <v>700</v>
      </c>
      <c r="D424" t="s">
        <v>5672</v>
      </c>
      <c r="E424" t="s">
        <v>5673</v>
      </c>
      <c r="J424">
        <v>847</v>
      </c>
      <c r="K424">
        <v>0</v>
      </c>
      <c r="L424">
        <v>0</v>
      </c>
      <c r="N424">
        <v>0</v>
      </c>
    </row>
    <row r="425" spans="1:14">
      <c r="A425" t="s">
        <v>5374</v>
      </c>
      <c r="B425" t="s">
        <v>1499</v>
      </c>
      <c r="C425">
        <v>700</v>
      </c>
      <c r="D425" t="s">
        <v>5672</v>
      </c>
      <c r="E425" t="s">
        <v>5673</v>
      </c>
      <c r="J425">
        <v>802</v>
      </c>
      <c r="K425">
        <v>0</v>
      </c>
      <c r="L425">
        <v>0</v>
      </c>
      <c r="N425">
        <v>0</v>
      </c>
    </row>
    <row r="426" spans="1:14">
      <c r="A426" t="s">
        <v>6176</v>
      </c>
      <c r="B426" t="s">
        <v>1499</v>
      </c>
      <c r="C426">
        <v>700</v>
      </c>
      <c r="D426" t="s">
        <v>1487</v>
      </c>
      <c r="E426" t="s">
        <v>6177</v>
      </c>
      <c r="F426" s="519">
        <v>44456</v>
      </c>
      <c r="G426" s="519">
        <v>45901</v>
      </c>
      <c r="H426" s="519">
        <v>46265</v>
      </c>
      <c r="J426">
        <v>822</v>
      </c>
      <c r="K426" s="520">
        <v>1188</v>
      </c>
      <c r="L426" s="520">
        <v>1102.5</v>
      </c>
      <c r="M426">
        <v>0</v>
      </c>
      <c r="N426">
        <v>0</v>
      </c>
    </row>
    <row r="427" spans="1:14">
      <c r="A427" t="s">
        <v>1108</v>
      </c>
      <c r="B427" t="s">
        <v>1499</v>
      </c>
      <c r="C427">
        <v>700</v>
      </c>
      <c r="D427" t="s">
        <v>1487</v>
      </c>
      <c r="E427" t="s">
        <v>1109</v>
      </c>
      <c r="F427" s="519">
        <v>46087</v>
      </c>
      <c r="G427" s="519">
        <v>46087</v>
      </c>
      <c r="H427" s="519">
        <v>46451</v>
      </c>
      <c r="J427">
        <v>777</v>
      </c>
      <c r="K427">
        <v>75</v>
      </c>
      <c r="L427">
        <v>978</v>
      </c>
      <c r="M427">
        <v>-29.92</v>
      </c>
      <c r="N427">
        <v>0</v>
      </c>
    </row>
    <row r="428" spans="1:14">
      <c r="A428" t="s">
        <v>6178</v>
      </c>
      <c r="B428" t="s">
        <v>1499</v>
      </c>
      <c r="C428">
        <v>700</v>
      </c>
      <c r="D428" t="s">
        <v>1487</v>
      </c>
      <c r="E428" t="s">
        <v>6179</v>
      </c>
      <c r="F428" s="519">
        <v>44957</v>
      </c>
      <c r="G428" s="519">
        <v>46054</v>
      </c>
      <c r="H428" s="519">
        <v>46417</v>
      </c>
      <c r="J428">
        <v>822</v>
      </c>
      <c r="K428" s="520">
        <v>1184.92</v>
      </c>
      <c r="L428" s="520">
        <v>1126</v>
      </c>
      <c r="M428">
        <v>0</v>
      </c>
      <c r="N428">
        <v>0</v>
      </c>
    </row>
    <row r="429" spans="1:14">
      <c r="A429" t="s">
        <v>6180</v>
      </c>
      <c r="B429" t="s">
        <v>1499</v>
      </c>
      <c r="C429">
        <v>700</v>
      </c>
      <c r="D429" t="s">
        <v>5672</v>
      </c>
      <c r="E429" t="s">
        <v>5673</v>
      </c>
      <c r="J429">
        <v>872</v>
      </c>
      <c r="K429">
        <v>0</v>
      </c>
      <c r="L429">
        <v>0</v>
      </c>
      <c r="N429">
        <v>0</v>
      </c>
    </row>
    <row r="430" spans="1:14">
      <c r="A430" t="s">
        <v>1339</v>
      </c>
      <c r="B430" t="s">
        <v>1499</v>
      </c>
      <c r="C430">
        <v>700</v>
      </c>
      <c r="D430" t="s">
        <v>5672</v>
      </c>
      <c r="E430" t="s">
        <v>5673</v>
      </c>
      <c r="J430">
        <v>807</v>
      </c>
      <c r="K430">
        <v>0</v>
      </c>
      <c r="L430">
        <v>0</v>
      </c>
      <c r="N430">
        <v>0</v>
      </c>
    </row>
    <row r="431" spans="1:14">
      <c r="A431" t="s">
        <v>6181</v>
      </c>
      <c r="B431" t="s">
        <v>1499</v>
      </c>
      <c r="C431">
        <v>700</v>
      </c>
      <c r="D431" t="s">
        <v>1487</v>
      </c>
      <c r="E431" t="s">
        <v>6182</v>
      </c>
      <c r="F431" s="519">
        <v>45836</v>
      </c>
      <c r="G431" s="519">
        <v>45836</v>
      </c>
      <c r="H431" s="519">
        <v>46200</v>
      </c>
      <c r="J431">
        <v>872</v>
      </c>
      <c r="K431" s="520">
        <v>1183.92</v>
      </c>
      <c r="L431" s="520">
        <v>1124.5</v>
      </c>
      <c r="M431">
        <v>0</v>
      </c>
      <c r="N431">
        <v>0</v>
      </c>
    </row>
    <row r="432" spans="1:14">
      <c r="A432" t="s">
        <v>6183</v>
      </c>
      <c r="B432" t="s">
        <v>1499</v>
      </c>
      <c r="C432">
        <v>700</v>
      </c>
      <c r="D432" t="s">
        <v>1487</v>
      </c>
      <c r="E432" t="s">
        <v>6184</v>
      </c>
      <c r="F432" s="519">
        <v>42713</v>
      </c>
      <c r="G432" s="519">
        <v>46054</v>
      </c>
      <c r="J432">
        <v>822</v>
      </c>
      <c r="K432" s="520">
        <v>1097</v>
      </c>
      <c r="L432" s="520">
        <v>1011.49</v>
      </c>
      <c r="M432">
        <v>0</v>
      </c>
      <c r="N432">
        <v>150</v>
      </c>
    </row>
    <row r="433" spans="1:14">
      <c r="A433" t="s">
        <v>5502</v>
      </c>
      <c r="B433" t="s">
        <v>1499</v>
      </c>
      <c r="C433">
        <v>700</v>
      </c>
      <c r="D433" t="s">
        <v>5672</v>
      </c>
      <c r="E433" t="s">
        <v>5673</v>
      </c>
      <c r="J433">
        <v>777</v>
      </c>
      <c r="K433">
        <v>0</v>
      </c>
      <c r="L433">
        <v>0</v>
      </c>
      <c r="N433">
        <v>0</v>
      </c>
    </row>
    <row r="434" spans="1:14">
      <c r="A434" t="s">
        <v>6185</v>
      </c>
      <c r="B434" t="s">
        <v>1499</v>
      </c>
      <c r="C434">
        <v>700</v>
      </c>
      <c r="D434" t="s">
        <v>1487</v>
      </c>
      <c r="E434" t="s">
        <v>6186</v>
      </c>
      <c r="F434" s="519">
        <v>45344</v>
      </c>
      <c r="G434" s="519">
        <v>46134</v>
      </c>
      <c r="J434">
        <v>897</v>
      </c>
      <c r="K434" s="520">
        <v>1354.92</v>
      </c>
      <c r="L434" s="520">
        <v>1470</v>
      </c>
      <c r="M434">
        <v>0</v>
      </c>
      <c r="N434">
        <v>750</v>
      </c>
    </row>
    <row r="435" spans="1:14">
      <c r="A435" t="s">
        <v>2783</v>
      </c>
      <c r="B435" t="s">
        <v>1499</v>
      </c>
      <c r="C435">
        <v>700</v>
      </c>
      <c r="D435" t="s">
        <v>1487</v>
      </c>
      <c r="E435" t="s">
        <v>1004</v>
      </c>
      <c r="F435" s="519">
        <v>46137</v>
      </c>
      <c r="G435" s="519">
        <v>46137</v>
      </c>
      <c r="H435" s="519">
        <v>46501</v>
      </c>
      <c r="J435">
        <v>897</v>
      </c>
      <c r="K435">
        <v>613</v>
      </c>
      <c r="L435" s="520">
        <v>1051</v>
      </c>
      <c r="M435">
        <v>-151.19999999999999</v>
      </c>
      <c r="N435">
        <v>0</v>
      </c>
    </row>
    <row r="436" spans="1:14">
      <c r="A436" t="s">
        <v>6187</v>
      </c>
      <c r="B436" t="s">
        <v>1499</v>
      </c>
      <c r="C436">
        <v>700</v>
      </c>
      <c r="D436" t="s">
        <v>1487</v>
      </c>
      <c r="E436" t="s">
        <v>6188</v>
      </c>
      <c r="F436" s="519">
        <v>44470</v>
      </c>
      <c r="G436" s="519">
        <v>45931</v>
      </c>
      <c r="H436" s="519">
        <v>46295</v>
      </c>
      <c r="J436">
        <v>802</v>
      </c>
      <c r="K436" s="520">
        <v>1025.92</v>
      </c>
      <c r="L436">
        <v>966.5</v>
      </c>
      <c r="M436">
        <v>0</v>
      </c>
      <c r="N436">
        <v>0</v>
      </c>
    </row>
    <row r="437" spans="1:14">
      <c r="A437" t="s">
        <v>6189</v>
      </c>
      <c r="B437" t="s">
        <v>1499</v>
      </c>
      <c r="C437">
        <v>700</v>
      </c>
      <c r="D437" t="s">
        <v>1487</v>
      </c>
      <c r="E437" t="s">
        <v>3405</v>
      </c>
      <c r="F437" s="519">
        <v>44695</v>
      </c>
      <c r="G437" s="519">
        <v>45809</v>
      </c>
      <c r="H437" s="519">
        <v>46173</v>
      </c>
      <c r="J437">
        <v>897</v>
      </c>
      <c r="K437" s="520">
        <v>1271.92</v>
      </c>
      <c r="L437" s="520">
        <v>1213</v>
      </c>
      <c r="M437">
        <v>0</v>
      </c>
      <c r="N437">
        <v>750</v>
      </c>
    </row>
    <row r="438" spans="1:14">
      <c r="A438" t="s">
        <v>2848</v>
      </c>
      <c r="B438" t="s">
        <v>1499</v>
      </c>
      <c r="C438">
        <v>700</v>
      </c>
      <c r="D438" t="s">
        <v>5672</v>
      </c>
      <c r="E438" t="s">
        <v>5673</v>
      </c>
      <c r="J438">
        <v>802</v>
      </c>
      <c r="K438">
        <v>0</v>
      </c>
      <c r="L438">
        <v>0</v>
      </c>
      <c r="N438">
        <v>0</v>
      </c>
    </row>
    <row r="439" spans="1:14">
      <c r="A439" t="s">
        <v>1118</v>
      </c>
      <c r="B439" t="s">
        <v>1499</v>
      </c>
      <c r="C439">
        <v>700</v>
      </c>
      <c r="D439" t="s">
        <v>5733</v>
      </c>
      <c r="E439" t="s">
        <v>5673</v>
      </c>
      <c r="J439">
        <v>847</v>
      </c>
      <c r="K439">
        <v>0</v>
      </c>
      <c r="L439">
        <v>0</v>
      </c>
      <c r="N439">
        <v>0</v>
      </c>
    </row>
    <row r="440" spans="1:14">
      <c r="A440" t="s">
        <v>6190</v>
      </c>
      <c r="B440" t="s">
        <v>1499</v>
      </c>
      <c r="C440">
        <v>700</v>
      </c>
      <c r="D440" t="s">
        <v>1487</v>
      </c>
      <c r="E440" t="s">
        <v>6191</v>
      </c>
      <c r="F440" s="519">
        <v>43523</v>
      </c>
      <c r="G440" s="519">
        <v>46082</v>
      </c>
      <c r="H440" s="519">
        <v>46445</v>
      </c>
      <c r="J440">
        <v>802</v>
      </c>
      <c r="K440" s="520">
        <v>1012</v>
      </c>
      <c r="L440">
        <v>927</v>
      </c>
      <c r="M440">
        <v>-10.51</v>
      </c>
      <c r="N440">
        <v>150</v>
      </c>
    </row>
    <row r="441" spans="1:14">
      <c r="A441" t="s">
        <v>6192</v>
      </c>
      <c r="B441" t="s">
        <v>1499</v>
      </c>
      <c r="C441">
        <v>700</v>
      </c>
      <c r="D441" t="s">
        <v>1487</v>
      </c>
      <c r="E441" t="s">
        <v>6193</v>
      </c>
      <c r="F441" s="519">
        <v>44470</v>
      </c>
      <c r="G441" s="519">
        <v>45931</v>
      </c>
      <c r="H441" s="519">
        <v>46295</v>
      </c>
      <c r="J441">
        <v>802</v>
      </c>
      <c r="K441" s="520">
        <v>1026.92</v>
      </c>
      <c r="L441">
        <v>967.5</v>
      </c>
      <c r="M441">
        <v>0</v>
      </c>
      <c r="N441">
        <v>150</v>
      </c>
    </row>
    <row r="442" spans="1:14">
      <c r="A442" t="s">
        <v>6194</v>
      </c>
      <c r="B442" t="s">
        <v>1499</v>
      </c>
      <c r="C442">
        <v>700</v>
      </c>
      <c r="D442" t="s">
        <v>1486</v>
      </c>
      <c r="E442" t="s">
        <v>6195</v>
      </c>
      <c r="F442" s="519">
        <v>44032</v>
      </c>
      <c r="G442" s="519">
        <v>46054</v>
      </c>
      <c r="H442" s="519">
        <v>46153</v>
      </c>
      <c r="I442" s="519">
        <v>46153</v>
      </c>
      <c r="J442">
        <v>802</v>
      </c>
      <c r="K442" s="520">
        <v>1059</v>
      </c>
      <c r="L442">
        <v>973.5</v>
      </c>
      <c r="M442">
        <v>0</v>
      </c>
      <c r="N442">
        <v>150</v>
      </c>
    </row>
    <row r="443" spans="1:14">
      <c r="A443" t="s">
        <v>6196</v>
      </c>
      <c r="B443" t="s">
        <v>1499</v>
      </c>
      <c r="C443">
        <v>700</v>
      </c>
      <c r="D443" t="s">
        <v>1486</v>
      </c>
      <c r="E443" t="s">
        <v>6197</v>
      </c>
      <c r="F443" s="519">
        <v>44893</v>
      </c>
      <c r="G443" s="519">
        <v>45809</v>
      </c>
      <c r="H443" s="519">
        <v>46173</v>
      </c>
      <c r="I443" s="519">
        <v>46172</v>
      </c>
      <c r="J443">
        <v>802</v>
      </c>
      <c r="K443" s="520">
        <v>1227</v>
      </c>
      <c r="L443" s="520">
        <v>1141.49</v>
      </c>
      <c r="M443">
        <v>0</v>
      </c>
      <c r="N443">
        <v>750</v>
      </c>
    </row>
    <row r="444" spans="1:14">
      <c r="A444" t="s">
        <v>6198</v>
      </c>
      <c r="B444" t="s">
        <v>1499</v>
      </c>
      <c r="C444">
        <v>700</v>
      </c>
      <c r="D444" t="s">
        <v>1487</v>
      </c>
      <c r="E444" t="s">
        <v>6199</v>
      </c>
      <c r="F444" s="519">
        <v>43374</v>
      </c>
      <c r="G444" s="519">
        <v>46113</v>
      </c>
      <c r="H444" s="519">
        <v>46477</v>
      </c>
      <c r="J444">
        <v>802</v>
      </c>
      <c r="K444" s="520">
        <v>1099.92</v>
      </c>
      <c r="L444" s="520">
        <v>1041</v>
      </c>
      <c r="M444">
        <v>-193.17</v>
      </c>
      <c r="N444">
        <v>150</v>
      </c>
    </row>
    <row r="445" spans="1:14">
      <c r="A445" t="s">
        <v>6200</v>
      </c>
      <c r="B445" t="s">
        <v>1499</v>
      </c>
      <c r="C445">
        <v>700</v>
      </c>
      <c r="D445" t="s">
        <v>1487</v>
      </c>
      <c r="E445" t="s">
        <v>6201</v>
      </c>
      <c r="F445" s="519">
        <v>45413</v>
      </c>
      <c r="G445" s="519">
        <v>45931</v>
      </c>
      <c r="H445" s="519">
        <v>46295</v>
      </c>
      <c r="J445">
        <v>802</v>
      </c>
      <c r="K445" s="520">
        <v>1019.92</v>
      </c>
      <c r="L445">
        <v>960.5</v>
      </c>
      <c r="M445">
        <v>0</v>
      </c>
      <c r="N445">
        <v>450</v>
      </c>
    </row>
    <row r="446" spans="1:14">
      <c r="A446" t="s">
        <v>1402</v>
      </c>
      <c r="B446" t="s">
        <v>1499</v>
      </c>
      <c r="C446">
        <v>700</v>
      </c>
      <c r="D446" t="s">
        <v>5672</v>
      </c>
      <c r="E446" t="s">
        <v>5673</v>
      </c>
      <c r="J446">
        <v>872</v>
      </c>
      <c r="K446">
        <v>0</v>
      </c>
      <c r="L446">
        <v>0</v>
      </c>
      <c r="N446">
        <v>0</v>
      </c>
    </row>
    <row r="447" spans="1:14">
      <c r="A447" t="s">
        <v>6202</v>
      </c>
      <c r="B447" t="s">
        <v>1499</v>
      </c>
      <c r="C447">
        <v>700</v>
      </c>
      <c r="D447" t="s">
        <v>1487</v>
      </c>
      <c r="E447" t="s">
        <v>6203</v>
      </c>
      <c r="F447" s="519">
        <v>45884</v>
      </c>
      <c r="G447" s="519">
        <v>45884</v>
      </c>
      <c r="H447" s="519">
        <v>46248</v>
      </c>
      <c r="J447">
        <v>777</v>
      </c>
      <c r="K447" s="520">
        <v>1033.92</v>
      </c>
      <c r="L447">
        <v>974.5</v>
      </c>
      <c r="M447">
        <v>0</v>
      </c>
      <c r="N447">
        <v>0</v>
      </c>
    </row>
    <row r="448" spans="1:14">
      <c r="A448" t="s">
        <v>6204</v>
      </c>
      <c r="B448" t="s">
        <v>1499</v>
      </c>
      <c r="C448">
        <v>700</v>
      </c>
      <c r="D448" t="s">
        <v>1487</v>
      </c>
      <c r="E448" t="s">
        <v>6205</v>
      </c>
      <c r="F448" s="519">
        <v>45591</v>
      </c>
      <c r="G448" s="519">
        <v>46017</v>
      </c>
      <c r="H448" s="519">
        <v>46379</v>
      </c>
      <c r="J448">
        <v>807</v>
      </c>
      <c r="K448" s="520">
        <v>1105</v>
      </c>
      <c r="L448" s="520">
        <v>1020</v>
      </c>
      <c r="M448">
        <v>0</v>
      </c>
      <c r="N448">
        <v>0</v>
      </c>
    </row>
    <row r="449" spans="1:14">
      <c r="A449" t="s">
        <v>6206</v>
      </c>
      <c r="B449" t="s">
        <v>1499</v>
      </c>
      <c r="C449">
        <v>700</v>
      </c>
      <c r="D449" t="s">
        <v>1487</v>
      </c>
      <c r="E449" t="s">
        <v>6207</v>
      </c>
      <c r="F449" s="519">
        <v>44531</v>
      </c>
      <c r="G449" s="519">
        <v>45992</v>
      </c>
      <c r="J449">
        <v>822</v>
      </c>
      <c r="K449" s="520">
        <v>1328</v>
      </c>
      <c r="L449" s="520">
        <v>1242.5</v>
      </c>
      <c r="M449">
        <v>0</v>
      </c>
      <c r="N449">
        <v>0</v>
      </c>
    </row>
    <row r="450" spans="1:14">
      <c r="A450" t="s">
        <v>6208</v>
      </c>
      <c r="B450" t="s">
        <v>1499</v>
      </c>
      <c r="C450">
        <v>700</v>
      </c>
      <c r="D450" t="s">
        <v>1487</v>
      </c>
      <c r="E450" t="s">
        <v>6209</v>
      </c>
      <c r="F450" s="519">
        <v>46039</v>
      </c>
      <c r="G450" s="519">
        <v>46039</v>
      </c>
      <c r="H450" s="519">
        <v>46403</v>
      </c>
      <c r="J450">
        <v>872</v>
      </c>
      <c r="K450" s="520">
        <v>1211</v>
      </c>
      <c r="L450" s="520">
        <v>1211</v>
      </c>
      <c r="M450">
        <v>0</v>
      </c>
      <c r="N450">
        <v>0</v>
      </c>
    </row>
    <row r="451" spans="1:14">
      <c r="A451" t="s">
        <v>6210</v>
      </c>
      <c r="B451" t="s">
        <v>1499</v>
      </c>
      <c r="C451">
        <v>700</v>
      </c>
      <c r="D451" t="s">
        <v>1487</v>
      </c>
      <c r="E451" t="s">
        <v>6211</v>
      </c>
      <c r="F451" s="519">
        <v>45516</v>
      </c>
      <c r="G451" s="519">
        <v>46129</v>
      </c>
      <c r="H451" s="519">
        <v>46493</v>
      </c>
      <c r="J451">
        <v>872</v>
      </c>
      <c r="K451" s="520">
        <v>1238</v>
      </c>
      <c r="L451" s="520">
        <v>1171</v>
      </c>
      <c r="M451">
        <v>0</v>
      </c>
      <c r="N451">
        <v>0</v>
      </c>
    </row>
    <row r="452" spans="1:14">
      <c r="A452" t="s">
        <v>6212</v>
      </c>
      <c r="B452" t="s">
        <v>1499</v>
      </c>
      <c r="C452">
        <v>700</v>
      </c>
      <c r="D452" t="s">
        <v>1487</v>
      </c>
      <c r="E452" t="s">
        <v>6213</v>
      </c>
      <c r="F452" s="519">
        <v>45252</v>
      </c>
      <c r="G452" s="519">
        <v>46113</v>
      </c>
      <c r="H452" s="519">
        <v>46477</v>
      </c>
      <c r="J452">
        <v>872</v>
      </c>
      <c r="K452" s="520">
        <v>1478</v>
      </c>
      <c r="L452" s="520">
        <v>1254</v>
      </c>
      <c r="M452">
        <v>0</v>
      </c>
      <c r="N452">
        <v>0</v>
      </c>
    </row>
    <row r="453" spans="1:14">
      <c r="A453" t="s">
        <v>6214</v>
      </c>
      <c r="B453" t="s">
        <v>1499</v>
      </c>
      <c r="C453">
        <v>700</v>
      </c>
      <c r="D453" t="s">
        <v>1487</v>
      </c>
      <c r="E453" t="s">
        <v>6215</v>
      </c>
      <c r="F453" s="519">
        <v>44721</v>
      </c>
      <c r="G453" s="519">
        <v>45809</v>
      </c>
      <c r="H453" s="519">
        <v>46173</v>
      </c>
      <c r="J453">
        <v>822</v>
      </c>
      <c r="K453" s="520">
        <v>1163.92</v>
      </c>
      <c r="L453" s="520">
        <v>1104.5</v>
      </c>
      <c r="M453" s="520">
        <v>-2052.7600000000002</v>
      </c>
      <c r="N453">
        <v>750</v>
      </c>
    </row>
    <row r="454" spans="1:14">
      <c r="A454" t="s">
        <v>6216</v>
      </c>
      <c r="B454" t="s">
        <v>1499</v>
      </c>
      <c r="C454">
        <v>700</v>
      </c>
      <c r="D454" t="s">
        <v>5672</v>
      </c>
      <c r="E454" t="s">
        <v>5673</v>
      </c>
      <c r="J454">
        <v>872</v>
      </c>
      <c r="K454">
        <v>0</v>
      </c>
      <c r="L454">
        <v>0</v>
      </c>
      <c r="N454">
        <v>0</v>
      </c>
    </row>
    <row r="455" spans="1:14">
      <c r="A455" t="s">
        <v>6217</v>
      </c>
      <c r="B455" t="s">
        <v>1499</v>
      </c>
      <c r="C455">
        <v>700</v>
      </c>
      <c r="D455" t="s">
        <v>1486</v>
      </c>
      <c r="E455" t="s">
        <v>6218</v>
      </c>
      <c r="F455" s="519">
        <v>45864</v>
      </c>
      <c r="G455" s="519">
        <v>45864</v>
      </c>
      <c r="H455" s="519">
        <v>46228</v>
      </c>
      <c r="I455" s="519">
        <v>46228</v>
      </c>
      <c r="J455">
        <v>872</v>
      </c>
      <c r="K455" s="520">
        <v>1138.92</v>
      </c>
      <c r="L455" s="520">
        <v>1080</v>
      </c>
      <c r="M455">
        <v>0</v>
      </c>
      <c r="N455">
        <v>750</v>
      </c>
    </row>
    <row r="456" spans="1:14">
      <c r="A456" t="s">
        <v>1878</v>
      </c>
      <c r="B456" t="s">
        <v>1499</v>
      </c>
      <c r="C456">
        <v>700</v>
      </c>
      <c r="D456" t="s">
        <v>1487</v>
      </c>
      <c r="E456" t="s">
        <v>1879</v>
      </c>
      <c r="F456" s="519">
        <v>44470</v>
      </c>
      <c r="G456" s="519">
        <v>46073</v>
      </c>
      <c r="H456" s="519">
        <v>46437</v>
      </c>
      <c r="J456">
        <v>777</v>
      </c>
      <c r="K456" s="520">
        <v>1309</v>
      </c>
      <c r="L456" s="520">
        <v>1189</v>
      </c>
      <c r="M456">
        <v>60</v>
      </c>
      <c r="N456">
        <v>150</v>
      </c>
    </row>
    <row r="457" spans="1:14">
      <c r="A457" t="s">
        <v>6219</v>
      </c>
      <c r="B457" t="s">
        <v>1499</v>
      </c>
      <c r="C457">
        <v>700</v>
      </c>
      <c r="D457" t="s">
        <v>1487</v>
      </c>
      <c r="E457" t="s">
        <v>6220</v>
      </c>
      <c r="F457" s="519">
        <v>42020</v>
      </c>
      <c r="G457" s="519">
        <v>45901</v>
      </c>
      <c r="H457" s="519">
        <v>46265</v>
      </c>
      <c r="J457">
        <v>777</v>
      </c>
      <c r="K457" s="520">
        <v>1029.92</v>
      </c>
      <c r="L457">
        <v>970.5</v>
      </c>
      <c r="M457">
        <v>0</v>
      </c>
      <c r="N457">
        <v>200</v>
      </c>
    </row>
    <row r="458" spans="1:14">
      <c r="A458" t="s">
        <v>6221</v>
      </c>
      <c r="B458" t="s">
        <v>1500</v>
      </c>
      <c r="C458">
        <v>746</v>
      </c>
      <c r="D458" t="s">
        <v>1487</v>
      </c>
      <c r="E458" t="s">
        <v>6222</v>
      </c>
      <c r="F458" s="519">
        <v>44624</v>
      </c>
      <c r="G458" s="519">
        <v>46082</v>
      </c>
      <c r="H458" s="519">
        <v>46445</v>
      </c>
      <c r="J458" s="520">
        <v>1074</v>
      </c>
      <c r="K458" s="520">
        <v>1397.5</v>
      </c>
      <c r="L458" s="520">
        <v>1337</v>
      </c>
      <c r="M458">
        <v>0</v>
      </c>
      <c r="N458">
        <v>750</v>
      </c>
    </row>
    <row r="459" spans="1:14">
      <c r="A459" t="s">
        <v>1638</v>
      </c>
      <c r="B459" t="s">
        <v>1500</v>
      </c>
      <c r="C459">
        <v>746</v>
      </c>
      <c r="D459" t="s">
        <v>1487</v>
      </c>
      <c r="E459" t="s">
        <v>1639</v>
      </c>
      <c r="F459" s="519">
        <v>43641</v>
      </c>
      <c r="G459" s="519">
        <v>45839</v>
      </c>
      <c r="H459" s="519">
        <v>46203</v>
      </c>
      <c r="J459">
        <v>979</v>
      </c>
      <c r="K459" s="520">
        <v>1231.58</v>
      </c>
      <c r="L459" s="520">
        <v>1009.5</v>
      </c>
      <c r="M459" s="520">
        <v>4793.42</v>
      </c>
      <c r="N459">
        <v>150</v>
      </c>
    </row>
    <row r="460" spans="1:14">
      <c r="A460" t="s">
        <v>6223</v>
      </c>
      <c r="B460" t="s">
        <v>1500</v>
      </c>
      <c r="C460">
        <v>746</v>
      </c>
      <c r="D460" t="s">
        <v>5672</v>
      </c>
      <c r="E460" t="s">
        <v>5673</v>
      </c>
      <c r="J460" s="520">
        <v>1024</v>
      </c>
      <c r="K460">
        <v>0</v>
      </c>
      <c r="L460">
        <v>0</v>
      </c>
      <c r="N460">
        <v>0</v>
      </c>
    </row>
    <row r="461" spans="1:14">
      <c r="A461" t="s">
        <v>6224</v>
      </c>
      <c r="B461" t="s">
        <v>1500</v>
      </c>
      <c r="C461">
        <v>746</v>
      </c>
      <c r="D461" t="s">
        <v>1487</v>
      </c>
      <c r="E461" t="s">
        <v>6225</v>
      </c>
      <c r="F461" s="519">
        <v>43280</v>
      </c>
      <c r="G461" s="519">
        <v>46054</v>
      </c>
      <c r="J461">
        <v>979</v>
      </c>
      <c r="K461" s="520">
        <v>1208.58</v>
      </c>
      <c r="L461" s="520">
        <v>1121.5</v>
      </c>
      <c r="M461">
        <v>0</v>
      </c>
      <c r="N461">
        <v>150</v>
      </c>
    </row>
    <row r="462" spans="1:14">
      <c r="A462" t="s">
        <v>5354</v>
      </c>
      <c r="B462" t="s">
        <v>1500</v>
      </c>
      <c r="C462">
        <v>746</v>
      </c>
      <c r="D462" t="s">
        <v>5672</v>
      </c>
      <c r="E462" t="s">
        <v>5673</v>
      </c>
      <c r="J462" s="520">
        <v>1024</v>
      </c>
      <c r="K462">
        <v>0</v>
      </c>
      <c r="L462">
        <v>0</v>
      </c>
      <c r="N462">
        <v>0</v>
      </c>
    </row>
    <row r="463" spans="1:14">
      <c r="A463" t="s">
        <v>6226</v>
      </c>
      <c r="B463" t="s">
        <v>1500</v>
      </c>
      <c r="C463">
        <v>746</v>
      </c>
      <c r="D463" t="s">
        <v>1487</v>
      </c>
      <c r="E463" t="s">
        <v>6227</v>
      </c>
      <c r="F463" s="519">
        <v>45535</v>
      </c>
      <c r="G463" s="519">
        <v>45961</v>
      </c>
      <c r="H463" s="519">
        <v>46325</v>
      </c>
      <c r="J463" s="520">
        <v>1024</v>
      </c>
      <c r="K463" s="520">
        <v>1307.5</v>
      </c>
      <c r="L463" s="520">
        <v>1246.5</v>
      </c>
      <c r="M463">
        <v>0</v>
      </c>
      <c r="N463">
        <v>0</v>
      </c>
    </row>
    <row r="464" spans="1:14">
      <c r="A464" t="s">
        <v>6228</v>
      </c>
      <c r="B464" t="s">
        <v>1500</v>
      </c>
      <c r="C464">
        <v>746</v>
      </c>
      <c r="D464" t="s">
        <v>5672</v>
      </c>
      <c r="E464" t="s">
        <v>5673</v>
      </c>
      <c r="J464" s="520">
        <v>1024</v>
      </c>
      <c r="K464">
        <v>0</v>
      </c>
      <c r="L464">
        <v>0</v>
      </c>
      <c r="N464">
        <v>0</v>
      </c>
    </row>
    <row r="465" spans="1:14">
      <c r="A465" t="s">
        <v>6229</v>
      </c>
      <c r="B465" t="s">
        <v>1500</v>
      </c>
      <c r="C465">
        <v>746</v>
      </c>
      <c r="D465" t="s">
        <v>1487</v>
      </c>
      <c r="E465" t="s">
        <v>584</v>
      </c>
      <c r="F465" s="519">
        <v>45923</v>
      </c>
      <c r="G465" s="519">
        <v>45923</v>
      </c>
      <c r="H465" s="519">
        <v>46289</v>
      </c>
      <c r="J465" s="520">
        <v>1074</v>
      </c>
      <c r="K465" s="520">
        <v>1027.58</v>
      </c>
      <c r="L465">
        <v>940.98</v>
      </c>
      <c r="M465">
        <v>-972.42</v>
      </c>
      <c r="N465">
        <v>0</v>
      </c>
    </row>
    <row r="466" spans="1:14">
      <c r="A466" t="s">
        <v>6230</v>
      </c>
      <c r="B466" t="s">
        <v>1500</v>
      </c>
      <c r="C466">
        <v>746</v>
      </c>
      <c r="D466" t="s">
        <v>1487</v>
      </c>
      <c r="E466" t="s">
        <v>6231</v>
      </c>
      <c r="F466" s="519">
        <v>44835</v>
      </c>
      <c r="G466" s="519">
        <v>45931</v>
      </c>
      <c r="H466" s="519">
        <v>46295</v>
      </c>
      <c r="J466" s="520">
        <v>1049</v>
      </c>
      <c r="K466" s="520">
        <v>1389.5</v>
      </c>
      <c r="L466" s="520">
        <v>1328.49</v>
      </c>
      <c r="M466">
        <v>0</v>
      </c>
      <c r="N466">
        <v>0</v>
      </c>
    </row>
    <row r="467" spans="1:14">
      <c r="A467" t="s">
        <v>6232</v>
      </c>
      <c r="B467" t="s">
        <v>1500</v>
      </c>
      <c r="C467">
        <v>746</v>
      </c>
      <c r="D467" t="s">
        <v>1487</v>
      </c>
      <c r="E467" t="s">
        <v>6233</v>
      </c>
      <c r="F467" s="519">
        <v>45555</v>
      </c>
      <c r="G467" s="519">
        <v>45981</v>
      </c>
      <c r="H467" s="519">
        <v>46161</v>
      </c>
      <c r="J467">
        <v>999</v>
      </c>
      <c r="K467" s="520">
        <v>1344.58</v>
      </c>
      <c r="L467" s="520">
        <v>1257.49</v>
      </c>
      <c r="M467">
        <v>0</v>
      </c>
      <c r="N467">
        <v>0</v>
      </c>
    </row>
    <row r="468" spans="1:14">
      <c r="A468" t="s">
        <v>6234</v>
      </c>
      <c r="B468" t="s">
        <v>1500</v>
      </c>
      <c r="C468">
        <v>746</v>
      </c>
      <c r="D468" t="s">
        <v>1487</v>
      </c>
      <c r="E468" t="s">
        <v>6235</v>
      </c>
      <c r="F468" s="519">
        <v>42948</v>
      </c>
      <c r="G468" s="519">
        <v>45870</v>
      </c>
      <c r="H468" s="519">
        <v>46234</v>
      </c>
      <c r="J468">
        <v>954</v>
      </c>
      <c r="K468" s="520">
        <v>1235.58</v>
      </c>
      <c r="L468" s="520">
        <v>1148.5</v>
      </c>
      <c r="M468">
        <v>0</v>
      </c>
      <c r="N468">
        <v>0</v>
      </c>
    </row>
    <row r="469" spans="1:14">
      <c r="A469" t="s">
        <v>6236</v>
      </c>
      <c r="B469" t="s">
        <v>1500</v>
      </c>
      <c r="C469">
        <v>746</v>
      </c>
      <c r="D469" t="s">
        <v>1487</v>
      </c>
      <c r="E469" t="s">
        <v>6237</v>
      </c>
      <c r="F469" s="519">
        <v>44526</v>
      </c>
      <c r="G469" s="519">
        <v>45992</v>
      </c>
      <c r="H469" s="519">
        <v>46356</v>
      </c>
      <c r="J469">
        <v>999</v>
      </c>
      <c r="K469" s="520">
        <v>1222.5</v>
      </c>
      <c r="L469" s="520">
        <v>1162</v>
      </c>
      <c r="M469">
        <v>0</v>
      </c>
      <c r="N469">
        <v>750</v>
      </c>
    </row>
    <row r="470" spans="1:14">
      <c r="A470" t="s">
        <v>6238</v>
      </c>
      <c r="B470" t="s">
        <v>1500</v>
      </c>
      <c r="C470">
        <v>746</v>
      </c>
      <c r="D470" t="s">
        <v>1487</v>
      </c>
      <c r="E470" t="s">
        <v>6239</v>
      </c>
      <c r="F470" s="519">
        <v>45334</v>
      </c>
      <c r="G470" s="519">
        <v>46065</v>
      </c>
      <c r="H470" s="519">
        <v>46429</v>
      </c>
      <c r="J470">
        <v>954</v>
      </c>
      <c r="K470" s="520">
        <v>1300.58</v>
      </c>
      <c r="L470" s="520">
        <v>1214</v>
      </c>
      <c r="M470">
        <v>0</v>
      </c>
      <c r="N470">
        <v>0</v>
      </c>
    </row>
    <row r="471" spans="1:14">
      <c r="A471" t="s">
        <v>6240</v>
      </c>
      <c r="B471" t="s">
        <v>1500</v>
      </c>
      <c r="C471">
        <v>746</v>
      </c>
      <c r="D471" t="s">
        <v>1487</v>
      </c>
      <c r="E471" t="s">
        <v>6241</v>
      </c>
      <c r="F471" s="519">
        <v>42673</v>
      </c>
      <c r="G471" s="519">
        <v>45778</v>
      </c>
      <c r="H471" s="519">
        <v>46142</v>
      </c>
      <c r="J471">
        <v>999</v>
      </c>
      <c r="K471" s="520">
        <v>1229.58</v>
      </c>
      <c r="L471" s="520">
        <v>1142.5</v>
      </c>
      <c r="M471">
        <v>0</v>
      </c>
      <c r="N471">
        <v>150</v>
      </c>
    </row>
    <row r="472" spans="1:14">
      <c r="A472" t="s">
        <v>6242</v>
      </c>
      <c r="B472" t="s">
        <v>1500</v>
      </c>
      <c r="C472">
        <v>746</v>
      </c>
      <c r="D472" t="s">
        <v>1487</v>
      </c>
      <c r="E472" t="s">
        <v>6243</v>
      </c>
      <c r="F472" s="519">
        <v>45488</v>
      </c>
      <c r="G472" s="519">
        <v>45914</v>
      </c>
      <c r="H472" s="519">
        <v>46278</v>
      </c>
      <c r="J472">
        <v>999</v>
      </c>
      <c r="K472" s="520">
        <v>1310.58</v>
      </c>
      <c r="L472" s="520">
        <v>1224</v>
      </c>
      <c r="M472">
        <v>0</v>
      </c>
      <c r="N472">
        <v>0</v>
      </c>
    </row>
    <row r="473" spans="1:14">
      <c r="A473" t="s">
        <v>6244</v>
      </c>
      <c r="B473" t="s">
        <v>1500</v>
      </c>
      <c r="C473">
        <v>746</v>
      </c>
      <c r="D473" t="s">
        <v>1487</v>
      </c>
      <c r="E473" t="s">
        <v>6245</v>
      </c>
      <c r="F473" s="519">
        <v>44568</v>
      </c>
      <c r="G473" s="519">
        <v>46023</v>
      </c>
      <c r="J473">
        <v>954</v>
      </c>
      <c r="K473" s="520">
        <v>1230.5</v>
      </c>
      <c r="L473" s="520">
        <v>1169.48</v>
      </c>
      <c r="M473">
        <v>0</v>
      </c>
      <c r="N473">
        <v>0</v>
      </c>
    </row>
    <row r="474" spans="1:14">
      <c r="A474" t="s">
        <v>857</v>
      </c>
      <c r="B474" t="s">
        <v>1500</v>
      </c>
      <c r="C474">
        <v>746</v>
      </c>
      <c r="D474" t="s">
        <v>5672</v>
      </c>
      <c r="E474" t="s">
        <v>5673</v>
      </c>
      <c r="J474" s="520">
        <v>1024</v>
      </c>
      <c r="K474">
        <v>0</v>
      </c>
      <c r="L474">
        <v>0</v>
      </c>
      <c r="N474">
        <v>0</v>
      </c>
    </row>
    <row r="475" spans="1:14">
      <c r="A475" t="s">
        <v>6246</v>
      </c>
      <c r="B475" t="s">
        <v>1500</v>
      </c>
      <c r="C475">
        <v>746</v>
      </c>
      <c r="D475" t="s">
        <v>1487</v>
      </c>
      <c r="E475" t="s">
        <v>6247</v>
      </c>
      <c r="F475" s="519">
        <v>45499</v>
      </c>
      <c r="G475" s="519">
        <v>45926</v>
      </c>
      <c r="H475" s="519">
        <v>46290</v>
      </c>
      <c r="J475" s="520">
        <v>1024</v>
      </c>
      <c r="K475" s="520">
        <v>1284.5</v>
      </c>
      <c r="L475" s="520">
        <v>1224</v>
      </c>
      <c r="M475">
        <v>0</v>
      </c>
      <c r="N475">
        <v>0</v>
      </c>
    </row>
    <row r="476" spans="1:14">
      <c r="A476" t="s">
        <v>6248</v>
      </c>
      <c r="B476" t="s">
        <v>1500</v>
      </c>
      <c r="C476">
        <v>746</v>
      </c>
      <c r="D476" t="s">
        <v>1487</v>
      </c>
      <c r="E476" t="s">
        <v>6249</v>
      </c>
      <c r="F476" s="519">
        <v>40109</v>
      </c>
      <c r="G476" s="519">
        <v>46082</v>
      </c>
      <c r="H476" s="519">
        <v>46445</v>
      </c>
      <c r="J476">
        <v>979</v>
      </c>
      <c r="K476" s="520">
        <v>1127.58</v>
      </c>
      <c r="L476" s="520">
        <v>1041</v>
      </c>
      <c r="M476">
        <v>0</v>
      </c>
      <c r="N476">
        <v>0</v>
      </c>
    </row>
    <row r="477" spans="1:14">
      <c r="A477" t="s">
        <v>899</v>
      </c>
      <c r="B477" t="s">
        <v>1500</v>
      </c>
      <c r="C477">
        <v>746</v>
      </c>
      <c r="D477" t="s">
        <v>5672</v>
      </c>
      <c r="E477" t="s">
        <v>5673</v>
      </c>
      <c r="J477">
        <v>979</v>
      </c>
      <c r="K477">
        <v>0</v>
      </c>
      <c r="L477">
        <v>0</v>
      </c>
      <c r="N477">
        <v>0</v>
      </c>
    </row>
    <row r="478" spans="1:14">
      <c r="A478" t="s">
        <v>6250</v>
      </c>
      <c r="B478" t="s">
        <v>1500</v>
      </c>
      <c r="C478">
        <v>746</v>
      </c>
      <c r="D478" t="s">
        <v>5672</v>
      </c>
      <c r="E478" t="s">
        <v>5673</v>
      </c>
      <c r="J478">
        <v>999</v>
      </c>
      <c r="K478">
        <v>0</v>
      </c>
      <c r="L478">
        <v>0</v>
      </c>
      <c r="N478">
        <v>0</v>
      </c>
    </row>
    <row r="479" spans="1:14">
      <c r="A479" t="s">
        <v>6251</v>
      </c>
      <c r="B479" t="s">
        <v>1500</v>
      </c>
      <c r="C479">
        <v>746</v>
      </c>
      <c r="D479" t="s">
        <v>5672</v>
      </c>
      <c r="E479" t="s">
        <v>5673</v>
      </c>
      <c r="J479">
        <v>999</v>
      </c>
      <c r="K479">
        <v>0</v>
      </c>
      <c r="L479">
        <v>0</v>
      </c>
      <c r="N479">
        <v>0</v>
      </c>
    </row>
    <row r="480" spans="1:14">
      <c r="A480" t="s">
        <v>6252</v>
      </c>
      <c r="B480" t="s">
        <v>1500</v>
      </c>
      <c r="C480">
        <v>746</v>
      </c>
      <c r="D480" t="s">
        <v>1487</v>
      </c>
      <c r="E480" t="s">
        <v>6253</v>
      </c>
      <c r="F480" s="519">
        <v>45108</v>
      </c>
      <c r="G480" s="519">
        <v>45839</v>
      </c>
      <c r="H480" s="519">
        <v>46203</v>
      </c>
      <c r="J480">
        <v>999</v>
      </c>
      <c r="K480" s="520">
        <v>1277.58</v>
      </c>
      <c r="L480" s="520">
        <v>1190.5</v>
      </c>
      <c r="M480">
        <v>-89.59</v>
      </c>
      <c r="N480">
        <v>750</v>
      </c>
    </row>
    <row r="481" spans="1:14">
      <c r="A481" t="s">
        <v>6254</v>
      </c>
      <c r="B481" t="s">
        <v>1500</v>
      </c>
      <c r="C481">
        <v>746</v>
      </c>
      <c r="D481" t="s">
        <v>1487</v>
      </c>
      <c r="E481" t="s">
        <v>6255</v>
      </c>
      <c r="F481" s="519">
        <v>38651</v>
      </c>
      <c r="G481" s="519">
        <v>46113</v>
      </c>
      <c r="H481" s="519">
        <v>46477</v>
      </c>
      <c r="J481">
        <v>954</v>
      </c>
      <c r="K481" s="520">
        <v>1164.5</v>
      </c>
      <c r="L481" s="520">
        <v>1104</v>
      </c>
      <c r="M481">
        <v>0</v>
      </c>
      <c r="N481">
        <v>0</v>
      </c>
    </row>
    <row r="482" spans="1:14">
      <c r="A482" t="s">
        <v>6256</v>
      </c>
      <c r="B482" t="s">
        <v>1500</v>
      </c>
      <c r="C482">
        <v>746</v>
      </c>
      <c r="D482" t="s">
        <v>1487</v>
      </c>
      <c r="E482" t="s">
        <v>6257</v>
      </c>
      <c r="F482" s="519">
        <v>40116</v>
      </c>
      <c r="G482" s="519">
        <v>46113</v>
      </c>
      <c r="H482" s="519">
        <v>46477</v>
      </c>
      <c r="J482">
        <v>979</v>
      </c>
      <c r="K482" s="520">
        <v>1291.58</v>
      </c>
      <c r="L482" s="520">
        <v>1046</v>
      </c>
      <c r="M482">
        <v>0</v>
      </c>
      <c r="N482">
        <v>175</v>
      </c>
    </row>
    <row r="483" spans="1:14">
      <c r="A483" t="s">
        <v>6258</v>
      </c>
      <c r="B483" t="s">
        <v>1500</v>
      </c>
      <c r="C483">
        <v>746</v>
      </c>
      <c r="D483" t="s">
        <v>1487</v>
      </c>
      <c r="E483" t="s">
        <v>6259</v>
      </c>
      <c r="F483" s="519">
        <v>43709</v>
      </c>
      <c r="G483" s="519">
        <v>45901</v>
      </c>
      <c r="H483" s="519">
        <v>46265</v>
      </c>
      <c r="J483" s="520">
        <v>1074</v>
      </c>
      <c r="K483" s="520">
        <v>1318.58</v>
      </c>
      <c r="L483" s="520">
        <v>1231.5</v>
      </c>
      <c r="M483">
        <v>0</v>
      </c>
      <c r="N483">
        <v>0</v>
      </c>
    </row>
    <row r="484" spans="1:14">
      <c r="A484" t="s">
        <v>6260</v>
      </c>
      <c r="B484" t="s">
        <v>1500</v>
      </c>
      <c r="C484">
        <v>746</v>
      </c>
      <c r="D484" t="s">
        <v>1487</v>
      </c>
      <c r="E484" t="s">
        <v>6261</v>
      </c>
      <c r="F484" s="519">
        <v>43609</v>
      </c>
      <c r="G484" s="519">
        <v>45809</v>
      </c>
      <c r="H484" s="519">
        <v>46173</v>
      </c>
      <c r="J484" s="520">
        <v>1024</v>
      </c>
      <c r="K484" s="520">
        <v>1188.58</v>
      </c>
      <c r="L484" s="520">
        <v>1101.5</v>
      </c>
      <c r="M484">
        <v>0</v>
      </c>
      <c r="N484">
        <v>150</v>
      </c>
    </row>
    <row r="485" spans="1:14">
      <c r="A485" t="s">
        <v>6262</v>
      </c>
      <c r="B485" t="s">
        <v>1500</v>
      </c>
      <c r="C485">
        <v>746</v>
      </c>
      <c r="D485" t="s">
        <v>5672</v>
      </c>
      <c r="E485" t="s">
        <v>5673</v>
      </c>
      <c r="J485">
        <v>979</v>
      </c>
      <c r="K485">
        <v>0</v>
      </c>
      <c r="L485">
        <v>0</v>
      </c>
      <c r="N485">
        <v>0</v>
      </c>
    </row>
    <row r="486" spans="1:14">
      <c r="A486" t="s">
        <v>1140</v>
      </c>
      <c r="B486" t="s">
        <v>1500</v>
      </c>
      <c r="C486">
        <v>746</v>
      </c>
      <c r="D486" t="s">
        <v>5672</v>
      </c>
      <c r="E486" t="s">
        <v>5673</v>
      </c>
      <c r="J486" s="520">
        <v>1049</v>
      </c>
      <c r="K486">
        <v>0</v>
      </c>
      <c r="L486">
        <v>0</v>
      </c>
      <c r="N486">
        <v>0</v>
      </c>
    </row>
    <row r="487" spans="1:14">
      <c r="A487" t="s">
        <v>2824</v>
      </c>
      <c r="B487" t="s">
        <v>1500</v>
      </c>
      <c r="C487">
        <v>746</v>
      </c>
      <c r="D487" t="s">
        <v>5672</v>
      </c>
      <c r="E487" t="s">
        <v>5673</v>
      </c>
      <c r="J487">
        <v>954</v>
      </c>
      <c r="K487">
        <v>0</v>
      </c>
      <c r="L487">
        <v>0</v>
      </c>
      <c r="N487">
        <v>0</v>
      </c>
    </row>
    <row r="488" spans="1:14">
      <c r="A488" t="s">
        <v>1655</v>
      </c>
      <c r="B488" t="s">
        <v>1500</v>
      </c>
      <c r="C488">
        <v>746</v>
      </c>
      <c r="D488" t="s">
        <v>5672</v>
      </c>
      <c r="E488" t="s">
        <v>5673</v>
      </c>
      <c r="J488">
        <v>999</v>
      </c>
      <c r="K488">
        <v>0</v>
      </c>
      <c r="L488">
        <v>0</v>
      </c>
      <c r="N488">
        <v>0</v>
      </c>
    </row>
    <row r="489" spans="1:14">
      <c r="A489" t="s">
        <v>6263</v>
      </c>
      <c r="B489" t="s">
        <v>1500</v>
      </c>
      <c r="C489">
        <v>746</v>
      </c>
      <c r="D489" t="s">
        <v>1487</v>
      </c>
      <c r="E489" t="s">
        <v>6264</v>
      </c>
      <c r="F489" s="519">
        <v>45687</v>
      </c>
      <c r="G489" s="519">
        <v>46110</v>
      </c>
      <c r="H489" s="519">
        <v>46473</v>
      </c>
      <c r="J489">
        <v>954</v>
      </c>
      <c r="K489" s="520">
        <v>1363.58</v>
      </c>
      <c r="L489" s="520">
        <v>1299</v>
      </c>
      <c r="M489">
        <v>0</v>
      </c>
      <c r="N489">
        <v>0</v>
      </c>
    </row>
    <row r="490" spans="1:14">
      <c r="A490" t="s">
        <v>6265</v>
      </c>
      <c r="B490" t="s">
        <v>1500</v>
      </c>
      <c r="C490">
        <v>746</v>
      </c>
      <c r="D490" t="s">
        <v>1487</v>
      </c>
      <c r="E490" t="s">
        <v>6266</v>
      </c>
      <c r="F490" s="519">
        <v>45232</v>
      </c>
      <c r="G490" s="519">
        <v>46082</v>
      </c>
      <c r="J490" s="520">
        <v>1024</v>
      </c>
      <c r="K490" s="520">
        <v>1506.58</v>
      </c>
      <c r="L490" s="520">
        <v>1419.5</v>
      </c>
      <c r="M490">
        <v>0</v>
      </c>
      <c r="N490">
        <v>0</v>
      </c>
    </row>
    <row r="491" spans="1:14">
      <c r="A491" t="s">
        <v>6267</v>
      </c>
      <c r="B491" t="s">
        <v>1500</v>
      </c>
      <c r="C491">
        <v>746</v>
      </c>
      <c r="D491" t="s">
        <v>1487</v>
      </c>
      <c r="E491" t="s">
        <v>6268</v>
      </c>
      <c r="F491" s="519">
        <v>43598</v>
      </c>
      <c r="G491" s="519">
        <v>45809</v>
      </c>
      <c r="H491" s="519">
        <v>46173</v>
      </c>
      <c r="J491">
        <v>979</v>
      </c>
      <c r="K491" s="520">
        <v>1135.5</v>
      </c>
      <c r="L491" s="520">
        <v>1074.5</v>
      </c>
      <c r="M491">
        <v>0</v>
      </c>
      <c r="N491">
        <v>150</v>
      </c>
    </row>
    <row r="492" spans="1:14">
      <c r="A492" t="s">
        <v>6269</v>
      </c>
      <c r="B492" t="s">
        <v>1500</v>
      </c>
      <c r="C492">
        <v>746</v>
      </c>
      <c r="D492" t="s">
        <v>1487</v>
      </c>
      <c r="E492" t="s">
        <v>6270</v>
      </c>
      <c r="F492" s="519">
        <v>45639</v>
      </c>
      <c r="G492" s="519">
        <v>46066</v>
      </c>
      <c r="H492" s="519">
        <v>46430</v>
      </c>
      <c r="J492">
        <v>979</v>
      </c>
      <c r="K492" s="520">
        <v>1334.5</v>
      </c>
      <c r="L492" s="520">
        <v>1274</v>
      </c>
      <c r="M492">
        <v>0</v>
      </c>
      <c r="N492">
        <v>0</v>
      </c>
    </row>
    <row r="493" spans="1:14">
      <c r="A493" t="s">
        <v>6271</v>
      </c>
      <c r="B493" t="s">
        <v>1500</v>
      </c>
      <c r="C493">
        <v>746</v>
      </c>
      <c r="D493" t="s">
        <v>1487</v>
      </c>
      <c r="E493" t="s">
        <v>6272</v>
      </c>
      <c r="F493" s="519">
        <v>45583</v>
      </c>
      <c r="G493" s="519">
        <v>45948</v>
      </c>
      <c r="H493" s="519">
        <v>46312</v>
      </c>
      <c r="J493">
        <v>979</v>
      </c>
      <c r="K493" s="520">
        <v>1215.5</v>
      </c>
      <c r="L493" s="520">
        <v>1155</v>
      </c>
      <c r="M493">
        <v>0</v>
      </c>
      <c r="N493">
        <v>150</v>
      </c>
    </row>
    <row r="494" spans="1:14">
      <c r="A494" t="s">
        <v>6273</v>
      </c>
      <c r="B494" t="s">
        <v>1500</v>
      </c>
      <c r="C494">
        <v>746</v>
      </c>
      <c r="D494" t="s">
        <v>1487</v>
      </c>
      <c r="E494" t="s">
        <v>6274</v>
      </c>
      <c r="F494" s="519">
        <v>45591</v>
      </c>
      <c r="G494" s="519">
        <v>46017</v>
      </c>
      <c r="J494" s="520">
        <v>1049</v>
      </c>
      <c r="K494" s="520">
        <v>1411.58</v>
      </c>
      <c r="L494" s="520">
        <v>1324.5</v>
      </c>
      <c r="M494">
        <v>0</v>
      </c>
      <c r="N494">
        <v>0</v>
      </c>
    </row>
    <row r="495" spans="1:14">
      <c r="A495" t="s">
        <v>1667</v>
      </c>
      <c r="B495" t="s">
        <v>1500</v>
      </c>
      <c r="C495">
        <v>746</v>
      </c>
      <c r="D495" t="s">
        <v>1487</v>
      </c>
      <c r="E495" t="s">
        <v>6275</v>
      </c>
      <c r="F495" s="519">
        <v>41976</v>
      </c>
      <c r="G495" s="519">
        <v>45809</v>
      </c>
      <c r="H495" s="519">
        <v>46173</v>
      </c>
      <c r="J495">
        <v>954</v>
      </c>
      <c r="K495" s="520">
        <v>1299.6500000000001</v>
      </c>
      <c r="L495" s="520">
        <v>1186.5</v>
      </c>
      <c r="M495">
        <v>0.68</v>
      </c>
      <c r="N495">
        <v>175</v>
      </c>
    </row>
    <row r="496" spans="1:14">
      <c r="A496" t="s">
        <v>6276</v>
      </c>
      <c r="B496" t="s">
        <v>1500</v>
      </c>
      <c r="C496">
        <v>746</v>
      </c>
      <c r="D496" t="s">
        <v>1487</v>
      </c>
      <c r="E496" t="s">
        <v>6277</v>
      </c>
      <c r="F496" s="519">
        <v>45139</v>
      </c>
      <c r="G496" s="519">
        <v>45931</v>
      </c>
      <c r="H496" s="519">
        <v>46295</v>
      </c>
      <c r="J496">
        <v>954</v>
      </c>
      <c r="K496" s="520">
        <v>1403.5</v>
      </c>
      <c r="L496" s="520">
        <v>1192.5</v>
      </c>
      <c r="M496">
        <v>0</v>
      </c>
      <c r="N496">
        <v>0</v>
      </c>
    </row>
    <row r="497" spans="1:14">
      <c r="A497" t="s">
        <v>6278</v>
      </c>
      <c r="B497" t="s">
        <v>1500</v>
      </c>
      <c r="C497">
        <v>746</v>
      </c>
      <c r="D497" t="s">
        <v>1487</v>
      </c>
      <c r="E497" t="s">
        <v>6279</v>
      </c>
      <c r="F497" s="519">
        <v>44253</v>
      </c>
      <c r="G497" s="519">
        <v>46084</v>
      </c>
      <c r="H497" s="519">
        <v>46448</v>
      </c>
      <c r="J497" s="520">
        <v>1049</v>
      </c>
      <c r="K497" s="520">
        <v>1382.58</v>
      </c>
      <c r="L497" s="520">
        <v>1296</v>
      </c>
      <c r="M497">
        <v>0</v>
      </c>
      <c r="N497">
        <v>0</v>
      </c>
    </row>
    <row r="498" spans="1:14">
      <c r="A498" t="s">
        <v>6280</v>
      </c>
      <c r="B498" t="s">
        <v>1500</v>
      </c>
      <c r="C498">
        <v>746</v>
      </c>
      <c r="D498" t="s">
        <v>1487</v>
      </c>
      <c r="E498" t="s">
        <v>6281</v>
      </c>
      <c r="F498" s="519">
        <v>44544</v>
      </c>
      <c r="G498" s="519">
        <v>45992</v>
      </c>
      <c r="H498" s="519">
        <v>46356</v>
      </c>
      <c r="J498">
        <v>979</v>
      </c>
      <c r="K498" s="520">
        <v>1268.58</v>
      </c>
      <c r="L498" s="520">
        <v>1181.99</v>
      </c>
      <c r="M498">
        <v>0</v>
      </c>
      <c r="N498">
        <v>750</v>
      </c>
    </row>
    <row r="499" spans="1:14">
      <c r="A499" t="s">
        <v>869</v>
      </c>
      <c r="B499" t="s">
        <v>1500</v>
      </c>
      <c r="C499">
        <v>746</v>
      </c>
      <c r="D499" t="s">
        <v>5672</v>
      </c>
      <c r="E499" t="s">
        <v>5673</v>
      </c>
      <c r="J499" s="520">
        <v>1024</v>
      </c>
      <c r="K499">
        <v>0</v>
      </c>
      <c r="L499">
        <v>0</v>
      </c>
      <c r="N499">
        <v>0</v>
      </c>
    </row>
    <row r="500" spans="1:14">
      <c r="A500" t="s">
        <v>1395</v>
      </c>
      <c r="B500" t="s">
        <v>1500</v>
      </c>
      <c r="C500">
        <v>746</v>
      </c>
      <c r="D500" t="s">
        <v>5672</v>
      </c>
      <c r="E500" t="s">
        <v>5673</v>
      </c>
      <c r="J500" s="520">
        <v>1074</v>
      </c>
      <c r="K500">
        <v>0</v>
      </c>
      <c r="L500">
        <v>0</v>
      </c>
      <c r="N500">
        <v>0</v>
      </c>
    </row>
    <row r="501" spans="1:14">
      <c r="A501" t="s">
        <v>5573</v>
      </c>
      <c r="B501" t="s">
        <v>1500</v>
      </c>
      <c r="C501">
        <v>746</v>
      </c>
      <c r="D501" t="s">
        <v>1487</v>
      </c>
      <c r="E501" t="s">
        <v>6282</v>
      </c>
      <c r="F501" s="519">
        <v>45842</v>
      </c>
      <c r="G501" s="519">
        <v>45842</v>
      </c>
      <c r="H501" s="519">
        <v>46206</v>
      </c>
      <c r="J501">
        <v>979</v>
      </c>
      <c r="K501" s="520">
        <v>1231.5</v>
      </c>
      <c r="L501" s="520">
        <v>1170.5</v>
      </c>
      <c r="M501">
        <v>0</v>
      </c>
      <c r="N501">
        <v>750</v>
      </c>
    </row>
    <row r="502" spans="1:14">
      <c r="A502" t="s">
        <v>6283</v>
      </c>
      <c r="B502" t="s">
        <v>1500</v>
      </c>
      <c r="C502">
        <v>746</v>
      </c>
      <c r="D502" t="s">
        <v>1487</v>
      </c>
      <c r="E502" t="s">
        <v>6284</v>
      </c>
      <c r="F502" s="519">
        <v>44967</v>
      </c>
      <c r="G502" s="519">
        <v>46113</v>
      </c>
      <c r="H502" s="519">
        <v>46477</v>
      </c>
      <c r="J502" s="520">
        <v>1049</v>
      </c>
      <c r="K502" s="520">
        <v>1485.58</v>
      </c>
      <c r="L502" s="520">
        <v>1399</v>
      </c>
      <c r="M502">
        <v>0</v>
      </c>
      <c r="N502">
        <v>0</v>
      </c>
    </row>
    <row r="503" spans="1:14">
      <c r="A503" t="s">
        <v>6285</v>
      </c>
      <c r="B503" t="s">
        <v>1500</v>
      </c>
      <c r="C503">
        <v>746</v>
      </c>
      <c r="D503" t="s">
        <v>1487</v>
      </c>
      <c r="E503" t="s">
        <v>6286</v>
      </c>
      <c r="F503" s="519">
        <v>42972</v>
      </c>
      <c r="G503" s="519">
        <v>45901</v>
      </c>
      <c r="H503" s="519">
        <v>46265</v>
      </c>
      <c r="J503">
        <v>954</v>
      </c>
      <c r="K503" s="520">
        <v>1268.58</v>
      </c>
      <c r="L503" s="520">
        <v>1181.5</v>
      </c>
      <c r="M503">
        <v>0</v>
      </c>
      <c r="N503">
        <v>0</v>
      </c>
    </row>
    <row r="504" spans="1:14">
      <c r="A504" t="s">
        <v>6287</v>
      </c>
      <c r="B504" t="s">
        <v>1500</v>
      </c>
      <c r="C504">
        <v>746</v>
      </c>
      <c r="D504" t="s">
        <v>1487</v>
      </c>
      <c r="E504" t="s">
        <v>6288</v>
      </c>
      <c r="F504" s="519">
        <v>45555</v>
      </c>
      <c r="G504" s="519">
        <v>45981</v>
      </c>
      <c r="H504" s="519">
        <v>46345</v>
      </c>
      <c r="J504">
        <v>954</v>
      </c>
      <c r="K504" s="520">
        <v>1248.58</v>
      </c>
      <c r="L504" s="520">
        <v>1161.49</v>
      </c>
      <c r="M504">
        <v>0</v>
      </c>
      <c r="N504">
        <v>750</v>
      </c>
    </row>
    <row r="505" spans="1:14">
      <c r="A505" t="s">
        <v>5604</v>
      </c>
      <c r="B505" t="s">
        <v>1500</v>
      </c>
      <c r="C505">
        <v>746</v>
      </c>
      <c r="D505" t="s">
        <v>5672</v>
      </c>
      <c r="E505" t="s">
        <v>5673</v>
      </c>
      <c r="J505">
        <v>954</v>
      </c>
      <c r="K505">
        <v>0</v>
      </c>
      <c r="L505">
        <v>0</v>
      </c>
      <c r="N505">
        <v>0</v>
      </c>
    </row>
    <row r="506" spans="1:14">
      <c r="A506" t="s">
        <v>6289</v>
      </c>
      <c r="B506" t="s">
        <v>1500</v>
      </c>
      <c r="C506">
        <v>746</v>
      </c>
      <c r="D506" t="s">
        <v>1486</v>
      </c>
      <c r="E506" t="s">
        <v>6290</v>
      </c>
      <c r="F506" s="519">
        <v>44793</v>
      </c>
      <c r="G506" s="519">
        <v>45870</v>
      </c>
      <c r="H506" s="519">
        <v>46234</v>
      </c>
      <c r="I506" s="519">
        <v>46234</v>
      </c>
      <c r="J506" s="520">
        <v>1024</v>
      </c>
      <c r="K506" s="520">
        <v>1319.5</v>
      </c>
      <c r="L506" s="520">
        <v>1258.5</v>
      </c>
      <c r="M506">
        <v>0</v>
      </c>
      <c r="N506">
        <v>0</v>
      </c>
    </row>
    <row r="507" spans="1:14">
      <c r="A507" t="s">
        <v>1686</v>
      </c>
      <c r="B507" t="s">
        <v>1500</v>
      </c>
      <c r="C507">
        <v>746</v>
      </c>
      <c r="D507" t="s">
        <v>1487</v>
      </c>
      <c r="E507" t="s">
        <v>1687</v>
      </c>
      <c r="F507" s="519">
        <v>45479</v>
      </c>
      <c r="G507" s="519">
        <v>45844</v>
      </c>
      <c r="H507" s="519">
        <v>46208</v>
      </c>
      <c r="J507" s="520">
        <v>1024</v>
      </c>
      <c r="K507" s="520">
        <v>1482.5</v>
      </c>
      <c r="L507" s="520">
        <v>1266.5</v>
      </c>
      <c r="M507" s="520">
        <v>2932.1</v>
      </c>
      <c r="N507">
        <v>0</v>
      </c>
    </row>
    <row r="508" spans="1:14">
      <c r="A508" t="s">
        <v>6291</v>
      </c>
      <c r="B508" t="s">
        <v>1500</v>
      </c>
      <c r="C508">
        <v>746</v>
      </c>
      <c r="D508" t="s">
        <v>5672</v>
      </c>
      <c r="E508" t="s">
        <v>5673</v>
      </c>
      <c r="J508">
        <v>979</v>
      </c>
      <c r="K508">
        <v>0</v>
      </c>
      <c r="L508">
        <v>0</v>
      </c>
      <c r="N508">
        <v>0</v>
      </c>
    </row>
    <row r="509" spans="1:14">
      <c r="A509" t="s">
        <v>6292</v>
      </c>
      <c r="B509" t="s">
        <v>1500</v>
      </c>
      <c r="C509">
        <v>746</v>
      </c>
      <c r="D509" t="s">
        <v>1487</v>
      </c>
      <c r="E509" t="s">
        <v>6293</v>
      </c>
      <c r="F509" s="519">
        <v>42636</v>
      </c>
      <c r="G509" s="519">
        <v>45931</v>
      </c>
      <c r="H509" s="519">
        <v>46295</v>
      </c>
      <c r="J509" s="520">
        <v>1024</v>
      </c>
      <c r="K509" s="520">
        <v>1197.58</v>
      </c>
      <c r="L509" s="520">
        <v>1111</v>
      </c>
      <c r="M509">
        <v>0</v>
      </c>
      <c r="N509">
        <v>150</v>
      </c>
    </row>
    <row r="510" spans="1:14">
      <c r="A510" t="s">
        <v>560</v>
      </c>
      <c r="B510" t="s">
        <v>1500</v>
      </c>
      <c r="C510">
        <v>746</v>
      </c>
      <c r="D510" t="s">
        <v>5672</v>
      </c>
      <c r="E510" t="s">
        <v>5673</v>
      </c>
      <c r="J510">
        <v>979</v>
      </c>
      <c r="K510">
        <v>0</v>
      </c>
      <c r="L510">
        <v>0</v>
      </c>
      <c r="N510">
        <v>0</v>
      </c>
    </row>
    <row r="511" spans="1:14">
      <c r="A511" t="s">
        <v>6294</v>
      </c>
      <c r="B511" t="s">
        <v>1500</v>
      </c>
      <c r="C511">
        <v>746</v>
      </c>
      <c r="D511" t="s">
        <v>1487</v>
      </c>
      <c r="E511" t="s">
        <v>5914</v>
      </c>
      <c r="F511" s="519">
        <v>41509</v>
      </c>
      <c r="G511" s="519">
        <v>45809</v>
      </c>
      <c r="H511" s="519">
        <v>46173</v>
      </c>
      <c r="J511">
        <v>979</v>
      </c>
      <c r="K511" s="520">
        <v>1265.58</v>
      </c>
      <c r="L511" s="520">
        <v>1178.5</v>
      </c>
      <c r="M511">
        <v>0</v>
      </c>
      <c r="N511">
        <v>0</v>
      </c>
    </row>
    <row r="512" spans="1:14">
      <c r="A512" t="s">
        <v>6295</v>
      </c>
      <c r="B512" t="s">
        <v>1500</v>
      </c>
      <c r="C512">
        <v>746</v>
      </c>
      <c r="D512" t="s">
        <v>1487</v>
      </c>
      <c r="E512" t="s">
        <v>6296</v>
      </c>
      <c r="F512" s="519">
        <v>45569</v>
      </c>
      <c r="G512" s="519">
        <v>45995</v>
      </c>
      <c r="H512" s="519">
        <v>46359</v>
      </c>
      <c r="J512" s="520">
        <v>1074</v>
      </c>
      <c r="K512" s="520">
        <v>1425.5</v>
      </c>
      <c r="L512" s="520">
        <v>1364.5</v>
      </c>
      <c r="M512">
        <v>0</v>
      </c>
      <c r="N512">
        <v>0</v>
      </c>
    </row>
    <row r="513" spans="1:14">
      <c r="A513" t="s">
        <v>1126</v>
      </c>
      <c r="B513" t="s">
        <v>1500</v>
      </c>
      <c r="C513">
        <v>746</v>
      </c>
      <c r="D513" t="s">
        <v>1486</v>
      </c>
      <c r="E513" t="s">
        <v>6297</v>
      </c>
      <c r="F513" s="519">
        <v>45439</v>
      </c>
      <c r="G513" s="519">
        <v>45804</v>
      </c>
      <c r="H513" s="519">
        <v>46168</v>
      </c>
      <c r="I513" s="519">
        <v>46168</v>
      </c>
      <c r="J513" s="520">
        <v>1074</v>
      </c>
      <c r="K513" s="520">
        <v>1613.58</v>
      </c>
      <c r="L513" s="520">
        <v>1359.5</v>
      </c>
      <c r="M513">
        <v>0</v>
      </c>
      <c r="N513">
        <v>0</v>
      </c>
    </row>
    <row r="514" spans="1:14">
      <c r="A514" t="s">
        <v>1381</v>
      </c>
      <c r="B514" t="s">
        <v>1500</v>
      </c>
      <c r="C514">
        <v>746</v>
      </c>
      <c r="D514" t="s">
        <v>5672</v>
      </c>
      <c r="E514" t="s">
        <v>5673</v>
      </c>
      <c r="J514" s="520">
        <v>1049</v>
      </c>
      <c r="K514">
        <v>0</v>
      </c>
      <c r="L514">
        <v>0</v>
      </c>
      <c r="N514">
        <v>0</v>
      </c>
    </row>
    <row r="515" spans="1:14">
      <c r="A515" t="s">
        <v>6298</v>
      </c>
      <c r="B515" t="s">
        <v>1500</v>
      </c>
      <c r="C515">
        <v>746</v>
      </c>
      <c r="D515" t="s">
        <v>1487</v>
      </c>
      <c r="E515" t="s">
        <v>6299</v>
      </c>
      <c r="F515" s="519">
        <v>37179</v>
      </c>
      <c r="G515" s="519">
        <v>45839</v>
      </c>
      <c r="H515" s="519">
        <v>46203</v>
      </c>
      <c r="J515">
        <v>954</v>
      </c>
      <c r="K515" s="520">
        <v>1115.58</v>
      </c>
      <c r="L515" s="520">
        <v>1029</v>
      </c>
      <c r="M515">
        <v>0</v>
      </c>
      <c r="N515">
        <v>225</v>
      </c>
    </row>
    <row r="516" spans="1:14">
      <c r="A516" t="s">
        <v>1688</v>
      </c>
      <c r="B516" t="s">
        <v>1500</v>
      </c>
      <c r="C516">
        <v>746</v>
      </c>
      <c r="D516" t="s">
        <v>5672</v>
      </c>
      <c r="E516" t="s">
        <v>5673</v>
      </c>
      <c r="J516">
        <v>999</v>
      </c>
      <c r="K516">
        <v>0</v>
      </c>
      <c r="L516">
        <v>0</v>
      </c>
      <c r="N516">
        <v>0</v>
      </c>
    </row>
    <row r="517" spans="1:14">
      <c r="A517" t="s">
        <v>6300</v>
      </c>
      <c r="B517" t="s">
        <v>1500</v>
      </c>
      <c r="C517">
        <v>746</v>
      </c>
      <c r="D517" t="s">
        <v>1486</v>
      </c>
      <c r="E517" t="s">
        <v>6301</v>
      </c>
      <c r="F517" s="519">
        <v>41467</v>
      </c>
      <c r="G517" s="519">
        <v>45778</v>
      </c>
      <c r="H517" s="519">
        <v>46142</v>
      </c>
      <c r="I517" s="519">
        <v>46191</v>
      </c>
      <c r="J517">
        <v>954</v>
      </c>
      <c r="K517" s="520">
        <v>1228.6500000000001</v>
      </c>
      <c r="L517" s="520">
        <v>1116</v>
      </c>
      <c r="M517">
        <v>0</v>
      </c>
      <c r="N517">
        <v>150</v>
      </c>
    </row>
    <row r="518" spans="1:14">
      <c r="A518" t="s">
        <v>6302</v>
      </c>
      <c r="B518" t="s">
        <v>1500</v>
      </c>
      <c r="C518">
        <v>746</v>
      </c>
      <c r="D518" t="s">
        <v>1487</v>
      </c>
      <c r="E518" t="s">
        <v>6303</v>
      </c>
      <c r="F518" s="519">
        <v>45233</v>
      </c>
      <c r="G518" s="519">
        <v>46082</v>
      </c>
      <c r="H518" s="519">
        <v>46445</v>
      </c>
      <c r="J518">
        <v>954</v>
      </c>
      <c r="K518" s="520">
        <v>1324.5</v>
      </c>
      <c r="L518" s="520">
        <v>1264</v>
      </c>
      <c r="M518">
        <v>0</v>
      </c>
      <c r="N518">
        <v>0</v>
      </c>
    </row>
    <row r="519" spans="1:14">
      <c r="A519" t="s">
        <v>6304</v>
      </c>
      <c r="B519" t="s">
        <v>1500</v>
      </c>
      <c r="C519">
        <v>746</v>
      </c>
      <c r="D519" t="s">
        <v>1487</v>
      </c>
      <c r="E519" t="s">
        <v>6305</v>
      </c>
      <c r="F519" s="519">
        <v>45397</v>
      </c>
      <c r="G519" s="519">
        <v>45809</v>
      </c>
      <c r="H519" s="519">
        <v>46173</v>
      </c>
      <c r="J519">
        <v>954</v>
      </c>
      <c r="K519" s="520">
        <v>1202.58</v>
      </c>
      <c r="L519" s="520">
        <v>1115.5</v>
      </c>
      <c r="M519">
        <v>0</v>
      </c>
      <c r="N519">
        <v>0</v>
      </c>
    </row>
    <row r="520" spans="1:14">
      <c r="A520" t="s">
        <v>5357</v>
      </c>
      <c r="B520" t="s">
        <v>1500</v>
      </c>
      <c r="C520">
        <v>746</v>
      </c>
      <c r="D520" t="s">
        <v>5672</v>
      </c>
      <c r="E520" t="s">
        <v>5673</v>
      </c>
      <c r="J520">
        <v>954</v>
      </c>
      <c r="K520">
        <v>0</v>
      </c>
      <c r="L520">
        <v>0</v>
      </c>
      <c r="N520">
        <v>0</v>
      </c>
    </row>
    <row r="521" spans="1:14">
      <c r="A521" t="s">
        <v>1690</v>
      </c>
      <c r="B521" t="s">
        <v>1500</v>
      </c>
      <c r="C521">
        <v>746</v>
      </c>
      <c r="D521" t="s">
        <v>1487</v>
      </c>
      <c r="E521" t="s">
        <v>1691</v>
      </c>
      <c r="F521" s="519">
        <v>45869</v>
      </c>
      <c r="G521" s="519">
        <v>45869</v>
      </c>
      <c r="H521" s="519">
        <v>46233</v>
      </c>
      <c r="J521">
        <v>999</v>
      </c>
      <c r="K521" s="520">
        <v>1439.5</v>
      </c>
      <c r="L521" s="520">
        <v>1225.49</v>
      </c>
      <c r="M521" s="520">
        <v>1439.5</v>
      </c>
      <c r="N521">
        <v>0</v>
      </c>
    </row>
    <row r="522" spans="1:14">
      <c r="A522" t="s">
        <v>1707</v>
      </c>
      <c r="B522" t="s">
        <v>1501</v>
      </c>
      <c r="C522">
        <v>753</v>
      </c>
      <c r="D522" t="s">
        <v>1487</v>
      </c>
      <c r="E522" t="s">
        <v>1708</v>
      </c>
      <c r="F522" s="519">
        <v>45873</v>
      </c>
      <c r="G522" s="519">
        <v>45873</v>
      </c>
      <c r="H522" s="519">
        <v>46237</v>
      </c>
      <c r="J522" s="520">
        <v>1077</v>
      </c>
      <c r="K522" s="520">
        <v>1565.75</v>
      </c>
      <c r="L522" s="520">
        <v>1339.5</v>
      </c>
      <c r="M522" s="520">
        <v>3210.34</v>
      </c>
      <c r="N522">
        <v>0</v>
      </c>
    </row>
    <row r="523" spans="1:14">
      <c r="A523" t="s">
        <v>6306</v>
      </c>
      <c r="B523" t="s">
        <v>1501</v>
      </c>
      <c r="C523">
        <v>753</v>
      </c>
      <c r="D523" t="s">
        <v>1487</v>
      </c>
      <c r="E523" t="s">
        <v>6307</v>
      </c>
      <c r="F523" s="519">
        <v>45997</v>
      </c>
      <c r="G523" s="519">
        <v>45997</v>
      </c>
      <c r="H523" s="519">
        <v>46361</v>
      </c>
      <c r="J523" s="520">
        <v>1077</v>
      </c>
      <c r="K523" s="520">
        <v>1223.6400000000001</v>
      </c>
      <c r="L523" s="520">
        <v>1179.5</v>
      </c>
      <c r="M523">
        <v>0</v>
      </c>
      <c r="N523">
        <v>0</v>
      </c>
    </row>
    <row r="524" spans="1:14">
      <c r="A524" t="s">
        <v>567</v>
      </c>
      <c r="B524" t="s">
        <v>1501</v>
      </c>
      <c r="C524">
        <v>753</v>
      </c>
      <c r="D524" t="s">
        <v>1487</v>
      </c>
      <c r="E524" t="s">
        <v>1709</v>
      </c>
      <c r="F524" s="519">
        <v>46121</v>
      </c>
      <c r="G524" s="519">
        <v>46121</v>
      </c>
      <c r="H524" s="519">
        <v>46485</v>
      </c>
      <c r="J524" s="520">
        <v>1077</v>
      </c>
      <c r="K524">
        <v>988</v>
      </c>
      <c r="L524" s="520">
        <v>1206</v>
      </c>
      <c r="M524">
        <v>-129</v>
      </c>
      <c r="N524">
        <v>0</v>
      </c>
    </row>
    <row r="525" spans="1:14">
      <c r="A525" t="s">
        <v>1160</v>
      </c>
      <c r="B525" t="s">
        <v>1501</v>
      </c>
      <c r="C525">
        <v>753</v>
      </c>
      <c r="D525" t="s">
        <v>5672</v>
      </c>
      <c r="E525" t="s">
        <v>5673</v>
      </c>
      <c r="J525" s="520">
        <v>1077</v>
      </c>
      <c r="K525">
        <v>0</v>
      </c>
      <c r="L525">
        <v>0</v>
      </c>
      <c r="N525">
        <v>0</v>
      </c>
    </row>
    <row r="526" spans="1:14">
      <c r="A526" t="s">
        <v>6308</v>
      </c>
      <c r="B526" t="s">
        <v>1501</v>
      </c>
      <c r="C526">
        <v>753</v>
      </c>
      <c r="D526" t="s">
        <v>1487</v>
      </c>
      <c r="E526" t="s">
        <v>6309</v>
      </c>
      <c r="F526" s="519">
        <v>40368</v>
      </c>
      <c r="G526" s="519">
        <v>45839</v>
      </c>
      <c r="H526" s="519">
        <v>46203</v>
      </c>
      <c r="J526">
        <v>982</v>
      </c>
      <c r="K526" s="520">
        <v>1013.75</v>
      </c>
      <c r="L526">
        <v>953</v>
      </c>
      <c r="M526">
        <v>0</v>
      </c>
      <c r="N526">
        <v>400</v>
      </c>
    </row>
    <row r="527" spans="1:14">
      <c r="A527" t="s">
        <v>6310</v>
      </c>
      <c r="B527" t="s">
        <v>1501</v>
      </c>
      <c r="C527">
        <v>753</v>
      </c>
      <c r="D527" t="s">
        <v>1487</v>
      </c>
      <c r="E527" t="s">
        <v>6311</v>
      </c>
      <c r="F527" s="519">
        <v>45138</v>
      </c>
      <c r="G527" s="519">
        <v>45931</v>
      </c>
      <c r="H527" s="519">
        <v>46295</v>
      </c>
      <c r="J527" s="520">
        <v>1077</v>
      </c>
      <c r="K527" s="520">
        <v>1398.82</v>
      </c>
      <c r="L527" s="520">
        <v>1311.5</v>
      </c>
      <c r="M527">
        <v>0</v>
      </c>
      <c r="N527">
        <v>750</v>
      </c>
    </row>
    <row r="528" spans="1:14">
      <c r="A528" t="s">
        <v>3337</v>
      </c>
      <c r="B528" t="s">
        <v>1501</v>
      </c>
      <c r="C528">
        <v>753</v>
      </c>
      <c r="D528" t="s">
        <v>5672</v>
      </c>
      <c r="E528" t="s">
        <v>5673</v>
      </c>
      <c r="J528" s="520">
        <v>1077</v>
      </c>
      <c r="K528">
        <v>0</v>
      </c>
      <c r="L528">
        <v>0</v>
      </c>
      <c r="N528">
        <v>0</v>
      </c>
    </row>
    <row r="529" spans="1:14">
      <c r="A529" t="s">
        <v>1149</v>
      </c>
      <c r="B529" t="s">
        <v>1501</v>
      </c>
      <c r="C529">
        <v>753</v>
      </c>
      <c r="D529" t="s">
        <v>5672</v>
      </c>
      <c r="E529" t="s">
        <v>5673</v>
      </c>
      <c r="J529">
        <v>982</v>
      </c>
      <c r="K529">
        <v>0</v>
      </c>
      <c r="L529">
        <v>0</v>
      </c>
      <c r="N529">
        <v>0</v>
      </c>
    </row>
    <row r="530" spans="1:14">
      <c r="A530" t="s">
        <v>6312</v>
      </c>
      <c r="B530" t="s">
        <v>1501</v>
      </c>
      <c r="C530">
        <v>753</v>
      </c>
      <c r="D530" t="s">
        <v>1487</v>
      </c>
      <c r="E530" t="s">
        <v>6313</v>
      </c>
      <c r="F530" s="519">
        <v>45479</v>
      </c>
      <c r="G530" s="519">
        <v>45844</v>
      </c>
      <c r="H530" s="519">
        <v>46208</v>
      </c>
      <c r="J530" s="520">
        <v>1077</v>
      </c>
      <c r="K530" s="520">
        <v>1462.82</v>
      </c>
      <c r="L530" s="520">
        <v>1375.5</v>
      </c>
      <c r="M530">
        <v>0</v>
      </c>
      <c r="N530">
        <v>0</v>
      </c>
    </row>
    <row r="531" spans="1:14">
      <c r="A531" t="s">
        <v>1711</v>
      </c>
      <c r="B531" t="s">
        <v>1501</v>
      </c>
      <c r="C531">
        <v>753</v>
      </c>
      <c r="D531" t="s">
        <v>1487</v>
      </c>
      <c r="E531" t="s">
        <v>1712</v>
      </c>
      <c r="F531" s="519">
        <v>45549</v>
      </c>
      <c r="G531" s="519">
        <v>45901</v>
      </c>
      <c r="H531" s="519">
        <v>46265</v>
      </c>
      <c r="J531" s="520">
        <v>1077</v>
      </c>
      <c r="K531" s="520">
        <v>1436.75</v>
      </c>
      <c r="L531" s="520">
        <v>1375.5</v>
      </c>
      <c r="M531">
        <v>176.75</v>
      </c>
      <c r="N531">
        <v>0</v>
      </c>
    </row>
    <row r="532" spans="1:14">
      <c r="A532" t="s">
        <v>6314</v>
      </c>
      <c r="B532" t="s">
        <v>1501</v>
      </c>
      <c r="C532">
        <v>753</v>
      </c>
      <c r="D532" t="s">
        <v>1487</v>
      </c>
      <c r="E532" t="s">
        <v>6315</v>
      </c>
      <c r="F532" s="519">
        <v>45339</v>
      </c>
      <c r="G532" s="519">
        <v>46052</v>
      </c>
      <c r="H532" s="519">
        <v>46416</v>
      </c>
      <c r="J532" s="520">
        <v>1077</v>
      </c>
      <c r="K532" s="520">
        <v>1376.82</v>
      </c>
      <c r="L532" s="520">
        <v>1290</v>
      </c>
      <c r="M532">
        <v>0</v>
      </c>
      <c r="N532">
        <v>0</v>
      </c>
    </row>
    <row r="533" spans="1:14">
      <c r="A533" t="s">
        <v>6316</v>
      </c>
      <c r="B533" t="s">
        <v>1501</v>
      </c>
      <c r="C533">
        <v>753</v>
      </c>
      <c r="D533" t="s">
        <v>1487</v>
      </c>
      <c r="E533" t="s">
        <v>6317</v>
      </c>
      <c r="F533" s="519">
        <v>41621</v>
      </c>
      <c r="G533" s="519">
        <v>45962</v>
      </c>
      <c r="H533" s="519">
        <v>46326</v>
      </c>
      <c r="J533">
        <v>982</v>
      </c>
      <c r="K533" s="520">
        <v>1109.82</v>
      </c>
      <c r="L533" s="520">
        <v>1022.5</v>
      </c>
      <c r="M533">
        <v>0</v>
      </c>
      <c r="N533">
        <v>150</v>
      </c>
    </row>
    <row r="534" spans="1:14">
      <c r="A534" t="s">
        <v>6318</v>
      </c>
      <c r="B534" t="s">
        <v>1501</v>
      </c>
      <c r="C534">
        <v>753</v>
      </c>
      <c r="D534" t="s">
        <v>1486</v>
      </c>
      <c r="E534" t="s">
        <v>6319</v>
      </c>
      <c r="F534" s="519">
        <v>45078</v>
      </c>
      <c r="G534" s="519">
        <v>45809</v>
      </c>
      <c r="H534" s="519">
        <v>46173</v>
      </c>
      <c r="I534" s="519">
        <v>46174</v>
      </c>
      <c r="J534" s="520">
        <v>1077</v>
      </c>
      <c r="K534" s="520">
        <v>1456.75</v>
      </c>
      <c r="L534" s="520">
        <v>1395.49</v>
      </c>
      <c r="M534">
        <v>0</v>
      </c>
      <c r="N534">
        <v>0</v>
      </c>
    </row>
    <row r="535" spans="1:14">
      <c r="A535" t="s">
        <v>1713</v>
      </c>
      <c r="B535" t="s">
        <v>1501</v>
      </c>
      <c r="C535">
        <v>753</v>
      </c>
      <c r="D535" t="s">
        <v>1487</v>
      </c>
      <c r="E535" t="s">
        <v>1714</v>
      </c>
      <c r="F535" s="519">
        <v>45890</v>
      </c>
      <c r="G535" s="519">
        <v>45890</v>
      </c>
      <c r="H535" s="519">
        <v>46254</v>
      </c>
      <c r="J535" s="520">
        <v>1077</v>
      </c>
      <c r="K535" s="520">
        <v>1571.75</v>
      </c>
      <c r="L535" s="520">
        <v>1345.49</v>
      </c>
      <c r="M535" s="520">
        <v>11038.35</v>
      </c>
      <c r="N535">
        <v>0</v>
      </c>
    </row>
    <row r="536" spans="1:14">
      <c r="A536" t="s">
        <v>565</v>
      </c>
      <c r="B536" t="s">
        <v>1501</v>
      </c>
      <c r="C536">
        <v>753</v>
      </c>
      <c r="D536" t="s">
        <v>1487</v>
      </c>
      <c r="E536" t="s">
        <v>2444</v>
      </c>
      <c r="F536" s="519">
        <v>46087</v>
      </c>
      <c r="G536" s="519">
        <v>46087</v>
      </c>
      <c r="H536" s="519">
        <v>46451</v>
      </c>
      <c r="J536">
        <v>982</v>
      </c>
      <c r="K536">
        <v>74</v>
      </c>
      <c r="L536" s="520">
        <v>1056</v>
      </c>
      <c r="M536">
        <v>0</v>
      </c>
      <c r="N536">
        <v>0</v>
      </c>
    </row>
    <row r="537" spans="1:14">
      <c r="A537" t="s">
        <v>1386</v>
      </c>
      <c r="B537" t="s">
        <v>1501</v>
      </c>
      <c r="C537">
        <v>753</v>
      </c>
      <c r="D537" t="s">
        <v>5686</v>
      </c>
      <c r="E537" t="s">
        <v>5673</v>
      </c>
      <c r="J537">
        <v>982</v>
      </c>
      <c r="K537">
        <v>0</v>
      </c>
      <c r="L537">
        <v>0</v>
      </c>
      <c r="N537">
        <v>0</v>
      </c>
    </row>
    <row r="538" spans="1:14">
      <c r="A538" t="s">
        <v>6320</v>
      </c>
      <c r="B538" t="s">
        <v>1501</v>
      </c>
      <c r="C538">
        <v>753</v>
      </c>
      <c r="D538" t="s">
        <v>1487</v>
      </c>
      <c r="E538" t="s">
        <v>6321</v>
      </c>
      <c r="F538" s="519">
        <v>43344</v>
      </c>
      <c r="G538" s="519">
        <v>46082</v>
      </c>
      <c r="H538" s="519">
        <v>46445</v>
      </c>
      <c r="J538">
        <v>982</v>
      </c>
      <c r="K538" s="520">
        <v>1353.75</v>
      </c>
      <c r="L538" s="520">
        <v>1147</v>
      </c>
      <c r="M538">
        <v>0</v>
      </c>
      <c r="N538">
        <v>150</v>
      </c>
    </row>
    <row r="539" spans="1:14">
      <c r="A539" t="s">
        <v>6322</v>
      </c>
      <c r="B539" t="s">
        <v>1501</v>
      </c>
      <c r="C539">
        <v>753</v>
      </c>
      <c r="D539" t="s">
        <v>5672</v>
      </c>
      <c r="E539" t="s">
        <v>5673</v>
      </c>
      <c r="J539">
        <v>982</v>
      </c>
      <c r="K539">
        <v>0</v>
      </c>
      <c r="L539">
        <v>0</v>
      </c>
      <c r="N539">
        <v>0</v>
      </c>
    </row>
    <row r="540" spans="1:14">
      <c r="A540" t="s">
        <v>6323</v>
      </c>
      <c r="B540" t="s">
        <v>1501</v>
      </c>
      <c r="C540">
        <v>753</v>
      </c>
      <c r="D540" t="s">
        <v>1486</v>
      </c>
      <c r="E540" t="s">
        <v>6324</v>
      </c>
      <c r="F540" s="519">
        <v>43945</v>
      </c>
      <c r="G540" s="519">
        <v>46113</v>
      </c>
      <c r="H540" s="519">
        <v>46146</v>
      </c>
      <c r="I540" s="519">
        <v>46146</v>
      </c>
      <c r="J540">
        <v>982</v>
      </c>
      <c r="K540" s="520">
        <v>1439.82</v>
      </c>
      <c r="L540" s="520">
        <v>1352.98</v>
      </c>
      <c r="M540">
        <v>0</v>
      </c>
      <c r="N540">
        <v>150</v>
      </c>
    </row>
    <row r="541" spans="1:14">
      <c r="A541" t="s">
        <v>6325</v>
      </c>
      <c r="B541" t="s">
        <v>1501</v>
      </c>
      <c r="C541">
        <v>753</v>
      </c>
      <c r="D541" t="s">
        <v>1487</v>
      </c>
      <c r="E541" t="s">
        <v>6326</v>
      </c>
      <c r="F541" s="519">
        <v>40301</v>
      </c>
      <c r="G541" s="519">
        <v>45809</v>
      </c>
      <c r="H541" s="519">
        <v>46173</v>
      </c>
      <c r="J541">
        <v>982</v>
      </c>
      <c r="K541" s="520">
        <v>1038.82</v>
      </c>
      <c r="L541">
        <v>951.5</v>
      </c>
      <c r="M541">
        <v>0</v>
      </c>
      <c r="N541">
        <v>400</v>
      </c>
    </row>
    <row r="542" spans="1:14">
      <c r="A542" t="s">
        <v>877</v>
      </c>
      <c r="B542" t="s">
        <v>1501</v>
      </c>
      <c r="C542">
        <v>753</v>
      </c>
      <c r="D542" t="s">
        <v>1487</v>
      </c>
      <c r="E542" t="s">
        <v>2395</v>
      </c>
      <c r="F542" s="519">
        <v>46080</v>
      </c>
      <c r="G542" s="519">
        <v>46080</v>
      </c>
      <c r="H542" s="519">
        <v>46444</v>
      </c>
      <c r="J542" s="520">
        <v>1077</v>
      </c>
      <c r="K542" s="520">
        <v>1231</v>
      </c>
      <c r="L542" s="520">
        <v>1231</v>
      </c>
      <c r="M542">
        <v>0</v>
      </c>
      <c r="N542">
        <v>0</v>
      </c>
    </row>
    <row r="543" spans="1:14">
      <c r="A543" t="s">
        <v>1384</v>
      </c>
      <c r="B543" t="s">
        <v>1501</v>
      </c>
      <c r="C543">
        <v>753</v>
      </c>
      <c r="D543" t="s">
        <v>5672</v>
      </c>
      <c r="E543" t="s">
        <v>5673</v>
      </c>
      <c r="J543" s="520">
        <v>1077</v>
      </c>
      <c r="K543">
        <v>0</v>
      </c>
      <c r="L543">
        <v>0</v>
      </c>
      <c r="N543">
        <v>0</v>
      </c>
    </row>
    <row r="544" spans="1:14">
      <c r="A544" t="s">
        <v>1715</v>
      </c>
      <c r="B544" t="s">
        <v>1501</v>
      </c>
      <c r="C544">
        <v>753</v>
      </c>
      <c r="D544" t="s">
        <v>1487</v>
      </c>
      <c r="E544" t="s">
        <v>1716</v>
      </c>
      <c r="F544" s="519">
        <v>44958</v>
      </c>
      <c r="G544" s="519">
        <v>46054</v>
      </c>
      <c r="J544" s="520">
        <v>1077</v>
      </c>
      <c r="K544" s="520">
        <v>1383.82</v>
      </c>
      <c r="L544" s="520">
        <v>1296.48</v>
      </c>
      <c r="M544">
        <v>7.95</v>
      </c>
      <c r="N544">
        <v>0</v>
      </c>
    </row>
    <row r="545" spans="1:14">
      <c r="A545" t="s">
        <v>860</v>
      </c>
      <c r="B545" t="s">
        <v>1501</v>
      </c>
      <c r="C545">
        <v>753</v>
      </c>
      <c r="D545" t="s">
        <v>5672</v>
      </c>
      <c r="E545" t="s">
        <v>5673</v>
      </c>
      <c r="J545" s="520">
        <v>1077</v>
      </c>
      <c r="K545">
        <v>0</v>
      </c>
      <c r="L545">
        <v>0</v>
      </c>
      <c r="N545">
        <v>0</v>
      </c>
    </row>
    <row r="546" spans="1:14">
      <c r="A546" t="s">
        <v>6327</v>
      </c>
      <c r="B546" t="s">
        <v>1502</v>
      </c>
      <c r="C546">
        <v>800</v>
      </c>
      <c r="D546" t="s">
        <v>5672</v>
      </c>
      <c r="E546" t="s">
        <v>5673</v>
      </c>
      <c r="J546">
        <v>927</v>
      </c>
      <c r="K546">
        <v>0</v>
      </c>
      <c r="L546">
        <v>0</v>
      </c>
      <c r="N546">
        <v>0</v>
      </c>
    </row>
    <row r="547" spans="1:14">
      <c r="A547" t="s">
        <v>6328</v>
      </c>
      <c r="B547" t="s">
        <v>1502</v>
      </c>
      <c r="C547">
        <v>800</v>
      </c>
      <c r="D547" t="s">
        <v>1487</v>
      </c>
      <c r="E547" t="s">
        <v>6329</v>
      </c>
      <c r="F547" s="519">
        <v>45170</v>
      </c>
      <c r="G547" s="519">
        <v>45870</v>
      </c>
      <c r="H547" s="519">
        <v>46234</v>
      </c>
      <c r="J547">
        <v>927</v>
      </c>
      <c r="K547" s="520">
        <v>1272.44</v>
      </c>
      <c r="L547" s="520">
        <v>1183.5</v>
      </c>
      <c r="M547">
        <v>0</v>
      </c>
      <c r="N547">
        <v>0</v>
      </c>
    </row>
    <row r="548" spans="1:14">
      <c r="A548" t="s">
        <v>6330</v>
      </c>
      <c r="B548" t="s">
        <v>1502</v>
      </c>
      <c r="C548">
        <v>800</v>
      </c>
      <c r="D548" t="s">
        <v>1487</v>
      </c>
      <c r="E548" t="s">
        <v>6331</v>
      </c>
      <c r="F548" s="519">
        <v>45523</v>
      </c>
      <c r="G548" s="519">
        <v>45888</v>
      </c>
      <c r="H548" s="519">
        <v>46252</v>
      </c>
      <c r="J548">
        <v>927</v>
      </c>
      <c r="K548" s="520">
        <v>1451.37</v>
      </c>
      <c r="L548" s="520">
        <v>1234.5</v>
      </c>
      <c r="M548">
        <v>0</v>
      </c>
      <c r="N548">
        <v>0</v>
      </c>
    </row>
    <row r="549" spans="1:14">
      <c r="A549" t="s">
        <v>6332</v>
      </c>
      <c r="B549" t="s">
        <v>1502</v>
      </c>
      <c r="C549">
        <v>800</v>
      </c>
      <c r="D549" t="s">
        <v>1487</v>
      </c>
      <c r="E549" t="s">
        <v>6333</v>
      </c>
      <c r="F549" s="519">
        <v>45866</v>
      </c>
      <c r="G549" s="519">
        <v>45866</v>
      </c>
      <c r="H549" s="519">
        <v>46230</v>
      </c>
      <c r="J549">
        <v>927</v>
      </c>
      <c r="K549" s="520">
        <v>1268.44</v>
      </c>
      <c r="L549" s="520">
        <v>1179.5</v>
      </c>
      <c r="M549">
        <v>0</v>
      </c>
      <c r="N549">
        <v>0</v>
      </c>
    </row>
    <row r="550" spans="1:14">
      <c r="A550" t="s">
        <v>6334</v>
      </c>
      <c r="B550" t="s">
        <v>1502</v>
      </c>
      <c r="C550">
        <v>800</v>
      </c>
      <c r="D550" t="s">
        <v>1487</v>
      </c>
      <c r="E550" t="s">
        <v>6335</v>
      </c>
      <c r="F550" s="519">
        <v>45245</v>
      </c>
      <c r="G550" s="519">
        <v>46037</v>
      </c>
      <c r="J550">
        <v>882</v>
      </c>
      <c r="K550" s="520">
        <v>1194.44</v>
      </c>
      <c r="L550" s="520">
        <v>1105.5</v>
      </c>
      <c r="M550">
        <v>0</v>
      </c>
      <c r="N550">
        <v>750</v>
      </c>
    </row>
    <row r="551" spans="1:14">
      <c r="A551" t="s">
        <v>6336</v>
      </c>
      <c r="B551" t="s">
        <v>1502</v>
      </c>
      <c r="C551">
        <v>800</v>
      </c>
      <c r="D551" t="s">
        <v>1487</v>
      </c>
      <c r="E551" t="s">
        <v>6337</v>
      </c>
      <c r="F551" s="519">
        <v>46028</v>
      </c>
      <c r="G551" s="519">
        <v>46028</v>
      </c>
      <c r="H551" s="519">
        <v>46392</v>
      </c>
      <c r="J551">
        <v>927</v>
      </c>
      <c r="K551" s="520">
        <v>1083</v>
      </c>
      <c r="L551" s="520">
        <v>1083</v>
      </c>
      <c r="M551">
        <v>0</v>
      </c>
      <c r="N551">
        <v>0</v>
      </c>
    </row>
    <row r="552" spans="1:14">
      <c r="A552" t="s">
        <v>6338</v>
      </c>
      <c r="B552" t="s">
        <v>1502</v>
      </c>
      <c r="C552">
        <v>800</v>
      </c>
      <c r="D552" t="s">
        <v>1487</v>
      </c>
      <c r="E552" t="s">
        <v>6339</v>
      </c>
      <c r="F552" s="519">
        <v>45377</v>
      </c>
      <c r="G552" s="519">
        <v>45839</v>
      </c>
      <c r="H552" s="519">
        <v>46203</v>
      </c>
      <c r="J552">
        <v>927</v>
      </c>
      <c r="K552" s="520">
        <v>1323.44</v>
      </c>
      <c r="L552" s="520">
        <v>1234.5</v>
      </c>
      <c r="M552">
        <v>0</v>
      </c>
      <c r="N552">
        <v>0</v>
      </c>
    </row>
    <row r="553" spans="1:14">
      <c r="A553" t="s">
        <v>6340</v>
      </c>
      <c r="B553" t="s">
        <v>1502</v>
      </c>
      <c r="C553">
        <v>800</v>
      </c>
      <c r="D553" t="s">
        <v>1487</v>
      </c>
      <c r="E553" t="s">
        <v>6341</v>
      </c>
      <c r="F553" s="519">
        <v>45357</v>
      </c>
      <c r="G553" s="519">
        <v>45783</v>
      </c>
      <c r="H553" s="519">
        <v>46147</v>
      </c>
      <c r="J553">
        <v>912</v>
      </c>
      <c r="K553" s="520">
        <v>1287.3699999999999</v>
      </c>
      <c r="L553" s="520">
        <v>1224.5</v>
      </c>
      <c r="M553">
        <v>0</v>
      </c>
      <c r="N553">
        <v>0</v>
      </c>
    </row>
    <row r="554" spans="1:14">
      <c r="A554" t="s">
        <v>1829</v>
      </c>
      <c r="B554" t="s">
        <v>1502</v>
      </c>
      <c r="C554">
        <v>800</v>
      </c>
      <c r="D554" t="s">
        <v>1487</v>
      </c>
      <c r="E554" t="s">
        <v>1830</v>
      </c>
      <c r="F554" s="519">
        <v>45747</v>
      </c>
      <c r="G554" s="519">
        <v>46112</v>
      </c>
      <c r="J554">
        <v>952</v>
      </c>
      <c r="K554" s="520">
        <v>1565.37</v>
      </c>
      <c r="L554" s="520">
        <v>1339</v>
      </c>
      <c r="M554" s="520">
        <v>2198.7800000000002</v>
      </c>
      <c r="N554">
        <v>0</v>
      </c>
    </row>
    <row r="555" spans="1:14">
      <c r="A555" t="s">
        <v>1831</v>
      </c>
      <c r="B555" t="s">
        <v>1502</v>
      </c>
      <c r="C555">
        <v>800</v>
      </c>
      <c r="D555" t="s">
        <v>5672</v>
      </c>
      <c r="E555" t="s">
        <v>5673</v>
      </c>
      <c r="J555">
        <v>902</v>
      </c>
      <c r="K555">
        <v>0</v>
      </c>
      <c r="L555">
        <v>0</v>
      </c>
      <c r="N555">
        <v>0</v>
      </c>
    </row>
    <row r="556" spans="1:14">
      <c r="A556" t="s">
        <v>1833</v>
      </c>
      <c r="B556" t="s">
        <v>1502</v>
      </c>
      <c r="C556">
        <v>800</v>
      </c>
      <c r="D556" t="s">
        <v>5672</v>
      </c>
      <c r="E556" t="s">
        <v>5673</v>
      </c>
      <c r="J556">
        <v>902</v>
      </c>
      <c r="K556">
        <v>0</v>
      </c>
      <c r="L556">
        <v>0</v>
      </c>
      <c r="N556">
        <v>0</v>
      </c>
    </row>
    <row r="557" spans="1:14">
      <c r="A557" t="s">
        <v>6342</v>
      </c>
      <c r="B557" t="s">
        <v>1502</v>
      </c>
      <c r="C557">
        <v>800</v>
      </c>
      <c r="D557" t="s">
        <v>1487</v>
      </c>
      <c r="E557" t="s">
        <v>6343</v>
      </c>
      <c r="F557" s="519">
        <v>44581</v>
      </c>
      <c r="G557" s="519">
        <v>45870</v>
      </c>
      <c r="H557" s="519">
        <v>46234</v>
      </c>
      <c r="J557">
        <v>952</v>
      </c>
      <c r="K557" s="520">
        <v>1267.3699999999999</v>
      </c>
      <c r="L557" s="520">
        <v>1204.5</v>
      </c>
      <c r="M557">
        <v>0</v>
      </c>
      <c r="N557">
        <v>0</v>
      </c>
    </row>
    <row r="558" spans="1:14">
      <c r="A558" t="s">
        <v>882</v>
      </c>
      <c r="B558" t="s">
        <v>1502</v>
      </c>
      <c r="C558">
        <v>800</v>
      </c>
      <c r="D558" t="s">
        <v>5672</v>
      </c>
      <c r="E558" t="s">
        <v>5673</v>
      </c>
      <c r="J558">
        <v>952</v>
      </c>
      <c r="K558">
        <v>0</v>
      </c>
      <c r="L558">
        <v>0</v>
      </c>
      <c r="N558">
        <v>0</v>
      </c>
    </row>
    <row r="559" spans="1:14">
      <c r="A559" t="s">
        <v>6344</v>
      </c>
      <c r="B559" t="s">
        <v>1502</v>
      </c>
      <c r="C559">
        <v>800</v>
      </c>
      <c r="D559" t="s">
        <v>1487</v>
      </c>
      <c r="E559" t="s">
        <v>6345</v>
      </c>
      <c r="F559" s="519">
        <v>45061</v>
      </c>
      <c r="G559" s="519">
        <v>45778</v>
      </c>
      <c r="H559" s="519">
        <v>46142</v>
      </c>
      <c r="J559">
        <v>952</v>
      </c>
      <c r="K559" s="520">
        <v>1267.3699999999999</v>
      </c>
      <c r="L559" s="520">
        <v>1204.5</v>
      </c>
      <c r="M559">
        <v>0</v>
      </c>
      <c r="N559">
        <v>0</v>
      </c>
    </row>
    <row r="560" spans="1:14">
      <c r="A560" t="s">
        <v>6346</v>
      </c>
      <c r="B560" t="s">
        <v>1502</v>
      </c>
      <c r="C560">
        <v>800</v>
      </c>
      <c r="D560" t="s">
        <v>5672</v>
      </c>
      <c r="E560" t="s">
        <v>5673</v>
      </c>
      <c r="J560">
        <v>902</v>
      </c>
      <c r="K560">
        <v>0</v>
      </c>
      <c r="L560">
        <v>0</v>
      </c>
      <c r="N560">
        <v>0</v>
      </c>
    </row>
    <row r="561" spans="1:14">
      <c r="A561" t="s">
        <v>2350</v>
      </c>
      <c r="B561" t="s">
        <v>1502</v>
      </c>
      <c r="C561">
        <v>800</v>
      </c>
      <c r="D561" t="s">
        <v>5672</v>
      </c>
      <c r="E561" t="s">
        <v>5673</v>
      </c>
      <c r="J561">
        <v>952</v>
      </c>
      <c r="K561">
        <v>0</v>
      </c>
      <c r="L561">
        <v>0</v>
      </c>
      <c r="N561">
        <v>0</v>
      </c>
    </row>
    <row r="562" spans="1:14">
      <c r="A562" t="s">
        <v>6347</v>
      </c>
      <c r="B562" t="s">
        <v>1502</v>
      </c>
      <c r="C562">
        <v>800</v>
      </c>
      <c r="D562" t="s">
        <v>5672</v>
      </c>
      <c r="E562" t="s">
        <v>5673</v>
      </c>
      <c r="J562">
        <v>912</v>
      </c>
      <c r="K562">
        <v>0</v>
      </c>
      <c r="L562">
        <v>0</v>
      </c>
      <c r="N562">
        <v>0</v>
      </c>
    </row>
    <row r="563" spans="1:14">
      <c r="A563" t="s">
        <v>5365</v>
      </c>
      <c r="B563" t="s">
        <v>1502</v>
      </c>
      <c r="C563">
        <v>800</v>
      </c>
      <c r="D563" t="s">
        <v>5686</v>
      </c>
      <c r="E563" t="s">
        <v>5673</v>
      </c>
      <c r="J563">
        <v>912</v>
      </c>
      <c r="K563">
        <v>0</v>
      </c>
      <c r="L563">
        <v>0</v>
      </c>
      <c r="N563">
        <v>0</v>
      </c>
    </row>
    <row r="564" spans="1:14">
      <c r="A564" t="s">
        <v>6348</v>
      </c>
      <c r="B564" t="s">
        <v>1502</v>
      </c>
      <c r="C564">
        <v>800</v>
      </c>
      <c r="D564" t="s">
        <v>1487</v>
      </c>
      <c r="E564" t="s">
        <v>6349</v>
      </c>
      <c r="F564" s="519">
        <v>45842</v>
      </c>
      <c r="G564" s="519">
        <v>45842</v>
      </c>
      <c r="H564" s="519">
        <v>46206</v>
      </c>
      <c r="J564">
        <v>912</v>
      </c>
      <c r="K564" s="520">
        <v>1113.44</v>
      </c>
      <c r="L564" s="520">
        <v>1024.49</v>
      </c>
      <c r="M564">
        <v>0</v>
      </c>
      <c r="N564">
        <v>0</v>
      </c>
    </row>
    <row r="565" spans="1:14">
      <c r="A565" t="s">
        <v>1836</v>
      </c>
      <c r="B565" t="s">
        <v>1502</v>
      </c>
      <c r="C565">
        <v>800</v>
      </c>
      <c r="D565" t="s">
        <v>1487</v>
      </c>
      <c r="E565" t="s">
        <v>1837</v>
      </c>
      <c r="F565" s="519">
        <v>45618</v>
      </c>
      <c r="G565" s="519">
        <v>46044</v>
      </c>
      <c r="J565">
        <v>912</v>
      </c>
      <c r="K565" s="520">
        <v>1374.37</v>
      </c>
      <c r="L565" s="520">
        <v>1164.5</v>
      </c>
      <c r="M565" s="520">
        <v>5664.42</v>
      </c>
      <c r="N565">
        <v>0</v>
      </c>
    </row>
    <row r="566" spans="1:14">
      <c r="A566" t="s">
        <v>866</v>
      </c>
      <c r="B566" t="s">
        <v>1502</v>
      </c>
      <c r="C566">
        <v>800</v>
      </c>
      <c r="D566" t="s">
        <v>5672</v>
      </c>
      <c r="E566" t="s">
        <v>5673</v>
      </c>
      <c r="J566">
        <v>912</v>
      </c>
      <c r="K566">
        <v>0</v>
      </c>
      <c r="L566">
        <v>0</v>
      </c>
      <c r="N566">
        <v>0</v>
      </c>
    </row>
    <row r="567" spans="1:14">
      <c r="A567" t="s">
        <v>6350</v>
      </c>
      <c r="B567" t="s">
        <v>1502</v>
      </c>
      <c r="C567">
        <v>800</v>
      </c>
      <c r="D567" t="s">
        <v>1487</v>
      </c>
      <c r="E567" t="s">
        <v>3063</v>
      </c>
      <c r="F567" s="519">
        <v>43204</v>
      </c>
      <c r="G567" s="519">
        <v>45778</v>
      </c>
      <c r="H567" s="519">
        <v>46142</v>
      </c>
      <c r="I567" s="519">
        <v>46153</v>
      </c>
      <c r="J567">
        <v>867</v>
      </c>
      <c r="K567" s="520">
        <v>1224.44</v>
      </c>
      <c r="L567" s="520">
        <v>1135.5</v>
      </c>
      <c r="M567">
        <v>0</v>
      </c>
      <c r="N567">
        <v>150</v>
      </c>
    </row>
    <row r="568" spans="1:14">
      <c r="A568" t="s">
        <v>6351</v>
      </c>
      <c r="B568" t="s">
        <v>1502</v>
      </c>
      <c r="C568">
        <v>800</v>
      </c>
      <c r="D568" t="s">
        <v>5672</v>
      </c>
      <c r="E568" t="s">
        <v>5673</v>
      </c>
      <c r="J568">
        <v>962</v>
      </c>
      <c r="K568">
        <v>0</v>
      </c>
      <c r="L568">
        <v>0</v>
      </c>
      <c r="N568">
        <v>0</v>
      </c>
    </row>
    <row r="569" spans="1:14">
      <c r="A569" t="s">
        <v>1838</v>
      </c>
      <c r="B569" t="s">
        <v>1502</v>
      </c>
      <c r="C569">
        <v>800</v>
      </c>
      <c r="D569" t="s">
        <v>1487</v>
      </c>
      <c r="E569" t="s">
        <v>1839</v>
      </c>
      <c r="F569" s="519">
        <v>45063</v>
      </c>
      <c r="G569" s="519">
        <v>45809</v>
      </c>
      <c r="H569" s="519">
        <v>46173</v>
      </c>
      <c r="J569">
        <v>962</v>
      </c>
      <c r="K569" s="520">
        <v>1589.37</v>
      </c>
      <c r="L569" s="520">
        <v>1359.5</v>
      </c>
      <c r="M569">
        <v>362.37</v>
      </c>
      <c r="N569">
        <v>0</v>
      </c>
    </row>
    <row r="570" spans="1:14">
      <c r="A570" t="s">
        <v>855</v>
      </c>
      <c r="B570" t="s">
        <v>1502</v>
      </c>
      <c r="C570">
        <v>800</v>
      </c>
      <c r="D570" t="s">
        <v>5672</v>
      </c>
      <c r="E570" t="s">
        <v>5673</v>
      </c>
      <c r="J570">
        <v>882</v>
      </c>
      <c r="K570">
        <v>0</v>
      </c>
      <c r="L570">
        <v>0</v>
      </c>
      <c r="N570">
        <v>0</v>
      </c>
    </row>
    <row r="571" spans="1:14">
      <c r="A571" t="s">
        <v>6352</v>
      </c>
      <c r="B571" t="s">
        <v>1502</v>
      </c>
      <c r="C571">
        <v>800</v>
      </c>
      <c r="D571" t="s">
        <v>1487</v>
      </c>
      <c r="E571" t="s">
        <v>6353</v>
      </c>
      <c r="F571" s="519">
        <v>44228</v>
      </c>
      <c r="G571" s="519">
        <v>46073</v>
      </c>
      <c r="H571" s="519">
        <v>46437</v>
      </c>
      <c r="J571">
        <v>927</v>
      </c>
      <c r="K571" s="520">
        <v>1225.3699999999999</v>
      </c>
      <c r="L571" s="520">
        <v>1163</v>
      </c>
      <c r="M571">
        <v>0</v>
      </c>
      <c r="N571">
        <v>0</v>
      </c>
    </row>
    <row r="572" spans="1:14">
      <c r="A572" t="s">
        <v>1841</v>
      </c>
      <c r="B572" t="s">
        <v>1502</v>
      </c>
      <c r="C572">
        <v>800</v>
      </c>
      <c r="D572" t="s">
        <v>5672</v>
      </c>
      <c r="E572" t="s">
        <v>5673</v>
      </c>
      <c r="J572">
        <v>882</v>
      </c>
      <c r="K572">
        <v>0</v>
      </c>
      <c r="L572">
        <v>0</v>
      </c>
      <c r="N572">
        <v>0</v>
      </c>
    </row>
    <row r="573" spans="1:14">
      <c r="A573" t="s">
        <v>6354</v>
      </c>
      <c r="B573" t="s">
        <v>1502</v>
      </c>
      <c r="C573">
        <v>800</v>
      </c>
      <c r="D573" t="s">
        <v>5672</v>
      </c>
      <c r="E573" t="s">
        <v>5673</v>
      </c>
      <c r="J573">
        <v>927</v>
      </c>
      <c r="K573">
        <v>0</v>
      </c>
      <c r="L573">
        <v>0</v>
      </c>
      <c r="N573">
        <v>0</v>
      </c>
    </row>
    <row r="574" spans="1:14">
      <c r="A574" t="s">
        <v>6355</v>
      </c>
      <c r="B574" t="s">
        <v>1502</v>
      </c>
      <c r="C574">
        <v>800</v>
      </c>
      <c r="D574" t="s">
        <v>1487</v>
      </c>
      <c r="E574" t="s">
        <v>6356</v>
      </c>
      <c r="F574" s="519">
        <v>45322</v>
      </c>
      <c r="G574" s="519">
        <v>46113</v>
      </c>
      <c r="H574" s="519">
        <v>46477</v>
      </c>
      <c r="J574">
        <v>952</v>
      </c>
      <c r="K574" s="520">
        <v>1412.44</v>
      </c>
      <c r="L574" s="520">
        <v>1324</v>
      </c>
      <c r="M574">
        <v>-105</v>
      </c>
      <c r="N574">
        <v>0</v>
      </c>
    </row>
    <row r="575" spans="1:14">
      <c r="A575" t="s">
        <v>6357</v>
      </c>
      <c r="B575" t="s">
        <v>1502</v>
      </c>
      <c r="C575">
        <v>800</v>
      </c>
      <c r="D575" t="s">
        <v>1487</v>
      </c>
      <c r="E575" t="s">
        <v>6358</v>
      </c>
      <c r="F575" s="519">
        <v>45572</v>
      </c>
      <c r="G575" s="519">
        <v>45937</v>
      </c>
      <c r="H575" s="519">
        <v>46301</v>
      </c>
      <c r="J575">
        <v>952</v>
      </c>
      <c r="K575" s="520">
        <v>1276.3699999999999</v>
      </c>
      <c r="L575" s="520">
        <v>1214</v>
      </c>
      <c r="M575">
        <v>0</v>
      </c>
      <c r="N575">
        <v>0</v>
      </c>
    </row>
    <row r="576" spans="1:14">
      <c r="A576" t="s">
        <v>6359</v>
      </c>
      <c r="B576" t="s">
        <v>1502</v>
      </c>
      <c r="C576">
        <v>800</v>
      </c>
      <c r="D576" t="s">
        <v>1487</v>
      </c>
      <c r="E576" t="s">
        <v>6360</v>
      </c>
      <c r="F576" s="519">
        <v>45552</v>
      </c>
      <c r="G576" s="519">
        <v>45978</v>
      </c>
      <c r="H576" s="519">
        <v>46342</v>
      </c>
      <c r="J576">
        <v>952</v>
      </c>
      <c r="K576" s="520">
        <v>1247.3699999999999</v>
      </c>
      <c r="L576" s="520">
        <v>1185</v>
      </c>
      <c r="M576">
        <v>0</v>
      </c>
      <c r="N576">
        <v>750</v>
      </c>
    </row>
    <row r="577" spans="1:14">
      <c r="A577" t="s">
        <v>6361</v>
      </c>
      <c r="B577" t="s">
        <v>1502</v>
      </c>
      <c r="C577">
        <v>800</v>
      </c>
      <c r="D577" t="s">
        <v>1487</v>
      </c>
      <c r="E577" t="s">
        <v>6362</v>
      </c>
      <c r="F577" s="519">
        <v>45566</v>
      </c>
      <c r="G577" s="519">
        <v>45992</v>
      </c>
      <c r="H577" s="519">
        <v>46356</v>
      </c>
      <c r="J577">
        <v>902</v>
      </c>
      <c r="K577" s="520">
        <v>1219.3699999999999</v>
      </c>
      <c r="L577" s="520">
        <v>1156.5</v>
      </c>
      <c r="M577">
        <v>0</v>
      </c>
      <c r="N577">
        <v>0</v>
      </c>
    </row>
    <row r="578" spans="1:14">
      <c r="A578" t="s">
        <v>1356</v>
      </c>
      <c r="B578" t="s">
        <v>1502</v>
      </c>
      <c r="C578">
        <v>800</v>
      </c>
      <c r="D578" t="s">
        <v>5781</v>
      </c>
      <c r="E578" t="s">
        <v>5673</v>
      </c>
      <c r="J578">
        <v>927</v>
      </c>
      <c r="K578">
        <v>0</v>
      </c>
      <c r="L578">
        <v>0</v>
      </c>
      <c r="N578">
        <v>0</v>
      </c>
    </row>
    <row r="579" spans="1:14">
      <c r="A579" t="s">
        <v>6363</v>
      </c>
      <c r="B579" t="s">
        <v>1502</v>
      </c>
      <c r="C579">
        <v>800</v>
      </c>
      <c r="D579" t="s">
        <v>5672</v>
      </c>
      <c r="E579" t="s">
        <v>5673</v>
      </c>
      <c r="J579">
        <v>977</v>
      </c>
      <c r="K579">
        <v>0</v>
      </c>
      <c r="L579">
        <v>0</v>
      </c>
      <c r="N579">
        <v>0</v>
      </c>
    </row>
    <row r="580" spans="1:14">
      <c r="A580" t="s">
        <v>6364</v>
      </c>
      <c r="B580" t="s">
        <v>1502</v>
      </c>
      <c r="C580">
        <v>800</v>
      </c>
      <c r="D580" t="s">
        <v>5672</v>
      </c>
      <c r="E580" t="s">
        <v>5673</v>
      </c>
      <c r="J580">
        <v>977</v>
      </c>
      <c r="K580">
        <v>0</v>
      </c>
      <c r="L580">
        <v>0</v>
      </c>
      <c r="N580">
        <v>0</v>
      </c>
    </row>
    <row r="581" spans="1:14">
      <c r="A581" t="s">
        <v>6365</v>
      </c>
      <c r="B581" t="s">
        <v>1502</v>
      </c>
      <c r="C581">
        <v>800</v>
      </c>
      <c r="D581" t="s">
        <v>1487</v>
      </c>
      <c r="E581" t="s">
        <v>6366</v>
      </c>
      <c r="F581" s="519">
        <v>45899</v>
      </c>
      <c r="G581" s="519">
        <v>45899</v>
      </c>
      <c r="H581" s="519">
        <v>46263</v>
      </c>
      <c r="J581">
        <v>977</v>
      </c>
      <c r="K581" s="520">
        <v>1157.3699999999999</v>
      </c>
      <c r="L581" s="520">
        <v>1214</v>
      </c>
      <c r="M581">
        <v>0</v>
      </c>
      <c r="N581">
        <v>0</v>
      </c>
    </row>
    <row r="582" spans="1:14">
      <c r="A582" t="s">
        <v>2463</v>
      </c>
      <c r="B582" t="s">
        <v>1502</v>
      </c>
      <c r="C582">
        <v>800</v>
      </c>
      <c r="D582" t="s">
        <v>5733</v>
      </c>
      <c r="E582" t="s">
        <v>5673</v>
      </c>
      <c r="J582">
        <v>977</v>
      </c>
      <c r="K582">
        <v>0</v>
      </c>
      <c r="L582">
        <v>0</v>
      </c>
      <c r="N582">
        <v>0</v>
      </c>
    </row>
    <row r="583" spans="1:14">
      <c r="A583" t="s">
        <v>6367</v>
      </c>
      <c r="B583" t="s">
        <v>1502</v>
      </c>
      <c r="C583">
        <v>800</v>
      </c>
      <c r="D583" t="s">
        <v>1487</v>
      </c>
      <c r="E583" t="s">
        <v>6368</v>
      </c>
      <c r="F583" s="519">
        <v>33851</v>
      </c>
      <c r="G583" s="519">
        <v>45870</v>
      </c>
      <c r="H583" s="519">
        <v>46234</v>
      </c>
      <c r="J583">
        <v>882</v>
      </c>
      <c r="K583" s="520">
        <v>1153.3699999999999</v>
      </c>
      <c r="L583" s="520">
        <v>1091</v>
      </c>
      <c r="M583">
        <v>0</v>
      </c>
      <c r="N583">
        <v>100</v>
      </c>
    </row>
    <row r="584" spans="1:14">
      <c r="A584" t="s">
        <v>1873</v>
      </c>
      <c r="B584" t="s">
        <v>1502</v>
      </c>
      <c r="C584">
        <v>800</v>
      </c>
      <c r="D584" t="s">
        <v>5672</v>
      </c>
      <c r="E584" t="s">
        <v>5673</v>
      </c>
      <c r="J584">
        <v>927</v>
      </c>
      <c r="K584">
        <v>0</v>
      </c>
      <c r="L584">
        <v>0</v>
      </c>
      <c r="N584">
        <v>0</v>
      </c>
    </row>
    <row r="585" spans="1:14">
      <c r="A585" t="s">
        <v>6369</v>
      </c>
      <c r="B585" t="s">
        <v>1502</v>
      </c>
      <c r="C585">
        <v>800</v>
      </c>
      <c r="D585" t="s">
        <v>1487</v>
      </c>
      <c r="E585" t="s">
        <v>6370</v>
      </c>
      <c r="F585" s="519">
        <v>45619</v>
      </c>
      <c r="G585" s="519">
        <v>46047</v>
      </c>
      <c r="J585">
        <v>912</v>
      </c>
      <c r="K585" s="520">
        <v>1259.44</v>
      </c>
      <c r="L585" s="520">
        <v>1170.49</v>
      </c>
      <c r="M585">
        <v>0</v>
      </c>
      <c r="N585">
        <v>0</v>
      </c>
    </row>
    <row r="586" spans="1:14">
      <c r="A586" t="s">
        <v>3795</v>
      </c>
      <c r="B586" t="s">
        <v>1502</v>
      </c>
      <c r="C586">
        <v>800</v>
      </c>
      <c r="D586" t="s">
        <v>5672</v>
      </c>
      <c r="E586" t="s">
        <v>5673</v>
      </c>
      <c r="J586">
        <v>857</v>
      </c>
      <c r="K586">
        <v>0</v>
      </c>
      <c r="L586">
        <v>0</v>
      </c>
      <c r="N586">
        <v>0</v>
      </c>
    </row>
    <row r="587" spans="1:14">
      <c r="A587" t="s">
        <v>6371</v>
      </c>
      <c r="B587" t="s">
        <v>1502</v>
      </c>
      <c r="C587">
        <v>800</v>
      </c>
      <c r="D587" t="s">
        <v>1486</v>
      </c>
      <c r="E587" t="s">
        <v>6372</v>
      </c>
      <c r="F587" s="519">
        <v>45678</v>
      </c>
      <c r="G587" s="519">
        <v>46102</v>
      </c>
      <c r="H587" s="519">
        <v>46142</v>
      </c>
      <c r="I587" s="519">
        <v>46142</v>
      </c>
      <c r="J587">
        <v>952</v>
      </c>
      <c r="K587" s="520">
        <v>1540.37</v>
      </c>
      <c r="L587" s="520">
        <v>1477.29</v>
      </c>
      <c r="M587">
        <v>0</v>
      </c>
      <c r="N587">
        <v>0</v>
      </c>
    </row>
    <row r="588" spans="1:14">
      <c r="A588" t="s">
        <v>6373</v>
      </c>
      <c r="B588" t="s">
        <v>1502</v>
      </c>
      <c r="C588">
        <v>800</v>
      </c>
      <c r="D588" t="s">
        <v>1487</v>
      </c>
      <c r="E588" t="s">
        <v>6374</v>
      </c>
      <c r="F588" s="519">
        <v>40635</v>
      </c>
      <c r="G588" s="519">
        <v>45962</v>
      </c>
      <c r="H588" s="519">
        <v>46326</v>
      </c>
      <c r="J588">
        <v>857</v>
      </c>
      <c r="K588" s="520">
        <v>1025.3699999999999</v>
      </c>
      <c r="L588">
        <v>963</v>
      </c>
      <c r="M588">
        <v>0</v>
      </c>
      <c r="N588">
        <v>150</v>
      </c>
    </row>
    <row r="589" spans="1:14">
      <c r="A589" t="s">
        <v>1162</v>
      </c>
      <c r="B589" t="s">
        <v>1502</v>
      </c>
      <c r="C589">
        <v>800</v>
      </c>
      <c r="D589" t="s">
        <v>1486</v>
      </c>
      <c r="E589" t="s">
        <v>6375</v>
      </c>
      <c r="F589" s="519">
        <v>45778</v>
      </c>
      <c r="G589" s="519">
        <v>45778</v>
      </c>
      <c r="H589" s="519">
        <v>46142</v>
      </c>
      <c r="I589" s="519">
        <v>46142</v>
      </c>
      <c r="J589">
        <v>902</v>
      </c>
      <c r="K589" s="520">
        <v>1217.3699999999999</v>
      </c>
      <c r="L589" s="520">
        <v>1154.5</v>
      </c>
      <c r="M589">
        <v>0</v>
      </c>
      <c r="N589">
        <v>0</v>
      </c>
    </row>
    <row r="590" spans="1:14">
      <c r="A590" t="s">
        <v>6376</v>
      </c>
      <c r="B590" t="s">
        <v>1502</v>
      </c>
      <c r="C590">
        <v>800</v>
      </c>
      <c r="D590" t="s">
        <v>5672</v>
      </c>
      <c r="E590" t="s">
        <v>5673</v>
      </c>
      <c r="J590">
        <v>952</v>
      </c>
      <c r="K590">
        <v>0</v>
      </c>
      <c r="L590">
        <v>0</v>
      </c>
      <c r="N590">
        <v>0</v>
      </c>
    </row>
    <row r="591" spans="1:14">
      <c r="A591" t="s">
        <v>6377</v>
      </c>
      <c r="B591" t="s">
        <v>1502</v>
      </c>
      <c r="C591">
        <v>800</v>
      </c>
      <c r="D591" t="s">
        <v>1487</v>
      </c>
      <c r="E591" t="s">
        <v>6378</v>
      </c>
      <c r="F591" s="519">
        <v>45442</v>
      </c>
      <c r="G591" s="519">
        <v>45868</v>
      </c>
      <c r="H591" s="519">
        <v>46232</v>
      </c>
      <c r="J591">
        <v>902</v>
      </c>
      <c r="K591" s="520">
        <v>1297.3699999999999</v>
      </c>
      <c r="L591" s="520">
        <v>1234.5</v>
      </c>
      <c r="M591">
        <v>0</v>
      </c>
      <c r="N591">
        <v>0</v>
      </c>
    </row>
    <row r="592" spans="1:14">
      <c r="A592" t="s">
        <v>6379</v>
      </c>
      <c r="B592" t="s">
        <v>1502</v>
      </c>
      <c r="C592">
        <v>800</v>
      </c>
      <c r="D592" t="s">
        <v>1487</v>
      </c>
      <c r="E592" t="s">
        <v>6380</v>
      </c>
      <c r="F592" s="519">
        <v>45856</v>
      </c>
      <c r="G592" s="519">
        <v>45856</v>
      </c>
      <c r="H592" s="519">
        <v>46220</v>
      </c>
      <c r="J592">
        <v>952</v>
      </c>
      <c r="K592" s="520">
        <v>1415.44</v>
      </c>
      <c r="L592" s="520">
        <v>1210.49</v>
      </c>
      <c r="M592">
        <v>0</v>
      </c>
      <c r="N592">
        <v>0</v>
      </c>
    </row>
    <row r="593" spans="1:14">
      <c r="A593" t="s">
        <v>1875</v>
      </c>
      <c r="B593" t="s">
        <v>1502</v>
      </c>
      <c r="C593">
        <v>800</v>
      </c>
      <c r="D593" t="s">
        <v>1487</v>
      </c>
      <c r="E593" t="s">
        <v>1876</v>
      </c>
      <c r="F593" s="519">
        <v>45590</v>
      </c>
      <c r="G593" s="519">
        <v>46016</v>
      </c>
      <c r="J593">
        <v>902</v>
      </c>
      <c r="K593" s="520">
        <v>1325.37</v>
      </c>
      <c r="L593" s="520">
        <v>1119.5</v>
      </c>
      <c r="M593" s="520">
        <v>17069.43</v>
      </c>
      <c r="N593">
        <v>0</v>
      </c>
    </row>
    <row r="594" spans="1:14">
      <c r="A594" t="s">
        <v>6381</v>
      </c>
      <c r="B594" t="s">
        <v>1503</v>
      </c>
      <c r="C594">
        <v>841</v>
      </c>
      <c r="D594" t="s">
        <v>1487</v>
      </c>
      <c r="E594" t="s">
        <v>6382</v>
      </c>
      <c r="F594" s="519">
        <v>42985</v>
      </c>
      <c r="G594" s="519">
        <v>46113</v>
      </c>
      <c r="H594" s="519">
        <v>46477</v>
      </c>
      <c r="J594" s="520">
        <v>1051</v>
      </c>
      <c r="K594" s="520">
        <v>1029.78</v>
      </c>
      <c r="L594">
        <v>966</v>
      </c>
      <c r="M594">
        <v>0</v>
      </c>
      <c r="N594">
        <v>100</v>
      </c>
    </row>
    <row r="595" spans="1:14">
      <c r="A595" t="s">
        <v>1375</v>
      </c>
      <c r="B595" t="s">
        <v>1503</v>
      </c>
      <c r="C595">
        <v>841</v>
      </c>
      <c r="D595" t="s">
        <v>5672</v>
      </c>
      <c r="E595" t="s">
        <v>5673</v>
      </c>
      <c r="J595" s="520">
        <v>1051</v>
      </c>
      <c r="K595">
        <v>0</v>
      </c>
      <c r="L595">
        <v>0</v>
      </c>
      <c r="N595">
        <v>0</v>
      </c>
    </row>
    <row r="596" spans="1:14">
      <c r="A596" t="s">
        <v>3081</v>
      </c>
      <c r="B596" t="s">
        <v>1503</v>
      </c>
      <c r="C596">
        <v>841</v>
      </c>
      <c r="D596" t="s">
        <v>5686</v>
      </c>
      <c r="E596" t="s">
        <v>5673</v>
      </c>
      <c r="J596" s="520">
        <v>1121</v>
      </c>
      <c r="K596">
        <v>0</v>
      </c>
      <c r="L596">
        <v>0</v>
      </c>
      <c r="N596">
        <v>0</v>
      </c>
    </row>
    <row r="597" spans="1:14">
      <c r="A597" t="s">
        <v>6383</v>
      </c>
      <c r="B597" t="s">
        <v>1503</v>
      </c>
      <c r="C597">
        <v>841</v>
      </c>
      <c r="D597" t="s">
        <v>1487</v>
      </c>
      <c r="E597" t="s">
        <v>6384</v>
      </c>
      <c r="F597" s="519">
        <v>40470</v>
      </c>
      <c r="G597" s="519">
        <v>45778</v>
      </c>
      <c r="H597" s="519">
        <v>46142</v>
      </c>
      <c r="J597" s="520">
        <v>1026</v>
      </c>
      <c r="K597" s="520">
        <v>1150.8599999999999</v>
      </c>
      <c r="L597" s="520">
        <v>1060.5</v>
      </c>
      <c r="M597">
        <v>0</v>
      </c>
      <c r="N597">
        <v>100</v>
      </c>
    </row>
    <row r="598" spans="1:14">
      <c r="A598" t="s">
        <v>6385</v>
      </c>
      <c r="B598" t="s">
        <v>1503</v>
      </c>
      <c r="C598">
        <v>841</v>
      </c>
      <c r="D598" t="s">
        <v>5672</v>
      </c>
      <c r="E598" t="s">
        <v>5673</v>
      </c>
      <c r="J598" s="520">
        <v>1146</v>
      </c>
      <c r="K598">
        <v>0</v>
      </c>
      <c r="L598">
        <v>0</v>
      </c>
      <c r="N598">
        <v>0</v>
      </c>
    </row>
    <row r="599" spans="1:14">
      <c r="A599" t="s">
        <v>6386</v>
      </c>
      <c r="B599" t="s">
        <v>1503</v>
      </c>
      <c r="C599">
        <v>841</v>
      </c>
      <c r="D599" t="s">
        <v>1487</v>
      </c>
      <c r="E599" t="s">
        <v>6387</v>
      </c>
      <c r="F599" s="519">
        <v>40509</v>
      </c>
      <c r="G599" s="519">
        <v>45870</v>
      </c>
      <c r="H599" s="519">
        <v>46234</v>
      </c>
      <c r="J599" s="520">
        <v>1051</v>
      </c>
      <c r="K599" s="520">
        <v>1253.78</v>
      </c>
      <c r="L599" s="520">
        <v>1189.5</v>
      </c>
      <c r="M599">
        <v>0</v>
      </c>
      <c r="N599">
        <v>100</v>
      </c>
    </row>
    <row r="600" spans="1:14">
      <c r="A600" t="s">
        <v>1733</v>
      </c>
      <c r="B600" t="s">
        <v>1503</v>
      </c>
      <c r="C600">
        <v>841</v>
      </c>
      <c r="D600" t="s">
        <v>5672</v>
      </c>
      <c r="E600" t="s">
        <v>5673</v>
      </c>
      <c r="J600" s="520">
        <v>1146</v>
      </c>
      <c r="K600">
        <v>0</v>
      </c>
      <c r="L600">
        <v>0</v>
      </c>
      <c r="N600">
        <v>0</v>
      </c>
    </row>
    <row r="601" spans="1:14">
      <c r="A601" t="s">
        <v>6388</v>
      </c>
      <c r="B601" t="s">
        <v>1503</v>
      </c>
      <c r="C601">
        <v>841</v>
      </c>
      <c r="D601" t="s">
        <v>5672</v>
      </c>
      <c r="E601" t="s">
        <v>5673</v>
      </c>
      <c r="J601" s="520">
        <v>1146</v>
      </c>
      <c r="K601">
        <v>0</v>
      </c>
      <c r="L601">
        <v>0</v>
      </c>
      <c r="N601">
        <v>0</v>
      </c>
    </row>
    <row r="602" spans="1:14">
      <c r="A602" t="s">
        <v>6389</v>
      </c>
      <c r="B602" t="s">
        <v>1503</v>
      </c>
      <c r="C602">
        <v>841</v>
      </c>
      <c r="D602" t="s">
        <v>1487</v>
      </c>
      <c r="E602" t="s">
        <v>6390</v>
      </c>
      <c r="F602" s="519">
        <v>44896</v>
      </c>
      <c r="G602" s="519">
        <v>45870</v>
      </c>
      <c r="H602" s="519">
        <v>46234</v>
      </c>
      <c r="J602" s="520">
        <v>1121</v>
      </c>
      <c r="K602" s="520">
        <v>1516.86</v>
      </c>
      <c r="L602" s="520">
        <v>1426.49</v>
      </c>
      <c r="M602">
        <v>0</v>
      </c>
      <c r="N602">
        <v>150</v>
      </c>
    </row>
    <row r="603" spans="1:14">
      <c r="A603" t="s">
        <v>6391</v>
      </c>
      <c r="B603" t="s">
        <v>1503</v>
      </c>
      <c r="C603">
        <v>841</v>
      </c>
      <c r="D603" t="s">
        <v>1487</v>
      </c>
      <c r="E603" t="s">
        <v>6392</v>
      </c>
      <c r="F603" s="519">
        <v>45869</v>
      </c>
      <c r="G603" s="519">
        <v>45869</v>
      </c>
      <c r="H603" s="519">
        <v>46233</v>
      </c>
      <c r="J603" s="520">
        <v>1121</v>
      </c>
      <c r="K603" s="520">
        <v>1423.78</v>
      </c>
      <c r="L603" s="520">
        <v>1359.5</v>
      </c>
      <c r="M603">
        <v>0</v>
      </c>
      <c r="N603">
        <v>0</v>
      </c>
    </row>
    <row r="604" spans="1:14">
      <c r="A604" t="s">
        <v>6393</v>
      </c>
      <c r="B604" t="s">
        <v>1503</v>
      </c>
      <c r="C604">
        <v>841</v>
      </c>
      <c r="D604" t="s">
        <v>1487</v>
      </c>
      <c r="E604" t="s">
        <v>6394</v>
      </c>
      <c r="F604" s="519">
        <v>44705</v>
      </c>
      <c r="G604" s="519">
        <v>45992</v>
      </c>
      <c r="H604" s="519">
        <v>46173</v>
      </c>
      <c r="J604" s="520">
        <v>1121</v>
      </c>
      <c r="K604" s="520">
        <v>1475.78</v>
      </c>
      <c r="L604" s="520">
        <v>1412</v>
      </c>
      <c r="M604">
        <v>0</v>
      </c>
      <c r="N604">
        <v>750</v>
      </c>
    </row>
    <row r="605" spans="1:14">
      <c r="A605" t="s">
        <v>6395</v>
      </c>
      <c r="B605" t="s">
        <v>1503</v>
      </c>
      <c r="C605">
        <v>841</v>
      </c>
      <c r="D605" t="s">
        <v>1487</v>
      </c>
      <c r="E605" t="s">
        <v>6396</v>
      </c>
      <c r="F605" s="519">
        <v>44415</v>
      </c>
      <c r="G605" s="519">
        <v>45901</v>
      </c>
      <c r="H605" s="519">
        <v>46265</v>
      </c>
      <c r="J605" s="520">
        <v>1121</v>
      </c>
      <c r="K605" s="520">
        <v>1341.78</v>
      </c>
      <c r="L605" s="520">
        <v>1277.49</v>
      </c>
      <c r="M605">
        <v>0</v>
      </c>
      <c r="N605">
        <v>0</v>
      </c>
    </row>
    <row r="606" spans="1:14">
      <c r="A606" t="s">
        <v>1735</v>
      </c>
      <c r="B606" t="s">
        <v>1503</v>
      </c>
      <c r="C606">
        <v>841</v>
      </c>
      <c r="D606" t="s">
        <v>5672</v>
      </c>
      <c r="E606" t="s">
        <v>5673</v>
      </c>
      <c r="J606" s="520">
        <v>1131</v>
      </c>
      <c r="K606">
        <v>0</v>
      </c>
      <c r="L606">
        <v>0</v>
      </c>
      <c r="N606">
        <v>0</v>
      </c>
    </row>
    <row r="607" spans="1:14">
      <c r="A607" t="s">
        <v>1737</v>
      </c>
      <c r="B607" t="s">
        <v>1503</v>
      </c>
      <c r="C607">
        <v>841</v>
      </c>
      <c r="D607" t="s">
        <v>5672</v>
      </c>
      <c r="E607" t="s">
        <v>5673</v>
      </c>
      <c r="J607" s="520">
        <v>1036</v>
      </c>
      <c r="K607">
        <v>0</v>
      </c>
      <c r="L607">
        <v>0</v>
      </c>
      <c r="N607">
        <v>0</v>
      </c>
    </row>
    <row r="608" spans="1:14">
      <c r="A608" t="s">
        <v>6397</v>
      </c>
      <c r="B608" t="s">
        <v>1503</v>
      </c>
      <c r="C608">
        <v>841</v>
      </c>
      <c r="D608" t="s">
        <v>5686</v>
      </c>
      <c r="E608" t="s">
        <v>5673</v>
      </c>
      <c r="J608" s="520">
        <v>1131</v>
      </c>
      <c r="K608">
        <v>0</v>
      </c>
      <c r="L608">
        <v>0</v>
      </c>
      <c r="N608">
        <v>0</v>
      </c>
    </row>
    <row r="609" spans="1:14">
      <c r="A609" t="s">
        <v>6398</v>
      </c>
      <c r="B609" t="s">
        <v>1503</v>
      </c>
      <c r="C609">
        <v>841</v>
      </c>
      <c r="D609" t="s">
        <v>5672</v>
      </c>
      <c r="E609" t="s">
        <v>5673</v>
      </c>
      <c r="J609" s="520">
        <v>1131</v>
      </c>
      <c r="K609">
        <v>0</v>
      </c>
      <c r="L609">
        <v>0</v>
      </c>
      <c r="N609">
        <v>0</v>
      </c>
    </row>
    <row r="610" spans="1:14">
      <c r="A610" t="s">
        <v>6399</v>
      </c>
      <c r="B610" t="s">
        <v>1503</v>
      </c>
      <c r="C610">
        <v>841</v>
      </c>
      <c r="D610" t="s">
        <v>5672</v>
      </c>
      <c r="E610" t="s">
        <v>5673</v>
      </c>
      <c r="J610" s="520">
        <v>1146</v>
      </c>
      <c r="K610">
        <v>0</v>
      </c>
      <c r="L610">
        <v>0</v>
      </c>
      <c r="N610">
        <v>0</v>
      </c>
    </row>
    <row r="611" spans="1:14">
      <c r="A611" t="s">
        <v>5486</v>
      </c>
      <c r="B611" t="s">
        <v>1503</v>
      </c>
      <c r="C611">
        <v>841</v>
      </c>
      <c r="D611" t="s">
        <v>5672</v>
      </c>
      <c r="E611" t="s">
        <v>5673</v>
      </c>
      <c r="J611" s="520">
        <v>1146</v>
      </c>
      <c r="K611">
        <v>0</v>
      </c>
      <c r="L611">
        <v>0</v>
      </c>
      <c r="N611">
        <v>0</v>
      </c>
    </row>
    <row r="612" spans="1:14">
      <c r="A612" t="s">
        <v>6400</v>
      </c>
      <c r="B612" t="s">
        <v>1503</v>
      </c>
      <c r="C612">
        <v>841</v>
      </c>
      <c r="D612" t="s">
        <v>1487</v>
      </c>
      <c r="E612" t="s">
        <v>6401</v>
      </c>
      <c r="F612" s="519">
        <v>40232</v>
      </c>
      <c r="G612" s="519">
        <v>46082</v>
      </c>
      <c r="H612" s="519">
        <v>46445</v>
      </c>
      <c r="J612" s="520">
        <v>1051</v>
      </c>
      <c r="K612" s="520">
        <v>1135.8599999999999</v>
      </c>
      <c r="L612" s="520">
        <v>1046</v>
      </c>
      <c r="M612">
        <v>0</v>
      </c>
      <c r="N612">
        <v>100</v>
      </c>
    </row>
    <row r="613" spans="1:14">
      <c r="A613" t="s">
        <v>6402</v>
      </c>
      <c r="B613" t="s">
        <v>1503</v>
      </c>
      <c r="C613">
        <v>841</v>
      </c>
      <c r="D613" t="s">
        <v>5672</v>
      </c>
      <c r="E613" t="s">
        <v>5673</v>
      </c>
      <c r="J613" s="520">
        <v>1146</v>
      </c>
      <c r="K613">
        <v>0</v>
      </c>
      <c r="L613">
        <v>0</v>
      </c>
      <c r="N613">
        <v>0</v>
      </c>
    </row>
    <row r="614" spans="1:14">
      <c r="A614" t="s">
        <v>6403</v>
      </c>
      <c r="B614" t="s">
        <v>1503</v>
      </c>
      <c r="C614">
        <v>841</v>
      </c>
      <c r="D614" t="s">
        <v>1487</v>
      </c>
      <c r="E614" t="s">
        <v>6404</v>
      </c>
      <c r="F614" s="519">
        <v>45504</v>
      </c>
      <c r="G614" s="519">
        <v>45869</v>
      </c>
      <c r="H614" s="519">
        <v>46233</v>
      </c>
      <c r="J614" s="520">
        <v>1121</v>
      </c>
      <c r="K614" s="520">
        <v>1436.78</v>
      </c>
      <c r="L614" s="520">
        <v>1372.5</v>
      </c>
      <c r="M614">
        <v>0</v>
      </c>
      <c r="N614">
        <v>0</v>
      </c>
    </row>
    <row r="615" spans="1:14">
      <c r="A615" t="s">
        <v>6405</v>
      </c>
      <c r="B615" t="s">
        <v>1503</v>
      </c>
      <c r="C615">
        <v>841</v>
      </c>
      <c r="D615" t="s">
        <v>1487</v>
      </c>
      <c r="E615" t="s">
        <v>6406</v>
      </c>
      <c r="F615" s="519">
        <v>41684</v>
      </c>
      <c r="G615" s="519">
        <v>45839</v>
      </c>
      <c r="H615" s="519">
        <v>46203</v>
      </c>
      <c r="J615" s="520">
        <v>1026</v>
      </c>
      <c r="K615" s="520">
        <v>1123.8599999999999</v>
      </c>
      <c r="L615" s="520">
        <v>1034</v>
      </c>
      <c r="M615" s="520">
        <v>-1200</v>
      </c>
      <c r="N615">
        <v>150</v>
      </c>
    </row>
    <row r="616" spans="1:14">
      <c r="A616" t="s">
        <v>6407</v>
      </c>
      <c r="B616" t="s">
        <v>1503</v>
      </c>
      <c r="C616">
        <v>841</v>
      </c>
      <c r="D616" t="s">
        <v>1487</v>
      </c>
      <c r="E616" t="s">
        <v>6408</v>
      </c>
      <c r="F616" s="519">
        <v>44728</v>
      </c>
      <c r="G616" s="519">
        <v>45078</v>
      </c>
      <c r="J616" s="520">
        <v>1121</v>
      </c>
      <c r="K616" s="520">
        <v>1691.86</v>
      </c>
      <c r="L616" s="520">
        <v>1601.5</v>
      </c>
      <c r="M616">
        <v>0</v>
      </c>
      <c r="N616">
        <v>0</v>
      </c>
    </row>
    <row r="617" spans="1:14">
      <c r="A617" t="s">
        <v>6409</v>
      </c>
      <c r="B617" t="s">
        <v>1503</v>
      </c>
      <c r="C617">
        <v>841</v>
      </c>
      <c r="D617" t="s">
        <v>1487</v>
      </c>
      <c r="E617" t="s">
        <v>6410</v>
      </c>
      <c r="F617" s="519">
        <v>45724</v>
      </c>
      <c r="G617" s="519">
        <v>45724</v>
      </c>
      <c r="H617" s="519">
        <v>46149</v>
      </c>
      <c r="I617" s="519">
        <v>46151</v>
      </c>
      <c r="J617" s="520">
        <v>1121</v>
      </c>
      <c r="K617" s="520">
        <v>1545.86</v>
      </c>
      <c r="L617" s="520">
        <v>1455.49</v>
      </c>
      <c r="M617">
        <v>0</v>
      </c>
      <c r="N617">
        <v>0</v>
      </c>
    </row>
    <row r="618" spans="1:14">
      <c r="A618" t="s">
        <v>6411</v>
      </c>
      <c r="B618" t="s">
        <v>1503</v>
      </c>
      <c r="C618">
        <v>841</v>
      </c>
      <c r="D618" t="s">
        <v>1486</v>
      </c>
      <c r="E618" t="s">
        <v>6412</v>
      </c>
      <c r="F618" s="519">
        <v>45722</v>
      </c>
      <c r="G618" s="519">
        <v>45722</v>
      </c>
      <c r="H618" s="519">
        <v>46147</v>
      </c>
      <c r="I618" s="519">
        <v>46147</v>
      </c>
      <c r="J618" s="520">
        <v>1131</v>
      </c>
      <c r="K618" s="520">
        <v>1523.78</v>
      </c>
      <c r="L618" s="520">
        <v>1459.5</v>
      </c>
      <c r="M618">
        <v>0</v>
      </c>
      <c r="N618">
        <v>0</v>
      </c>
    </row>
    <row r="619" spans="1:14">
      <c r="A619" t="s">
        <v>6413</v>
      </c>
      <c r="B619" t="s">
        <v>1503</v>
      </c>
      <c r="C619">
        <v>841</v>
      </c>
      <c r="D619" t="s">
        <v>1487</v>
      </c>
      <c r="E619" t="s">
        <v>6414</v>
      </c>
      <c r="F619" s="519">
        <v>42091</v>
      </c>
      <c r="G619" s="519">
        <v>45870</v>
      </c>
      <c r="H619" s="519">
        <v>46234</v>
      </c>
      <c r="J619" s="520">
        <v>1036</v>
      </c>
      <c r="K619" s="520">
        <v>1371.86</v>
      </c>
      <c r="L619" s="520">
        <v>1281.5</v>
      </c>
      <c r="M619">
        <v>0</v>
      </c>
      <c r="N619">
        <v>450</v>
      </c>
    </row>
    <row r="620" spans="1:14">
      <c r="A620" t="s">
        <v>6415</v>
      </c>
      <c r="B620" t="s">
        <v>1503</v>
      </c>
      <c r="C620">
        <v>841</v>
      </c>
      <c r="D620" t="s">
        <v>5686</v>
      </c>
      <c r="E620" t="s">
        <v>5673</v>
      </c>
      <c r="J620" s="520">
        <v>1131</v>
      </c>
      <c r="K620">
        <v>0</v>
      </c>
      <c r="L620">
        <v>0</v>
      </c>
      <c r="N620">
        <v>0</v>
      </c>
    </row>
    <row r="621" spans="1:14">
      <c r="A621" t="s">
        <v>6416</v>
      </c>
      <c r="B621" t="s">
        <v>1503</v>
      </c>
      <c r="C621">
        <v>841</v>
      </c>
      <c r="D621" t="s">
        <v>5686</v>
      </c>
      <c r="E621" t="s">
        <v>5673</v>
      </c>
      <c r="J621" s="520">
        <v>1131</v>
      </c>
      <c r="K621">
        <v>0</v>
      </c>
      <c r="L621">
        <v>0</v>
      </c>
      <c r="N621">
        <v>0</v>
      </c>
    </row>
    <row r="622" spans="1:14">
      <c r="A622" t="s">
        <v>898</v>
      </c>
      <c r="B622" t="s">
        <v>1504</v>
      </c>
      <c r="C622">
        <v>845</v>
      </c>
      <c r="D622" t="s">
        <v>5672</v>
      </c>
      <c r="E622" t="s">
        <v>5673</v>
      </c>
      <c r="J622" s="520">
        <v>1288</v>
      </c>
      <c r="K622">
        <v>0</v>
      </c>
      <c r="L622">
        <v>0</v>
      </c>
      <c r="N622">
        <v>0</v>
      </c>
    </row>
    <row r="623" spans="1:14">
      <c r="A623" t="s">
        <v>6417</v>
      </c>
      <c r="B623" t="s">
        <v>1504</v>
      </c>
      <c r="C623">
        <v>845</v>
      </c>
      <c r="D623" t="s">
        <v>5672</v>
      </c>
      <c r="E623" t="s">
        <v>5673</v>
      </c>
      <c r="J623" s="520">
        <v>1313</v>
      </c>
      <c r="K623">
        <v>0</v>
      </c>
      <c r="L623">
        <v>0</v>
      </c>
      <c r="N623">
        <v>0</v>
      </c>
    </row>
    <row r="624" spans="1:14">
      <c r="A624" t="s">
        <v>6418</v>
      </c>
      <c r="B624" t="s">
        <v>1504</v>
      </c>
      <c r="C624">
        <v>845</v>
      </c>
      <c r="D624" t="s">
        <v>1487</v>
      </c>
      <c r="E624" t="s">
        <v>6419</v>
      </c>
      <c r="F624" s="519">
        <v>38047</v>
      </c>
      <c r="G624" s="519">
        <v>45962</v>
      </c>
      <c r="H624" s="519">
        <v>46326</v>
      </c>
      <c r="J624" s="520">
        <v>1243</v>
      </c>
      <c r="K624" s="520">
        <v>1420.92</v>
      </c>
      <c r="L624" s="520">
        <v>1356.5</v>
      </c>
      <c r="M624">
        <v>0</v>
      </c>
      <c r="N624">
        <v>150</v>
      </c>
    </row>
    <row r="625" spans="1:14">
      <c r="A625" t="s">
        <v>3099</v>
      </c>
      <c r="B625" t="s">
        <v>1504</v>
      </c>
      <c r="C625">
        <v>845</v>
      </c>
      <c r="D625" t="s">
        <v>5686</v>
      </c>
      <c r="E625" t="s">
        <v>5673</v>
      </c>
      <c r="J625" s="520">
        <v>1263</v>
      </c>
      <c r="K625">
        <v>0</v>
      </c>
      <c r="L625">
        <v>0</v>
      </c>
      <c r="N625">
        <v>0</v>
      </c>
    </row>
    <row r="626" spans="1:14">
      <c r="A626" t="s">
        <v>6420</v>
      </c>
      <c r="B626" t="s">
        <v>1504</v>
      </c>
      <c r="C626">
        <v>845</v>
      </c>
      <c r="D626" t="s">
        <v>1487</v>
      </c>
      <c r="E626" t="s">
        <v>6421</v>
      </c>
      <c r="F626" s="519">
        <v>44470</v>
      </c>
      <c r="G626" s="519">
        <v>45901</v>
      </c>
      <c r="H626" s="519">
        <v>46265</v>
      </c>
      <c r="J626" s="520">
        <v>1243</v>
      </c>
      <c r="K626" s="520">
        <v>1628</v>
      </c>
      <c r="L626" s="520">
        <v>1537.5</v>
      </c>
      <c r="M626">
        <v>0</v>
      </c>
      <c r="N626">
        <v>0</v>
      </c>
    </row>
    <row r="627" spans="1:14">
      <c r="A627" t="s">
        <v>6422</v>
      </c>
      <c r="B627" t="s">
        <v>1504</v>
      </c>
      <c r="C627">
        <v>845</v>
      </c>
      <c r="D627" t="s">
        <v>1487</v>
      </c>
      <c r="E627" t="s">
        <v>6423</v>
      </c>
      <c r="F627" s="519">
        <v>45086</v>
      </c>
      <c r="G627" s="519">
        <v>45809</v>
      </c>
      <c r="H627" s="519">
        <v>46173</v>
      </c>
      <c r="J627" s="520">
        <v>1313</v>
      </c>
      <c r="K627" s="520">
        <v>1595</v>
      </c>
      <c r="L627" s="520">
        <v>1504.5</v>
      </c>
      <c r="M627">
        <v>-0.28999999999999998</v>
      </c>
      <c r="N627">
        <v>150</v>
      </c>
    </row>
    <row r="628" spans="1:14">
      <c r="A628" t="s">
        <v>1329</v>
      </c>
      <c r="B628" t="s">
        <v>1504</v>
      </c>
      <c r="C628">
        <v>845</v>
      </c>
      <c r="D628" t="s">
        <v>5672</v>
      </c>
      <c r="E628" t="s">
        <v>5673</v>
      </c>
      <c r="J628" s="520">
        <v>1243</v>
      </c>
      <c r="K628">
        <v>0</v>
      </c>
      <c r="L628">
        <v>0</v>
      </c>
      <c r="N628">
        <v>0</v>
      </c>
    </row>
    <row r="629" spans="1:14">
      <c r="A629" t="s">
        <v>6424</v>
      </c>
      <c r="B629" t="s">
        <v>1504</v>
      </c>
      <c r="C629">
        <v>845</v>
      </c>
      <c r="D629" t="s">
        <v>1487</v>
      </c>
      <c r="E629" t="s">
        <v>6425</v>
      </c>
      <c r="F629" s="519">
        <v>44652</v>
      </c>
      <c r="G629" s="519">
        <v>46113</v>
      </c>
      <c r="H629" s="519">
        <v>46477</v>
      </c>
      <c r="J629" s="520">
        <v>1218</v>
      </c>
      <c r="K629" s="520">
        <v>1665.07</v>
      </c>
      <c r="L629" s="520">
        <v>1549</v>
      </c>
      <c r="M629">
        <v>0</v>
      </c>
      <c r="N629">
        <v>0</v>
      </c>
    </row>
    <row r="630" spans="1:14">
      <c r="A630" t="s">
        <v>852</v>
      </c>
      <c r="B630" t="s">
        <v>1504</v>
      </c>
      <c r="C630">
        <v>845</v>
      </c>
      <c r="D630" t="s">
        <v>5672</v>
      </c>
      <c r="E630" t="s">
        <v>5673</v>
      </c>
      <c r="J630" s="520">
        <v>1243</v>
      </c>
      <c r="K630">
        <v>0</v>
      </c>
      <c r="L630">
        <v>0</v>
      </c>
      <c r="N630">
        <v>0</v>
      </c>
    </row>
    <row r="631" spans="1:14">
      <c r="A631" t="s">
        <v>6426</v>
      </c>
      <c r="B631" t="s">
        <v>1504</v>
      </c>
      <c r="C631">
        <v>845</v>
      </c>
      <c r="D631" t="s">
        <v>1487</v>
      </c>
      <c r="E631" t="s">
        <v>6427</v>
      </c>
      <c r="F631" s="519">
        <v>44866</v>
      </c>
      <c r="G631" s="519">
        <v>45962</v>
      </c>
      <c r="H631" s="519">
        <v>46326</v>
      </c>
      <c r="J631" s="520">
        <v>1313</v>
      </c>
      <c r="K631" s="520">
        <v>1576.92</v>
      </c>
      <c r="L631" s="520">
        <v>1512.49</v>
      </c>
      <c r="M631">
        <v>0</v>
      </c>
      <c r="N631">
        <v>0</v>
      </c>
    </row>
    <row r="632" spans="1:14">
      <c r="A632" t="s">
        <v>1762</v>
      </c>
      <c r="B632" t="s">
        <v>1504</v>
      </c>
      <c r="C632">
        <v>845</v>
      </c>
      <c r="D632" t="s">
        <v>1487</v>
      </c>
      <c r="E632" t="s">
        <v>1763</v>
      </c>
      <c r="F632" s="519">
        <v>46099</v>
      </c>
      <c r="G632" s="519">
        <v>46099</v>
      </c>
      <c r="H632" s="519">
        <v>46462</v>
      </c>
      <c r="J632" s="520">
        <v>1288</v>
      </c>
      <c r="K632" s="520">
        <v>1526</v>
      </c>
      <c r="L632" s="520">
        <v>1362</v>
      </c>
      <c r="M632" s="520">
        <v>1528.9</v>
      </c>
      <c r="N632">
        <v>0</v>
      </c>
    </row>
    <row r="633" spans="1:14">
      <c r="A633" t="s">
        <v>2343</v>
      </c>
      <c r="B633" t="s">
        <v>1504</v>
      </c>
      <c r="C633">
        <v>845</v>
      </c>
      <c r="D633" t="s">
        <v>5686</v>
      </c>
      <c r="E633" t="s">
        <v>5673</v>
      </c>
      <c r="J633" s="520">
        <v>1263</v>
      </c>
      <c r="K633">
        <v>0</v>
      </c>
      <c r="L633">
        <v>0</v>
      </c>
      <c r="N633">
        <v>0</v>
      </c>
    </row>
    <row r="634" spans="1:14">
      <c r="A634" t="s">
        <v>3611</v>
      </c>
      <c r="B634" t="s">
        <v>1504</v>
      </c>
      <c r="C634">
        <v>845</v>
      </c>
      <c r="D634" t="s">
        <v>5672</v>
      </c>
      <c r="E634" t="s">
        <v>5673</v>
      </c>
      <c r="J634" s="520">
        <v>1338</v>
      </c>
      <c r="K634">
        <v>0</v>
      </c>
      <c r="L634">
        <v>0</v>
      </c>
      <c r="N634">
        <v>0</v>
      </c>
    </row>
    <row r="635" spans="1:14">
      <c r="A635" t="s">
        <v>6428</v>
      </c>
      <c r="B635" t="s">
        <v>1504</v>
      </c>
      <c r="C635">
        <v>845</v>
      </c>
      <c r="D635" t="s">
        <v>1487</v>
      </c>
      <c r="E635" t="s">
        <v>6429</v>
      </c>
      <c r="F635" s="519">
        <v>45292</v>
      </c>
      <c r="G635" s="519">
        <v>46081</v>
      </c>
      <c r="H635" s="519">
        <v>46445</v>
      </c>
      <c r="J635" s="520">
        <v>1263</v>
      </c>
      <c r="K635" s="520">
        <v>1427.92</v>
      </c>
      <c r="L635" s="520">
        <v>1364</v>
      </c>
      <c r="M635">
        <v>0</v>
      </c>
      <c r="N635">
        <v>0</v>
      </c>
    </row>
    <row r="636" spans="1:14">
      <c r="A636" t="s">
        <v>6430</v>
      </c>
      <c r="B636" t="s">
        <v>1504</v>
      </c>
      <c r="C636">
        <v>845</v>
      </c>
      <c r="D636" t="s">
        <v>1487</v>
      </c>
      <c r="E636" t="s">
        <v>6431</v>
      </c>
      <c r="F636" s="519">
        <v>44287</v>
      </c>
      <c r="G636" s="519">
        <v>46082</v>
      </c>
      <c r="J636" s="520">
        <v>1338</v>
      </c>
      <c r="K636" s="520">
        <v>1487.92</v>
      </c>
      <c r="L636" s="520">
        <v>1424</v>
      </c>
      <c r="M636">
        <v>0</v>
      </c>
      <c r="N636">
        <v>250</v>
      </c>
    </row>
    <row r="637" spans="1:14">
      <c r="A637" t="s">
        <v>6432</v>
      </c>
      <c r="B637" t="s">
        <v>1504</v>
      </c>
      <c r="C637">
        <v>845</v>
      </c>
      <c r="D637" t="s">
        <v>1486</v>
      </c>
      <c r="E637" t="s">
        <v>6433</v>
      </c>
      <c r="F637" s="519">
        <v>45716</v>
      </c>
      <c r="G637" s="519">
        <v>46140</v>
      </c>
      <c r="H637" s="519">
        <v>46197</v>
      </c>
      <c r="I637" s="519">
        <v>46197</v>
      </c>
      <c r="J637" s="520">
        <v>1263</v>
      </c>
      <c r="K637" s="520">
        <v>1618</v>
      </c>
      <c r="L637" s="520">
        <v>1754</v>
      </c>
      <c r="M637">
        <v>0</v>
      </c>
      <c r="N637">
        <v>0</v>
      </c>
    </row>
    <row r="638" spans="1:14">
      <c r="A638" t="s">
        <v>6434</v>
      </c>
      <c r="B638" t="s">
        <v>1504</v>
      </c>
      <c r="C638">
        <v>845</v>
      </c>
      <c r="D638" t="s">
        <v>1487</v>
      </c>
      <c r="E638" t="s">
        <v>6435</v>
      </c>
      <c r="F638" s="519">
        <v>44256</v>
      </c>
      <c r="G638" s="519">
        <v>46113</v>
      </c>
      <c r="H638" s="519">
        <v>46477</v>
      </c>
      <c r="J638" s="520">
        <v>1338</v>
      </c>
      <c r="K638" s="520">
        <v>1612.92</v>
      </c>
      <c r="L638" s="520">
        <v>1549</v>
      </c>
      <c r="M638">
        <v>0</v>
      </c>
      <c r="N638">
        <v>0</v>
      </c>
    </row>
    <row r="639" spans="1:14">
      <c r="A639" t="s">
        <v>1351</v>
      </c>
      <c r="B639" t="s">
        <v>1504</v>
      </c>
      <c r="C639">
        <v>845</v>
      </c>
      <c r="D639" t="s">
        <v>5672</v>
      </c>
      <c r="E639" t="s">
        <v>5673</v>
      </c>
      <c r="J639" s="520">
        <v>1313</v>
      </c>
      <c r="K639">
        <v>0</v>
      </c>
      <c r="L639">
        <v>0</v>
      </c>
      <c r="N639">
        <v>0</v>
      </c>
    </row>
    <row r="640" spans="1:14">
      <c r="A640" t="s">
        <v>6436</v>
      </c>
      <c r="B640" t="s">
        <v>1504</v>
      </c>
      <c r="C640">
        <v>845</v>
      </c>
      <c r="D640" t="s">
        <v>1487</v>
      </c>
      <c r="E640" t="s">
        <v>6437</v>
      </c>
      <c r="F640" s="519">
        <v>44169</v>
      </c>
      <c r="G640" s="519">
        <v>45992</v>
      </c>
      <c r="H640" s="519">
        <v>46356</v>
      </c>
      <c r="J640" s="520">
        <v>1288</v>
      </c>
      <c r="K640" s="520">
        <v>1466</v>
      </c>
      <c r="L640" s="520">
        <v>1376</v>
      </c>
      <c r="M640">
        <v>0</v>
      </c>
      <c r="N640">
        <v>150</v>
      </c>
    </row>
    <row r="641" spans="1:14">
      <c r="A641" t="s">
        <v>5569</v>
      </c>
      <c r="B641" t="s">
        <v>1504</v>
      </c>
      <c r="C641">
        <v>845</v>
      </c>
      <c r="D641" t="s">
        <v>5686</v>
      </c>
      <c r="E641" t="s">
        <v>5673</v>
      </c>
      <c r="J641" s="520">
        <v>1313</v>
      </c>
      <c r="K641">
        <v>0</v>
      </c>
      <c r="L641">
        <v>0</v>
      </c>
      <c r="N641">
        <v>0</v>
      </c>
    </row>
    <row r="642" spans="1:14">
      <c r="A642" t="s">
        <v>6438</v>
      </c>
      <c r="B642" t="s">
        <v>1504</v>
      </c>
      <c r="C642">
        <v>845</v>
      </c>
      <c r="D642" t="s">
        <v>1487</v>
      </c>
      <c r="E642" t="s">
        <v>6439</v>
      </c>
      <c r="F642" s="519">
        <v>44317</v>
      </c>
      <c r="G642" s="519">
        <v>45778</v>
      </c>
      <c r="H642" s="519">
        <v>46142</v>
      </c>
      <c r="J642" s="520">
        <v>1338</v>
      </c>
      <c r="K642" s="520">
        <v>1703</v>
      </c>
      <c r="L642" s="520">
        <v>1435.5</v>
      </c>
      <c r="M642">
        <v>0</v>
      </c>
      <c r="N642">
        <v>150</v>
      </c>
    </row>
    <row r="643" spans="1:14">
      <c r="A643" t="s">
        <v>6440</v>
      </c>
      <c r="B643" t="s">
        <v>1504</v>
      </c>
      <c r="C643">
        <v>845</v>
      </c>
      <c r="D643" t="s">
        <v>1486</v>
      </c>
      <c r="E643" t="s">
        <v>6441</v>
      </c>
      <c r="F643" s="519">
        <v>44136</v>
      </c>
      <c r="G643" s="519">
        <v>45962</v>
      </c>
      <c r="H643" s="519">
        <v>46142</v>
      </c>
      <c r="I643" s="519">
        <v>46142</v>
      </c>
      <c r="J643" s="520">
        <v>1313</v>
      </c>
      <c r="K643" s="520">
        <v>1623.07</v>
      </c>
      <c r="L643" s="520">
        <v>1506.5</v>
      </c>
      <c r="M643">
        <v>0</v>
      </c>
      <c r="N643">
        <v>0</v>
      </c>
    </row>
    <row r="644" spans="1:14">
      <c r="A644" t="s">
        <v>6442</v>
      </c>
      <c r="B644" t="s">
        <v>1504</v>
      </c>
      <c r="C644">
        <v>845</v>
      </c>
      <c r="D644" t="s">
        <v>1487</v>
      </c>
      <c r="E644" t="s">
        <v>6443</v>
      </c>
      <c r="F644" s="519">
        <v>44470</v>
      </c>
      <c r="G644" s="519">
        <v>45931</v>
      </c>
      <c r="H644" s="519">
        <v>46295</v>
      </c>
      <c r="J644" s="520">
        <v>1243</v>
      </c>
      <c r="K644" s="520">
        <v>1398</v>
      </c>
      <c r="L644" s="520">
        <v>1307.5</v>
      </c>
      <c r="M644">
        <v>0</v>
      </c>
      <c r="N644">
        <v>0</v>
      </c>
    </row>
    <row r="645" spans="1:14">
      <c r="A645" t="s">
        <v>871</v>
      </c>
      <c r="B645" t="s">
        <v>1504</v>
      </c>
      <c r="C645">
        <v>845</v>
      </c>
      <c r="D645" t="s">
        <v>5672</v>
      </c>
      <c r="E645" t="s">
        <v>5673</v>
      </c>
      <c r="J645" s="520">
        <v>1218</v>
      </c>
      <c r="K645">
        <v>0</v>
      </c>
      <c r="L645">
        <v>0</v>
      </c>
      <c r="N645">
        <v>0</v>
      </c>
    </row>
    <row r="646" spans="1:14">
      <c r="A646" t="s">
        <v>892</v>
      </c>
      <c r="B646" t="s">
        <v>1504</v>
      </c>
      <c r="C646">
        <v>845</v>
      </c>
      <c r="D646" t="s">
        <v>5672</v>
      </c>
      <c r="E646" t="s">
        <v>5673</v>
      </c>
      <c r="J646" s="520">
        <v>1338</v>
      </c>
      <c r="K646">
        <v>0</v>
      </c>
      <c r="L646">
        <v>0</v>
      </c>
      <c r="N646">
        <v>0</v>
      </c>
    </row>
    <row r="647" spans="1:14">
      <c r="A647" t="s">
        <v>6444</v>
      </c>
      <c r="B647" t="s">
        <v>1504</v>
      </c>
      <c r="C647">
        <v>845</v>
      </c>
      <c r="D647" t="s">
        <v>1487</v>
      </c>
      <c r="E647" t="s">
        <v>6445</v>
      </c>
      <c r="F647" s="519">
        <v>45748</v>
      </c>
      <c r="G647" s="519">
        <v>46113</v>
      </c>
      <c r="H647" s="519">
        <v>46477</v>
      </c>
      <c r="J647" s="520">
        <v>1313</v>
      </c>
      <c r="K647" s="520">
        <v>1612.92</v>
      </c>
      <c r="L647" s="520">
        <v>1549</v>
      </c>
      <c r="M647">
        <v>0</v>
      </c>
      <c r="N647">
        <v>0</v>
      </c>
    </row>
    <row r="648" spans="1:14">
      <c r="A648" t="s">
        <v>6446</v>
      </c>
      <c r="B648" t="s">
        <v>1504</v>
      </c>
      <c r="C648">
        <v>845</v>
      </c>
      <c r="D648" t="s">
        <v>1487</v>
      </c>
      <c r="E648" t="s">
        <v>6447</v>
      </c>
      <c r="F648" s="519">
        <v>41061</v>
      </c>
      <c r="G648" s="519">
        <v>45809</v>
      </c>
      <c r="H648" s="519">
        <v>46173</v>
      </c>
      <c r="J648" s="520">
        <v>1288</v>
      </c>
      <c r="K648" s="520">
        <v>1403.07</v>
      </c>
      <c r="L648" s="520">
        <v>1286.5</v>
      </c>
      <c r="M648">
        <v>0</v>
      </c>
      <c r="N648">
        <v>0</v>
      </c>
    </row>
    <row r="649" spans="1:14">
      <c r="A649" t="s">
        <v>6448</v>
      </c>
      <c r="B649" t="s">
        <v>1504</v>
      </c>
      <c r="C649">
        <v>845</v>
      </c>
      <c r="D649" t="s">
        <v>5672</v>
      </c>
      <c r="E649" t="s">
        <v>5673</v>
      </c>
      <c r="J649" s="520">
        <v>1218</v>
      </c>
      <c r="K649">
        <v>0</v>
      </c>
      <c r="L649">
        <v>0</v>
      </c>
      <c r="N649">
        <v>0</v>
      </c>
    </row>
    <row r="650" spans="1:14">
      <c r="A650" t="s">
        <v>6449</v>
      </c>
      <c r="B650" t="s">
        <v>1504</v>
      </c>
      <c r="C650">
        <v>845</v>
      </c>
      <c r="D650" t="s">
        <v>1486</v>
      </c>
      <c r="E650" t="s">
        <v>6450</v>
      </c>
      <c r="F650" s="519">
        <v>44737</v>
      </c>
      <c r="G650" s="519">
        <v>45839</v>
      </c>
      <c r="H650" s="519">
        <v>46203</v>
      </c>
      <c r="I650" s="519">
        <v>46203</v>
      </c>
      <c r="J650" s="520">
        <v>1338</v>
      </c>
      <c r="K650" s="520">
        <v>1513.92</v>
      </c>
      <c r="L650" s="520">
        <v>1450</v>
      </c>
      <c r="M650">
        <v>0</v>
      </c>
      <c r="N650">
        <v>0</v>
      </c>
    </row>
    <row r="651" spans="1:14">
      <c r="A651" t="s">
        <v>6451</v>
      </c>
      <c r="B651" t="s">
        <v>1504</v>
      </c>
      <c r="C651">
        <v>845</v>
      </c>
      <c r="D651" t="s">
        <v>5672</v>
      </c>
      <c r="E651" t="s">
        <v>5673</v>
      </c>
      <c r="J651" s="520">
        <v>1263</v>
      </c>
      <c r="K651">
        <v>0</v>
      </c>
      <c r="L651">
        <v>0</v>
      </c>
      <c r="N651">
        <v>0</v>
      </c>
    </row>
    <row r="652" spans="1:14">
      <c r="A652" t="s">
        <v>6452</v>
      </c>
      <c r="B652" t="s">
        <v>1504</v>
      </c>
      <c r="C652">
        <v>845</v>
      </c>
      <c r="D652" t="s">
        <v>1487</v>
      </c>
      <c r="E652" t="s">
        <v>6453</v>
      </c>
      <c r="F652" s="519">
        <v>42856</v>
      </c>
      <c r="G652" s="519">
        <v>45870</v>
      </c>
      <c r="H652" s="519">
        <v>46234</v>
      </c>
      <c r="J652" s="520">
        <v>1288</v>
      </c>
      <c r="K652" s="520">
        <v>1597</v>
      </c>
      <c r="L652" s="520">
        <v>1506.49</v>
      </c>
      <c r="M652">
        <v>0</v>
      </c>
      <c r="N652">
        <v>250</v>
      </c>
    </row>
    <row r="653" spans="1:14">
      <c r="A653" t="s">
        <v>5557</v>
      </c>
      <c r="B653" t="s">
        <v>1504</v>
      </c>
      <c r="C653">
        <v>845</v>
      </c>
      <c r="D653" t="s">
        <v>5672</v>
      </c>
      <c r="E653" t="s">
        <v>5673</v>
      </c>
      <c r="J653" s="520">
        <v>1263</v>
      </c>
      <c r="K653">
        <v>0</v>
      </c>
      <c r="L653">
        <v>0</v>
      </c>
      <c r="N653">
        <v>0</v>
      </c>
    </row>
    <row r="654" spans="1:14">
      <c r="A654" t="s">
        <v>6454</v>
      </c>
      <c r="B654" t="s">
        <v>1505</v>
      </c>
      <c r="C654">
        <v>900</v>
      </c>
      <c r="D654" t="s">
        <v>1487</v>
      </c>
      <c r="E654" t="s">
        <v>6455</v>
      </c>
      <c r="F654" s="519">
        <v>44470</v>
      </c>
      <c r="G654" s="519">
        <v>45931</v>
      </c>
      <c r="H654" s="519">
        <v>46295</v>
      </c>
      <c r="J654" s="520">
        <v>1227</v>
      </c>
      <c r="K654" s="520">
        <v>1585.9</v>
      </c>
      <c r="L654" s="520">
        <v>1493.5</v>
      </c>
      <c r="M654">
        <v>0</v>
      </c>
      <c r="N654">
        <v>250</v>
      </c>
    </row>
    <row r="655" spans="1:14">
      <c r="A655" t="s">
        <v>6456</v>
      </c>
      <c r="B655" t="s">
        <v>1505</v>
      </c>
      <c r="C655">
        <v>900</v>
      </c>
      <c r="D655" t="s">
        <v>6457</v>
      </c>
      <c r="E655" t="s">
        <v>5673</v>
      </c>
      <c r="J655" s="520">
        <v>1177</v>
      </c>
      <c r="K655">
        <v>0</v>
      </c>
      <c r="L655">
        <v>0</v>
      </c>
      <c r="N655">
        <v>0</v>
      </c>
    </row>
    <row r="656" spans="1:14">
      <c r="A656" t="s">
        <v>6458</v>
      </c>
      <c r="B656" t="s">
        <v>1505</v>
      </c>
      <c r="C656">
        <v>900</v>
      </c>
      <c r="D656" t="s">
        <v>1487</v>
      </c>
      <c r="E656" t="s">
        <v>6459</v>
      </c>
      <c r="F656" s="519">
        <v>44958</v>
      </c>
      <c r="G656" s="519">
        <v>46073</v>
      </c>
      <c r="H656" s="519">
        <v>46437</v>
      </c>
      <c r="J656" s="520">
        <v>1227</v>
      </c>
      <c r="K656" s="520">
        <v>1634.9</v>
      </c>
      <c r="L656" s="520">
        <v>1543</v>
      </c>
      <c r="M656">
        <v>0</v>
      </c>
      <c r="N656">
        <v>0</v>
      </c>
    </row>
    <row r="657" spans="1:14">
      <c r="A657" t="s">
        <v>6460</v>
      </c>
      <c r="B657" t="s">
        <v>1505</v>
      </c>
      <c r="C657">
        <v>900</v>
      </c>
      <c r="D657" t="s">
        <v>1487</v>
      </c>
      <c r="E657" t="s">
        <v>6461</v>
      </c>
      <c r="F657" s="519">
        <v>44501</v>
      </c>
      <c r="G657" s="519">
        <v>45778</v>
      </c>
      <c r="H657" s="519">
        <v>46142</v>
      </c>
      <c r="J657" s="520">
        <v>1177</v>
      </c>
      <c r="K657" s="520">
        <v>1446.83</v>
      </c>
      <c r="L657" s="520">
        <v>1380.5</v>
      </c>
      <c r="M657">
        <v>0</v>
      </c>
      <c r="N657">
        <v>750</v>
      </c>
    </row>
    <row r="658" spans="1:14">
      <c r="A658" t="s">
        <v>1098</v>
      </c>
      <c r="B658" t="s">
        <v>1505</v>
      </c>
      <c r="C658">
        <v>900</v>
      </c>
      <c r="D658" t="s">
        <v>5672</v>
      </c>
      <c r="E658" t="s">
        <v>5673</v>
      </c>
      <c r="J658" s="520">
        <v>1202</v>
      </c>
      <c r="K658">
        <v>0</v>
      </c>
      <c r="L658">
        <v>0</v>
      </c>
      <c r="N658">
        <v>0</v>
      </c>
    </row>
    <row r="659" spans="1:14">
      <c r="A659" t="s">
        <v>1852</v>
      </c>
      <c r="B659" t="s">
        <v>1505</v>
      </c>
      <c r="C659">
        <v>900</v>
      </c>
      <c r="D659" t="s">
        <v>1487</v>
      </c>
      <c r="E659" t="s">
        <v>1853</v>
      </c>
      <c r="F659" s="519">
        <v>45818</v>
      </c>
      <c r="G659" s="519">
        <v>45818</v>
      </c>
      <c r="H659" s="519">
        <v>46182</v>
      </c>
      <c r="J659" s="520">
        <v>1152</v>
      </c>
      <c r="K659" s="520">
        <v>1762.83</v>
      </c>
      <c r="L659" s="520">
        <v>1514.5</v>
      </c>
      <c r="M659" s="520">
        <v>13931.07</v>
      </c>
      <c r="N659">
        <v>0</v>
      </c>
    </row>
    <row r="660" spans="1:14">
      <c r="A660" t="s">
        <v>6462</v>
      </c>
      <c r="B660" t="s">
        <v>1505</v>
      </c>
      <c r="C660">
        <v>900</v>
      </c>
      <c r="D660" t="s">
        <v>1487</v>
      </c>
      <c r="E660" t="s">
        <v>6463</v>
      </c>
      <c r="F660" s="519">
        <v>44138</v>
      </c>
      <c r="G660" s="519">
        <v>45901</v>
      </c>
      <c r="H660" s="519">
        <v>46265</v>
      </c>
      <c r="J660" s="520">
        <v>1202</v>
      </c>
      <c r="K660" s="520">
        <v>1667.9</v>
      </c>
      <c r="L660" s="520">
        <v>1575.5</v>
      </c>
      <c r="M660">
        <v>0</v>
      </c>
      <c r="N660">
        <v>0</v>
      </c>
    </row>
    <row r="661" spans="1:14">
      <c r="A661" t="s">
        <v>6464</v>
      </c>
      <c r="B661" t="s">
        <v>1505</v>
      </c>
      <c r="C661">
        <v>900</v>
      </c>
      <c r="D661" t="s">
        <v>1487</v>
      </c>
      <c r="E661" t="s">
        <v>6465</v>
      </c>
      <c r="F661" s="519">
        <v>45251</v>
      </c>
      <c r="G661" s="519">
        <v>45870</v>
      </c>
      <c r="H661" s="519">
        <v>46234</v>
      </c>
      <c r="J661" s="520">
        <v>1137</v>
      </c>
      <c r="K661" s="520">
        <v>1490.83</v>
      </c>
      <c r="L661" s="520">
        <v>1424.5</v>
      </c>
      <c r="M661">
        <v>0</v>
      </c>
      <c r="N661">
        <v>0</v>
      </c>
    </row>
    <row r="662" spans="1:14">
      <c r="A662" t="s">
        <v>1111</v>
      </c>
      <c r="B662" t="s">
        <v>1505</v>
      </c>
      <c r="C662">
        <v>900</v>
      </c>
      <c r="D662" t="s">
        <v>5672</v>
      </c>
      <c r="E662" t="s">
        <v>5673</v>
      </c>
      <c r="J662" s="520">
        <v>1162</v>
      </c>
      <c r="K662">
        <v>0</v>
      </c>
      <c r="L662">
        <v>0</v>
      </c>
      <c r="N662">
        <v>0</v>
      </c>
    </row>
    <row r="663" spans="1:14">
      <c r="A663" t="s">
        <v>6466</v>
      </c>
      <c r="B663" t="s">
        <v>1505</v>
      </c>
      <c r="C663">
        <v>900</v>
      </c>
      <c r="D663" t="s">
        <v>5672</v>
      </c>
      <c r="E663" t="s">
        <v>5673</v>
      </c>
      <c r="J663" s="520">
        <v>1162</v>
      </c>
      <c r="K663">
        <v>0</v>
      </c>
      <c r="L663">
        <v>0</v>
      </c>
      <c r="N663">
        <v>0</v>
      </c>
    </row>
    <row r="664" spans="1:14">
      <c r="A664" t="s">
        <v>6467</v>
      </c>
      <c r="B664" t="s">
        <v>1505</v>
      </c>
      <c r="C664">
        <v>900</v>
      </c>
      <c r="D664" t="s">
        <v>5672</v>
      </c>
      <c r="E664" t="s">
        <v>5673</v>
      </c>
      <c r="J664" s="520">
        <v>1212</v>
      </c>
      <c r="K664">
        <v>0</v>
      </c>
      <c r="L664">
        <v>0</v>
      </c>
      <c r="N664">
        <v>0</v>
      </c>
    </row>
    <row r="665" spans="1:14">
      <c r="A665" t="s">
        <v>6468</v>
      </c>
      <c r="B665" t="s">
        <v>1505</v>
      </c>
      <c r="C665">
        <v>900</v>
      </c>
      <c r="D665" t="s">
        <v>5672</v>
      </c>
      <c r="E665" t="s">
        <v>5673</v>
      </c>
      <c r="J665" s="520">
        <v>1162</v>
      </c>
      <c r="K665">
        <v>0</v>
      </c>
      <c r="L665">
        <v>0</v>
      </c>
      <c r="N665">
        <v>0</v>
      </c>
    </row>
    <row r="666" spans="1:14">
      <c r="A666" t="s">
        <v>6469</v>
      </c>
      <c r="B666" t="s">
        <v>1505</v>
      </c>
      <c r="C666">
        <v>900</v>
      </c>
      <c r="D666" t="s">
        <v>1487</v>
      </c>
      <c r="E666" t="s">
        <v>6470</v>
      </c>
      <c r="F666" s="519">
        <v>45521</v>
      </c>
      <c r="G666" s="519">
        <v>45946</v>
      </c>
      <c r="H666" s="519">
        <v>46310</v>
      </c>
      <c r="J666" s="520">
        <v>1132</v>
      </c>
      <c r="K666" s="520">
        <v>1464.83</v>
      </c>
      <c r="L666" s="520">
        <v>1398.5</v>
      </c>
      <c r="M666">
        <v>0</v>
      </c>
      <c r="N666">
        <v>750</v>
      </c>
    </row>
    <row r="667" spans="1:14">
      <c r="A667" t="s">
        <v>6471</v>
      </c>
      <c r="B667" t="s">
        <v>1505</v>
      </c>
      <c r="C667">
        <v>900</v>
      </c>
      <c r="D667" t="s">
        <v>1487</v>
      </c>
      <c r="E667" t="s">
        <v>6472</v>
      </c>
      <c r="F667" s="519">
        <v>45958</v>
      </c>
      <c r="G667" s="519">
        <v>45958</v>
      </c>
      <c r="H667" s="519">
        <v>46322</v>
      </c>
      <c r="J667" s="520">
        <v>1162</v>
      </c>
      <c r="K667" s="520">
        <v>1283.83</v>
      </c>
      <c r="L667" s="520">
        <v>1217.49</v>
      </c>
      <c r="M667">
        <v>0</v>
      </c>
      <c r="N667">
        <v>750</v>
      </c>
    </row>
    <row r="668" spans="1:14">
      <c r="A668" t="s">
        <v>6473</v>
      </c>
      <c r="B668" t="s">
        <v>1505</v>
      </c>
      <c r="C668">
        <v>900</v>
      </c>
      <c r="D668" t="s">
        <v>1486</v>
      </c>
      <c r="E668" t="s">
        <v>6474</v>
      </c>
      <c r="F668" s="519">
        <v>45809</v>
      </c>
      <c r="G668" s="519">
        <v>45808</v>
      </c>
      <c r="H668" s="519">
        <v>46172</v>
      </c>
      <c r="I668" s="519">
        <v>46172</v>
      </c>
      <c r="J668" s="520">
        <v>1227</v>
      </c>
      <c r="K668" s="520">
        <v>1648.9</v>
      </c>
      <c r="L668" s="520">
        <v>1556.5</v>
      </c>
      <c r="M668">
        <v>0</v>
      </c>
      <c r="N668">
        <v>0</v>
      </c>
    </row>
    <row r="669" spans="1:14">
      <c r="A669" t="s">
        <v>1332</v>
      </c>
      <c r="B669" t="s">
        <v>1505</v>
      </c>
      <c r="C669">
        <v>900</v>
      </c>
      <c r="D669" t="s">
        <v>5672</v>
      </c>
      <c r="E669" t="s">
        <v>5673</v>
      </c>
      <c r="J669" s="520">
        <v>1227</v>
      </c>
      <c r="K669">
        <v>0</v>
      </c>
      <c r="L669">
        <v>0</v>
      </c>
      <c r="N669">
        <v>0</v>
      </c>
    </row>
    <row r="670" spans="1:14">
      <c r="A670" t="s">
        <v>6475</v>
      </c>
      <c r="B670" t="s">
        <v>1505</v>
      </c>
      <c r="C670">
        <v>900</v>
      </c>
      <c r="D670" t="s">
        <v>5672</v>
      </c>
      <c r="E670" t="s">
        <v>5673</v>
      </c>
      <c r="J670" s="520">
        <v>1202</v>
      </c>
      <c r="K670">
        <v>0</v>
      </c>
      <c r="L670">
        <v>0</v>
      </c>
      <c r="N670">
        <v>0</v>
      </c>
    </row>
    <row r="671" spans="1:14">
      <c r="A671" t="s">
        <v>6476</v>
      </c>
      <c r="B671" t="s">
        <v>1505</v>
      </c>
      <c r="C671">
        <v>900</v>
      </c>
      <c r="D671" t="s">
        <v>1487</v>
      </c>
      <c r="E671" t="s">
        <v>6477</v>
      </c>
      <c r="F671" s="519">
        <v>43525</v>
      </c>
      <c r="G671" s="519">
        <v>46082</v>
      </c>
      <c r="H671" s="519">
        <v>46445</v>
      </c>
      <c r="J671" s="520">
        <v>1107</v>
      </c>
      <c r="K671" s="520">
        <v>1359.83</v>
      </c>
      <c r="L671" s="520">
        <v>1294</v>
      </c>
      <c r="M671">
        <v>0</v>
      </c>
      <c r="N671">
        <v>250</v>
      </c>
    </row>
    <row r="672" spans="1:14">
      <c r="A672" t="s">
        <v>1138</v>
      </c>
      <c r="B672" t="s">
        <v>1505</v>
      </c>
      <c r="C672">
        <v>900</v>
      </c>
      <c r="D672" t="s">
        <v>1487</v>
      </c>
      <c r="E672" t="s">
        <v>1854</v>
      </c>
      <c r="F672" s="519">
        <v>46127</v>
      </c>
      <c r="G672" s="519">
        <v>46127</v>
      </c>
      <c r="H672" s="519">
        <v>46491</v>
      </c>
      <c r="J672" s="520">
        <v>1152</v>
      </c>
      <c r="K672" s="520">
        <v>1274</v>
      </c>
      <c r="L672" s="520">
        <v>1261</v>
      </c>
      <c r="M672">
        <v>2.4700000000000002</v>
      </c>
      <c r="N672">
        <v>0</v>
      </c>
    </row>
    <row r="673" spans="1:14">
      <c r="A673" t="s">
        <v>1855</v>
      </c>
      <c r="B673" t="s">
        <v>1505</v>
      </c>
      <c r="C673">
        <v>900</v>
      </c>
      <c r="D673" t="s">
        <v>1487</v>
      </c>
      <c r="E673" t="s">
        <v>477</v>
      </c>
      <c r="F673" s="519">
        <v>45848</v>
      </c>
      <c r="G673" s="519">
        <v>45848</v>
      </c>
      <c r="H673" s="519">
        <v>46212</v>
      </c>
      <c r="J673" s="520">
        <v>1107</v>
      </c>
      <c r="K673" s="520">
        <v>1648.83</v>
      </c>
      <c r="L673" s="520">
        <v>1410.5</v>
      </c>
      <c r="M673" s="520">
        <v>15334.11</v>
      </c>
      <c r="N673">
        <v>0</v>
      </c>
    </row>
    <row r="674" spans="1:14">
      <c r="A674" t="s">
        <v>6478</v>
      </c>
      <c r="B674" t="s">
        <v>1505</v>
      </c>
      <c r="C674">
        <v>900</v>
      </c>
      <c r="D674" t="s">
        <v>5672</v>
      </c>
      <c r="E674" t="s">
        <v>5673</v>
      </c>
      <c r="J674" s="520">
        <v>1162</v>
      </c>
      <c r="K674">
        <v>0</v>
      </c>
      <c r="L674">
        <v>0</v>
      </c>
      <c r="N674">
        <v>0</v>
      </c>
    </row>
    <row r="675" spans="1:14">
      <c r="A675" t="s">
        <v>6479</v>
      </c>
      <c r="B675" t="s">
        <v>1505</v>
      </c>
      <c r="C675">
        <v>900</v>
      </c>
      <c r="D675" t="s">
        <v>1487</v>
      </c>
      <c r="E675" t="s">
        <v>6480</v>
      </c>
      <c r="F675" s="519">
        <v>43193</v>
      </c>
      <c r="G675" s="519">
        <v>46113</v>
      </c>
      <c r="H675" s="519">
        <v>46477</v>
      </c>
      <c r="J675" s="520">
        <v>1162</v>
      </c>
      <c r="K675" s="520">
        <v>1462.9</v>
      </c>
      <c r="L675" s="520">
        <v>1371</v>
      </c>
      <c r="M675">
        <v>0</v>
      </c>
      <c r="N675">
        <v>0</v>
      </c>
    </row>
    <row r="676" spans="1:14">
      <c r="A676" t="s">
        <v>6481</v>
      </c>
      <c r="B676" t="s">
        <v>1505</v>
      </c>
      <c r="C676">
        <v>900</v>
      </c>
      <c r="D676" t="s">
        <v>1487</v>
      </c>
      <c r="E676" t="s">
        <v>6482</v>
      </c>
      <c r="F676" s="519">
        <v>43770</v>
      </c>
      <c r="G676" s="519">
        <v>46113</v>
      </c>
      <c r="H676" s="519">
        <v>46477</v>
      </c>
      <c r="J676" s="520">
        <v>1162</v>
      </c>
      <c r="K676" s="520">
        <v>1420.97</v>
      </c>
      <c r="L676" s="520">
        <v>1303</v>
      </c>
      <c r="M676">
        <v>-231</v>
      </c>
      <c r="N676">
        <v>250</v>
      </c>
    </row>
    <row r="677" spans="1:14">
      <c r="A677" t="s">
        <v>6483</v>
      </c>
      <c r="B677" t="s">
        <v>1505</v>
      </c>
      <c r="C677">
        <v>900</v>
      </c>
      <c r="D677" t="s">
        <v>1487</v>
      </c>
      <c r="E677" t="s">
        <v>6484</v>
      </c>
      <c r="F677" s="519">
        <v>45387</v>
      </c>
      <c r="G677" s="519">
        <v>45813</v>
      </c>
      <c r="H677" s="519">
        <v>46177</v>
      </c>
      <c r="J677" s="520">
        <v>1162</v>
      </c>
      <c r="K677" s="520">
        <v>1557.83</v>
      </c>
      <c r="L677" s="520">
        <v>1491.5</v>
      </c>
      <c r="M677">
        <v>0</v>
      </c>
      <c r="N677">
        <v>0</v>
      </c>
    </row>
    <row r="678" spans="1:14">
      <c r="A678" t="s">
        <v>6485</v>
      </c>
      <c r="B678" t="s">
        <v>1505</v>
      </c>
      <c r="C678">
        <v>900</v>
      </c>
      <c r="D678" t="s">
        <v>1487</v>
      </c>
      <c r="E678" t="s">
        <v>6486</v>
      </c>
      <c r="F678" s="519">
        <v>45663</v>
      </c>
      <c r="G678" s="519">
        <v>46028</v>
      </c>
      <c r="J678" s="520">
        <v>1227</v>
      </c>
      <c r="K678" s="520">
        <v>1612.97</v>
      </c>
      <c r="L678" s="520">
        <v>1494.49</v>
      </c>
      <c r="M678">
        <v>0</v>
      </c>
      <c r="N678">
        <v>0</v>
      </c>
    </row>
    <row r="679" spans="1:14">
      <c r="A679" t="s">
        <v>6487</v>
      </c>
      <c r="B679" t="s">
        <v>1505</v>
      </c>
      <c r="C679">
        <v>900</v>
      </c>
      <c r="D679" t="s">
        <v>1487</v>
      </c>
      <c r="E679" t="s">
        <v>6488</v>
      </c>
      <c r="F679" s="519">
        <v>44225</v>
      </c>
      <c r="G679" s="519">
        <v>46073</v>
      </c>
      <c r="H679" s="519">
        <v>46437</v>
      </c>
      <c r="J679" s="520">
        <v>1227</v>
      </c>
      <c r="K679" s="520">
        <v>1516.83</v>
      </c>
      <c r="L679" s="520">
        <v>1451</v>
      </c>
      <c r="M679">
        <v>0</v>
      </c>
      <c r="N679">
        <v>0</v>
      </c>
    </row>
    <row r="680" spans="1:14">
      <c r="A680" t="s">
        <v>1864</v>
      </c>
      <c r="B680" t="s">
        <v>1505</v>
      </c>
      <c r="C680">
        <v>900</v>
      </c>
      <c r="D680" t="s">
        <v>1487</v>
      </c>
      <c r="E680" t="s">
        <v>1865</v>
      </c>
      <c r="F680" s="519">
        <v>45955</v>
      </c>
      <c r="G680" s="519">
        <v>45955</v>
      </c>
      <c r="H680" s="519">
        <v>46319</v>
      </c>
      <c r="J680" s="520">
        <v>1227</v>
      </c>
      <c r="K680" s="520">
        <v>1541.83</v>
      </c>
      <c r="L680" s="520">
        <v>1313.49</v>
      </c>
      <c r="M680" s="520">
        <v>4112.8100000000004</v>
      </c>
      <c r="N680">
        <v>0</v>
      </c>
    </row>
    <row r="681" spans="1:14">
      <c r="A681" t="s">
        <v>6489</v>
      </c>
      <c r="B681" t="s">
        <v>1505</v>
      </c>
      <c r="C681">
        <v>900</v>
      </c>
      <c r="D681" t="s">
        <v>1487</v>
      </c>
      <c r="E681" t="s">
        <v>6490</v>
      </c>
      <c r="F681" s="519">
        <v>45594</v>
      </c>
      <c r="G681" s="519">
        <v>46020</v>
      </c>
      <c r="H681" s="519">
        <v>46384</v>
      </c>
      <c r="J681" s="520">
        <v>1177</v>
      </c>
      <c r="K681" s="520">
        <v>1508.9</v>
      </c>
      <c r="L681" s="520">
        <v>1633</v>
      </c>
      <c r="M681">
        <v>0</v>
      </c>
      <c r="N681">
        <v>0</v>
      </c>
    </row>
    <row r="682" spans="1:14">
      <c r="A682" t="s">
        <v>1147</v>
      </c>
      <c r="B682" t="s">
        <v>1505</v>
      </c>
      <c r="C682">
        <v>900</v>
      </c>
      <c r="D682" t="s">
        <v>5733</v>
      </c>
      <c r="E682" t="s">
        <v>5673</v>
      </c>
      <c r="J682" s="520">
        <v>1152</v>
      </c>
      <c r="K682">
        <v>0</v>
      </c>
      <c r="L682">
        <v>0</v>
      </c>
      <c r="N682">
        <v>0</v>
      </c>
    </row>
    <row r="683" spans="1:14">
      <c r="A683" t="s">
        <v>1102</v>
      </c>
      <c r="B683" t="s">
        <v>1505</v>
      </c>
      <c r="C683">
        <v>900</v>
      </c>
      <c r="D683" t="s">
        <v>5672</v>
      </c>
      <c r="E683" t="s">
        <v>5673</v>
      </c>
      <c r="J683" s="520">
        <v>1202</v>
      </c>
      <c r="K683">
        <v>0</v>
      </c>
      <c r="L683">
        <v>0</v>
      </c>
      <c r="N683">
        <v>0</v>
      </c>
    </row>
    <row r="684" spans="1:14">
      <c r="A684" t="s">
        <v>2445</v>
      </c>
      <c r="B684" t="s">
        <v>1505</v>
      </c>
      <c r="C684">
        <v>900</v>
      </c>
      <c r="D684" t="s">
        <v>5733</v>
      </c>
      <c r="E684" t="s">
        <v>5673</v>
      </c>
      <c r="J684" s="520">
        <v>1152</v>
      </c>
      <c r="K684">
        <v>0</v>
      </c>
      <c r="L684">
        <v>0</v>
      </c>
      <c r="N684">
        <v>0</v>
      </c>
    </row>
    <row r="685" spans="1:14">
      <c r="A685" t="s">
        <v>6491</v>
      </c>
      <c r="B685" t="s">
        <v>1505</v>
      </c>
      <c r="C685">
        <v>900</v>
      </c>
      <c r="D685" t="s">
        <v>1487</v>
      </c>
      <c r="E685" t="s">
        <v>6492</v>
      </c>
      <c r="F685" s="519">
        <v>45138</v>
      </c>
      <c r="G685" s="519">
        <v>45931</v>
      </c>
      <c r="H685" s="519">
        <v>46295</v>
      </c>
      <c r="J685" s="520">
        <v>1202</v>
      </c>
      <c r="K685" s="520">
        <v>1687.9</v>
      </c>
      <c r="L685" s="520">
        <v>1596</v>
      </c>
      <c r="M685">
        <v>0</v>
      </c>
      <c r="N685">
        <v>0</v>
      </c>
    </row>
    <row r="686" spans="1:14">
      <c r="A686" t="s">
        <v>1753</v>
      </c>
      <c r="B686" t="s">
        <v>1506</v>
      </c>
      <c r="C686">
        <v>909</v>
      </c>
      <c r="D686" t="s">
        <v>5781</v>
      </c>
      <c r="E686" t="s">
        <v>5673</v>
      </c>
      <c r="J686" s="520">
        <v>1188</v>
      </c>
      <c r="K686">
        <v>0</v>
      </c>
      <c r="L686">
        <v>0</v>
      </c>
      <c r="N686">
        <v>0</v>
      </c>
    </row>
    <row r="687" spans="1:14">
      <c r="A687" t="s">
        <v>6493</v>
      </c>
      <c r="B687" t="s">
        <v>1506</v>
      </c>
      <c r="C687">
        <v>909</v>
      </c>
      <c r="D687" t="s">
        <v>1487</v>
      </c>
      <c r="E687" t="s">
        <v>6494</v>
      </c>
      <c r="F687" s="519">
        <v>37895</v>
      </c>
      <c r="G687" s="519">
        <v>45870</v>
      </c>
      <c r="H687" s="519">
        <v>46234</v>
      </c>
      <c r="J687" s="520">
        <v>1118</v>
      </c>
      <c r="K687" s="520">
        <v>1403.14</v>
      </c>
      <c r="L687" s="520">
        <v>1336.5</v>
      </c>
      <c r="M687">
        <v>0</v>
      </c>
      <c r="N687">
        <v>250</v>
      </c>
    </row>
    <row r="688" spans="1:14">
      <c r="A688" t="s">
        <v>2273</v>
      </c>
      <c r="B688" t="s">
        <v>1506</v>
      </c>
      <c r="C688">
        <v>909</v>
      </c>
      <c r="D688" t="s">
        <v>5686</v>
      </c>
      <c r="E688" t="s">
        <v>5673</v>
      </c>
      <c r="J688" s="520">
        <v>1173</v>
      </c>
      <c r="K688">
        <v>0</v>
      </c>
      <c r="L688">
        <v>0</v>
      </c>
      <c r="N688">
        <v>0</v>
      </c>
    </row>
    <row r="689" spans="1:14">
      <c r="A689" t="s">
        <v>6495</v>
      </c>
      <c r="B689" t="s">
        <v>1506</v>
      </c>
      <c r="C689">
        <v>909</v>
      </c>
      <c r="D689" t="s">
        <v>1487</v>
      </c>
      <c r="E689" t="s">
        <v>6496</v>
      </c>
      <c r="F689" s="519">
        <v>43800</v>
      </c>
      <c r="G689" s="519">
        <v>46108</v>
      </c>
      <c r="H689" s="519">
        <v>46472</v>
      </c>
      <c r="J689" s="520">
        <v>1188</v>
      </c>
      <c r="K689" s="520">
        <v>1414.21</v>
      </c>
      <c r="L689" s="520">
        <v>1312</v>
      </c>
      <c r="M689">
        <v>0</v>
      </c>
      <c r="N689">
        <v>150</v>
      </c>
    </row>
    <row r="690" spans="1:14">
      <c r="A690" t="s">
        <v>6497</v>
      </c>
      <c r="B690" t="s">
        <v>1506</v>
      </c>
      <c r="C690">
        <v>909</v>
      </c>
      <c r="D690" t="s">
        <v>1487</v>
      </c>
      <c r="E690" t="s">
        <v>6498</v>
      </c>
      <c r="F690" s="519">
        <v>42640</v>
      </c>
      <c r="G690" s="519">
        <v>46113</v>
      </c>
      <c r="H690" s="519">
        <v>46477</v>
      </c>
      <c r="J690" s="520">
        <v>1163</v>
      </c>
      <c r="K690">
        <v>893.21</v>
      </c>
      <c r="L690" s="520">
        <v>1301</v>
      </c>
      <c r="M690">
        <v>0</v>
      </c>
      <c r="N690">
        <v>250</v>
      </c>
    </row>
    <row r="691" spans="1:14">
      <c r="A691" t="s">
        <v>1755</v>
      </c>
      <c r="B691" t="s">
        <v>1506</v>
      </c>
      <c r="C691">
        <v>909</v>
      </c>
      <c r="D691" t="s">
        <v>1487</v>
      </c>
      <c r="E691" t="s">
        <v>1756</v>
      </c>
      <c r="F691" s="519">
        <v>45632</v>
      </c>
      <c r="G691" s="519">
        <v>46073</v>
      </c>
      <c r="H691" s="519">
        <v>46437</v>
      </c>
      <c r="J691" s="520">
        <v>1173</v>
      </c>
      <c r="K691" s="520">
        <v>6186.21</v>
      </c>
      <c r="L691" s="520">
        <v>1435</v>
      </c>
      <c r="M691" s="520">
        <v>4668</v>
      </c>
      <c r="N691">
        <v>0</v>
      </c>
    </row>
    <row r="692" spans="1:14">
      <c r="A692" t="s">
        <v>6499</v>
      </c>
      <c r="B692" t="s">
        <v>1506</v>
      </c>
      <c r="C692">
        <v>909</v>
      </c>
      <c r="D692" t="s">
        <v>1487</v>
      </c>
      <c r="E692" t="s">
        <v>6500</v>
      </c>
      <c r="F692" s="519">
        <v>44470</v>
      </c>
      <c r="G692" s="519">
        <v>45931</v>
      </c>
      <c r="H692" s="519">
        <v>46295</v>
      </c>
      <c r="J692" s="520">
        <v>1143</v>
      </c>
      <c r="K692" s="520">
        <v>1375.21</v>
      </c>
      <c r="L692" s="520">
        <v>1282.5</v>
      </c>
      <c r="M692">
        <v>0</v>
      </c>
      <c r="N692">
        <v>0</v>
      </c>
    </row>
    <row r="693" spans="1:14">
      <c r="A693" t="s">
        <v>6501</v>
      </c>
      <c r="B693" t="s">
        <v>1506</v>
      </c>
      <c r="C693">
        <v>909</v>
      </c>
      <c r="D693" t="s">
        <v>1486</v>
      </c>
      <c r="E693" t="s">
        <v>6502</v>
      </c>
      <c r="F693" s="519">
        <v>45078</v>
      </c>
      <c r="G693" s="519">
        <v>45809</v>
      </c>
      <c r="H693" s="519">
        <v>46173</v>
      </c>
      <c r="I693" s="519">
        <v>46174</v>
      </c>
      <c r="J693" s="520">
        <v>1213</v>
      </c>
      <c r="K693" s="520">
        <v>1567.14</v>
      </c>
      <c r="L693" s="520">
        <v>1500.5</v>
      </c>
      <c r="M693">
        <v>0</v>
      </c>
      <c r="N693">
        <v>750</v>
      </c>
    </row>
    <row r="694" spans="1:14">
      <c r="A694" t="s">
        <v>6503</v>
      </c>
      <c r="B694" t="s">
        <v>1506</v>
      </c>
      <c r="C694">
        <v>909</v>
      </c>
      <c r="D694" t="s">
        <v>1487</v>
      </c>
      <c r="E694" t="s">
        <v>6504</v>
      </c>
      <c r="F694" s="519">
        <v>45731</v>
      </c>
      <c r="G694" s="519">
        <v>46096</v>
      </c>
      <c r="H694" s="519">
        <v>46459</v>
      </c>
      <c r="J694" s="520">
        <v>1173</v>
      </c>
      <c r="K694" s="520">
        <v>1546.21</v>
      </c>
      <c r="L694" s="520">
        <v>1454</v>
      </c>
      <c r="M694">
        <v>0</v>
      </c>
      <c r="N694">
        <v>0</v>
      </c>
    </row>
    <row r="695" spans="1:14">
      <c r="A695" t="s">
        <v>6505</v>
      </c>
      <c r="B695" t="s">
        <v>1506</v>
      </c>
      <c r="C695">
        <v>909</v>
      </c>
      <c r="D695" t="s">
        <v>1487</v>
      </c>
      <c r="E695" t="s">
        <v>6506</v>
      </c>
      <c r="F695" s="519">
        <v>45051</v>
      </c>
      <c r="G695" s="519">
        <v>45778</v>
      </c>
      <c r="H695" s="519">
        <v>46142</v>
      </c>
      <c r="J695" s="520">
        <v>1143</v>
      </c>
      <c r="K695" s="520">
        <v>1491.14</v>
      </c>
      <c r="L695" s="520">
        <v>1424.5</v>
      </c>
      <c r="M695">
        <v>0</v>
      </c>
      <c r="N695">
        <v>0</v>
      </c>
    </row>
    <row r="696" spans="1:14">
      <c r="A696" t="s">
        <v>6507</v>
      </c>
      <c r="B696" t="s">
        <v>1506</v>
      </c>
      <c r="C696">
        <v>909</v>
      </c>
      <c r="D696" t="s">
        <v>1487</v>
      </c>
      <c r="E696" t="s">
        <v>6508</v>
      </c>
      <c r="F696" s="519">
        <v>41185</v>
      </c>
      <c r="G696" s="519">
        <v>45809</v>
      </c>
      <c r="H696" s="519">
        <v>46173</v>
      </c>
      <c r="J696" s="520">
        <v>1118</v>
      </c>
      <c r="K696" s="520">
        <v>1226.21</v>
      </c>
      <c r="L696" s="520">
        <v>1133.5</v>
      </c>
      <c r="M696">
        <v>0</v>
      </c>
      <c r="N696">
        <v>0</v>
      </c>
    </row>
    <row r="697" spans="1:14">
      <c r="A697" t="s">
        <v>2166</v>
      </c>
      <c r="B697" t="s">
        <v>1506</v>
      </c>
      <c r="C697">
        <v>909</v>
      </c>
      <c r="D697" t="s">
        <v>1487</v>
      </c>
      <c r="E697" t="s">
        <v>2167</v>
      </c>
      <c r="F697" s="519">
        <v>44295</v>
      </c>
      <c r="G697" s="519">
        <v>45962</v>
      </c>
      <c r="H697" s="519">
        <v>46326</v>
      </c>
      <c r="J697" s="520">
        <v>1223</v>
      </c>
      <c r="K697" s="520">
        <v>1813.14</v>
      </c>
      <c r="L697" s="520">
        <v>1560.49</v>
      </c>
      <c r="M697">
        <v>-0.86</v>
      </c>
      <c r="N697">
        <v>0</v>
      </c>
    </row>
    <row r="698" spans="1:14">
      <c r="A698" t="s">
        <v>6509</v>
      </c>
      <c r="B698" t="s">
        <v>1506</v>
      </c>
      <c r="C698">
        <v>909</v>
      </c>
      <c r="D698" t="s">
        <v>1487</v>
      </c>
      <c r="E698" t="s">
        <v>6510</v>
      </c>
      <c r="F698" s="519">
        <v>45881</v>
      </c>
      <c r="G698" s="519">
        <v>45881</v>
      </c>
      <c r="H698" s="519">
        <v>46245</v>
      </c>
      <c r="J698" s="520">
        <v>1188</v>
      </c>
      <c r="K698" s="520">
        <v>1707.21</v>
      </c>
      <c r="L698" s="520">
        <v>1439.5</v>
      </c>
      <c r="M698">
        <v>0</v>
      </c>
      <c r="N698">
        <v>0</v>
      </c>
    </row>
    <row r="699" spans="1:14">
      <c r="A699" t="s">
        <v>1806</v>
      </c>
      <c r="B699" t="s">
        <v>1506</v>
      </c>
      <c r="C699">
        <v>909</v>
      </c>
      <c r="D699" t="s">
        <v>1487</v>
      </c>
      <c r="E699" t="s">
        <v>1807</v>
      </c>
      <c r="F699" s="519">
        <v>45569</v>
      </c>
      <c r="G699" s="519">
        <v>45995</v>
      </c>
      <c r="J699" s="520">
        <v>1213</v>
      </c>
      <c r="K699" s="520">
        <v>1785.14</v>
      </c>
      <c r="L699" s="520">
        <v>1534.5</v>
      </c>
      <c r="M699" s="520">
        <v>31617.09</v>
      </c>
      <c r="N699">
        <v>0</v>
      </c>
    </row>
    <row r="700" spans="1:14">
      <c r="A700" t="s">
        <v>6511</v>
      </c>
      <c r="B700" t="s">
        <v>1506</v>
      </c>
      <c r="C700">
        <v>909</v>
      </c>
      <c r="D700" t="s">
        <v>1486</v>
      </c>
      <c r="E700" t="s">
        <v>6512</v>
      </c>
      <c r="F700" s="519">
        <v>44421</v>
      </c>
      <c r="G700" s="519">
        <v>45870</v>
      </c>
      <c r="H700" s="519">
        <v>46234</v>
      </c>
      <c r="I700" s="519">
        <v>46234</v>
      </c>
      <c r="J700" s="520">
        <v>1223</v>
      </c>
      <c r="K700" s="520">
        <v>1781.14</v>
      </c>
      <c r="L700" s="520">
        <v>1530.5</v>
      </c>
      <c r="M700">
        <v>0</v>
      </c>
      <c r="N700">
        <v>0</v>
      </c>
    </row>
    <row r="701" spans="1:14">
      <c r="A701" t="s">
        <v>6513</v>
      </c>
      <c r="B701" t="s">
        <v>1506</v>
      </c>
      <c r="C701">
        <v>909</v>
      </c>
      <c r="D701" t="s">
        <v>1487</v>
      </c>
      <c r="E701" t="s">
        <v>6514</v>
      </c>
      <c r="F701" s="519">
        <v>44914</v>
      </c>
      <c r="G701" s="519">
        <v>46073</v>
      </c>
      <c r="H701" s="519">
        <v>46437</v>
      </c>
      <c r="J701" s="520">
        <v>1188</v>
      </c>
      <c r="K701" s="520">
        <v>1582.21</v>
      </c>
      <c r="L701" s="520">
        <v>1447</v>
      </c>
      <c r="M701">
        <v>-40.11</v>
      </c>
      <c r="N701">
        <v>0</v>
      </c>
    </row>
    <row r="702" spans="1:14">
      <c r="A702" t="s">
        <v>6515</v>
      </c>
      <c r="B702" t="s">
        <v>1506</v>
      </c>
      <c r="C702">
        <v>909</v>
      </c>
      <c r="D702" t="s">
        <v>1487</v>
      </c>
      <c r="E702" t="s">
        <v>6516</v>
      </c>
      <c r="F702" s="519">
        <v>43980</v>
      </c>
      <c r="G702" s="519">
        <v>45839</v>
      </c>
      <c r="H702" s="519">
        <v>46203</v>
      </c>
      <c r="J702" s="520">
        <v>1213</v>
      </c>
      <c r="K702" s="520">
        <v>1557.14</v>
      </c>
      <c r="L702" s="520">
        <v>1490.5</v>
      </c>
      <c r="M702">
        <v>0</v>
      </c>
      <c r="N702">
        <v>250</v>
      </c>
    </row>
    <row r="703" spans="1:14">
      <c r="A703" t="s">
        <v>862</v>
      </c>
      <c r="B703" t="s">
        <v>1506</v>
      </c>
      <c r="C703">
        <v>909</v>
      </c>
      <c r="D703" t="s">
        <v>5672</v>
      </c>
      <c r="E703" t="s">
        <v>5673</v>
      </c>
      <c r="J703" s="520">
        <v>1173</v>
      </c>
      <c r="K703">
        <v>0</v>
      </c>
      <c r="L703">
        <v>0</v>
      </c>
      <c r="N703">
        <v>0</v>
      </c>
    </row>
    <row r="704" spans="1:14">
      <c r="A704" t="s">
        <v>6517</v>
      </c>
      <c r="B704" t="s">
        <v>1506</v>
      </c>
      <c r="C704">
        <v>909</v>
      </c>
      <c r="D704" t="s">
        <v>1487</v>
      </c>
      <c r="E704" t="s">
        <v>6518</v>
      </c>
      <c r="F704" s="519">
        <v>40854</v>
      </c>
      <c r="G704" s="519">
        <v>46113</v>
      </c>
      <c r="H704" s="519">
        <v>46477</v>
      </c>
      <c r="J704" s="520">
        <v>1143</v>
      </c>
      <c r="K704" s="520">
        <v>1381.21</v>
      </c>
      <c r="L704" s="520">
        <v>1289</v>
      </c>
      <c r="M704">
        <v>-222</v>
      </c>
      <c r="N704">
        <v>0</v>
      </c>
    </row>
    <row r="705" spans="1:14">
      <c r="A705" t="s">
        <v>2272</v>
      </c>
      <c r="B705" t="s">
        <v>1506</v>
      </c>
      <c r="C705">
        <v>909</v>
      </c>
      <c r="D705" t="s">
        <v>5733</v>
      </c>
      <c r="E705" t="s">
        <v>5673</v>
      </c>
      <c r="J705" s="520">
        <v>1213</v>
      </c>
      <c r="K705">
        <v>0</v>
      </c>
      <c r="L705">
        <v>0</v>
      </c>
      <c r="N705">
        <v>0</v>
      </c>
    </row>
    <row r="706" spans="1:14">
      <c r="A706" t="s">
        <v>1810</v>
      </c>
      <c r="B706" t="s">
        <v>1506</v>
      </c>
      <c r="C706">
        <v>909</v>
      </c>
      <c r="D706" t="s">
        <v>1487</v>
      </c>
      <c r="E706" t="s">
        <v>494</v>
      </c>
      <c r="F706" s="519">
        <v>45570</v>
      </c>
      <c r="G706" s="519">
        <v>46073</v>
      </c>
      <c r="H706" s="519">
        <v>46437</v>
      </c>
      <c r="J706" s="520">
        <v>1173</v>
      </c>
      <c r="K706" s="520">
        <v>3666.28</v>
      </c>
      <c r="L706" s="520">
        <v>1454</v>
      </c>
      <c r="M706" s="520">
        <v>1668</v>
      </c>
      <c r="N706">
        <v>0</v>
      </c>
    </row>
    <row r="707" spans="1:14">
      <c r="A707" t="s">
        <v>6519</v>
      </c>
      <c r="B707" t="s">
        <v>1506</v>
      </c>
      <c r="C707">
        <v>909</v>
      </c>
      <c r="D707" t="s">
        <v>1487</v>
      </c>
      <c r="E707" t="s">
        <v>6520</v>
      </c>
      <c r="F707" s="519">
        <v>43435</v>
      </c>
      <c r="G707" s="519">
        <v>45839</v>
      </c>
      <c r="H707" s="519">
        <v>46203</v>
      </c>
      <c r="J707" s="520">
        <v>1143</v>
      </c>
      <c r="K707" s="520">
        <v>1257.21</v>
      </c>
      <c r="L707" s="520">
        <v>1165</v>
      </c>
      <c r="M707">
        <v>0</v>
      </c>
      <c r="N707">
        <v>0</v>
      </c>
    </row>
    <row r="708" spans="1:14">
      <c r="A708" t="s">
        <v>6521</v>
      </c>
      <c r="B708" t="s">
        <v>1506</v>
      </c>
      <c r="C708">
        <v>909</v>
      </c>
      <c r="D708" t="s">
        <v>1487</v>
      </c>
      <c r="E708" t="s">
        <v>6522</v>
      </c>
      <c r="F708" s="519">
        <v>42705</v>
      </c>
      <c r="G708" s="519">
        <v>46113</v>
      </c>
      <c r="H708" s="519">
        <v>46477</v>
      </c>
      <c r="J708" s="520">
        <v>1118</v>
      </c>
      <c r="K708" s="520">
        <v>1348.21</v>
      </c>
      <c r="L708" s="520">
        <v>1256</v>
      </c>
      <c r="M708">
        <v>0</v>
      </c>
      <c r="N708">
        <v>201</v>
      </c>
    </row>
    <row r="709" spans="1:14">
      <c r="A709" t="s">
        <v>1811</v>
      </c>
      <c r="B709" t="s">
        <v>1506</v>
      </c>
      <c r="C709">
        <v>909</v>
      </c>
      <c r="D709" t="s">
        <v>1487</v>
      </c>
      <c r="E709" t="s">
        <v>1812</v>
      </c>
      <c r="F709" s="519">
        <v>45596</v>
      </c>
      <c r="G709" s="519">
        <v>46022</v>
      </c>
      <c r="H709" s="519">
        <v>46386</v>
      </c>
      <c r="J709" s="520">
        <v>1173</v>
      </c>
      <c r="K709" s="520">
        <v>3152.14</v>
      </c>
      <c r="L709" s="520">
        <v>1454</v>
      </c>
      <c r="M709" s="520">
        <v>1482</v>
      </c>
      <c r="N709">
        <v>0</v>
      </c>
    </row>
    <row r="710" spans="1:14">
      <c r="A710" t="s">
        <v>2420</v>
      </c>
      <c r="B710" t="s">
        <v>1506</v>
      </c>
      <c r="C710">
        <v>909</v>
      </c>
      <c r="D710" t="s">
        <v>1487</v>
      </c>
      <c r="E710" t="s">
        <v>3824</v>
      </c>
      <c r="F710" s="519">
        <v>46116</v>
      </c>
      <c r="G710" s="519">
        <v>46116</v>
      </c>
      <c r="H710" s="519">
        <v>46480</v>
      </c>
      <c r="J710" s="520">
        <v>1238</v>
      </c>
      <c r="K710" s="520">
        <v>1334</v>
      </c>
      <c r="L710" s="520">
        <v>1367</v>
      </c>
      <c r="M710">
        <v>0</v>
      </c>
      <c r="N710">
        <v>0</v>
      </c>
    </row>
    <row r="711" spans="1:14">
      <c r="A711" t="s">
        <v>1822</v>
      </c>
      <c r="B711" t="s">
        <v>1506</v>
      </c>
      <c r="C711">
        <v>909</v>
      </c>
      <c r="D711" t="s">
        <v>5672</v>
      </c>
      <c r="E711" t="s">
        <v>5673</v>
      </c>
      <c r="J711" s="520">
        <v>1163</v>
      </c>
      <c r="K711">
        <v>0</v>
      </c>
      <c r="L711">
        <v>0</v>
      </c>
      <c r="N711">
        <v>0</v>
      </c>
    </row>
    <row r="712" spans="1:14">
      <c r="A712" t="s">
        <v>885</v>
      </c>
      <c r="B712" t="s">
        <v>1506</v>
      </c>
      <c r="C712">
        <v>909</v>
      </c>
      <c r="D712" t="s">
        <v>5672</v>
      </c>
      <c r="E712" t="s">
        <v>5673</v>
      </c>
      <c r="J712" s="520">
        <v>1173</v>
      </c>
      <c r="K712">
        <v>0</v>
      </c>
      <c r="L712">
        <v>0</v>
      </c>
      <c r="N712">
        <v>0</v>
      </c>
    </row>
    <row r="713" spans="1:14">
      <c r="A713" t="s">
        <v>6523</v>
      </c>
      <c r="B713" t="s">
        <v>1506</v>
      </c>
      <c r="C713">
        <v>909</v>
      </c>
      <c r="D713" t="s">
        <v>1487</v>
      </c>
      <c r="E713" t="s">
        <v>6524</v>
      </c>
      <c r="F713" s="519">
        <v>45778</v>
      </c>
      <c r="G713" s="519">
        <v>45778</v>
      </c>
      <c r="H713" s="519">
        <v>46142</v>
      </c>
      <c r="J713" s="520">
        <v>1238</v>
      </c>
      <c r="K713" s="520">
        <v>1637.21</v>
      </c>
      <c r="L713" s="520">
        <v>1544.5</v>
      </c>
      <c r="M713">
        <v>0</v>
      </c>
      <c r="N713">
        <v>0</v>
      </c>
    </row>
    <row r="714" spans="1:14">
      <c r="A714" t="s">
        <v>3684</v>
      </c>
      <c r="B714" t="s">
        <v>1506</v>
      </c>
      <c r="C714">
        <v>909</v>
      </c>
      <c r="D714" t="s">
        <v>1487</v>
      </c>
      <c r="E714" t="s">
        <v>6525</v>
      </c>
      <c r="F714" s="519">
        <v>43580</v>
      </c>
      <c r="G714" s="519">
        <v>46023</v>
      </c>
      <c r="J714" s="520">
        <v>1163</v>
      </c>
      <c r="K714" s="520">
        <v>1297.1400000000001</v>
      </c>
      <c r="L714" s="520">
        <v>1230.48</v>
      </c>
      <c r="M714">
        <v>0</v>
      </c>
      <c r="N714">
        <v>250</v>
      </c>
    </row>
    <row r="715" spans="1:14">
      <c r="A715" t="s">
        <v>6526</v>
      </c>
      <c r="B715" t="s">
        <v>1506</v>
      </c>
      <c r="C715">
        <v>909</v>
      </c>
      <c r="D715" t="s">
        <v>5672</v>
      </c>
      <c r="E715" t="s">
        <v>5673</v>
      </c>
      <c r="J715" s="520">
        <v>1173</v>
      </c>
      <c r="K715">
        <v>0</v>
      </c>
      <c r="L715">
        <v>0</v>
      </c>
      <c r="N715">
        <v>0</v>
      </c>
    </row>
    <row r="716" spans="1:14">
      <c r="A716" t="s">
        <v>6527</v>
      </c>
      <c r="B716" t="s">
        <v>1506</v>
      </c>
      <c r="C716">
        <v>909</v>
      </c>
      <c r="D716" t="s">
        <v>1487</v>
      </c>
      <c r="E716" t="s">
        <v>6528</v>
      </c>
      <c r="F716" s="519">
        <v>44409</v>
      </c>
      <c r="G716" s="519">
        <v>45870</v>
      </c>
      <c r="H716" s="519">
        <v>46234</v>
      </c>
      <c r="J716" s="520">
        <v>1143</v>
      </c>
      <c r="K716" s="520">
        <v>1463.14</v>
      </c>
      <c r="L716" s="520">
        <v>1396.5</v>
      </c>
      <c r="M716">
        <v>0</v>
      </c>
      <c r="N716">
        <v>0</v>
      </c>
    </row>
    <row r="717" spans="1:14">
      <c r="A717" t="s">
        <v>6529</v>
      </c>
      <c r="B717" t="s">
        <v>1506</v>
      </c>
      <c r="C717">
        <v>909</v>
      </c>
      <c r="D717" t="s">
        <v>1487</v>
      </c>
      <c r="E717" t="s">
        <v>6530</v>
      </c>
      <c r="F717" s="519">
        <v>41881</v>
      </c>
      <c r="G717" s="519">
        <v>46054</v>
      </c>
      <c r="J717" s="520">
        <v>1118</v>
      </c>
      <c r="K717" s="520">
        <v>1275.21</v>
      </c>
      <c r="L717" s="520">
        <v>1182.48</v>
      </c>
      <c r="M717">
        <v>0</v>
      </c>
      <c r="N717">
        <v>0</v>
      </c>
    </row>
    <row r="718" spans="1:14">
      <c r="A718" t="s">
        <v>6531</v>
      </c>
      <c r="B718" t="s">
        <v>1506</v>
      </c>
      <c r="C718">
        <v>909</v>
      </c>
      <c r="D718" t="s">
        <v>1487</v>
      </c>
      <c r="E718" t="s">
        <v>6532</v>
      </c>
      <c r="F718" s="519">
        <v>44470</v>
      </c>
      <c r="G718" s="519">
        <v>45931</v>
      </c>
      <c r="H718" s="519">
        <v>46295</v>
      </c>
      <c r="J718" s="520">
        <v>1128</v>
      </c>
      <c r="K718" s="520">
        <v>1480.21</v>
      </c>
      <c r="L718" s="520">
        <v>1387.49</v>
      </c>
      <c r="M718">
        <v>0</v>
      </c>
      <c r="N718">
        <v>0</v>
      </c>
    </row>
    <row r="719" spans="1:14">
      <c r="A719" t="s">
        <v>6533</v>
      </c>
      <c r="B719" t="s">
        <v>1506</v>
      </c>
      <c r="C719">
        <v>909</v>
      </c>
      <c r="D719" t="s">
        <v>1487</v>
      </c>
      <c r="E719" t="s">
        <v>6534</v>
      </c>
      <c r="F719" s="519">
        <v>44927</v>
      </c>
      <c r="G719" s="519">
        <v>46082</v>
      </c>
      <c r="H719" s="519">
        <v>46445</v>
      </c>
      <c r="J719" s="520">
        <v>1188</v>
      </c>
      <c r="K719" s="520">
        <v>1561.21</v>
      </c>
      <c r="L719" s="520">
        <v>1469</v>
      </c>
      <c r="M719">
        <v>0</v>
      </c>
      <c r="N719">
        <v>0</v>
      </c>
    </row>
    <row r="720" spans="1:14">
      <c r="A720" t="s">
        <v>1360</v>
      </c>
      <c r="B720" t="s">
        <v>1506</v>
      </c>
      <c r="C720">
        <v>909</v>
      </c>
      <c r="D720" t="s">
        <v>5672</v>
      </c>
      <c r="E720" t="s">
        <v>5673</v>
      </c>
      <c r="J720" s="520">
        <v>1163</v>
      </c>
      <c r="K720">
        <v>0</v>
      </c>
      <c r="L720">
        <v>0</v>
      </c>
      <c r="N720">
        <v>0</v>
      </c>
    </row>
    <row r="721" spans="1:14">
      <c r="A721" t="s">
        <v>1336</v>
      </c>
      <c r="B721" t="s">
        <v>1506</v>
      </c>
      <c r="C721">
        <v>909</v>
      </c>
      <c r="D721" t="s">
        <v>5686</v>
      </c>
      <c r="E721" t="s">
        <v>5673</v>
      </c>
      <c r="J721" s="520">
        <v>1128</v>
      </c>
      <c r="K721">
        <v>0</v>
      </c>
      <c r="L721">
        <v>0</v>
      </c>
      <c r="N721">
        <v>0</v>
      </c>
    </row>
    <row r="722" spans="1:14">
      <c r="A722" t="s">
        <v>6535</v>
      </c>
      <c r="B722" t="s">
        <v>1507</v>
      </c>
      <c r="C722">
        <v>921</v>
      </c>
      <c r="D722" t="s">
        <v>1487</v>
      </c>
      <c r="E722" t="s">
        <v>6536</v>
      </c>
      <c r="F722" s="519">
        <v>45997</v>
      </c>
      <c r="G722" s="519">
        <v>45997</v>
      </c>
      <c r="H722" s="519">
        <v>46361</v>
      </c>
      <c r="J722" s="520">
        <v>1096</v>
      </c>
      <c r="K722" s="520">
        <v>1567.63</v>
      </c>
      <c r="L722" s="520">
        <v>1353.5</v>
      </c>
      <c r="M722">
        <v>0</v>
      </c>
      <c r="N722">
        <v>0</v>
      </c>
    </row>
    <row r="723" spans="1:14">
      <c r="A723" t="s">
        <v>6537</v>
      </c>
      <c r="B723" t="s">
        <v>1507</v>
      </c>
      <c r="C723">
        <v>921</v>
      </c>
      <c r="D723" t="s">
        <v>1487</v>
      </c>
      <c r="E723" t="s">
        <v>6538</v>
      </c>
      <c r="F723" s="519">
        <v>45978</v>
      </c>
      <c r="G723" s="519">
        <v>45978</v>
      </c>
      <c r="H723" s="519">
        <v>46342</v>
      </c>
      <c r="J723" s="520">
        <v>1096</v>
      </c>
      <c r="K723" s="520">
        <v>1478.69</v>
      </c>
      <c r="L723" s="520">
        <v>1359.49</v>
      </c>
      <c r="M723">
        <v>0</v>
      </c>
      <c r="N723">
        <v>0</v>
      </c>
    </row>
    <row r="724" spans="1:14">
      <c r="A724" t="s">
        <v>6539</v>
      </c>
      <c r="B724" t="s">
        <v>1507</v>
      </c>
      <c r="C724">
        <v>921</v>
      </c>
      <c r="D724" t="s">
        <v>1487</v>
      </c>
      <c r="E724" t="s">
        <v>6540</v>
      </c>
      <c r="F724" s="519">
        <v>45989</v>
      </c>
      <c r="G724" s="519">
        <v>45989</v>
      </c>
      <c r="H724" s="519">
        <v>46353</v>
      </c>
      <c r="J724" s="520">
        <v>1096</v>
      </c>
      <c r="K724" s="520">
        <v>1416.76</v>
      </c>
      <c r="L724" s="520">
        <v>1353.5</v>
      </c>
      <c r="M724">
        <v>0</v>
      </c>
      <c r="N724">
        <v>0</v>
      </c>
    </row>
    <row r="725" spans="1:14">
      <c r="A725" t="s">
        <v>6541</v>
      </c>
      <c r="B725" t="s">
        <v>1507</v>
      </c>
      <c r="C725">
        <v>921</v>
      </c>
      <c r="D725" t="s">
        <v>1487</v>
      </c>
      <c r="E725" t="s">
        <v>6542</v>
      </c>
      <c r="F725" s="519">
        <v>45810</v>
      </c>
      <c r="G725" s="519">
        <v>45810</v>
      </c>
      <c r="H725" s="519">
        <v>46174</v>
      </c>
      <c r="J725" s="520">
        <v>1096</v>
      </c>
      <c r="K725" s="520">
        <v>1822.62</v>
      </c>
      <c r="L725" s="520">
        <v>1729.5</v>
      </c>
      <c r="M725">
        <v>0</v>
      </c>
      <c r="N725">
        <v>0</v>
      </c>
    </row>
    <row r="726" spans="1:14">
      <c r="A726" t="s">
        <v>1010</v>
      </c>
      <c r="B726" t="s">
        <v>1507</v>
      </c>
      <c r="C726">
        <v>921</v>
      </c>
      <c r="D726" t="s">
        <v>5686</v>
      </c>
      <c r="E726" t="s">
        <v>5673</v>
      </c>
      <c r="J726">
        <v>976</v>
      </c>
      <c r="K726">
        <v>0</v>
      </c>
      <c r="L726">
        <v>0</v>
      </c>
      <c r="N726">
        <v>0</v>
      </c>
    </row>
    <row r="727" spans="1:14">
      <c r="A727" t="s">
        <v>6543</v>
      </c>
      <c r="B727" t="s">
        <v>1507</v>
      </c>
      <c r="C727">
        <v>921</v>
      </c>
      <c r="D727" t="s">
        <v>1487</v>
      </c>
      <c r="E727" t="s">
        <v>6544</v>
      </c>
      <c r="F727" s="519">
        <v>45687</v>
      </c>
      <c r="G727" s="519">
        <v>46021</v>
      </c>
      <c r="J727" s="520">
        <v>1071</v>
      </c>
      <c r="K727" s="520">
        <v>1563.55</v>
      </c>
      <c r="L727" s="520">
        <v>1496.5</v>
      </c>
      <c r="M727">
        <v>0</v>
      </c>
      <c r="N727">
        <v>0</v>
      </c>
    </row>
    <row r="728" spans="1:14">
      <c r="A728" t="s">
        <v>2373</v>
      </c>
      <c r="B728" t="s">
        <v>1507</v>
      </c>
      <c r="C728">
        <v>921</v>
      </c>
      <c r="D728" t="s">
        <v>5781</v>
      </c>
      <c r="E728" t="s">
        <v>5673</v>
      </c>
      <c r="J728" s="520">
        <v>1071</v>
      </c>
      <c r="K728">
        <v>0</v>
      </c>
      <c r="L728">
        <v>0</v>
      </c>
    </row>
    <row r="729" spans="1:14">
      <c r="A729" t="s">
        <v>1722</v>
      </c>
      <c r="B729" t="s">
        <v>1507</v>
      </c>
      <c r="C729">
        <v>921</v>
      </c>
      <c r="D729" t="s">
        <v>5672</v>
      </c>
      <c r="E729" t="s">
        <v>5673</v>
      </c>
      <c r="J729" s="520">
        <v>1071</v>
      </c>
      <c r="K729">
        <v>0</v>
      </c>
      <c r="L729">
        <v>0</v>
      </c>
      <c r="N729">
        <v>0</v>
      </c>
    </row>
    <row r="730" spans="1:14">
      <c r="A730" t="s">
        <v>6545</v>
      </c>
      <c r="B730" t="s">
        <v>1507</v>
      </c>
      <c r="C730">
        <v>921</v>
      </c>
      <c r="D730" t="s">
        <v>1487</v>
      </c>
      <c r="E730" t="s">
        <v>6546</v>
      </c>
      <c r="F730" s="519">
        <v>45691</v>
      </c>
      <c r="G730" s="519">
        <v>46062</v>
      </c>
      <c r="H730" s="519">
        <v>46426</v>
      </c>
      <c r="J730" s="520">
        <v>1096</v>
      </c>
      <c r="K730" s="520">
        <v>1622.62</v>
      </c>
      <c r="L730" s="520">
        <v>1530</v>
      </c>
      <c r="M730">
        <v>0</v>
      </c>
      <c r="N730">
        <v>0</v>
      </c>
    </row>
    <row r="731" spans="1:14">
      <c r="A731" t="s">
        <v>1724</v>
      </c>
      <c r="B731" t="s">
        <v>1507</v>
      </c>
      <c r="C731">
        <v>921</v>
      </c>
      <c r="D731" t="s">
        <v>1487</v>
      </c>
      <c r="E731" t="s">
        <v>2099</v>
      </c>
      <c r="F731" s="519">
        <v>46133</v>
      </c>
      <c r="G731" s="519">
        <v>46133</v>
      </c>
      <c r="H731" s="519">
        <v>46497</v>
      </c>
      <c r="J731" s="520">
        <v>1096</v>
      </c>
      <c r="K731" s="520">
        <v>1010</v>
      </c>
      <c r="L731" s="520">
        <v>1225</v>
      </c>
      <c r="M731">
        <v>-160.81</v>
      </c>
      <c r="N731">
        <v>0</v>
      </c>
    </row>
    <row r="732" spans="1:14">
      <c r="A732" t="s">
        <v>881</v>
      </c>
      <c r="B732" t="s">
        <v>1507</v>
      </c>
      <c r="C732">
        <v>921</v>
      </c>
      <c r="D732" t="s">
        <v>1487</v>
      </c>
      <c r="E732" t="s">
        <v>1727</v>
      </c>
      <c r="F732" s="519">
        <v>46111</v>
      </c>
      <c r="G732" s="519">
        <v>46111</v>
      </c>
      <c r="H732" s="519">
        <v>46475</v>
      </c>
      <c r="J732" s="520">
        <v>1096</v>
      </c>
      <c r="K732" s="520">
        <v>1809</v>
      </c>
      <c r="L732" s="520">
        <v>1225</v>
      </c>
      <c r="M732">
        <v>4.96</v>
      </c>
      <c r="N732">
        <v>0</v>
      </c>
    </row>
    <row r="733" spans="1:14">
      <c r="A733" t="s">
        <v>6547</v>
      </c>
      <c r="B733" t="s">
        <v>1507</v>
      </c>
      <c r="C733">
        <v>921</v>
      </c>
      <c r="D733" t="s">
        <v>1487</v>
      </c>
      <c r="E733" t="s">
        <v>6548</v>
      </c>
      <c r="F733" s="519">
        <v>44378</v>
      </c>
      <c r="G733" s="519">
        <v>45839</v>
      </c>
      <c r="H733" s="519">
        <v>46203</v>
      </c>
      <c r="J733" s="520">
        <v>1096</v>
      </c>
      <c r="K733" s="520">
        <v>1522.55</v>
      </c>
      <c r="L733" s="520">
        <v>1455.49</v>
      </c>
      <c r="M733">
        <v>0</v>
      </c>
      <c r="N733">
        <v>0</v>
      </c>
    </row>
    <row r="734" spans="1:14">
      <c r="A734" t="s">
        <v>6549</v>
      </c>
      <c r="B734" t="s">
        <v>1507</v>
      </c>
      <c r="C734">
        <v>921</v>
      </c>
      <c r="D734" t="s">
        <v>1487</v>
      </c>
      <c r="E734" t="s">
        <v>6550</v>
      </c>
      <c r="F734" s="519">
        <v>45687</v>
      </c>
      <c r="G734" s="519">
        <v>46073</v>
      </c>
      <c r="H734" s="519">
        <v>46437</v>
      </c>
      <c r="J734" s="520">
        <v>1071</v>
      </c>
      <c r="K734" s="520">
        <v>1357.62</v>
      </c>
      <c r="L734" s="520">
        <v>1502</v>
      </c>
      <c r="M734">
        <v>0</v>
      </c>
      <c r="N734">
        <v>0</v>
      </c>
    </row>
    <row r="735" spans="1:14">
      <c r="A735" t="s">
        <v>6551</v>
      </c>
      <c r="B735" t="s">
        <v>1507</v>
      </c>
      <c r="C735">
        <v>921</v>
      </c>
      <c r="D735" t="s">
        <v>1487</v>
      </c>
      <c r="E735" t="s">
        <v>6552</v>
      </c>
      <c r="F735" s="519">
        <v>45955</v>
      </c>
      <c r="G735" s="519">
        <v>45955</v>
      </c>
      <c r="H735" s="519">
        <v>46319</v>
      </c>
      <c r="J735">
        <v>976</v>
      </c>
      <c r="K735" s="520">
        <v>1266.69</v>
      </c>
      <c r="L735" s="520">
        <v>1147.5</v>
      </c>
      <c r="M735">
        <v>0</v>
      </c>
      <c r="N735">
        <v>750</v>
      </c>
    </row>
    <row r="736" spans="1:14">
      <c r="A736" t="s">
        <v>2465</v>
      </c>
      <c r="B736" t="s">
        <v>1507</v>
      </c>
      <c r="C736">
        <v>921</v>
      </c>
      <c r="D736" t="s">
        <v>1487</v>
      </c>
      <c r="E736" t="s">
        <v>3159</v>
      </c>
      <c r="F736" s="519">
        <v>46092</v>
      </c>
      <c r="G736" s="519">
        <v>46092</v>
      </c>
      <c r="H736" s="519">
        <v>46456</v>
      </c>
      <c r="J736" s="520">
        <v>1071</v>
      </c>
      <c r="K736" s="520">
        <v>1200</v>
      </c>
      <c r="L736" s="520">
        <v>1200</v>
      </c>
      <c r="M736">
        <v>0</v>
      </c>
      <c r="N736">
        <v>0</v>
      </c>
    </row>
    <row r="737" spans="1:14">
      <c r="A737" t="s">
        <v>6553</v>
      </c>
      <c r="B737" t="s">
        <v>1507</v>
      </c>
      <c r="C737">
        <v>921</v>
      </c>
      <c r="D737" t="s">
        <v>1487</v>
      </c>
      <c r="E737" t="s">
        <v>6554</v>
      </c>
      <c r="F737" s="519">
        <v>43851</v>
      </c>
      <c r="G737" s="519">
        <v>46073</v>
      </c>
      <c r="H737" s="519">
        <v>46437</v>
      </c>
      <c r="J737" s="520">
        <v>1071</v>
      </c>
      <c r="K737" s="520">
        <v>1533.62</v>
      </c>
      <c r="L737" s="520">
        <v>1405</v>
      </c>
      <c r="M737">
        <v>0</v>
      </c>
      <c r="N737">
        <v>250</v>
      </c>
    </row>
    <row r="738" spans="1:14">
      <c r="A738" t="s">
        <v>897</v>
      </c>
      <c r="B738" t="s">
        <v>1507</v>
      </c>
      <c r="C738">
        <v>921</v>
      </c>
      <c r="D738" t="s">
        <v>1487</v>
      </c>
      <c r="E738" t="s">
        <v>1032</v>
      </c>
      <c r="F738" s="519">
        <v>46123</v>
      </c>
      <c r="G738" s="519">
        <v>46123</v>
      </c>
      <c r="H738" s="519">
        <v>46487</v>
      </c>
      <c r="J738" s="520">
        <v>1096</v>
      </c>
      <c r="K738">
        <v>883</v>
      </c>
      <c r="L738" s="520">
        <v>1172</v>
      </c>
      <c r="M738">
        <v>0</v>
      </c>
      <c r="N738">
        <v>500</v>
      </c>
    </row>
    <row r="739" spans="1:14">
      <c r="A739" t="s">
        <v>6555</v>
      </c>
      <c r="B739" t="s">
        <v>1507</v>
      </c>
      <c r="C739">
        <v>921</v>
      </c>
      <c r="D739" t="s">
        <v>6457</v>
      </c>
      <c r="E739" t="s">
        <v>5673</v>
      </c>
      <c r="J739" s="520">
        <v>1096</v>
      </c>
      <c r="K739">
        <v>0</v>
      </c>
      <c r="L739">
        <v>0</v>
      </c>
      <c r="N739">
        <v>0</v>
      </c>
    </row>
    <row r="740" spans="1:14">
      <c r="A740" t="s">
        <v>6556</v>
      </c>
      <c r="B740" t="s">
        <v>1507</v>
      </c>
      <c r="C740">
        <v>921</v>
      </c>
      <c r="D740" t="s">
        <v>1487</v>
      </c>
      <c r="E740" t="s">
        <v>6557</v>
      </c>
      <c r="F740" s="519">
        <v>41330</v>
      </c>
      <c r="G740" s="519">
        <v>45931</v>
      </c>
      <c r="H740" s="519">
        <v>46295</v>
      </c>
      <c r="J740" s="520">
        <v>1001</v>
      </c>
      <c r="K740" s="520">
        <v>1231.69</v>
      </c>
      <c r="L740" s="520">
        <v>1112.5</v>
      </c>
      <c r="M740">
        <v>0</v>
      </c>
      <c r="N740">
        <v>200</v>
      </c>
    </row>
    <row r="741" spans="1:14">
      <c r="A741" t="s">
        <v>2766</v>
      </c>
      <c r="B741" t="s">
        <v>1507</v>
      </c>
      <c r="C741">
        <v>921</v>
      </c>
      <c r="D741" t="s">
        <v>1487</v>
      </c>
      <c r="E741" t="s">
        <v>2764</v>
      </c>
      <c r="F741" s="519">
        <v>46060</v>
      </c>
      <c r="G741" s="519">
        <v>46060</v>
      </c>
      <c r="H741" s="519">
        <v>46424</v>
      </c>
      <c r="J741" s="520">
        <v>1096</v>
      </c>
      <c r="K741">
        <v>682</v>
      </c>
      <c r="L741" s="520">
        <v>1230</v>
      </c>
      <c r="M741">
        <v>0</v>
      </c>
      <c r="N741">
        <v>0</v>
      </c>
    </row>
    <row r="742" spans="1:14">
      <c r="A742" t="s">
        <v>6558</v>
      </c>
      <c r="B742" t="s">
        <v>1507</v>
      </c>
      <c r="C742">
        <v>921</v>
      </c>
      <c r="D742" t="s">
        <v>1487</v>
      </c>
      <c r="E742" t="s">
        <v>6559</v>
      </c>
      <c r="F742" s="519">
        <v>45535</v>
      </c>
      <c r="G742" s="519">
        <v>45962</v>
      </c>
      <c r="H742" s="519">
        <v>46326</v>
      </c>
      <c r="J742" s="520">
        <v>1071</v>
      </c>
      <c r="K742" s="520">
        <v>1680.62</v>
      </c>
      <c r="L742" s="520">
        <v>1587.49</v>
      </c>
      <c r="M742">
        <v>0</v>
      </c>
      <c r="N742">
        <v>750</v>
      </c>
    </row>
    <row r="743" spans="1:14">
      <c r="A743" t="s">
        <v>1122</v>
      </c>
      <c r="B743" t="s">
        <v>1507</v>
      </c>
      <c r="C743">
        <v>921</v>
      </c>
      <c r="D743" t="s">
        <v>1487</v>
      </c>
      <c r="E743" t="s">
        <v>1123</v>
      </c>
      <c r="F743" s="519">
        <v>46101</v>
      </c>
      <c r="G743" s="519">
        <v>46101</v>
      </c>
      <c r="H743" s="519">
        <v>46465</v>
      </c>
      <c r="J743" s="520">
        <v>1071</v>
      </c>
      <c r="K743">
        <v>421</v>
      </c>
      <c r="L743" s="520">
        <v>1225</v>
      </c>
      <c r="M743">
        <v>0</v>
      </c>
      <c r="N743">
        <v>0</v>
      </c>
    </row>
    <row r="744" spans="1:14">
      <c r="A744" t="s">
        <v>6560</v>
      </c>
      <c r="B744" t="s">
        <v>1507</v>
      </c>
      <c r="C744">
        <v>921</v>
      </c>
      <c r="D744" t="s">
        <v>1487</v>
      </c>
      <c r="E744" t="s">
        <v>6561</v>
      </c>
      <c r="F744" s="519">
        <v>46039</v>
      </c>
      <c r="G744" s="519">
        <v>46039</v>
      </c>
      <c r="H744" s="519">
        <v>46403</v>
      </c>
      <c r="J744">
        <v>976</v>
      </c>
      <c r="K744" s="520">
        <v>1206</v>
      </c>
      <c r="L744" s="520">
        <v>1206</v>
      </c>
      <c r="M744">
        <v>0</v>
      </c>
      <c r="N744">
        <v>0</v>
      </c>
    </row>
    <row r="745" spans="1:14">
      <c r="A745" t="s">
        <v>986</v>
      </c>
      <c r="B745" t="s">
        <v>1507</v>
      </c>
      <c r="C745">
        <v>921</v>
      </c>
      <c r="D745" t="s">
        <v>5733</v>
      </c>
      <c r="E745" t="s">
        <v>5673</v>
      </c>
      <c r="J745" s="520">
        <v>1071</v>
      </c>
      <c r="K745">
        <v>0</v>
      </c>
      <c r="L745">
        <v>0</v>
      </c>
      <c r="N745">
        <v>0</v>
      </c>
    </row>
    <row r="746" spans="1:14">
      <c r="A746" t="s">
        <v>6562</v>
      </c>
      <c r="B746" t="s">
        <v>1507</v>
      </c>
      <c r="C746">
        <v>921</v>
      </c>
      <c r="D746" t="s">
        <v>1487</v>
      </c>
      <c r="E746" t="s">
        <v>6563</v>
      </c>
      <c r="F746" s="519">
        <v>44958</v>
      </c>
      <c r="G746" s="519">
        <v>45870</v>
      </c>
      <c r="H746" s="519">
        <v>46234</v>
      </c>
      <c r="J746" s="520">
        <v>1096</v>
      </c>
      <c r="K746" s="520">
        <v>1769.55</v>
      </c>
      <c r="L746" s="520">
        <v>1702.49</v>
      </c>
      <c r="M746">
        <v>0</v>
      </c>
      <c r="N746">
        <v>0</v>
      </c>
    </row>
    <row r="747" spans="1:14">
      <c r="A747" t="s">
        <v>6564</v>
      </c>
      <c r="B747" t="s">
        <v>1507</v>
      </c>
      <c r="C747">
        <v>921</v>
      </c>
      <c r="D747" t="s">
        <v>1487</v>
      </c>
      <c r="E747" t="s">
        <v>6565</v>
      </c>
      <c r="F747" s="519">
        <v>43678</v>
      </c>
      <c r="G747" s="519">
        <v>45870</v>
      </c>
      <c r="H747" s="519">
        <v>46234</v>
      </c>
      <c r="J747" s="520">
        <v>1096</v>
      </c>
      <c r="K747" s="520">
        <v>1621.55</v>
      </c>
      <c r="L747" s="520">
        <v>1554.5</v>
      </c>
      <c r="M747">
        <v>0</v>
      </c>
      <c r="N747">
        <v>250</v>
      </c>
    </row>
    <row r="748" spans="1:14">
      <c r="A748" t="s">
        <v>3299</v>
      </c>
      <c r="B748" t="s">
        <v>1507</v>
      </c>
      <c r="C748">
        <v>921</v>
      </c>
      <c r="D748" t="s">
        <v>1485</v>
      </c>
      <c r="E748" t="s">
        <v>6566</v>
      </c>
      <c r="F748" s="519">
        <v>45565</v>
      </c>
      <c r="G748" s="519">
        <v>45991</v>
      </c>
      <c r="H748" s="519">
        <v>46142</v>
      </c>
      <c r="I748" s="519">
        <v>46172</v>
      </c>
      <c r="J748" s="520">
        <v>1096</v>
      </c>
      <c r="K748" s="520">
        <v>1767.62</v>
      </c>
      <c r="L748" s="520">
        <v>1674.5</v>
      </c>
      <c r="M748">
        <v>0</v>
      </c>
      <c r="N748">
        <v>0</v>
      </c>
    </row>
    <row r="749" spans="1:14">
      <c r="A749" t="s">
        <v>6567</v>
      </c>
      <c r="B749" t="s">
        <v>1507</v>
      </c>
      <c r="C749">
        <v>921</v>
      </c>
      <c r="D749" t="s">
        <v>1487</v>
      </c>
      <c r="E749" t="s">
        <v>6568</v>
      </c>
      <c r="F749" s="519">
        <v>45505</v>
      </c>
      <c r="G749" s="519">
        <v>45901</v>
      </c>
      <c r="H749" s="519">
        <v>46265</v>
      </c>
      <c r="J749" s="520">
        <v>1096</v>
      </c>
      <c r="K749" s="520">
        <v>1733.62</v>
      </c>
      <c r="L749" s="520">
        <v>1640.5</v>
      </c>
      <c r="M749">
        <v>0</v>
      </c>
      <c r="N749">
        <v>0</v>
      </c>
    </row>
    <row r="750" spans="1:14">
      <c r="A750" t="s">
        <v>859</v>
      </c>
      <c r="B750" t="s">
        <v>1507</v>
      </c>
      <c r="C750">
        <v>921</v>
      </c>
      <c r="D750" t="s">
        <v>5733</v>
      </c>
      <c r="E750" t="s">
        <v>5673</v>
      </c>
      <c r="J750" s="520">
        <v>1071</v>
      </c>
      <c r="K750">
        <v>0</v>
      </c>
      <c r="L750">
        <v>0</v>
      </c>
      <c r="N750">
        <v>0</v>
      </c>
    </row>
    <row r="751" spans="1:14">
      <c r="A751" t="s">
        <v>6569</v>
      </c>
      <c r="B751" t="s">
        <v>1507</v>
      </c>
      <c r="C751">
        <v>921</v>
      </c>
      <c r="D751" t="s">
        <v>1487</v>
      </c>
      <c r="E751" t="s">
        <v>6570</v>
      </c>
      <c r="F751" s="519">
        <v>43490</v>
      </c>
      <c r="G751" s="519">
        <v>46073</v>
      </c>
      <c r="H751" s="519">
        <v>46437</v>
      </c>
      <c r="J751">
        <v>976</v>
      </c>
      <c r="K751" s="520">
        <v>1186.55</v>
      </c>
      <c r="L751" s="520">
        <v>1120</v>
      </c>
      <c r="M751">
        <v>0</v>
      </c>
      <c r="N751">
        <v>250</v>
      </c>
    </row>
    <row r="752" spans="1:14">
      <c r="A752" t="s">
        <v>2511</v>
      </c>
      <c r="B752" t="s">
        <v>1507</v>
      </c>
      <c r="C752">
        <v>921</v>
      </c>
      <c r="D752" t="s">
        <v>1487</v>
      </c>
      <c r="E752" t="s">
        <v>2513</v>
      </c>
      <c r="F752" s="519">
        <v>46081</v>
      </c>
      <c r="G752" s="519">
        <v>46081</v>
      </c>
      <c r="H752" s="519">
        <v>46445</v>
      </c>
      <c r="J752" s="520">
        <v>1071</v>
      </c>
      <c r="K752" s="520">
        <v>1167</v>
      </c>
      <c r="L752" s="520">
        <v>1167</v>
      </c>
      <c r="M752">
        <v>0</v>
      </c>
      <c r="N752">
        <v>500</v>
      </c>
    </row>
    <row r="753" spans="1:14">
      <c r="A753" t="s">
        <v>6571</v>
      </c>
      <c r="B753" t="s">
        <v>1507</v>
      </c>
      <c r="C753">
        <v>921</v>
      </c>
      <c r="D753" t="s">
        <v>1486</v>
      </c>
      <c r="E753" t="s">
        <v>6572</v>
      </c>
      <c r="F753" s="519">
        <v>45215</v>
      </c>
      <c r="G753" s="519">
        <v>45962</v>
      </c>
      <c r="H753" s="519">
        <v>46142</v>
      </c>
      <c r="I753" s="519">
        <v>46195</v>
      </c>
      <c r="J753" s="520">
        <v>1071</v>
      </c>
      <c r="K753" s="520">
        <v>1765.62</v>
      </c>
      <c r="L753" s="520">
        <v>1672.48</v>
      </c>
      <c r="M753">
        <v>0</v>
      </c>
      <c r="N753">
        <v>0</v>
      </c>
    </row>
    <row r="754" spans="1:14">
      <c r="A754" t="s">
        <v>2325</v>
      </c>
      <c r="B754" t="s">
        <v>1508</v>
      </c>
      <c r="C754">
        <v>988</v>
      </c>
      <c r="D754" t="s">
        <v>1487</v>
      </c>
      <c r="E754" t="s">
        <v>2323</v>
      </c>
      <c r="F754" s="519">
        <v>46079</v>
      </c>
      <c r="G754" s="519">
        <v>46079</v>
      </c>
      <c r="H754" s="519">
        <v>46443</v>
      </c>
      <c r="J754" s="520">
        <v>1149</v>
      </c>
      <c r="K754" s="520">
        <v>1258</v>
      </c>
      <c r="L754" s="520">
        <v>1258</v>
      </c>
      <c r="M754">
        <v>0</v>
      </c>
      <c r="N754">
        <v>0</v>
      </c>
    </row>
    <row r="755" spans="1:14">
      <c r="A755" t="s">
        <v>6573</v>
      </c>
      <c r="B755" t="s">
        <v>1508</v>
      </c>
      <c r="C755">
        <v>988</v>
      </c>
      <c r="D755" t="s">
        <v>1487</v>
      </c>
      <c r="E755" t="s">
        <v>6574</v>
      </c>
      <c r="F755" s="519">
        <v>45715</v>
      </c>
      <c r="G755" s="519">
        <v>46080</v>
      </c>
      <c r="H755" s="519">
        <v>46444</v>
      </c>
      <c r="J755" s="520">
        <v>1149</v>
      </c>
      <c r="K755" s="520">
        <v>1717.92</v>
      </c>
      <c r="L755" s="520">
        <v>1623</v>
      </c>
      <c r="M755">
        <v>0</v>
      </c>
      <c r="N755">
        <v>0</v>
      </c>
    </row>
    <row r="756" spans="1:14">
      <c r="A756" t="s">
        <v>6575</v>
      </c>
      <c r="B756" t="s">
        <v>1508</v>
      </c>
      <c r="C756">
        <v>988</v>
      </c>
      <c r="D756" t="s">
        <v>1487</v>
      </c>
      <c r="E756" t="s">
        <v>6576</v>
      </c>
      <c r="F756" s="519">
        <v>44713</v>
      </c>
      <c r="G756" s="519">
        <v>45839</v>
      </c>
      <c r="H756" s="519">
        <v>46203</v>
      </c>
      <c r="J756" s="520">
        <v>1149</v>
      </c>
      <c r="K756" s="520">
        <v>1771.92</v>
      </c>
      <c r="L756" s="520">
        <v>1676.49</v>
      </c>
      <c r="M756">
        <v>0</v>
      </c>
      <c r="N756">
        <v>0</v>
      </c>
    </row>
    <row r="757" spans="1:14">
      <c r="A757" t="s">
        <v>6577</v>
      </c>
      <c r="B757" t="s">
        <v>1508</v>
      </c>
      <c r="C757">
        <v>988</v>
      </c>
      <c r="D757" t="s">
        <v>1487</v>
      </c>
      <c r="E757" t="s">
        <v>6578</v>
      </c>
      <c r="F757" s="519">
        <v>45383</v>
      </c>
      <c r="G757" s="519">
        <v>45992</v>
      </c>
      <c r="H757" s="519">
        <v>46356</v>
      </c>
      <c r="J757" s="520">
        <v>1099</v>
      </c>
      <c r="K757" s="520">
        <v>1733.01</v>
      </c>
      <c r="L757" s="520">
        <v>1612</v>
      </c>
      <c r="M757">
        <v>0</v>
      </c>
      <c r="N757">
        <v>0</v>
      </c>
    </row>
    <row r="758" spans="1:14">
      <c r="A758" t="s">
        <v>6579</v>
      </c>
      <c r="B758" t="s">
        <v>1508</v>
      </c>
      <c r="C758">
        <v>988</v>
      </c>
      <c r="D758" t="s">
        <v>1487</v>
      </c>
      <c r="E758" t="s">
        <v>6580</v>
      </c>
      <c r="F758" s="519">
        <v>45164</v>
      </c>
      <c r="G758" s="519">
        <v>45901</v>
      </c>
      <c r="H758" s="519">
        <v>46265</v>
      </c>
      <c r="J758" s="520">
        <v>1074</v>
      </c>
      <c r="K758" s="520">
        <v>1678.86</v>
      </c>
      <c r="L758" s="520">
        <v>1610</v>
      </c>
      <c r="M758">
        <v>0</v>
      </c>
      <c r="N758">
        <v>0</v>
      </c>
    </row>
    <row r="759" spans="1:14">
      <c r="A759" t="s">
        <v>6581</v>
      </c>
      <c r="B759" t="s">
        <v>1508</v>
      </c>
      <c r="C759">
        <v>988</v>
      </c>
      <c r="D759" t="s">
        <v>1487</v>
      </c>
      <c r="E759" t="s">
        <v>6582</v>
      </c>
      <c r="F759" s="519">
        <v>45806</v>
      </c>
      <c r="G759" s="519">
        <v>45806</v>
      </c>
      <c r="H759" s="519">
        <v>46170</v>
      </c>
      <c r="J759" s="520">
        <v>1124</v>
      </c>
      <c r="K759" s="520">
        <v>1510.92</v>
      </c>
      <c r="L759" s="520">
        <v>1415.5</v>
      </c>
      <c r="M759">
        <v>0</v>
      </c>
      <c r="N759">
        <v>750</v>
      </c>
    </row>
    <row r="760" spans="1:14">
      <c r="A760" t="s">
        <v>6583</v>
      </c>
      <c r="B760" t="s">
        <v>1508</v>
      </c>
      <c r="C760">
        <v>988</v>
      </c>
      <c r="D760" t="s">
        <v>1487</v>
      </c>
      <c r="E760" t="s">
        <v>6584</v>
      </c>
      <c r="F760" s="519">
        <v>42675</v>
      </c>
      <c r="G760" s="519">
        <v>45778</v>
      </c>
      <c r="H760" s="519">
        <v>46142</v>
      </c>
      <c r="J760" s="520">
        <v>1029</v>
      </c>
      <c r="K760" s="520">
        <v>1508.92</v>
      </c>
      <c r="L760" s="520">
        <v>1413.5</v>
      </c>
      <c r="M760">
        <v>0</v>
      </c>
      <c r="N760">
        <v>500</v>
      </c>
    </row>
    <row r="761" spans="1:14">
      <c r="A761" t="s">
        <v>6585</v>
      </c>
      <c r="B761" t="s">
        <v>1508</v>
      </c>
      <c r="C761">
        <v>988</v>
      </c>
      <c r="D761" t="s">
        <v>1487</v>
      </c>
      <c r="E761" t="s">
        <v>983</v>
      </c>
      <c r="F761" s="519">
        <v>45778</v>
      </c>
      <c r="G761" s="519">
        <v>45778</v>
      </c>
      <c r="H761" s="519">
        <v>46142</v>
      </c>
      <c r="I761" s="519">
        <v>46142</v>
      </c>
      <c r="J761" s="520">
        <v>1124</v>
      </c>
      <c r="K761" s="520">
        <v>1637.92</v>
      </c>
      <c r="L761" s="520">
        <v>1542.5</v>
      </c>
      <c r="M761">
        <v>0</v>
      </c>
      <c r="N761">
        <v>750</v>
      </c>
    </row>
    <row r="762" spans="1:14">
      <c r="A762" t="s">
        <v>6586</v>
      </c>
      <c r="B762" t="s">
        <v>1508</v>
      </c>
      <c r="C762">
        <v>988</v>
      </c>
      <c r="D762" t="s">
        <v>1487</v>
      </c>
      <c r="E762" t="s">
        <v>6587</v>
      </c>
      <c r="F762" s="519">
        <v>44256</v>
      </c>
      <c r="G762" s="519">
        <v>46082</v>
      </c>
      <c r="H762" s="519">
        <v>46445</v>
      </c>
      <c r="J762" s="520">
        <v>1054</v>
      </c>
      <c r="K762" s="520">
        <v>1424.86</v>
      </c>
      <c r="L762" s="520">
        <v>1356</v>
      </c>
      <c r="M762">
        <v>0</v>
      </c>
      <c r="N762">
        <v>0</v>
      </c>
    </row>
    <row r="763" spans="1:14">
      <c r="A763" t="s">
        <v>1028</v>
      </c>
      <c r="B763" t="s">
        <v>1508</v>
      </c>
      <c r="C763">
        <v>988</v>
      </c>
      <c r="D763" t="s">
        <v>1487</v>
      </c>
      <c r="E763" t="s">
        <v>1029</v>
      </c>
      <c r="F763" s="519">
        <v>46113</v>
      </c>
      <c r="G763" s="519">
        <v>46113</v>
      </c>
      <c r="H763" s="519">
        <v>46477</v>
      </c>
      <c r="J763" s="520">
        <v>1099</v>
      </c>
      <c r="K763" s="520">
        <v>1208</v>
      </c>
      <c r="L763" s="520">
        <v>1208</v>
      </c>
      <c r="M763">
        <v>0</v>
      </c>
      <c r="N763">
        <v>0</v>
      </c>
    </row>
    <row r="764" spans="1:14">
      <c r="A764" t="s">
        <v>6588</v>
      </c>
      <c r="B764" t="s">
        <v>1508</v>
      </c>
      <c r="C764">
        <v>988</v>
      </c>
      <c r="D764" t="s">
        <v>1487</v>
      </c>
      <c r="E764" t="s">
        <v>6589</v>
      </c>
      <c r="F764" s="519">
        <v>43343</v>
      </c>
      <c r="G764" s="519">
        <v>46082</v>
      </c>
      <c r="H764" s="519">
        <v>46445</v>
      </c>
      <c r="J764" s="520">
        <v>1029</v>
      </c>
      <c r="K764" s="520">
        <v>1531.86</v>
      </c>
      <c r="L764" s="520">
        <v>1463</v>
      </c>
      <c r="M764">
        <v>0</v>
      </c>
      <c r="N764">
        <v>250</v>
      </c>
    </row>
    <row r="765" spans="1:14">
      <c r="A765" t="s">
        <v>6590</v>
      </c>
      <c r="B765" t="s">
        <v>1508</v>
      </c>
      <c r="C765">
        <v>988</v>
      </c>
      <c r="D765" t="s">
        <v>1487</v>
      </c>
      <c r="E765" t="s">
        <v>6591</v>
      </c>
      <c r="F765" s="519">
        <v>31929</v>
      </c>
      <c r="G765" s="519">
        <v>46083</v>
      </c>
      <c r="H765" s="519">
        <v>46447</v>
      </c>
      <c r="J765" s="520">
        <v>1029</v>
      </c>
      <c r="K765" s="520">
        <v>1514.86</v>
      </c>
      <c r="L765" s="520">
        <v>1446</v>
      </c>
      <c r="M765">
        <v>0</v>
      </c>
      <c r="N765">
        <v>825</v>
      </c>
    </row>
    <row r="766" spans="1:14">
      <c r="A766" t="s">
        <v>6592</v>
      </c>
      <c r="B766" t="s">
        <v>1508</v>
      </c>
      <c r="C766">
        <v>988</v>
      </c>
      <c r="D766" t="s">
        <v>1487</v>
      </c>
      <c r="E766" t="s">
        <v>6593</v>
      </c>
      <c r="F766" s="519">
        <v>45474</v>
      </c>
      <c r="G766" s="519">
        <v>45870</v>
      </c>
      <c r="H766" s="519">
        <v>46234</v>
      </c>
      <c r="J766" s="520">
        <v>1099</v>
      </c>
      <c r="K766" s="520">
        <v>1755.92</v>
      </c>
      <c r="L766" s="520">
        <v>1660.5</v>
      </c>
      <c r="M766">
        <v>0</v>
      </c>
      <c r="N766">
        <v>0</v>
      </c>
    </row>
    <row r="767" spans="1:14">
      <c r="A767" t="s">
        <v>6594</v>
      </c>
      <c r="B767" t="s">
        <v>1508</v>
      </c>
      <c r="C767">
        <v>988</v>
      </c>
      <c r="D767" t="s">
        <v>1487</v>
      </c>
      <c r="E767" t="s">
        <v>6595</v>
      </c>
      <c r="F767" s="519">
        <v>45168</v>
      </c>
      <c r="G767" s="519">
        <v>45901</v>
      </c>
      <c r="H767" s="519">
        <v>46265</v>
      </c>
      <c r="J767" s="520">
        <v>1054</v>
      </c>
      <c r="K767" s="520">
        <v>1689.92</v>
      </c>
      <c r="L767" s="520">
        <v>1594.5</v>
      </c>
      <c r="M767">
        <v>0</v>
      </c>
      <c r="N767">
        <v>750</v>
      </c>
    </row>
    <row r="768" spans="1:14">
      <c r="A768" t="s">
        <v>6596</v>
      </c>
      <c r="B768" t="s">
        <v>1508</v>
      </c>
      <c r="C768">
        <v>988</v>
      </c>
      <c r="D768" t="s">
        <v>1487</v>
      </c>
      <c r="E768" t="s">
        <v>6597</v>
      </c>
      <c r="F768" s="519">
        <v>44628</v>
      </c>
      <c r="G768" s="519">
        <v>46082</v>
      </c>
      <c r="H768" s="519">
        <v>46445</v>
      </c>
      <c r="J768" s="520">
        <v>1074</v>
      </c>
      <c r="K768" s="520">
        <v>1398.92</v>
      </c>
      <c r="L768" s="520">
        <v>1471</v>
      </c>
      <c r="M768">
        <v>-334</v>
      </c>
      <c r="N768">
        <v>150</v>
      </c>
    </row>
    <row r="769" spans="1:14">
      <c r="A769" t="s">
        <v>2425</v>
      </c>
      <c r="B769" t="s">
        <v>1508</v>
      </c>
      <c r="C769">
        <v>988</v>
      </c>
      <c r="D769" t="s">
        <v>5733</v>
      </c>
      <c r="E769" t="s">
        <v>5673</v>
      </c>
      <c r="J769" s="520">
        <v>1074</v>
      </c>
      <c r="K769">
        <v>0</v>
      </c>
      <c r="L769">
        <v>0</v>
      </c>
      <c r="N769">
        <v>0</v>
      </c>
    </row>
    <row r="770" spans="1:14">
      <c r="A770" t="s">
        <v>6598</v>
      </c>
      <c r="B770" t="s">
        <v>1508</v>
      </c>
      <c r="C770">
        <v>988</v>
      </c>
      <c r="D770" t="s">
        <v>1487</v>
      </c>
      <c r="E770" t="s">
        <v>6599</v>
      </c>
      <c r="F770" s="519">
        <v>45930</v>
      </c>
      <c r="G770" s="519">
        <v>45930</v>
      </c>
      <c r="H770" s="519">
        <v>46294</v>
      </c>
      <c r="J770" s="520">
        <v>1149</v>
      </c>
      <c r="K770" s="520">
        <v>1670.92</v>
      </c>
      <c r="L770" s="520">
        <v>1575.5</v>
      </c>
      <c r="M770">
        <v>0</v>
      </c>
      <c r="N770">
        <v>750</v>
      </c>
    </row>
    <row r="771" spans="1:14">
      <c r="A771" t="s">
        <v>6600</v>
      </c>
      <c r="B771" t="s">
        <v>1508</v>
      </c>
      <c r="C771">
        <v>988</v>
      </c>
      <c r="D771" t="s">
        <v>1487</v>
      </c>
      <c r="E771" t="s">
        <v>6601</v>
      </c>
      <c r="F771" s="519">
        <v>45619</v>
      </c>
      <c r="G771" s="519">
        <v>46113</v>
      </c>
      <c r="J771" s="520">
        <v>1149</v>
      </c>
      <c r="K771" s="520">
        <v>1323.86</v>
      </c>
      <c r="L771" s="520">
        <v>1254.5</v>
      </c>
      <c r="M771">
        <v>0</v>
      </c>
      <c r="N771">
        <v>0</v>
      </c>
    </row>
    <row r="772" spans="1:14">
      <c r="A772" t="s">
        <v>982</v>
      </c>
      <c r="B772" t="s">
        <v>1508</v>
      </c>
      <c r="C772">
        <v>988</v>
      </c>
      <c r="D772" t="s">
        <v>5733</v>
      </c>
      <c r="E772" t="s">
        <v>5673</v>
      </c>
      <c r="J772" s="520">
        <v>1124</v>
      </c>
      <c r="K772">
        <v>0</v>
      </c>
      <c r="L772">
        <v>0</v>
      </c>
      <c r="N772">
        <v>0</v>
      </c>
    </row>
    <row r="773" spans="1:14">
      <c r="A773" t="s">
        <v>2575</v>
      </c>
      <c r="B773" t="s">
        <v>1508</v>
      </c>
      <c r="C773">
        <v>988</v>
      </c>
      <c r="D773" t="s">
        <v>5781</v>
      </c>
      <c r="E773" t="s">
        <v>5673</v>
      </c>
      <c r="J773" s="520">
        <v>1124</v>
      </c>
      <c r="K773">
        <v>0</v>
      </c>
      <c r="L773">
        <v>0</v>
      </c>
    </row>
    <row r="774" spans="1:14">
      <c r="A774" t="s">
        <v>6602</v>
      </c>
      <c r="B774" t="s">
        <v>1508</v>
      </c>
      <c r="C774">
        <v>988</v>
      </c>
      <c r="D774" t="s">
        <v>1487</v>
      </c>
      <c r="E774" t="s">
        <v>6603</v>
      </c>
      <c r="F774" s="519">
        <v>41362</v>
      </c>
      <c r="G774" s="519">
        <v>45931</v>
      </c>
      <c r="H774" s="519">
        <v>46295</v>
      </c>
      <c r="J774" s="520">
        <v>1054</v>
      </c>
      <c r="K774" s="520">
        <v>1459.92</v>
      </c>
      <c r="L774" s="520">
        <v>1364.49</v>
      </c>
      <c r="M774">
        <v>0</v>
      </c>
      <c r="N774">
        <v>250</v>
      </c>
    </row>
    <row r="775" spans="1:14">
      <c r="A775" t="s">
        <v>6604</v>
      </c>
      <c r="B775" t="s">
        <v>1508</v>
      </c>
      <c r="C775">
        <v>988</v>
      </c>
      <c r="D775" t="s">
        <v>1487</v>
      </c>
      <c r="E775" t="s">
        <v>6605</v>
      </c>
      <c r="F775" s="519">
        <v>45673</v>
      </c>
      <c r="G775" s="519">
        <v>46038</v>
      </c>
      <c r="J775" s="520">
        <v>1149</v>
      </c>
      <c r="K775" s="520">
        <v>1490.92</v>
      </c>
      <c r="L775" s="520">
        <v>1395.5</v>
      </c>
      <c r="M775">
        <v>0</v>
      </c>
      <c r="N775">
        <v>0</v>
      </c>
    </row>
    <row r="776" spans="1:14">
      <c r="A776" t="s">
        <v>998</v>
      </c>
      <c r="B776" t="s">
        <v>1508</v>
      </c>
      <c r="C776">
        <v>988</v>
      </c>
      <c r="D776" t="s">
        <v>1487</v>
      </c>
      <c r="E776" t="s">
        <v>999</v>
      </c>
      <c r="F776" s="519">
        <v>46120</v>
      </c>
      <c r="G776" s="519">
        <v>46120</v>
      </c>
      <c r="H776" s="519">
        <v>46484</v>
      </c>
      <c r="J776" s="520">
        <v>1054</v>
      </c>
      <c r="K776">
        <v>869</v>
      </c>
      <c r="L776" s="520">
        <v>1130</v>
      </c>
      <c r="M776">
        <v>2.66</v>
      </c>
      <c r="N776">
        <v>500</v>
      </c>
    </row>
    <row r="777" spans="1:14">
      <c r="A777" t="s">
        <v>6606</v>
      </c>
      <c r="B777" t="s">
        <v>1508</v>
      </c>
      <c r="C777">
        <v>988</v>
      </c>
      <c r="D777" t="s">
        <v>1487</v>
      </c>
      <c r="E777" t="s">
        <v>6607</v>
      </c>
      <c r="F777" s="519">
        <v>45560</v>
      </c>
      <c r="G777" s="519">
        <v>45986</v>
      </c>
      <c r="H777" s="519">
        <v>46350</v>
      </c>
      <c r="J777" s="520">
        <v>1149</v>
      </c>
      <c r="K777" s="520">
        <v>1820.01</v>
      </c>
      <c r="L777" s="520">
        <v>1699</v>
      </c>
      <c r="M777">
        <v>0</v>
      </c>
      <c r="N777">
        <v>750</v>
      </c>
    </row>
    <row r="778" spans="1:14">
      <c r="A778" t="s">
        <v>6608</v>
      </c>
      <c r="B778" t="s">
        <v>1508</v>
      </c>
      <c r="C778">
        <v>988</v>
      </c>
      <c r="D778" t="s">
        <v>1487</v>
      </c>
      <c r="E778" t="s">
        <v>6609</v>
      </c>
      <c r="F778" s="519">
        <v>44660</v>
      </c>
      <c r="G778" s="519">
        <v>46113</v>
      </c>
      <c r="H778" s="519">
        <v>46477</v>
      </c>
      <c r="J778" s="520">
        <v>1124</v>
      </c>
      <c r="K778" s="520">
        <v>1747.92</v>
      </c>
      <c r="L778" s="520">
        <v>1653</v>
      </c>
      <c r="M778">
        <v>0</v>
      </c>
      <c r="N778">
        <v>0</v>
      </c>
    </row>
    <row r="779" spans="1:14">
      <c r="A779" t="s">
        <v>2771</v>
      </c>
      <c r="B779" t="s">
        <v>1508</v>
      </c>
      <c r="C779">
        <v>988</v>
      </c>
      <c r="D779" t="s">
        <v>1487</v>
      </c>
      <c r="E779" t="s">
        <v>2800</v>
      </c>
      <c r="F779" s="519">
        <v>46095</v>
      </c>
      <c r="G779" s="519">
        <v>46095</v>
      </c>
      <c r="H779" s="519">
        <v>46459</v>
      </c>
      <c r="J779" s="520">
        <v>1074</v>
      </c>
      <c r="K779">
        <v>34</v>
      </c>
      <c r="L779" s="520">
        <v>1183</v>
      </c>
      <c r="M779">
        <v>-75</v>
      </c>
      <c r="N779">
        <v>0</v>
      </c>
    </row>
    <row r="780" spans="1:14">
      <c r="A780" t="s">
        <v>6610</v>
      </c>
      <c r="B780" t="s">
        <v>1508</v>
      </c>
      <c r="C780">
        <v>988</v>
      </c>
      <c r="D780" t="s">
        <v>1487</v>
      </c>
      <c r="E780" t="s">
        <v>6611</v>
      </c>
      <c r="F780" s="519">
        <v>42231</v>
      </c>
      <c r="G780" s="519">
        <v>45992</v>
      </c>
      <c r="H780" s="519">
        <v>46356</v>
      </c>
      <c r="J780" s="520">
        <v>1029</v>
      </c>
      <c r="K780" s="520">
        <v>1672.01</v>
      </c>
      <c r="L780" s="520">
        <v>1421</v>
      </c>
      <c r="M780">
        <v>0</v>
      </c>
      <c r="N780">
        <v>325</v>
      </c>
    </row>
    <row r="781" spans="1:14">
      <c r="A781" t="s">
        <v>6612</v>
      </c>
      <c r="B781" t="s">
        <v>1508</v>
      </c>
      <c r="C781">
        <v>988</v>
      </c>
      <c r="D781" t="s">
        <v>1487</v>
      </c>
      <c r="E781" t="s">
        <v>6613</v>
      </c>
      <c r="F781" s="519">
        <v>38257</v>
      </c>
      <c r="G781" s="519">
        <v>46082</v>
      </c>
      <c r="H781" s="519">
        <v>46445</v>
      </c>
      <c r="J781" s="520">
        <v>1029</v>
      </c>
      <c r="K781" s="520">
        <v>1321.86</v>
      </c>
      <c r="L781" s="520">
        <v>1218</v>
      </c>
      <c r="M781">
        <v>0</v>
      </c>
      <c r="N781">
        <v>0</v>
      </c>
    </row>
    <row r="782" spans="1:14">
      <c r="A782" t="s">
        <v>6614</v>
      </c>
      <c r="B782" t="s">
        <v>1508</v>
      </c>
      <c r="C782">
        <v>988</v>
      </c>
      <c r="D782" t="s">
        <v>1487</v>
      </c>
      <c r="E782" t="s">
        <v>6615</v>
      </c>
      <c r="F782" s="519">
        <v>45838</v>
      </c>
      <c r="G782" s="519">
        <v>45838</v>
      </c>
      <c r="H782" s="519">
        <v>46202</v>
      </c>
      <c r="J782" s="520">
        <v>1149</v>
      </c>
      <c r="K782" s="520">
        <v>1725.92</v>
      </c>
      <c r="L782" s="520">
        <v>1630.49</v>
      </c>
      <c r="M782">
        <v>0</v>
      </c>
      <c r="N782">
        <v>0</v>
      </c>
    </row>
    <row r="783" spans="1:14">
      <c r="A783" t="s">
        <v>1130</v>
      </c>
      <c r="B783" t="s">
        <v>1508</v>
      </c>
      <c r="C783">
        <v>988</v>
      </c>
      <c r="D783" t="s">
        <v>1487</v>
      </c>
      <c r="E783" t="s">
        <v>3218</v>
      </c>
      <c r="F783" s="519">
        <v>46094</v>
      </c>
      <c r="G783" s="519">
        <v>46094</v>
      </c>
      <c r="H783" s="519">
        <v>46458</v>
      </c>
      <c r="J783" s="520">
        <v>1054</v>
      </c>
      <c r="K783">
        <v>109</v>
      </c>
      <c r="L783" s="520">
        <v>1163</v>
      </c>
      <c r="M783">
        <v>0</v>
      </c>
      <c r="N783">
        <v>0</v>
      </c>
    </row>
    <row r="784" spans="1:14">
      <c r="A784" t="s">
        <v>1682</v>
      </c>
      <c r="B784" t="s">
        <v>1508</v>
      </c>
      <c r="C784">
        <v>988</v>
      </c>
      <c r="D784" t="s">
        <v>1487</v>
      </c>
      <c r="E784" t="s">
        <v>2328</v>
      </c>
      <c r="F784" s="519">
        <v>46087</v>
      </c>
      <c r="G784" s="519">
        <v>46088</v>
      </c>
      <c r="H784" s="519">
        <v>46452</v>
      </c>
      <c r="J784" s="520">
        <v>1099</v>
      </c>
      <c r="K784">
        <v>109</v>
      </c>
      <c r="L784" s="520">
        <v>1208</v>
      </c>
      <c r="M784">
        <v>0</v>
      </c>
      <c r="N784">
        <v>0</v>
      </c>
    </row>
    <row r="785" spans="1:14">
      <c r="A785" t="s">
        <v>6616</v>
      </c>
      <c r="B785" t="s">
        <v>1508</v>
      </c>
      <c r="C785">
        <v>988</v>
      </c>
      <c r="D785" t="s">
        <v>1487</v>
      </c>
      <c r="E785" t="s">
        <v>6617</v>
      </c>
      <c r="F785" s="519">
        <v>44813</v>
      </c>
      <c r="G785" s="519">
        <v>45901</v>
      </c>
      <c r="H785" s="519">
        <v>46265</v>
      </c>
      <c r="J785" s="520">
        <v>1149</v>
      </c>
      <c r="K785" s="520">
        <v>1993.92</v>
      </c>
      <c r="L785" s="520">
        <v>1697.5</v>
      </c>
      <c r="M785">
        <v>0</v>
      </c>
      <c r="N785">
        <v>0</v>
      </c>
    </row>
    <row r="786" spans="1:14">
      <c r="A786" t="s">
        <v>2315</v>
      </c>
      <c r="B786" t="s">
        <v>1508</v>
      </c>
      <c r="C786">
        <v>988</v>
      </c>
      <c r="D786" t="s">
        <v>1487</v>
      </c>
      <c r="E786" t="s">
        <v>2270</v>
      </c>
      <c r="F786" s="519">
        <v>46097</v>
      </c>
      <c r="G786" s="519">
        <v>46097</v>
      </c>
      <c r="H786" s="519">
        <v>46461</v>
      </c>
      <c r="J786" s="520">
        <v>1124</v>
      </c>
      <c r="K786" s="520">
        <v>1233</v>
      </c>
      <c r="L786" s="520">
        <v>1233</v>
      </c>
      <c r="M786">
        <v>0</v>
      </c>
      <c r="N786">
        <v>0</v>
      </c>
    </row>
    <row r="787" spans="1:14">
      <c r="A787" t="s">
        <v>6618</v>
      </c>
      <c r="B787" t="s">
        <v>1508</v>
      </c>
      <c r="C787">
        <v>988</v>
      </c>
      <c r="D787" t="s">
        <v>1487</v>
      </c>
      <c r="E787" t="s">
        <v>6619</v>
      </c>
      <c r="F787" s="519">
        <v>45345</v>
      </c>
      <c r="G787" s="519">
        <v>46076</v>
      </c>
      <c r="J787" s="520">
        <v>1124</v>
      </c>
      <c r="K787" s="520">
        <v>1957.86</v>
      </c>
      <c r="L787" s="520">
        <v>1690.5</v>
      </c>
      <c r="M787">
        <v>0</v>
      </c>
      <c r="N787">
        <v>750</v>
      </c>
    </row>
    <row r="788" spans="1:14">
      <c r="A788" t="s">
        <v>1684</v>
      </c>
      <c r="B788" t="s">
        <v>1508</v>
      </c>
      <c r="C788">
        <v>988</v>
      </c>
      <c r="D788" t="s">
        <v>5781</v>
      </c>
      <c r="E788" t="s">
        <v>5673</v>
      </c>
      <c r="J788" s="520">
        <v>1124</v>
      </c>
      <c r="K788">
        <v>0</v>
      </c>
      <c r="L788">
        <v>0</v>
      </c>
      <c r="N788">
        <v>0</v>
      </c>
    </row>
    <row r="789" spans="1:14">
      <c r="A789" t="s">
        <v>6620</v>
      </c>
      <c r="B789" t="s">
        <v>1508</v>
      </c>
      <c r="C789">
        <v>988</v>
      </c>
      <c r="D789" t="s">
        <v>1487</v>
      </c>
      <c r="E789" t="s">
        <v>6621</v>
      </c>
      <c r="F789" s="519">
        <v>45226</v>
      </c>
      <c r="G789" s="519">
        <v>45992</v>
      </c>
      <c r="H789" s="519">
        <v>46356</v>
      </c>
      <c r="J789" s="520">
        <v>1029</v>
      </c>
      <c r="K789" s="520">
        <v>1680.92</v>
      </c>
      <c r="L789" s="520">
        <v>1585.99</v>
      </c>
      <c r="M789">
        <v>0</v>
      </c>
      <c r="N789">
        <v>0</v>
      </c>
    </row>
    <row r="790" spans="1:14">
      <c r="A790" t="s">
        <v>2288</v>
      </c>
      <c r="B790" t="s">
        <v>1508</v>
      </c>
      <c r="C790">
        <v>988</v>
      </c>
      <c r="D790" t="s">
        <v>1486</v>
      </c>
      <c r="E790" t="s">
        <v>6622</v>
      </c>
      <c r="F790" s="519">
        <v>44713</v>
      </c>
      <c r="G790" s="519">
        <v>45778</v>
      </c>
      <c r="H790" s="519">
        <v>46142</v>
      </c>
      <c r="I790" s="519">
        <v>46144</v>
      </c>
      <c r="J790" s="520">
        <v>1054</v>
      </c>
      <c r="K790" s="520">
        <v>1466.92</v>
      </c>
      <c r="L790" s="520">
        <v>1371.49</v>
      </c>
      <c r="M790">
        <v>0</v>
      </c>
      <c r="N790">
        <v>0</v>
      </c>
    </row>
    <row r="791" spans="1:14">
      <c r="A791" t="s">
        <v>6623</v>
      </c>
      <c r="B791" t="s">
        <v>1508</v>
      </c>
      <c r="C791">
        <v>988</v>
      </c>
      <c r="D791" t="s">
        <v>1487</v>
      </c>
      <c r="E791" t="s">
        <v>6624</v>
      </c>
      <c r="F791" s="519">
        <v>45540</v>
      </c>
      <c r="G791" s="519">
        <v>45906</v>
      </c>
      <c r="H791" s="519">
        <v>46270</v>
      </c>
      <c r="J791" s="520">
        <v>1099</v>
      </c>
      <c r="K791" s="520">
        <v>1742.01</v>
      </c>
      <c r="L791" s="520">
        <v>1620.49</v>
      </c>
      <c r="M791">
        <v>0</v>
      </c>
      <c r="N791">
        <v>0</v>
      </c>
    </row>
    <row r="792" spans="1:14">
      <c r="A792" t="s">
        <v>6625</v>
      </c>
      <c r="B792" t="s">
        <v>1508</v>
      </c>
      <c r="C792">
        <v>988</v>
      </c>
      <c r="D792" t="s">
        <v>1487</v>
      </c>
      <c r="E792" t="s">
        <v>6626</v>
      </c>
      <c r="F792" s="519">
        <v>45397</v>
      </c>
      <c r="G792" s="519">
        <v>45870</v>
      </c>
      <c r="H792" s="519">
        <v>46234</v>
      </c>
      <c r="J792" s="520">
        <v>1124</v>
      </c>
      <c r="K792" s="520">
        <v>1619.86</v>
      </c>
      <c r="L792" s="520">
        <v>1378.5</v>
      </c>
      <c r="M792">
        <v>0</v>
      </c>
      <c r="N792">
        <v>150</v>
      </c>
    </row>
    <row r="793" spans="1:14">
      <c r="A793" t="s">
        <v>2861</v>
      </c>
      <c r="B793" t="s">
        <v>1508</v>
      </c>
      <c r="C793">
        <v>988</v>
      </c>
      <c r="D793" t="s">
        <v>5781</v>
      </c>
      <c r="E793" t="s">
        <v>5673</v>
      </c>
      <c r="J793" s="520">
        <v>1124</v>
      </c>
      <c r="K793">
        <v>0</v>
      </c>
      <c r="L793">
        <v>0</v>
      </c>
    </row>
    <row r="794" spans="1:14">
      <c r="A794" t="s">
        <v>6627</v>
      </c>
      <c r="B794" t="s">
        <v>1508</v>
      </c>
      <c r="C794">
        <v>988</v>
      </c>
      <c r="D794" t="s">
        <v>1487</v>
      </c>
      <c r="E794" t="s">
        <v>6628</v>
      </c>
      <c r="F794" s="519">
        <v>41821</v>
      </c>
      <c r="G794" s="519">
        <v>46082</v>
      </c>
      <c r="H794" s="519">
        <v>46445</v>
      </c>
      <c r="J794" s="520">
        <v>1054</v>
      </c>
      <c r="K794" s="520">
        <v>1172.8599999999999</v>
      </c>
      <c r="L794">
        <v>980</v>
      </c>
      <c r="M794">
        <v>0</v>
      </c>
      <c r="N794">
        <v>0</v>
      </c>
    </row>
    <row r="795" spans="1:14">
      <c r="A795" t="s">
        <v>6629</v>
      </c>
      <c r="B795" t="s">
        <v>1508</v>
      </c>
      <c r="C795">
        <v>988</v>
      </c>
      <c r="D795" t="s">
        <v>1487</v>
      </c>
      <c r="E795" t="s">
        <v>6630</v>
      </c>
      <c r="F795" s="519">
        <v>45241</v>
      </c>
      <c r="G795" s="519">
        <v>46033</v>
      </c>
      <c r="J795" s="520">
        <v>1149</v>
      </c>
      <c r="K795" s="520">
        <v>1764.86</v>
      </c>
      <c r="L795" s="520">
        <v>1695.5</v>
      </c>
      <c r="M795">
        <v>0</v>
      </c>
      <c r="N795">
        <v>0</v>
      </c>
    </row>
    <row r="796" spans="1:14">
      <c r="A796" t="s">
        <v>6631</v>
      </c>
      <c r="B796" t="s">
        <v>1508</v>
      </c>
      <c r="C796">
        <v>988</v>
      </c>
      <c r="D796" t="s">
        <v>1487</v>
      </c>
      <c r="E796" t="s">
        <v>6632</v>
      </c>
      <c r="F796" s="519">
        <v>45033</v>
      </c>
      <c r="G796" s="519">
        <v>45962</v>
      </c>
      <c r="H796" s="519">
        <v>46142</v>
      </c>
      <c r="J796" s="520">
        <v>1124</v>
      </c>
      <c r="K796" s="520">
        <v>1698.92</v>
      </c>
      <c r="L796" s="520">
        <v>1603.5</v>
      </c>
      <c r="M796">
        <v>0</v>
      </c>
      <c r="N796">
        <v>0</v>
      </c>
    </row>
    <row r="797" spans="1:14">
      <c r="A797" t="s">
        <v>6633</v>
      </c>
      <c r="B797" t="s">
        <v>1508</v>
      </c>
      <c r="C797">
        <v>988</v>
      </c>
      <c r="D797" t="s">
        <v>1487</v>
      </c>
      <c r="E797" t="s">
        <v>6634</v>
      </c>
      <c r="F797" s="519">
        <v>38815</v>
      </c>
      <c r="G797" s="519">
        <v>46082</v>
      </c>
      <c r="H797" s="519">
        <v>46445</v>
      </c>
      <c r="J797" s="520">
        <v>1029</v>
      </c>
      <c r="K797" s="520">
        <v>1263.92</v>
      </c>
      <c r="L797" s="520">
        <v>1169</v>
      </c>
      <c r="M797">
        <v>0</v>
      </c>
      <c r="N797">
        <v>200</v>
      </c>
    </row>
    <row r="798" spans="1:14">
      <c r="A798" t="s">
        <v>6635</v>
      </c>
      <c r="B798" t="s">
        <v>1508</v>
      </c>
      <c r="C798">
        <v>988</v>
      </c>
      <c r="D798" t="s">
        <v>1487</v>
      </c>
      <c r="E798" t="s">
        <v>6636</v>
      </c>
      <c r="F798" s="519">
        <v>45930</v>
      </c>
      <c r="G798" s="519">
        <v>45930</v>
      </c>
      <c r="H798" s="519">
        <v>46294</v>
      </c>
      <c r="J798" s="520">
        <v>1054</v>
      </c>
      <c r="K798" s="520">
        <v>1602.01</v>
      </c>
      <c r="L798" s="520">
        <v>1480.5</v>
      </c>
      <c r="M798">
        <v>0</v>
      </c>
      <c r="N798">
        <v>750</v>
      </c>
    </row>
    <row r="799" spans="1:14">
      <c r="A799" t="s">
        <v>1142</v>
      </c>
      <c r="B799" t="s">
        <v>1508</v>
      </c>
      <c r="C799">
        <v>988</v>
      </c>
      <c r="D799" t="s">
        <v>1487</v>
      </c>
      <c r="E799" t="s">
        <v>1703</v>
      </c>
      <c r="F799" s="519">
        <v>46130</v>
      </c>
      <c r="G799" s="519">
        <v>46130</v>
      </c>
      <c r="H799" s="519">
        <v>46494</v>
      </c>
      <c r="J799" s="520">
        <v>1054</v>
      </c>
      <c r="K799" s="520">
        <v>1107</v>
      </c>
      <c r="L799" s="520">
        <v>1163</v>
      </c>
      <c r="M799">
        <v>64.28</v>
      </c>
      <c r="N799">
        <v>0</v>
      </c>
    </row>
    <row r="800" spans="1:14">
      <c r="A800" t="s">
        <v>6637</v>
      </c>
      <c r="B800" t="s">
        <v>1508</v>
      </c>
      <c r="C800">
        <v>988</v>
      </c>
      <c r="D800" t="s">
        <v>1487</v>
      </c>
      <c r="E800" t="s">
        <v>6638</v>
      </c>
      <c r="F800" s="519">
        <v>44652</v>
      </c>
      <c r="G800" s="519">
        <v>46113</v>
      </c>
      <c r="H800" s="519">
        <v>46477</v>
      </c>
      <c r="J800" s="520">
        <v>1074</v>
      </c>
      <c r="K800" s="520">
        <v>1536.92</v>
      </c>
      <c r="L800" s="520">
        <v>1477</v>
      </c>
      <c r="M800">
        <v>0</v>
      </c>
      <c r="N800">
        <v>0</v>
      </c>
    </row>
    <row r="801" spans="1:14">
      <c r="A801" t="s">
        <v>6639</v>
      </c>
      <c r="B801" t="s">
        <v>1508</v>
      </c>
      <c r="C801">
        <v>988</v>
      </c>
      <c r="D801" t="s">
        <v>1486</v>
      </c>
      <c r="E801" t="s">
        <v>6640</v>
      </c>
      <c r="F801" s="519">
        <v>42583</v>
      </c>
      <c r="G801" s="519">
        <v>45870</v>
      </c>
      <c r="H801" s="519">
        <v>46234</v>
      </c>
      <c r="I801" s="519">
        <v>46234</v>
      </c>
      <c r="J801" s="520">
        <v>1074</v>
      </c>
      <c r="K801" s="520">
        <v>1622.01</v>
      </c>
      <c r="L801" s="520">
        <v>1500.5</v>
      </c>
      <c r="M801">
        <v>0</v>
      </c>
      <c r="N801">
        <v>550</v>
      </c>
    </row>
    <row r="802" spans="1:14">
      <c r="A802" t="s">
        <v>6641</v>
      </c>
      <c r="B802" t="s">
        <v>1508</v>
      </c>
      <c r="C802">
        <v>988</v>
      </c>
      <c r="D802" t="s">
        <v>1487</v>
      </c>
      <c r="E802" t="s">
        <v>6642</v>
      </c>
      <c r="F802" s="519">
        <v>45870</v>
      </c>
      <c r="G802" s="519">
        <v>45870</v>
      </c>
      <c r="H802" s="519">
        <v>46234</v>
      </c>
      <c r="J802" s="520">
        <v>1099</v>
      </c>
      <c r="K802" s="520">
        <v>1675.92</v>
      </c>
      <c r="L802" s="520">
        <v>1580.5</v>
      </c>
      <c r="M802">
        <v>0</v>
      </c>
      <c r="N802">
        <v>0</v>
      </c>
    </row>
    <row r="803" spans="1:14">
      <c r="A803" t="s">
        <v>890</v>
      </c>
      <c r="B803" t="s">
        <v>1508</v>
      </c>
      <c r="C803">
        <v>988</v>
      </c>
      <c r="D803" t="s">
        <v>1487</v>
      </c>
      <c r="E803" t="s">
        <v>2896</v>
      </c>
      <c r="F803" s="519">
        <v>46104</v>
      </c>
      <c r="G803" s="519">
        <v>46104</v>
      </c>
      <c r="H803" s="519">
        <v>46468</v>
      </c>
      <c r="J803" s="520">
        <v>1149</v>
      </c>
      <c r="K803">
        <v>109</v>
      </c>
      <c r="L803" s="520">
        <v>1258</v>
      </c>
      <c r="M803">
        <v>0</v>
      </c>
      <c r="N803">
        <v>0</v>
      </c>
    </row>
    <row r="804" spans="1:14">
      <c r="A804" t="s">
        <v>1705</v>
      </c>
      <c r="B804" t="s">
        <v>1508</v>
      </c>
      <c r="C804">
        <v>988</v>
      </c>
      <c r="D804" t="s">
        <v>1487</v>
      </c>
      <c r="E804" t="s">
        <v>1706</v>
      </c>
      <c r="F804" s="519">
        <v>46129</v>
      </c>
      <c r="G804" s="519">
        <v>46129</v>
      </c>
      <c r="H804" s="519">
        <v>46493</v>
      </c>
      <c r="J804" s="520">
        <v>1074</v>
      </c>
      <c r="K804" s="520">
        <v>1403</v>
      </c>
      <c r="L804" s="520">
        <v>1183</v>
      </c>
      <c r="M804">
        <v>42</v>
      </c>
      <c r="N804">
        <v>0</v>
      </c>
    </row>
    <row r="805" spans="1:14">
      <c r="A805" t="s">
        <v>993</v>
      </c>
      <c r="B805" t="s">
        <v>1508</v>
      </c>
      <c r="C805">
        <v>988</v>
      </c>
      <c r="D805" t="s">
        <v>1487</v>
      </c>
      <c r="E805" t="s">
        <v>2426</v>
      </c>
      <c r="F805" s="519">
        <v>46106</v>
      </c>
      <c r="G805" s="519">
        <v>46106</v>
      </c>
      <c r="H805" s="519">
        <v>46470</v>
      </c>
      <c r="J805" s="520">
        <v>1124</v>
      </c>
      <c r="K805">
        <v>109</v>
      </c>
      <c r="L805" s="520">
        <v>1198</v>
      </c>
      <c r="M805">
        <v>-585.5</v>
      </c>
      <c r="N805">
        <v>0</v>
      </c>
    </row>
    <row r="806" spans="1:14">
      <c r="A806" t="s">
        <v>2508</v>
      </c>
      <c r="B806" t="s">
        <v>1508</v>
      </c>
      <c r="C806">
        <v>988</v>
      </c>
      <c r="D806" t="s">
        <v>1487</v>
      </c>
      <c r="E806" t="s">
        <v>3141</v>
      </c>
      <c r="F806" s="519">
        <v>46127</v>
      </c>
      <c r="G806" s="519">
        <v>46127</v>
      </c>
      <c r="H806" s="519">
        <v>46491</v>
      </c>
      <c r="J806" s="520">
        <v>1099</v>
      </c>
      <c r="K806">
        <v>630</v>
      </c>
      <c r="L806" s="520">
        <v>1175</v>
      </c>
      <c r="M806">
        <v>0</v>
      </c>
      <c r="N806">
        <v>500</v>
      </c>
    </row>
    <row r="807" spans="1:14">
      <c r="A807" t="s">
        <v>6643</v>
      </c>
      <c r="B807" t="s">
        <v>1508</v>
      </c>
      <c r="C807">
        <v>988</v>
      </c>
      <c r="D807" t="s">
        <v>6041</v>
      </c>
      <c r="E807" t="s">
        <v>5673</v>
      </c>
      <c r="J807" s="520">
        <v>1099</v>
      </c>
      <c r="K807">
        <v>0</v>
      </c>
      <c r="L807">
        <v>0</v>
      </c>
      <c r="N807">
        <v>0</v>
      </c>
    </row>
    <row r="808" spans="1:14">
      <c r="A808" t="s">
        <v>2108</v>
      </c>
      <c r="B808" t="s">
        <v>1508</v>
      </c>
      <c r="C808">
        <v>988</v>
      </c>
      <c r="D808" t="s">
        <v>1487</v>
      </c>
      <c r="E808" t="s">
        <v>2109</v>
      </c>
      <c r="F808" s="519">
        <v>46039</v>
      </c>
      <c r="G808" s="519">
        <v>46039</v>
      </c>
      <c r="H808" s="519">
        <v>46403</v>
      </c>
      <c r="J808" s="520">
        <v>1074</v>
      </c>
      <c r="K808" s="520">
        <v>1510</v>
      </c>
      <c r="L808" s="520">
        <v>1460</v>
      </c>
      <c r="M808">
        <v>0</v>
      </c>
      <c r="N808">
        <v>0</v>
      </c>
    </row>
    <row r="809" spans="1:14">
      <c r="A809" t="s">
        <v>1134</v>
      </c>
      <c r="B809" t="s">
        <v>1508</v>
      </c>
      <c r="C809">
        <v>988</v>
      </c>
      <c r="D809" t="s">
        <v>1487</v>
      </c>
      <c r="E809" t="s">
        <v>1135</v>
      </c>
      <c r="F809" s="519">
        <v>46113</v>
      </c>
      <c r="G809" s="519">
        <v>46113</v>
      </c>
      <c r="H809" s="519">
        <v>46477</v>
      </c>
      <c r="J809" s="520">
        <v>1029</v>
      </c>
      <c r="K809" s="520">
        <v>1312</v>
      </c>
      <c r="L809" s="520">
        <v>1138</v>
      </c>
      <c r="M809">
        <v>0</v>
      </c>
      <c r="N809">
        <v>0</v>
      </c>
    </row>
    <row r="810" spans="1:14">
      <c r="A810" t="s">
        <v>1165</v>
      </c>
      <c r="B810" t="s">
        <v>1509</v>
      </c>
      <c r="C810">
        <v>1000</v>
      </c>
      <c r="D810" t="s">
        <v>1487</v>
      </c>
      <c r="E810" t="s">
        <v>990</v>
      </c>
      <c r="F810" s="519">
        <v>46122</v>
      </c>
      <c r="G810" s="519">
        <v>46122</v>
      </c>
      <c r="H810" s="519">
        <v>46486</v>
      </c>
      <c r="J810" s="520">
        <v>1112</v>
      </c>
      <c r="K810">
        <v>860</v>
      </c>
      <c r="L810" s="520">
        <v>1221</v>
      </c>
      <c r="M810">
        <v>-494.7</v>
      </c>
      <c r="N810">
        <v>0</v>
      </c>
    </row>
    <row r="811" spans="1:14">
      <c r="A811" t="s">
        <v>876</v>
      </c>
      <c r="B811" t="s">
        <v>1509</v>
      </c>
      <c r="C811">
        <v>1000</v>
      </c>
      <c r="D811" t="s">
        <v>5672</v>
      </c>
      <c r="E811" t="s">
        <v>5673</v>
      </c>
      <c r="J811" s="520">
        <v>1112</v>
      </c>
      <c r="K811">
        <v>0</v>
      </c>
      <c r="L811">
        <v>0</v>
      </c>
      <c r="N811">
        <v>0</v>
      </c>
    </row>
    <row r="812" spans="1:14">
      <c r="A812" t="s">
        <v>6644</v>
      </c>
      <c r="B812" t="s">
        <v>1509</v>
      </c>
      <c r="C812">
        <v>1000</v>
      </c>
      <c r="D812" t="s">
        <v>1487</v>
      </c>
      <c r="E812" t="s">
        <v>6645</v>
      </c>
      <c r="F812" s="519">
        <v>44323</v>
      </c>
      <c r="G812" s="519">
        <v>45778</v>
      </c>
      <c r="H812" s="519">
        <v>46173</v>
      </c>
      <c r="J812" s="520">
        <v>1162</v>
      </c>
      <c r="K812" s="520">
        <v>1542.27</v>
      </c>
      <c r="L812" s="520">
        <v>1472.5</v>
      </c>
      <c r="M812">
        <v>0</v>
      </c>
      <c r="N812">
        <v>0</v>
      </c>
    </row>
    <row r="813" spans="1:14">
      <c r="A813" t="s">
        <v>6646</v>
      </c>
      <c r="B813" t="s">
        <v>1509</v>
      </c>
      <c r="C813">
        <v>1000</v>
      </c>
      <c r="D813" t="s">
        <v>1487</v>
      </c>
      <c r="E813" t="s">
        <v>6647</v>
      </c>
      <c r="F813" s="519">
        <v>43642</v>
      </c>
      <c r="G813" s="519">
        <v>45901</v>
      </c>
      <c r="H813" s="519">
        <v>46265</v>
      </c>
      <c r="J813" s="520">
        <v>1112</v>
      </c>
      <c r="K813" s="520">
        <v>1571.42</v>
      </c>
      <c r="L813" s="520">
        <v>1449.97</v>
      </c>
      <c r="M813">
        <v>0</v>
      </c>
      <c r="N813">
        <v>250</v>
      </c>
    </row>
    <row r="814" spans="1:14">
      <c r="A814" t="s">
        <v>1844</v>
      </c>
      <c r="B814" t="s">
        <v>1509</v>
      </c>
      <c r="C814">
        <v>1000</v>
      </c>
      <c r="D814" t="s">
        <v>1487</v>
      </c>
      <c r="E814" t="s">
        <v>1845</v>
      </c>
      <c r="F814" s="519">
        <v>45720</v>
      </c>
      <c r="G814" s="519">
        <v>46087</v>
      </c>
      <c r="H814" s="519">
        <v>46451</v>
      </c>
      <c r="J814" s="520">
        <v>1112</v>
      </c>
      <c r="K814" s="520">
        <v>1729.27</v>
      </c>
      <c r="L814" s="520">
        <v>1492</v>
      </c>
      <c r="M814">
        <v>289.49</v>
      </c>
      <c r="N814">
        <v>0</v>
      </c>
    </row>
    <row r="815" spans="1:14">
      <c r="A815" t="s">
        <v>2487</v>
      </c>
      <c r="B815" t="s">
        <v>1509</v>
      </c>
      <c r="C815">
        <v>1000</v>
      </c>
      <c r="D815" t="s">
        <v>5781</v>
      </c>
      <c r="E815" t="s">
        <v>5673</v>
      </c>
      <c r="J815" s="520">
        <v>1112</v>
      </c>
      <c r="K815">
        <v>0</v>
      </c>
      <c r="L815">
        <v>0</v>
      </c>
      <c r="N815">
        <v>0</v>
      </c>
    </row>
    <row r="816" spans="1:14">
      <c r="A816" t="s">
        <v>1846</v>
      </c>
      <c r="B816" t="s">
        <v>1509</v>
      </c>
      <c r="C816">
        <v>1000</v>
      </c>
      <c r="D816" t="s">
        <v>5672</v>
      </c>
      <c r="E816" t="s">
        <v>5673</v>
      </c>
      <c r="J816" s="520">
        <v>1067</v>
      </c>
      <c r="K816">
        <v>0</v>
      </c>
      <c r="L816">
        <v>0</v>
      </c>
      <c r="N816">
        <v>0</v>
      </c>
    </row>
    <row r="817" spans="1:14">
      <c r="A817" t="s">
        <v>6648</v>
      </c>
      <c r="B817" t="s">
        <v>1509</v>
      </c>
      <c r="C817">
        <v>1000</v>
      </c>
      <c r="D817" t="s">
        <v>1487</v>
      </c>
      <c r="E817" t="s">
        <v>6649</v>
      </c>
      <c r="F817" s="519">
        <v>44593</v>
      </c>
      <c r="G817" s="519">
        <v>46072</v>
      </c>
      <c r="H817" s="519">
        <v>46436</v>
      </c>
      <c r="J817" s="520">
        <v>1137</v>
      </c>
      <c r="K817" s="520">
        <v>1736.34</v>
      </c>
      <c r="L817" s="520">
        <v>1643</v>
      </c>
      <c r="M817">
        <v>-6</v>
      </c>
      <c r="N817">
        <v>0</v>
      </c>
    </row>
    <row r="818" spans="1:14">
      <c r="A818" t="s">
        <v>1169</v>
      </c>
      <c r="B818" t="s">
        <v>1509</v>
      </c>
      <c r="C818">
        <v>1000</v>
      </c>
      <c r="D818" t="s">
        <v>1487</v>
      </c>
      <c r="E818" t="s">
        <v>1157</v>
      </c>
      <c r="F818" s="519">
        <v>46129</v>
      </c>
      <c r="G818" s="519">
        <v>46129</v>
      </c>
      <c r="H818" s="519">
        <v>46493</v>
      </c>
      <c r="J818" s="520">
        <v>1087</v>
      </c>
      <c r="K818" s="520">
        <v>1572</v>
      </c>
      <c r="L818" s="520">
        <v>1221</v>
      </c>
      <c r="M818">
        <v>0</v>
      </c>
      <c r="N818">
        <v>0</v>
      </c>
    </row>
    <row r="819" spans="1:14">
      <c r="A819" t="s">
        <v>3234</v>
      </c>
      <c r="B819" t="s">
        <v>1509</v>
      </c>
      <c r="C819">
        <v>1000</v>
      </c>
      <c r="D819" t="s">
        <v>1487</v>
      </c>
      <c r="E819" t="s">
        <v>2770</v>
      </c>
      <c r="F819" s="519">
        <v>46091</v>
      </c>
      <c r="G819" s="519">
        <v>46091</v>
      </c>
      <c r="H819" s="519">
        <v>46455</v>
      </c>
      <c r="J819" s="520">
        <v>1137</v>
      </c>
      <c r="K819">
        <v>110</v>
      </c>
      <c r="L819" s="520">
        <v>1247</v>
      </c>
      <c r="M819">
        <v>0</v>
      </c>
      <c r="N819">
        <v>0</v>
      </c>
    </row>
    <row r="820" spans="1:14">
      <c r="A820" t="s">
        <v>6650</v>
      </c>
      <c r="B820" t="s">
        <v>1509</v>
      </c>
      <c r="C820">
        <v>1000</v>
      </c>
      <c r="D820" t="s">
        <v>1487</v>
      </c>
      <c r="E820" t="s">
        <v>6651</v>
      </c>
      <c r="F820" s="519">
        <v>44774</v>
      </c>
      <c r="G820" s="519">
        <v>45870</v>
      </c>
      <c r="H820" s="519">
        <v>46234</v>
      </c>
      <c r="J820" s="520">
        <v>1137</v>
      </c>
      <c r="K820" s="520">
        <v>1784.34</v>
      </c>
      <c r="L820" s="520">
        <v>1688.5</v>
      </c>
      <c r="M820">
        <v>0</v>
      </c>
      <c r="N820">
        <v>0</v>
      </c>
    </row>
    <row r="821" spans="1:14">
      <c r="A821" t="s">
        <v>6652</v>
      </c>
      <c r="B821" t="s">
        <v>1509</v>
      </c>
      <c r="C821">
        <v>1000</v>
      </c>
      <c r="D821" t="s">
        <v>1487</v>
      </c>
      <c r="E821" t="s">
        <v>6653</v>
      </c>
      <c r="F821" s="519">
        <v>45113</v>
      </c>
      <c r="G821" s="519">
        <v>45931</v>
      </c>
      <c r="H821" s="519">
        <v>46295</v>
      </c>
      <c r="J821" s="520">
        <v>1087</v>
      </c>
      <c r="K821" s="520">
        <v>1621.27</v>
      </c>
      <c r="L821" s="520">
        <v>1551.5</v>
      </c>
      <c r="M821">
        <v>0</v>
      </c>
      <c r="N821">
        <v>750</v>
      </c>
    </row>
    <row r="822" spans="1:14">
      <c r="A822" t="s">
        <v>1171</v>
      </c>
      <c r="B822" t="s">
        <v>1509</v>
      </c>
      <c r="C822">
        <v>1000</v>
      </c>
      <c r="D822" t="s">
        <v>1487</v>
      </c>
      <c r="E822" t="s">
        <v>2101</v>
      </c>
      <c r="F822" s="519">
        <v>46135</v>
      </c>
      <c r="G822" s="519">
        <v>46135</v>
      </c>
      <c r="H822" s="519">
        <v>46499</v>
      </c>
      <c r="J822" s="520">
        <v>1087</v>
      </c>
      <c r="K822">
        <v>921</v>
      </c>
      <c r="L822" s="520">
        <v>1196</v>
      </c>
      <c r="M822">
        <v>-496.94</v>
      </c>
      <c r="N822">
        <v>0</v>
      </c>
    </row>
    <row r="823" spans="1:14">
      <c r="A823" t="s">
        <v>6654</v>
      </c>
      <c r="B823" t="s">
        <v>1509</v>
      </c>
      <c r="C823">
        <v>1000</v>
      </c>
      <c r="D823" t="s">
        <v>1487</v>
      </c>
      <c r="E823" t="s">
        <v>6655</v>
      </c>
      <c r="F823" s="519">
        <v>43717</v>
      </c>
      <c r="G823" s="519">
        <v>46113</v>
      </c>
      <c r="H823" s="519">
        <v>46477</v>
      </c>
      <c r="J823" s="520">
        <v>1087</v>
      </c>
      <c r="K823" s="520">
        <v>1562.42</v>
      </c>
      <c r="L823" s="520">
        <v>1441</v>
      </c>
      <c r="M823">
        <v>0</v>
      </c>
      <c r="N823">
        <v>250</v>
      </c>
    </row>
    <row r="824" spans="1:14">
      <c r="A824" t="s">
        <v>570</v>
      </c>
      <c r="B824" t="s">
        <v>1509</v>
      </c>
      <c r="C824">
        <v>1000</v>
      </c>
      <c r="D824" t="s">
        <v>5672</v>
      </c>
      <c r="E824" t="s">
        <v>5673</v>
      </c>
      <c r="J824" s="520">
        <v>1112</v>
      </c>
      <c r="K824">
        <v>0</v>
      </c>
      <c r="L824">
        <v>0</v>
      </c>
      <c r="N824">
        <v>0</v>
      </c>
    </row>
    <row r="825" spans="1:14">
      <c r="A825" t="s">
        <v>1025</v>
      </c>
      <c r="B825" t="s">
        <v>1509</v>
      </c>
      <c r="C825">
        <v>1000</v>
      </c>
      <c r="D825" t="s">
        <v>1487</v>
      </c>
      <c r="E825" t="s">
        <v>3787</v>
      </c>
      <c r="F825" s="519">
        <v>46128</v>
      </c>
      <c r="G825" s="519">
        <v>46128</v>
      </c>
      <c r="H825" s="519">
        <v>46492</v>
      </c>
      <c r="J825" s="520">
        <v>1162</v>
      </c>
      <c r="K825" s="520">
        <v>1237</v>
      </c>
      <c r="L825" s="520">
        <v>1271</v>
      </c>
      <c r="M825">
        <v>0</v>
      </c>
      <c r="N825">
        <v>0</v>
      </c>
    </row>
    <row r="826" spans="1:14">
      <c r="A826" t="s">
        <v>5623</v>
      </c>
      <c r="B826" t="s">
        <v>1509</v>
      </c>
      <c r="C826">
        <v>1000</v>
      </c>
      <c r="D826" t="s">
        <v>5781</v>
      </c>
      <c r="E826" t="s">
        <v>5673</v>
      </c>
      <c r="J826" s="520">
        <v>1162</v>
      </c>
      <c r="K826">
        <v>0</v>
      </c>
      <c r="L826">
        <v>0</v>
      </c>
    </row>
    <row r="827" spans="1:14">
      <c r="A827" t="s">
        <v>1880</v>
      </c>
      <c r="B827" t="s">
        <v>1509</v>
      </c>
      <c r="C827">
        <v>1000</v>
      </c>
      <c r="D827" t="s">
        <v>5781</v>
      </c>
      <c r="E827" t="s">
        <v>5673</v>
      </c>
      <c r="J827" s="520">
        <v>1067</v>
      </c>
      <c r="K827">
        <v>0</v>
      </c>
      <c r="L827">
        <v>0</v>
      </c>
      <c r="N827">
        <v>0</v>
      </c>
    </row>
    <row r="828" spans="1:14">
      <c r="A828" t="s">
        <v>6656</v>
      </c>
      <c r="B828" t="s">
        <v>1509</v>
      </c>
      <c r="C828">
        <v>1000</v>
      </c>
      <c r="D828" t="s">
        <v>6457</v>
      </c>
      <c r="E828" t="s">
        <v>5673</v>
      </c>
      <c r="J828" s="520">
        <v>1112</v>
      </c>
      <c r="K828">
        <v>0</v>
      </c>
      <c r="L828">
        <v>0</v>
      </c>
      <c r="N828">
        <v>0</v>
      </c>
    </row>
    <row r="829" spans="1:14">
      <c r="A829" t="s">
        <v>6657</v>
      </c>
      <c r="B829" t="s">
        <v>1509</v>
      </c>
      <c r="C829">
        <v>1000</v>
      </c>
      <c r="D829" t="s">
        <v>1486</v>
      </c>
      <c r="E829" t="s">
        <v>6658</v>
      </c>
      <c r="F829" s="519">
        <v>44369</v>
      </c>
      <c r="G829" s="519">
        <v>45901</v>
      </c>
      <c r="H829" s="519">
        <v>46265</v>
      </c>
      <c r="I829" s="519">
        <v>46265</v>
      </c>
      <c r="J829" s="520">
        <v>1112</v>
      </c>
      <c r="K829" s="520">
        <v>1677.34</v>
      </c>
      <c r="L829" s="520">
        <v>1581.5</v>
      </c>
      <c r="M829">
        <v>0</v>
      </c>
      <c r="N829">
        <v>0</v>
      </c>
    </row>
    <row r="830" spans="1:14">
      <c r="A830" t="s">
        <v>6659</v>
      </c>
      <c r="B830" t="s">
        <v>1509</v>
      </c>
      <c r="C830">
        <v>1000</v>
      </c>
      <c r="D830" t="s">
        <v>1487</v>
      </c>
      <c r="E830" t="s">
        <v>6660</v>
      </c>
      <c r="F830" s="519">
        <v>45231</v>
      </c>
      <c r="G830" s="519">
        <v>46082</v>
      </c>
      <c r="H830" s="519">
        <v>46445</v>
      </c>
      <c r="J830" s="520">
        <v>1112</v>
      </c>
      <c r="K830" s="520">
        <v>1572.34</v>
      </c>
      <c r="L830" s="520">
        <v>1477</v>
      </c>
      <c r="M830">
        <v>0</v>
      </c>
      <c r="N830">
        <v>750</v>
      </c>
    </row>
    <row r="831" spans="1:14">
      <c r="A831" t="s">
        <v>1042</v>
      </c>
      <c r="B831" t="s">
        <v>1509</v>
      </c>
      <c r="C831">
        <v>1000</v>
      </c>
      <c r="D831" t="s">
        <v>5781</v>
      </c>
      <c r="E831" t="s">
        <v>5673</v>
      </c>
      <c r="J831" s="520">
        <v>1042</v>
      </c>
      <c r="K831">
        <v>0</v>
      </c>
      <c r="L831">
        <v>0</v>
      </c>
    </row>
    <row r="832" spans="1:14">
      <c r="A832" t="s">
        <v>886</v>
      </c>
      <c r="B832" t="s">
        <v>1509</v>
      </c>
      <c r="C832">
        <v>1000</v>
      </c>
      <c r="D832" t="s">
        <v>5672</v>
      </c>
      <c r="E832" t="s">
        <v>5673</v>
      </c>
      <c r="J832" s="520">
        <v>1042</v>
      </c>
      <c r="K832">
        <v>0</v>
      </c>
      <c r="L832">
        <v>0</v>
      </c>
      <c r="N832">
        <v>0</v>
      </c>
    </row>
    <row r="833" spans="1:14">
      <c r="A833" t="s">
        <v>2276</v>
      </c>
      <c r="B833" t="s">
        <v>1509</v>
      </c>
      <c r="C833">
        <v>1000</v>
      </c>
      <c r="D833" t="s">
        <v>1487</v>
      </c>
      <c r="E833" t="s">
        <v>2275</v>
      </c>
      <c r="F833" s="519">
        <v>46083</v>
      </c>
      <c r="G833" s="519">
        <v>46083</v>
      </c>
      <c r="H833" s="519">
        <v>46447</v>
      </c>
      <c r="J833" s="520">
        <v>1072</v>
      </c>
      <c r="K833">
        <v>109</v>
      </c>
      <c r="L833" s="520">
        <v>1181</v>
      </c>
      <c r="M833">
        <v>0</v>
      </c>
      <c r="N833">
        <v>0</v>
      </c>
    </row>
    <row r="834" spans="1:14">
      <c r="A834" t="s">
        <v>2581</v>
      </c>
      <c r="B834" t="s">
        <v>1509</v>
      </c>
      <c r="C834">
        <v>1000</v>
      </c>
      <c r="D834" t="s">
        <v>5781</v>
      </c>
      <c r="E834" t="s">
        <v>5673</v>
      </c>
      <c r="J834" s="520">
        <v>1087</v>
      </c>
      <c r="K834">
        <v>0</v>
      </c>
      <c r="L834">
        <v>0</v>
      </c>
    </row>
    <row r="835" spans="1:14">
      <c r="A835" t="s">
        <v>6661</v>
      </c>
      <c r="B835" t="s">
        <v>1509</v>
      </c>
      <c r="C835">
        <v>1000</v>
      </c>
      <c r="D835" t="s">
        <v>5733</v>
      </c>
      <c r="E835" t="s">
        <v>5673</v>
      </c>
      <c r="J835" s="520">
        <v>1137</v>
      </c>
      <c r="K835">
        <v>0</v>
      </c>
      <c r="L835">
        <v>0</v>
      </c>
    </row>
    <row r="836" spans="1:14">
      <c r="A836" t="s">
        <v>2945</v>
      </c>
      <c r="B836" t="s">
        <v>1509</v>
      </c>
      <c r="C836">
        <v>1000</v>
      </c>
      <c r="D836" t="s">
        <v>1487</v>
      </c>
      <c r="E836" t="s">
        <v>2431</v>
      </c>
      <c r="F836" s="519">
        <v>46094</v>
      </c>
      <c r="G836" s="519">
        <v>46094</v>
      </c>
      <c r="H836" s="519">
        <v>46458</v>
      </c>
      <c r="J836" s="520">
        <v>1087</v>
      </c>
      <c r="K836">
        <v>76</v>
      </c>
      <c r="L836" s="520">
        <v>1118</v>
      </c>
      <c r="M836">
        <v>0</v>
      </c>
      <c r="N836">
        <v>500</v>
      </c>
    </row>
    <row r="837" spans="1:14">
      <c r="A837" t="s">
        <v>6662</v>
      </c>
      <c r="B837" t="s">
        <v>1509</v>
      </c>
      <c r="C837">
        <v>1000</v>
      </c>
      <c r="D837" t="s">
        <v>1487</v>
      </c>
      <c r="E837" t="s">
        <v>6663</v>
      </c>
      <c r="F837" s="519">
        <v>45078</v>
      </c>
      <c r="G837" s="519">
        <v>45901</v>
      </c>
      <c r="H837" s="519">
        <v>46265</v>
      </c>
      <c r="J837" s="520">
        <v>1137</v>
      </c>
      <c r="K837" s="520">
        <v>1794.34</v>
      </c>
      <c r="L837" s="520">
        <v>1698.5</v>
      </c>
      <c r="M837">
        <v>0</v>
      </c>
      <c r="N837">
        <v>0</v>
      </c>
    </row>
    <row r="838" spans="1:14">
      <c r="A838" t="s">
        <v>6664</v>
      </c>
      <c r="B838" t="s">
        <v>1510</v>
      </c>
      <c r="C838">
        <v>1066</v>
      </c>
      <c r="D838" t="s">
        <v>1487</v>
      </c>
      <c r="E838" t="s">
        <v>6665</v>
      </c>
      <c r="F838" s="519">
        <v>45967</v>
      </c>
      <c r="G838" s="519">
        <v>45967</v>
      </c>
      <c r="H838" s="519">
        <v>46331</v>
      </c>
      <c r="J838" s="520">
        <v>1232</v>
      </c>
      <c r="K838" s="520">
        <v>1439.54</v>
      </c>
      <c r="L838" s="520">
        <v>1367.5</v>
      </c>
      <c r="M838">
        <v>0</v>
      </c>
      <c r="N838">
        <v>0</v>
      </c>
    </row>
    <row r="839" spans="1:14">
      <c r="A839" t="s">
        <v>2769</v>
      </c>
      <c r="B839" t="s">
        <v>1510</v>
      </c>
      <c r="C839">
        <v>1066</v>
      </c>
      <c r="D839" t="s">
        <v>1487</v>
      </c>
      <c r="E839" t="s">
        <v>2768</v>
      </c>
      <c r="F839" s="519">
        <v>46083</v>
      </c>
      <c r="G839" s="519">
        <v>46083</v>
      </c>
      <c r="H839" s="519">
        <v>46447</v>
      </c>
      <c r="J839" s="520">
        <v>1232</v>
      </c>
      <c r="K839" s="520">
        <v>1453</v>
      </c>
      <c r="L839" s="520">
        <v>1453</v>
      </c>
      <c r="M839">
        <v>0</v>
      </c>
      <c r="N839">
        <v>0</v>
      </c>
    </row>
    <row r="840" spans="1:14">
      <c r="A840" t="s">
        <v>6666</v>
      </c>
      <c r="B840" t="s">
        <v>1510</v>
      </c>
      <c r="C840">
        <v>1066</v>
      </c>
      <c r="D840" t="s">
        <v>1487</v>
      </c>
      <c r="E840" t="s">
        <v>6667</v>
      </c>
      <c r="F840" s="519">
        <v>45990</v>
      </c>
      <c r="G840" s="519">
        <v>45990</v>
      </c>
      <c r="H840" s="519">
        <v>46354</v>
      </c>
      <c r="J840" s="520">
        <v>1232</v>
      </c>
      <c r="K840" s="520">
        <v>1386.39</v>
      </c>
      <c r="L840" s="520">
        <v>1321</v>
      </c>
      <c r="M840">
        <v>0</v>
      </c>
      <c r="N840">
        <v>750</v>
      </c>
    </row>
    <row r="841" spans="1:14">
      <c r="A841" t="s">
        <v>6668</v>
      </c>
      <c r="B841" t="s">
        <v>1510</v>
      </c>
      <c r="C841">
        <v>1066</v>
      </c>
      <c r="D841" t="s">
        <v>1487</v>
      </c>
      <c r="E841" t="s">
        <v>6669</v>
      </c>
      <c r="F841" s="519">
        <v>45992</v>
      </c>
      <c r="G841" s="519">
        <v>45992</v>
      </c>
      <c r="H841" s="519">
        <v>46356</v>
      </c>
      <c r="J841" s="520">
        <v>1232</v>
      </c>
      <c r="K841" s="520">
        <v>1409.28</v>
      </c>
      <c r="L841" s="520">
        <v>1347.5</v>
      </c>
      <c r="M841">
        <v>0</v>
      </c>
      <c r="N841">
        <v>0</v>
      </c>
    </row>
    <row r="842" spans="1:14">
      <c r="A842" t="s">
        <v>6670</v>
      </c>
      <c r="B842" t="s">
        <v>1510</v>
      </c>
      <c r="C842">
        <v>1066</v>
      </c>
      <c r="D842" t="s">
        <v>1487</v>
      </c>
      <c r="E842" t="s">
        <v>6671</v>
      </c>
      <c r="F842" s="519">
        <v>42266</v>
      </c>
      <c r="G842" s="519">
        <v>45809</v>
      </c>
      <c r="H842" s="519">
        <v>46173</v>
      </c>
      <c r="J842" s="520">
        <v>1137</v>
      </c>
      <c r="K842" s="520">
        <v>1502.62</v>
      </c>
      <c r="L842" s="520">
        <v>1404.5</v>
      </c>
      <c r="M842">
        <v>0</v>
      </c>
      <c r="N842">
        <v>500</v>
      </c>
    </row>
    <row r="843" spans="1:14">
      <c r="A843" t="s">
        <v>2935</v>
      </c>
      <c r="B843" t="s">
        <v>1510</v>
      </c>
      <c r="C843">
        <v>1066</v>
      </c>
      <c r="D843" t="s">
        <v>5733</v>
      </c>
      <c r="E843" t="s">
        <v>5673</v>
      </c>
      <c r="J843" s="520">
        <v>1137</v>
      </c>
      <c r="K843">
        <v>0</v>
      </c>
      <c r="L843">
        <v>0</v>
      </c>
      <c r="N843">
        <v>0</v>
      </c>
    </row>
    <row r="844" spans="1:14">
      <c r="A844" t="s">
        <v>558</v>
      </c>
      <c r="B844" t="s">
        <v>1510</v>
      </c>
      <c r="C844">
        <v>1066</v>
      </c>
      <c r="D844" t="s">
        <v>1487</v>
      </c>
      <c r="E844" t="s">
        <v>1872</v>
      </c>
      <c r="F844" s="519">
        <v>46092</v>
      </c>
      <c r="G844" s="519">
        <v>46092</v>
      </c>
      <c r="H844" s="519">
        <v>46456</v>
      </c>
      <c r="J844" s="520">
        <v>1232</v>
      </c>
      <c r="K844">
        <v>109</v>
      </c>
      <c r="L844" s="520">
        <v>1341</v>
      </c>
      <c r="M844">
        <v>0</v>
      </c>
      <c r="N844">
        <v>0</v>
      </c>
    </row>
    <row r="845" spans="1:14">
      <c r="A845" t="s">
        <v>6672</v>
      </c>
      <c r="B845" t="s">
        <v>1510</v>
      </c>
      <c r="C845">
        <v>1066</v>
      </c>
      <c r="D845" t="s">
        <v>1487</v>
      </c>
      <c r="E845" t="s">
        <v>2546</v>
      </c>
      <c r="F845" s="519">
        <v>46070</v>
      </c>
      <c r="G845" s="519">
        <v>46070</v>
      </c>
      <c r="H845" s="519">
        <v>46434</v>
      </c>
      <c r="J845" s="520">
        <v>1232</v>
      </c>
      <c r="K845" s="520">
        <v>1361</v>
      </c>
      <c r="L845" s="520">
        <v>1361</v>
      </c>
      <c r="M845">
        <v>0</v>
      </c>
      <c r="N845">
        <v>0</v>
      </c>
    </row>
    <row r="846" spans="1:14">
      <c r="A846" t="s">
        <v>5388</v>
      </c>
      <c r="B846" t="s">
        <v>1510</v>
      </c>
      <c r="C846">
        <v>1066</v>
      </c>
      <c r="D846" t="s">
        <v>5781</v>
      </c>
      <c r="E846" t="s">
        <v>5673</v>
      </c>
      <c r="J846" s="520">
        <v>1232</v>
      </c>
      <c r="K846">
        <v>0</v>
      </c>
      <c r="L846">
        <v>0</v>
      </c>
      <c r="N846">
        <v>0</v>
      </c>
    </row>
    <row r="847" spans="1:14">
      <c r="A847" t="s">
        <v>6674</v>
      </c>
      <c r="B847" t="s">
        <v>1510</v>
      </c>
      <c r="C847">
        <v>1066</v>
      </c>
      <c r="D847" t="s">
        <v>1487</v>
      </c>
      <c r="E847" t="s">
        <v>6675</v>
      </c>
      <c r="F847" s="519">
        <v>42896</v>
      </c>
      <c r="G847" s="519">
        <v>45809</v>
      </c>
      <c r="H847" s="519">
        <v>46173</v>
      </c>
      <c r="J847" s="520">
        <v>1137</v>
      </c>
      <c r="K847" s="520">
        <v>1710.62</v>
      </c>
      <c r="L847" s="520">
        <v>1466.5</v>
      </c>
      <c r="M847">
        <v>0</v>
      </c>
      <c r="N847">
        <v>300</v>
      </c>
    </row>
    <row r="848" spans="1:14">
      <c r="A848" t="s">
        <v>6676</v>
      </c>
      <c r="B848" t="s">
        <v>1510</v>
      </c>
      <c r="C848">
        <v>1066</v>
      </c>
      <c r="D848" t="s">
        <v>1487</v>
      </c>
      <c r="E848" t="s">
        <v>6677</v>
      </c>
      <c r="F848" s="519">
        <v>46032</v>
      </c>
      <c r="G848" s="519">
        <v>46032</v>
      </c>
      <c r="H848" s="519">
        <v>46396</v>
      </c>
      <c r="J848" s="520">
        <v>1232</v>
      </c>
      <c r="K848">
        <v>734</v>
      </c>
      <c r="L848" s="520">
        <v>1395</v>
      </c>
      <c r="M848">
        <v>0</v>
      </c>
      <c r="N848">
        <v>0</v>
      </c>
    </row>
    <row r="849" spans="1:14">
      <c r="A849" t="s">
        <v>3111</v>
      </c>
      <c r="B849" t="s">
        <v>1510</v>
      </c>
      <c r="C849">
        <v>1066</v>
      </c>
      <c r="D849" t="s">
        <v>5781</v>
      </c>
      <c r="E849" t="s">
        <v>5673</v>
      </c>
      <c r="J849" s="520">
        <v>1137</v>
      </c>
      <c r="K849">
        <v>0</v>
      </c>
      <c r="L849">
        <v>0</v>
      </c>
    </row>
    <row r="850" spans="1:14">
      <c r="A850" t="s">
        <v>1378</v>
      </c>
      <c r="B850" t="s">
        <v>1511</v>
      </c>
      <c r="C850">
        <v>1100</v>
      </c>
      <c r="D850" t="s">
        <v>5733</v>
      </c>
      <c r="E850" t="s">
        <v>5673</v>
      </c>
      <c r="J850" s="520">
        <v>1235</v>
      </c>
      <c r="K850">
        <v>0</v>
      </c>
      <c r="L850">
        <v>0</v>
      </c>
    </row>
    <row r="851" spans="1:14">
      <c r="A851" t="s">
        <v>1849</v>
      </c>
      <c r="B851" t="s">
        <v>1511</v>
      </c>
      <c r="C851">
        <v>1100</v>
      </c>
      <c r="D851" t="s">
        <v>1487</v>
      </c>
      <c r="E851" t="s">
        <v>1850</v>
      </c>
      <c r="F851" s="519">
        <v>45658</v>
      </c>
      <c r="G851" s="519">
        <v>46022</v>
      </c>
      <c r="J851" s="520">
        <v>1235</v>
      </c>
      <c r="K851" s="520">
        <v>2013.79</v>
      </c>
      <c r="L851" s="520">
        <v>1714.5</v>
      </c>
      <c r="M851">
        <v>204.53</v>
      </c>
      <c r="N851">
        <v>0</v>
      </c>
    </row>
    <row r="852" spans="1:14">
      <c r="A852" t="s">
        <v>6679</v>
      </c>
      <c r="B852" t="s">
        <v>1511</v>
      </c>
      <c r="C852">
        <v>1100</v>
      </c>
      <c r="D852" t="s">
        <v>1487</v>
      </c>
      <c r="E852" t="s">
        <v>6680</v>
      </c>
      <c r="F852" s="519">
        <v>45982</v>
      </c>
      <c r="G852" s="519">
        <v>45982</v>
      </c>
      <c r="H852" s="519">
        <v>46346</v>
      </c>
      <c r="J852" s="520">
        <v>1235</v>
      </c>
      <c r="K852" s="520">
        <v>1423.79</v>
      </c>
      <c r="L852" s="520">
        <v>1324.48</v>
      </c>
      <c r="M852" s="520">
        <v>-1429.05</v>
      </c>
      <c r="N852">
        <v>0</v>
      </c>
    </row>
    <row r="853" spans="1:14">
      <c r="A853" t="s">
        <v>891</v>
      </c>
      <c r="B853" t="s">
        <v>1511</v>
      </c>
      <c r="C853">
        <v>1100</v>
      </c>
      <c r="D853" t="s">
        <v>5781</v>
      </c>
      <c r="E853" t="s">
        <v>5673</v>
      </c>
      <c r="J853" s="520">
        <v>1235</v>
      </c>
      <c r="K853">
        <v>0</v>
      </c>
      <c r="L853">
        <v>0</v>
      </c>
      <c r="N853">
        <v>0</v>
      </c>
    </row>
    <row r="854" spans="1:14">
      <c r="A854" t="s">
        <v>854</v>
      </c>
      <c r="B854" t="s">
        <v>1511</v>
      </c>
      <c r="C854">
        <v>1100</v>
      </c>
      <c r="D854" t="s">
        <v>5733</v>
      </c>
      <c r="E854" t="s">
        <v>5673</v>
      </c>
      <c r="J854" s="520">
        <v>1210</v>
      </c>
      <c r="K854">
        <v>0</v>
      </c>
      <c r="L854">
        <v>0</v>
      </c>
      <c r="N854">
        <v>0</v>
      </c>
    </row>
    <row r="855" spans="1:14">
      <c r="A855" t="s">
        <v>2545</v>
      </c>
      <c r="B855" t="s">
        <v>1511</v>
      </c>
      <c r="C855">
        <v>1100</v>
      </c>
      <c r="D855" t="s">
        <v>5781</v>
      </c>
      <c r="E855" t="s">
        <v>5673</v>
      </c>
      <c r="J855" s="520">
        <v>1210</v>
      </c>
      <c r="K855">
        <v>0</v>
      </c>
      <c r="L855">
        <v>0</v>
      </c>
      <c r="N855">
        <v>0</v>
      </c>
    </row>
    <row r="856" spans="1:14">
      <c r="A856" t="s">
        <v>2479</v>
      </c>
      <c r="B856" t="s">
        <v>1511</v>
      </c>
      <c r="C856">
        <v>1100</v>
      </c>
      <c r="D856" t="s">
        <v>1487</v>
      </c>
      <c r="E856" t="s">
        <v>2478</v>
      </c>
      <c r="F856" s="519">
        <v>46055</v>
      </c>
      <c r="G856" s="519">
        <v>46055</v>
      </c>
      <c r="H856" s="519">
        <v>46419</v>
      </c>
      <c r="J856" s="520">
        <v>1210</v>
      </c>
      <c r="K856">
        <v>719</v>
      </c>
      <c r="L856" s="520">
        <v>1364</v>
      </c>
      <c r="M856">
        <v>0</v>
      </c>
      <c r="N856">
        <v>0</v>
      </c>
    </row>
    <row r="857" spans="1:14">
      <c r="A857" t="s">
        <v>6681</v>
      </c>
      <c r="B857" t="s">
        <v>1511</v>
      </c>
      <c r="C857">
        <v>1100</v>
      </c>
      <c r="D857" t="s">
        <v>1487</v>
      </c>
      <c r="E857" t="s">
        <v>6682</v>
      </c>
      <c r="F857" s="519">
        <v>45047</v>
      </c>
      <c r="G857" s="519">
        <v>45778</v>
      </c>
      <c r="H857" s="519">
        <v>46142</v>
      </c>
      <c r="J857" s="520">
        <v>1210</v>
      </c>
      <c r="K857" s="520">
        <v>1588.79</v>
      </c>
      <c r="L857" s="520">
        <v>1489.49</v>
      </c>
      <c r="M857">
        <v>0</v>
      </c>
      <c r="N857">
        <v>0</v>
      </c>
    </row>
    <row r="858" spans="1:14">
      <c r="A858" t="s">
        <v>5473</v>
      </c>
      <c r="B858" t="s">
        <v>1511</v>
      </c>
      <c r="C858">
        <v>1100</v>
      </c>
      <c r="D858" t="s">
        <v>1487</v>
      </c>
      <c r="E858" t="s">
        <v>6683</v>
      </c>
      <c r="F858" s="519">
        <v>45979</v>
      </c>
      <c r="G858" s="519">
        <v>45979</v>
      </c>
      <c r="H858" s="519">
        <v>46343</v>
      </c>
      <c r="J858" s="520">
        <v>1235</v>
      </c>
      <c r="K858" s="520">
        <v>1411.79</v>
      </c>
      <c r="L858" s="520">
        <v>1312.5</v>
      </c>
      <c r="M858">
        <v>0</v>
      </c>
      <c r="N858">
        <v>0</v>
      </c>
    </row>
    <row r="859" spans="1:14">
      <c r="A859" t="s">
        <v>6684</v>
      </c>
      <c r="B859" t="s">
        <v>1511</v>
      </c>
      <c r="C859">
        <v>1100</v>
      </c>
      <c r="D859" t="s">
        <v>1487</v>
      </c>
      <c r="E859" t="s">
        <v>6685</v>
      </c>
      <c r="F859" s="519">
        <v>45979</v>
      </c>
      <c r="G859" s="519">
        <v>45979</v>
      </c>
      <c r="H859" s="519">
        <v>46343</v>
      </c>
      <c r="J859" s="520">
        <v>1235</v>
      </c>
      <c r="K859" s="520">
        <v>1391.71</v>
      </c>
      <c r="L859" s="520">
        <v>1318.49</v>
      </c>
      <c r="M859">
        <v>0</v>
      </c>
      <c r="N859">
        <v>0</v>
      </c>
    </row>
    <row r="860" spans="1:14">
      <c r="A860" t="s">
        <v>6686</v>
      </c>
      <c r="B860" t="s">
        <v>1511</v>
      </c>
      <c r="C860">
        <v>1100</v>
      </c>
      <c r="D860" t="s">
        <v>1487</v>
      </c>
      <c r="E860" t="s">
        <v>6687</v>
      </c>
      <c r="F860" s="519">
        <v>45899</v>
      </c>
      <c r="G860" s="519">
        <v>45899</v>
      </c>
      <c r="H860" s="519">
        <v>46263</v>
      </c>
      <c r="J860" s="520">
        <v>1235</v>
      </c>
      <c r="K860" s="520">
        <v>1609.87</v>
      </c>
      <c r="L860" s="520">
        <v>1484.5</v>
      </c>
      <c r="M860">
        <v>0</v>
      </c>
      <c r="N860">
        <v>750</v>
      </c>
    </row>
    <row r="861" spans="1:14">
      <c r="A861" t="s">
        <v>1173</v>
      </c>
      <c r="B861" t="s">
        <v>1511</v>
      </c>
      <c r="C861">
        <v>1100</v>
      </c>
      <c r="D861" t="s">
        <v>5672</v>
      </c>
      <c r="E861" t="s">
        <v>5673</v>
      </c>
      <c r="J861" s="520">
        <v>1235</v>
      </c>
      <c r="K861">
        <v>0</v>
      </c>
      <c r="L861">
        <v>0</v>
      </c>
      <c r="N861">
        <v>0</v>
      </c>
    </row>
    <row r="862" spans="1:14">
      <c r="A862" t="s">
        <v>6688</v>
      </c>
      <c r="B862" t="s">
        <v>1511</v>
      </c>
      <c r="C862">
        <v>1100</v>
      </c>
      <c r="D862" t="s">
        <v>1487</v>
      </c>
      <c r="E862" t="s">
        <v>6689</v>
      </c>
      <c r="F862" s="519">
        <v>45661</v>
      </c>
      <c r="G862" s="519">
        <v>46025</v>
      </c>
      <c r="J862" s="520">
        <v>1260</v>
      </c>
      <c r="K862" s="520">
        <v>1576.79</v>
      </c>
      <c r="L862" s="520">
        <v>1477.5</v>
      </c>
      <c r="M862">
        <v>0</v>
      </c>
      <c r="N862">
        <v>750</v>
      </c>
    </row>
    <row r="863" spans="1:14">
      <c r="A863" t="s">
        <v>6690</v>
      </c>
      <c r="B863" t="s">
        <v>1511</v>
      </c>
      <c r="C863">
        <v>1100</v>
      </c>
      <c r="D863" t="s">
        <v>6457</v>
      </c>
      <c r="E863" t="s">
        <v>5673</v>
      </c>
      <c r="J863" s="520">
        <v>1210</v>
      </c>
      <c r="K863">
        <v>0</v>
      </c>
      <c r="L863">
        <v>0</v>
      </c>
      <c r="N863">
        <v>0</v>
      </c>
    </row>
    <row r="864" spans="1:14">
      <c r="A864" t="s">
        <v>5424</v>
      </c>
      <c r="B864" t="s">
        <v>1511</v>
      </c>
      <c r="C864">
        <v>1100</v>
      </c>
      <c r="D864" t="s">
        <v>1487</v>
      </c>
      <c r="E864" t="s">
        <v>6691</v>
      </c>
      <c r="F864" s="519">
        <v>46025</v>
      </c>
      <c r="G864" s="519">
        <v>46025</v>
      </c>
      <c r="H864" s="519">
        <v>46389</v>
      </c>
      <c r="J864" s="520">
        <v>1210</v>
      </c>
      <c r="K864" s="520">
        <v>1276</v>
      </c>
      <c r="L864" s="520">
        <v>1275.99</v>
      </c>
      <c r="M864">
        <v>0</v>
      </c>
      <c r="N864">
        <v>0</v>
      </c>
    </row>
    <row r="865" spans="1:14">
      <c r="A865" t="s">
        <v>6692</v>
      </c>
      <c r="B865" t="s">
        <v>1511</v>
      </c>
      <c r="C865">
        <v>1100</v>
      </c>
      <c r="D865" t="s">
        <v>1487</v>
      </c>
      <c r="E865" t="s">
        <v>6693</v>
      </c>
      <c r="F865" s="519">
        <v>44682</v>
      </c>
      <c r="G865" s="519">
        <v>45778</v>
      </c>
      <c r="H865" s="519">
        <v>46142</v>
      </c>
      <c r="J865" s="520">
        <v>1165</v>
      </c>
      <c r="K865" s="520">
        <v>1539.79</v>
      </c>
      <c r="L865" s="520">
        <v>1440.5</v>
      </c>
      <c r="M865">
        <v>0</v>
      </c>
      <c r="N865">
        <v>0</v>
      </c>
    </row>
    <row r="866" spans="1:14">
      <c r="A866" t="s">
        <v>894</v>
      </c>
      <c r="B866" t="s">
        <v>425</v>
      </c>
      <c r="C866">
        <v>1109</v>
      </c>
      <c r="D866" t="s">
        <v>5672</v>
      </c>
      <c r="E866" t="s">
        <v>5673</v>
      </c>
      <c r="J866" s="520">
        <v>1610</v>
      </c>
      <c r="K866">
        <v>0</v>
      </c>
      <c r="L866">
        <v>0</v>
      </c>
      <c r="N866">
        <v>0</v>
      </c>
    </row>
    <row r="867" spans="1:14">
      <c r="A867" t="s">
        <v>6694</v>
      </c>
      <c r="B867" t="s">
        <v>425</v>
      </c>
      <c r="C867">
        <v>1109</v>
      </c>
      <c r="D867" t="s">
        <v>1487</v>
      </c>
      <c r="E867" t="s">
        <v>6695</v>
      </c>
      <c r="F867" s="519">
        <v>45478</v>
      </c>
      <c r="G867" s="519">
        <v>45843</v>
      </c>
      <c r="H867" s="519">
        <v>46207</v>
      </c>
      <c r="J867" s="520">
        <v>1705</v>
      </c>
      <c r="K867" s="520">
        <v>2192.1</v>
      </c>
      <c r="L867" s="520">
        <v>2092.5</v>
      </c>
      <c r="M867">
        <v>0</v>
      </c>
      <c r="N867">
        <v>0</v>
      </c>
    </row>
    <row r="868" spans="1:14">
      <c r="A868" t="s">
        <v>1020</v>
      </c>
      <c r="B868" t="s">
        <v>425</v>
      </c>
      <c r="C868">
        <v>1109</v>
      </c>
      <c r="D868" t="s">
        <v>5686</v>
      </c>
      <c r="E868" t="s">
        <v>5673</v>
      </c>
      <c r="J868" s="520">
        <v>1680</v>
      </c>
      <c r="K868">
        <v>0</v>
      </c>
      <c r="L868">
        <v>0</v>
      </c>
      <c r="N868">
        <v>0</v>
      </c>
    </row>
    <row r="869" spans="1:14">
      <c r="A869" t="s">
        <v>2111</v>
      </c>
      <c r="B869" t="s">
        <v>425</v>
      </c>
      <c r="C869">
        <v>1109</v>
      </c>
      <c r="D869" t="s">
        <v>1487</v>
      </c>
      <c r="E869" t="s">
        <v>2112</v>
      </c>
      <c r="F869" s="519">
        <v>46051</v>
      </c>
      <c r="G869" s="519">
        <v>46052</v>
      </c>
      <c r="H869" s="519">
        <v>46417</v>
      </c>
      <c r="J869" s="520">
        <v>1585</v>
      </c>
      <c r="K869" s="520">
        <v>2147</v>
      </c>
      <c r="L869" s="520">
        <v>1866</v>
      </c>
      <c r="M869">
        <v>0</v>
      </c>
      <c r="N869">
        <v>0</v>
      </c>
    </row>
    <row r="870" spans="1:14">
      <c r="A870" t="s">
        <v>6696</v>
      </c>
      <c r="B870" t="s">
        <v>425</v>
      </c>
      <c r="C870">
        <v>1109</v>
      </c>
      <c r="D870" t="s">
        <v>1487</v>
      </c>
      <c r="E870" t="s">
        <v>6697</v>
      </c>
      <c r="F870" s="519">
        <v>44505</v>
      </c>
      <c r="G870" s="519">
        <v>45961</v>
      </c>
      <c r="H870" s="519">
        <v>46325</v>
      </c>
      <c r="J870" s="520">
        <v>1610</v>
      </c>
      <c r="K870" s="520">
        <v>1695.53</v>
      </c>
      <c r="L870" s="520">
        <v>1642.49</v>
      </c>
      <c r="M870">
        <v>0</v>
      </c>
      <c r="N870">
        <v>0</v>
      </c>
    </row>
    <row r="871" spans="1:14">
      <c r="A871" t="s">
        <v>6698</v>
      </c>
      <c r="B871" t="s">
        <v>425</v>
      </c>
      <c r="C871">
        <v>1109</v>
      </c>
      <c r="D871" t="s">
        <v>1487</v>
      </c>
      <c r="E871" t="s">
        <v>6699</v>
      </c>
      <c r="F871" s="519">
        <v>45231</v>
      </c>
      <c r="G871" s="519">
        <v>46113</v>
      </c>
      <c r="J871" s="520">
        <v>1705</v>
      </c>
      <c r="K871" s="520">
        <v>1413.71</v>
      </c>
      <c r="L871" s="520">
        <v>1342</v>
      </c>
      <c r="M871">
        <v>0</v>
      </c>
      <c r="N871">
        <v>0</v>
      </c>
    </row>
    <row r="872" spans="1:14">
      <c r="A872" t="s">
        <v>6700</v>
      </c>
      <c r="B872" t="s">
        <v>425</v>
      </c>
      <c r="C872">
        <v>1109</v>
      </c>
      <c r="D872" t="s">
        <v>1487</v>
      </c>
      <c r="E872" t="s">
        <v>6701</v>
      </c>
      <c r="F872" s="519">
        <v>45954</v>
      </c>
      <c r="G872" s="519">
        <v>45954</v>
      </c>
      <c r="H872" s="519">
        <v>46318</v>
      </c>
      <c r="J872" s="520">
        <v>1705</v>
      </c>
      <c r="K872" s="520">
        <v>2032.17</v>
      </c>
      <c r="L872" s="520">
        <v>1906.48</v>
      </c>
      <c r="M872">
        <v>0</v>
      </c>
      <c r="N872">
        <v>0</v>
      </c>
    </row>
    <row r="873" spans="1:14">
      <c r="A873" t="s">
        <v>6702</v>
      </c>
      <c r="B873" t="s">
        <v>425</v>
      </c>
      <c r="C873">
        <v>1109</v>
      </c>
      <c r="D873" t="s">
        <v>1487</v>
      </c>
      <c r="E873" t="s">
        <v>6703</v>
      </c>
      <c r="F873" s="519">
        <v>45139</v>
      </c>
      <c r="G873" s="519">
        <v>45870</v>
      </c>
      <c r="H873" s="519">
        <v>46234</v>
      </c>
      <c r="J873" s="520">
        <v>1585</v>
      </c>
      <c r="K873" s="520">
        <v>2114.1</v>
      </c>
      <c r="L873" s="520">
        <v>2014.5</v>
      </c>
      <c r="M873">
        <v>0</v>
      </c>
      <c r="N873">
        <v>0</v>
      </c>
    </row>
    <row r="874" spans="1:14">
      <c r="A874" t="s">
        <v>6704</v>
      </c>
      <c r="B874" t="s">
        <v>425</v>
      </c>
      <c r="C874">
        <v>1109</v>
      </c>
      <c r="D874" t="s">
        <v>1487</v>
      </c>
      <c r="E874" t="s">
        <v>6705</v>
      </c>
      <c r="F874" s="519">
        <v>45504</v>
      </c>
      <c r="G874" s="519">
        <v>45930</v>
      </c>
      <c r="H874" s="519">
        <v>46294</v>
      </c>
      <c r="J874" s="520">
        <v>1680</v>
      </c>
      <c r="K874" s="520">
        <v>2187.17</v>
      </c>
      <c r="L874" s="520">
        <v>2061.4899999999998</v>
      </c>
      <c r="M874">
        <v>0</v>
      </c>
      <c r="N874">
        <v>0</v>
      </c>
    </row>
    <row r="875" spans="1:14">
      <c r="A875" t="s">
        <v>6706</v>
      </c>
      <c r="B875" t="s">
        <v>425</v>
      </c>
      <c r="C875">
        <v>1109</v>
      </c>
      <c r="D875" t="s">
        <v>1487</v>
      </c>
      <c r="E875" t="s">
        <v>6707</v>
      </c>
      <c r="F875" s="519">
        <v>46002</v>
      </c>
      <c r="G875" s="519">
        <v>46002</v>
      </c>
      <c r="H875" s="519">
        <v>46366</v>
      </c>
      <c r="J875" s="520">
        <v>1680</v>
      </c>
      <c r="K875" s="520">
        <v>1911.61</v>
      </c>
      <c r="L875" s="520">
        <v>1869.5</v>
      </c>
      <c r="M875">
        <v>0</v>
      </c>
      <c r="N875">
        <v>0</v>
      </c>
    </row>
    <row r="876" spans="1:14">
      <c r="A876" t="s">
        <v>1739</v>
      </c>
      <c r="B876" t="s">
        <v>425</v>
      </c>
      <c r="C876">
        <v>1109</v>
      </c>
      <c r="D876" t="s">
        <v>5781</v>
      </c>
      <c r="E876" t="s">
        <v>5673</v>
      </c>
      <c r="J876" s="520">
        <v>1705</v>
      </c>
      <c r="K876">
        <v>0</v>
      </c>
      <c r="L876">
        <v>0</v>
      </c>
      <c r="N876">
        <v>0</v>
      </c>
    </row>
    <row r="877" spans="1:14">
      <c r="A877" t="s">
        <v>6708</v>
      </c>
      <c r="B877" t="s">
        <v>425</v>
      </c>
      <c r="C877">
        <v>1109</v>
      </c>
      <c r="D877" t="s">
        <v>1487</v>
      </c>
      <c r="E877" t="s">
        <v>2606</v>
      </c>
      <c r="F877" s="519">
        <v>45257</v>
      </c>
      <c r="G877" s="519">
        <v>46023</v>
      </c>
      <c r="J877" s="520">
        <v>1705</v>
      </c>
      <c r="K877" s="520">
        <v>2070.1</v>
      </c>
      <c r="L877" s="520">
        <v>1970.49</v>
      </c>
      <c r="M877">
        <v>0</v>
      </c>
      <c r="N877">
        <v>0</v>
      </c>
    </row>
    <row r="878" spans="1:14">
      <c r="A878" t="s">
        <v>6709</v>
      </c>
      <c r="B878" t="s">
        <v>425</v>
      </c>
      <c r="C878">
        <v>1109</v>
      </c>
      <c r="D878" t="s">
        <v>1487</v>
      </c>
      <c r="E878" t="s">
        <v>6710</v>
      </c>
      <c r="F878" s="519">
        <v>45493</v>
      </c>
      <c r="G878" s="519">
        <v>45858</v>
      </c>
      <c r="H878" s="519">
        <v>46222</v>
      </c>
      <c r="J878" s="520">
        <v>1705</v>
      </c>
      <c r="K878" s="520">
        <v>2207.17</v>
      </c>
      <c r="L878" s="520">
        <v>2081.4699999999998</v>
      </c>
      <c r="M878">
        <v>0</v>
      </c>
      <c r="N878">
        <v>750</v>
      </c>
    </row>
    <row r="879" spans="1:14">
      <c r="A879" t="s">
        <v>1740</v>
      </c>
      <c r="B879" t="s">
        <v>425</v>
      </c>
      <c r="C879">
        <v>1109</v>
      </c>
      <c r="D879" t="s">
        <v>1487</v>
      </c>
      <c r="E879" t="s">
        <v>1741</v>
      </c>
      <c r="F879" s="519">
        <v>45696</v>
      </c>
      <c r="G879" s="519">
        <v>46064</v>
      </c>
      <c r="H879" s="519">
        <v>46428</v>
      </c>
      <c r="J879" s="520">
        <v>1585</v>
      </c>
      <c r="K879" s="520">
        <v>2156.1</v>
      </c>
      <c r="L879" s="520">
        <v>1847</v>
      </c>
      <c r="M879" s="520">
        <v>1256.0999999999999</v>
      </c>
      <c r="N879">
        <v>0</v>
      </c>
    </row>
    <row r="880" spans="1:14">
      <c r="A880" t="s">
        <v>5497</v>
      </c>
      <c r="B880" t="s">
        <v>425</v>
      </c>
      <c r="C880">
        <v>1109</v>
      </c>
      <c r="D880" t="s">
        <v>1487</v>
      </c>
      <c r="E880" t="s">
        <v>6711</v>
      </c>
      <c r="F880" s="519">
        <v>46025</v>
      </c>
      <c r="G880" s="519">
        <v>46025</v>
      </c>
      <c r="H880" s="519">
        <v>46389</v>
      </c>
      <c r="J880" s="520">
        <v>1680</v>
      </c>
      <c r="K880">
        <v>962</v>
      </c>
      <c r="L880" s="520">
        <v>1933.99</v>
      </c>
      <c r="M880">
        <v>-114</v>
      </c>
      <c r="N880">
        <v>0</v>
      </c>
    </row>
    <row r="881" spans="1:14">
      <c r="A881" t="s">
        <v>6712</v>
      </c>
      <c r="B881" t="s">
        <v>425</v>
      </c>
      <c r="C881">
        <v>1109</v>
      </c>
      <c r="D881" t="s">
        <v>1487</v>
      </c>
      <c r="E881" t="s">
        <v>6713</v>
      </c>
      <c r="F881" s="519">
        <v>45108</v>
      </c>
      <c r="G881" s="519">
        <v>45839</v>
      </c>
      <c r="H881" s="519">
        <v>46203</v>
      </c>
      <c r="J881" s="520">
        <v>1680</v>
      </c>
      <c r="K881" s="520">
        <v>1987.17</v>
      </c>
      <c r="L881" s="520">
        <v>1861.48</v>
      </c>
      <c r="M881">
        <v>0</v>
      </c>
      <c r="N88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74DEF-74F1-4334-B08A-D732A93A27B5}">
  <sheetPr>
    <tabColor theme="6" tint="-0.499984740745262"/>
  </sheetPr>
  <dimension ref="A1:M94"/>
  <sheetViews>
    <sheetView workbookViewId="0">
      <selection sqref="A1:XFD1048576"/>
    </sheetView>
  </sheetViews>
  <sheetFormatPr defaultRowHeight="14.5"/>
  <sheetData>
    <row r="1" spans="1:13">
      <c r="A1" t="s">
        <v>1536</v>
      </c>
      <c r="B1" t="s">
        <v>962</v>
      </c>
      <c r="C1" t="s">
        <v>1466</v>
      </c>
      <c r="D1" t="s">
        <v>497</v>
      </c>
      <c r="E1" t="s">
        <v>6714</v>
      </c>
      <c r="F1" t="s">
        <v>6715</v>
      </c>
      <c r="G1" t="s">
        <v>1316</v>
      </c>
      <c r="H1" t="s">
        <v>850</v>
      </c>
      <c r="I1" t="s">
        <v>6716</v>
      </c>
      <c r="J1" t="s">
        <v>1905</v>
      </c>
      <c r="K1" t="s">
        <v>6717</v>
      </c>
      <c r="L1" t="s">
        <v>5670</v>
      </c>
      <c r="M1" t="s">
        <v>5669</v>
      </c>
    </row>
    <row r="2" spans="1:13">
      <c r="A2" t="s">
        <v>953</v>
      </c>
      <c r="B2" t="s">
        <v>5890</v>
      </c>
      <c r="C2" t="s">
        <v>1496</v>
      </c>
      <c r="D2" t="s">
        <v>6718</v>
      </c>
      <c r="E2" s="519">
        <v>46057</v>
      </c>
      <c r="F2" s="519">
        <v>46112</v>
      </c>
      <c r="G2" s="519">
        <v>46112</v>
      </c>
      <c r="H2" t="s">
        <v>6719</v>
      </c>
      <c r="I2" t="s">
        <v>858</v>
      </c>
      <c r="J2">
        <v>880</v>
      </c>
      <c r="K2" s="520">
        <v>2876.7</v>
      </c>
      <c r="L2">
        <v>0</v>
      </c>
      <c r="M2">
        <v>0</v>
      </c>
    </row>
    <row r="3" spans="1:13">
      <c r="A3" t="s">
        <v>953</v>
      </c>
      <c r="B3" t="s">
        <v>1643</v>
      </c>
      <c r="C3" t="s">
        <v>1496</v>
      </c>
      <c r="D3" t="s">
        <v>1644</v>
      </c>
      <c r="E3" s="519">
        <v>46104</v>
      </c>
      <c r="F3" s="519">
        <v>46182</v>
      </c>
      <c r="G3" s="519">
        <v>46114</v>
      </c>
      <c r="H3" t="s">
        <v>6721</v>
      </c>
      <c r="I3" t="s">
        <v>853</v>
      </c>
      <c r="J3">
        <v>760</v>
      </c>
      <c r="K3">
        <v>910</v>
      </c>
      <c r="L3">
        <v>0</v>
      </c>
      <c r="M3" s="520">
        <v>13768.56</v>
      </c>
    </row>
    <row r="4" spans="1:13">
      <c r="A4" t="s">
        <v>953</v>
      </c>
      <c r="B4" t="s">
        <v>857</v>
      </c>
      <c r="C4" t="s">
        <v>1500</v>
      </c>
      <c r="D4" t="s">
        <v>1652</v>
      </c>
      <c r="E4" s="519">
        <v>46092</v>
      </c>
      <c r="F4" s="519">
        <v>46295</v>
      </c>
      <c r="G4" s="519">
        <v>46092</v>
      </c>
      <c r="H4" t="s">
        <v>802</v>
      </c>
      <c r="I4" t="s">
        <v>853</v>
      </c>
      <c r="J4" s="520">
        <v>1024</v>
      </c>
      <c r="K4" s="520">
        <v>1175</v>
      </c>
      <c r="L4">
        <v>0</v>
      </c>
      <c r="M4" s="520">
        <v>9117.59</v>
      </c>
    </row>
    <row r="5" spans="1:13">
      <c r="A5" t="s">
        <v>953</v>
      </c>
      <c r="B5" t="s">
        <v>899</v>
      </c>
      <c r="C5" t="s">
        <v>1500</v>
      </c>
      <c r="D5" t="s">
        <v>1653</v>
      </c>
      <c r="E5" s="519">
        <v>46053</v>
      </c>
      <c r="F5" s="519">
        <v>46053</v>
      </c>
      <c r="G5" s="519">
        <v>46053</v>
      </c>
      <c r="H5" t="s">
        <v>802</v>
      </c>
      <c r="I5" t="s">
        <v>858</v>
      </c>
      <c r="J5">
        <v>979</v>
      </c>
      <c r="K5" s="520">
        <v>1056</v>
      </c>
      <c r="L5">
        <v>0</v>
      </c>
      <c r="M5">
        <v>62.6</v>
      </c>
    </row>
    <row r="6" spans="1:13">
      <c r="A6" t="s">
        <v>953</v>
      </c>
      <c r="B6" t="s">
        <v>6250</v>
      </c>
      <c r="C6" t="s">
        <v>1500</v>
      </c>
      <c r="D6" t="s">
        <v>6722</v>
      </c>
      <c r="E6" s="519">
        <v>46064</v>
      </c>
      <c r="F6" s="519">
        <v>46125</v>
      </c>
      <c r="G6" s="519">
        <v>46125</v>
      </c>
      <c r="H6" t="s">
        <v>6723</v>
      </c>
      <c r="I6" t="s">
        <v>858</v>
      </c>
      <c r="J6">
        <v>999</v>
      </c>
      <c r="K6" s="520">
        <v>2660</v>
      </c>
      <c r="L6">
        <v>0</v>
      </c>
      <c r="M6">
        <v>0</v>
      </c>
    </row>
    <row r="7" spans="1:13">
      <c r="A7" t="s">
        <v>953</v>
      </c>
      <c r="B7" t="s">
        <v>6251</v>
      </c>
      <c r="C7" t="s">
        <v>1500</v>
      </c>
      <c r="D7" t="s">
        <v>6724</v>
      </c>
      <c r="E7" s="519">
        <v>45993</v>
      </c>
      <c r="F7" s="519">
        <v>46069</v>
      </c>
      <c r="G7" s="519">
        <v>46069</v>
      </c>
      <c r="H7" t="s">
        <v>6725</v>
      </c>
      <c r="I7" t="s">
        <v>858</v>
      </c>
      <c r="J7">
        <v>999</v>
      </c>
      <c r="K7" s="520">
        <v>2280</v>
      </c>
      <c r="L7">
        <v>0</v>
      </c>
      <c r="M7">
        <v>0</v>
      </c>
    </row>
    <row r="8" spans="1:13">
      <c r="A8" t="s">
        <v>953</v>
      </c>
      <c r="B8" t="s">
        <v>1140</v>
      </c>
      <c r="C8" t="s">
        <v>1500</v>
      </c>
      <c r="D8" t="s">
        <v>1654</v>
      </c>
      <c r="E8" s="519">
        <v>46034</v>
      </c>
      <c r="F8" s="519">
        <v>46109</v>
      </c>
      <c r="G8" s="519">
        <v>46109</v>
      </c>
      <c r="H8" t="s">
        <v>6719</v>
      </c>
      <c r="I8" t="s">
        <v>858</v>
      </c>
      <c r="J8" s="520">
        <v>1049</v>
      </c>
      <c r="K8" s="520">
        <v>2854.4</v>
      </c>
      <c r="L8">
        <v>0</v>
      </c>
      <c r="M8" s="520">
        <v>1099.25</v>
      </c>
    </row>
    <row r="9" spans="1:13">
      <c r="A9" t="s">
        <v>953</v>
      </c>
      <c r="B9" t="s">
        <v>1655</v>
      </c>
      <c r="C9" t="s">
        <v>1500</v>
      </c>
      <c r="D9" t="s">
        <v>1656</v>
      </c>
      <c r="E9" s="519">
        <v>46099</v>
      </c>
      <c r="F9" s="519">
        <v>46099</v>
      </c>
      <c r="G9" s="519">
        <v>46099</v>
      </c>
      <c r="H9" t="s">
        <v>6726</v>
      </c>
      <c r="I9" t="s">
        <v>858</v>
      </c>
      <c r="J9">
        <v>999</v>
      </c>
      <c r="K9" s="520">
        <v>2640</v>
      </c>
      <c r="L9">
        <v>0</v>
      </c>
      <c r="M9" s="520">
        <v>1015.84</v>
      </c>
    </row>
    <row r="10" spans="1:13">
      <c r="A10" t="s">
        <v>953</v>
      </c>
      <c r="B10" t="s">
        <v>1665</v>
      </c>
      <c r="C10" t="s">
        <v>1493</v>
      </c>
      <c r="D10" t="s">
        <v>1666</v>
      </c>
      <c r="E10" s="519">
        <v>46114</v>
      </c>
      <c r="F10" s="519">
        <v>46114</v>
      </c>
      <c r="G10" s="519">
        <v>46114</v>
      </c>
      <c r="H10" t="s">
        <v>802</v>
      </c>
      <c r="I10" t="s">
        <v>858</v>
      </c>
      <c r="J10">
        <v>877</v>
      </c>
      <c r="K10" s="520">
        <v>1205</v>
      </c>
      <c r="L10">
        <v>0</v>
      </c>
      <c r="M10" s="520">
        <v>8144.06</v>
      </c>
    </row>
    <row r="11" spans="1:13">
      <c r="A11" t="s">
        <v>953</v>
      </c>
      <c r="B11" t="s">
        <v>880</v>
      </c>
      <c r="C11" t="s">
        <v>1493</v>
      </c>
      <c r="D11" t="s">
        <v>1669</v>
      </c>
      <c r="E11" s="519">
        <v>46011</v>
      </c>
      <c r="F11" s="519">
        <v>46081</v>
      </c>
      <c r="G11" s="519">
        <v>46081</v>
      </c>
      <c r="H11" t="s">
        <v>6725</v>
      </c>
      <c r="I11" t="s">
        <v>858</v>
      </c>
      <c r="J11">
        <v>842</v>
      </c>
      <c r="K11">
        <v>926</v>
      </c>
      <c r="L11">
        <v>0</v>
      </c>
      <c r="M11" s="520">
        <v>1267.5</v>
      </c>
    </row>
    <row r="12" spans="1:13">
      <c r="A12" t="s">
        <v>953</v>
      </c>
      <c r="B12" t="s">
        <v>5742</v>
      </c>
      <c r="C12" t="s">
        <v>1493</v>
      </c>
      <c r="D12" t="s">
        <v>5743</v>
      </c>
      <c r="E12" s="519">
        <v>46059</v>
      </c>
      <c r="F12" s="519">
        <v>46141</v>
      </c>
      <c r="G12" s="519">
        <v>46141</v>
      </c>
      <c r="H12" t="s">
        <v>6727</v>
      </c>
      <c r="I12" t="s">
        <v>858</v>
      </c>
      <c r="J12">
        <v>817</v>
      </c>
      <c r="K12">
        <v>940</v>
      </c>
      <c r="L12">
        <v>750</v>
      </c>
      <c r="M12">
        <v>-41</v>
      </c>
    </row>
    <row r="13" spans="1:13">
      <c r="A13" t="s">
        <v>953</v>
      </c>
      <c r="B13" t="s">
        <v>3076</v>
      </c>
      <c r="C13" t="s">
        <v>1493</v>
      </c>
      <c r="D13" t="s">
        <v>6728</v>
      </c>
      <c r="E13" s="519">
        <v>45993</v>
      </c>
      <c r="F13" s="519">
        <v>46087</v>
      </c>
      <c r="G13" s="519">
        <v>46087</v>
      </c>
      <c r="H13" t="s">
        <v>6729</v>
      </c>
      <c r="I13" t="s">
        <v>858</v>
      </c>
      <c r="J13">
        <v>827</v>
      </c>
      <c r="K13" s="520">
        <v>2000</v>
      </c>
      <c r="L13">
        <v>0</v>
      </c>
      <c r="M13">
        <v>0</v>
      </c>
    </row>
    <row r="14" spans="1:13">
      <c r="A14" t="s">
        <v>953</v>
      </c>
      <c r="B14" t="s">
        <v>869</v>
      </c>
      <c r="C14" t="s">
        <v>1500</v>
      </c>
      <c r="D14" t="s">
        <v>1672</v>
      </c>
      <c r="E14" s="519">
        <v>46069</v>
      </c>
      <c r="F14" s="519">
        <v>46356</v>
      </c>
      <c r="G14" s="519">
        <v>46069</v>
      </c>
      <c r="H14" t="s">
        <v>802</v>
      </c>
      <c r="I14" t="s">
        <v>853</v>
      </c>
      <c r="J14" s="520">
        <v>1024</v>
      </c>
      <c r="K14" s="520">
        <v>1205</v>
      </c>
      <c r="L14">
        <v>0</v>
      </c>
      <c r="M14" s="520">
        <v>2954.5</v>
      </c>
    </row>
    <row r="15" spans="1:13">
      <c r="A15" t="s">
        <v>953</v>
      </c>
      <c r="B15" t="s">
        <v>863</v>
      </c>
      <c r="C15" t="s">
        <v>1496</v>
      </c>
      <c r="D15" t="s">
        <v>1377</v>
      </c>
      <c r="E15" s="519">
        <v>46073</v>
      </c>
      <c r="F15" s="519">
        <v>46142</v>
      </c>
      <c r="G15" s="519">
        <v>46078</v>
      </c>
      <c r="H15" t="s">
        <v>802</v>
      </c>
      <c r="I15" t="s">
        <v>853</v>
      </c>
      <c r="J15">
        <v>785</v>
      </c>
      <c r="K15" s="520">
        <v>1005</v>
      </c>
      <c r="L15">
        <v>0</v>
      </c>
      <c r="M15" s="520">
        <v>6169.06</v>
      </c>
    </row>
    <row r="16" spans="1:13">
      <c r="A16" t="s">
        <v>953</v>
      </c>
      <c r="B16" t="s">
        <v>889</v>
      </c>
      <c r="C16" t="s">
        <v>1496</v>
      </c>
      <c r="D16" t="s">
        <v>1400</v>
      </c>
      <c r="E16" s="519">
        <v>46053</v>
      </c>
      <c r="F16" s="519">
        <v>46053</v>
      </c>
      <c r="G16" s="519">
        <v>46053</v>
      </c>
      <c r="H16" t="s">
        <v>802</v>
      </c>
      <c r="I16" t="s">
        <v>858</v>
      </c>
      <c r="J16">
        <v>785</v>
      </c>
      <c r="K16" s="520">
        <v>2070</v>
      </c>
      <c r="L16">
        <v>0</v>
      </c>
      <c r="M16">
        <v>151.1</v>
      </c>
    </row>
    <row r="17" spans="1:13">
      <c r="A17" t="s">
        <v>953</v>
      </c>
      <c r="B17" t="s">
        <v>5921</v>
      </c>
      <c r="C17" t="s">
        <v>1496</v>
      </c>
      <c r="D17" t="s">
        <v>5922</v>
      </c>
      <c r="E17" s="519">
        <v>46101</v>
      </c>
      <c r="F17" s="519">
        <v>46203</v>
      </c>
      <c r="G17" s="519">
        <v>46140</v>
      </c>
      <c r="H17" t="s">
        <v>6729</v>
      </c>
      <c r="I17" t="s">
        <v>853</v>
      </c>
      <c r="J17">
        <v>855</v>
      </c>
      <c r="K17" s="520">
        <v>1219</v>
      </c>
      <c r="L17">
        <v>150</v>
      </c>
      <c r="M17">
        <v>156.47</v>
      </c>
    </row>
    <row r="18" spans="1:13">
      <c r="A18" t="s">
        <v>953</v>
      </c>
      <c r="B18" t="s">
        <v>856</v>
      </c>
      <c r="C18" t="s">
        <v>1496</v>
      </c>
      <c r="D18" t="s">
        <v>1368</v>
      </c>
      <c r="E18" s="519">
        <v>46086</v>
      </c>
      <c r="F18" s="519">
        <v>46353</v>
      </c>
      <c r="G18" s="519">
        <v>46086</v>
      </c>
      <c r="H18" t="s">
        <v>802</v>
      </c>
      <c r="I18" t="s">
        <v>853</v>
      </c>
      <c r="J18">
        <v>865</v>
      </c>
      <c r="K18" s="520">
        <v>1070</v>
      </c>
      <c r="L18">
        <v>0</v>
      </c>
      <c r="M18" s="520">
        <v>9482.35</v>
      </c>
    </row>
    <row r="19" spans="1:13">
      <c r="A19" t="s">
        <v>953</v>
      </c>
      <c r="B19" t="s">
        <v>5759</v>
      </c>
      <c r="C19" t="s">
        <v>1493</v>
      </c>
      <c r="D19" t="s">
        <v>6730</v>
      </c>
      <c r="E19" s="519">
        <v>46032</v>
      </c>
      <c r="F19" s="519">
        <v>46111</v>
      </c>
      <c r="G19" s="519">
        <v>46111</v>
      </c>
      <c r="H19" t="s">
        <v>6725</v>
      </c>
      <c r="I19" t="s">
        <v>858</v>
      </c>
      <c r="J19">
        <v>877</v>
      </c>
      <c r="K19" s="520">
        <v>2352.65</v>
      </c>
      <c r="L19">
        <v>0</v>
      </c>
      <c r="M19">
        <v>0</v>
      </c>
    </row>
    <row r="20" spans="1:13">
      <c r="A20" t="s">
        <v>953</v>
      </c>
      <c r="B20" t="s">
        <v>1680</v>
      </c>
      <c r="C20" t="s">
        <v>1493</v>
      </c>
      <c r="D20" t="s">
        <v>1681</v>
      </c>
      <c r="E20" s="519">
        <v>46119</v>
      </c>
      <c r="F20" s="519">
        <v>46133</v>
      </c>
      <c r="G20" s="519">
        <v>46119</v>
      </c>
      <c r="H20" t="s">
        <v>802</v>
      </c>
      <c r="I20" t="s">
        <v>853</v>
      </c>
      <c r="J20">
        <v>877</v>
      </c>
      <c r="K20" s="520">
        <v>1055</v>
      </c>
      <c r="L20">
        <v>0</v>
      </c>
      <c r="M20" s="520">
        <v>1546.51</v>
      </c>
    </row>
    <row r="21" spans="1:13">
      <c r="A21" t="s">
        <v>953</v>
      </c>
      <c r="B21" t="s">
        <v>1684</v>
      </c>
      <c r="C21" t="s">
        <v>1508</v>
      </c>
      <c r="D21" t="s">
        <v>1685</v>
      </c>
      <c r="E21" s="519">
        <v>46104</v>
      </c>
      <c r="F21" s="519">
        <v>46136</v>
      </c>
      <c r="G21" s="519">
        <v>46136</v>
      </c>
      <c r="H21" t="s">
        <v>6720</v>
      </c>
      <c r="I21" t="s">
        <v>858</v>
      </c>
      <c r="J21" s="520">
        <v>1124</v>
      </c>
      <c r="K21" s="520">
        <v>3304</v>
      </c>
      <c r="L21">
        <v>0</v>
      </c>
      <c r="M21" s="520">
        <v>7197.72</v>
      </c>
    </row>
    <row r="22" spans="1:13">
      <c r="A22" t="s">
        <v>953</v>
      </c>
      <c r="B22" t="s">
        <v>6291</v>
      </c>
      <c r="C22" t="s">
        <v>1500</v>
      </c>
      <c r="D22" t="s">
        <v>6732</v>
      </c>
      <c r="E22" s="519">
        <v>46008</v>
      </c>
      <c r="F22" s="519">
        <v>46067</v>
      </c>
      <c r="G22" s="519">
        <v>46066</v>
      </c>
      <c r="H22" t="s">
        <v>6733</v>
      </c>
      <c r="I22" t="s">
        <v>853</v>
      </c>
      <c r="J22">
        <v>979</v>
      </c>
      <c r="K22" s="520">
        <v>1115</v>
      </c>
      <c r="L22">
        <v>0</v>
      </c>
      <c r="M22">
        <v>0</v>
      </c>
    </row>
    <row r="23" spans="1:13">
      <c r="A23" t="s">
        <v>953</v>
      </c>
      <c r="B23" t="s">
        <v>560</v>
      </c>
      <c r="C23" t="s">
        <v>1500</v>
      </c>
      <c r="D23" t="s">
        <v>1404</v>
      </c>
      <c r="E23" s="519">
        <v>46036</v>
      </c>
      <c r="F23" s="519">
        <v>46081</v>
      </c>
      <c r="G23" s="519">
        <v>46055</v>
      </c>
      <c r="H23" t="s">
        <v>6729</v>
      </c>
      <c r="I23" t="s">
        <v>853</v>
      </c>
      <c r="J23">
        <v>979</v>
      </c>
      <c r="K23" s="520">
        <v>1255</v>
      </c>
      <c r="L23">
        <v>0</v>
      </c>
      <c r="M23">
        <v>193.16</v>
      </c>
    </row>
    <row r="24" spans="1:13">
      <c r="A24" t="s">
        <v>953</v>
      </c>
      <c r="B24" t="s">
        <v>896</v>
      </c>
      <c r="C24" t="s">
        <v>1496</v>
      </c>
      <c r="D24" t="s">
        <v>1692</v>
      </c>
      <c r="E24" s="519">
        <v>45990</v>
      </c>
      <c r="F24" s="519">
        <v>46055</v>
      </c>
      <c r="G24" s="519">
        <v>46055</v>
      </c>
      <c r="H24" t="s">
        <v>6725</v>
      </c>
      <c r="I24" t="s">
        <v>858</v>
      </c>
      <c r="J24">
        <v>830</v>
      </c>
      <c r="K24" s="520">
        <v>2014</v>
      </c>
      <c r="L24">
        <v>0</v>
      </c>
      <c r="M24">
        <v>103.61</v>
      </c>
    </row>
    <row r="25" spans="1:13">
      <c r="A25" t="s">
        <v>953</v>
      </c>
      <c r="B25" t="s">
        <v>1699</v>
      </c>
      <c r="C25" t="s">
        <v>1496</v>
      </c>
      <c r="D25" t="s">
        <v>1700</v>
      </c>
      <c r="E25" s="519">
        <v>46119</v>
      </c>
      <c r="F25" s="519">
        <v>46491</v>
      </c>
      <c r="G25" s="519">
        <v>46127</v>
      </c>
      <c r="H25" t="s">
        <v>802</v>
      </c>
      <c r="I25" t="s">
        <v>853</v>
      </c>
      <c r="J25">
        <v>805</v>
      </c>
      <c r="K25" s="520">
        <v>1910</v>
      </c>
      <c r="L25">
        <v>0</v>
      </c>
      <c r="M25">
        <v>935.18</v>
      </c>
    </row>
    <row r="26" spans="1:13">
      <c r="A26" t="s">
        <v>953</v>
      </c>
      <c r="B26" t="s">
        <v>890</v>
      </c>
      <c r="C26" t="s">
        <v>1508</v>
      </c>
      <c r="D26" t="s">
        <v>1704</v>
      </c>
      <c r="E26" s="519">
        <v>46021</v>
      </c>
      <c r="F26" s="519">
        <v>46081</v>
      </c>
      <c r="G26" s="519">
        <v>46081</v>
      </c>
      <c r="H26" t="s">
        <v>6731</v>
      </c>
      <c r="I26" t="s">
        <v>858</v>
      </c>
      <c r="J26" s="520">
        <v>1149</v>
      </c>
      <c r="K26" s="520">
        <v>1590</v>
      </c>
      <c r="L26">
        <v>0</v>
      </c>
      <c r="M26">
        <v>325</v>
      </c>
    </row>
    <row r="27" spans="1:13">
      <c r="A27" t="s">
        <v>953</v>
      </c>
      <c r="B27" t="s">
        <v>877</v>
      </c>
      <c r="C27" t="s">
        <v>1501</v>
      </c>
      <c r="D27" t="s">
        <v>1380</v>
      </c>
      <c r="E27" s="519">
        <v>46045</v>
      </c>
      <c r="F27" s="519">
        <v>46025</v>
      </c>
      <c r="G27" s="519">
        <v>46025</v>
      </c>
      <c r="H27" t="s">
        <v>806</v>
      </c>
      <c r="I27" t="s">
        <v>858</v>
      </c>
      <c r="J27" s="520">
        <v>1077</v>
      </c>
      <c r="K27" s="520">
        <v>1295</v>
      </c>
      <c r="L27">
        <v>0</v>
      </c>
      <c r="M27">
        <v>0</v>
      </c>
    </row>
    <row r="28" spans="1:13">
      <c r="A28" t="s">
        <v>953</v>
      </c>
      <c r="B28" t="s">
        <v>860</v>
      </c>
      <c r="C28" t="s">
        <v>1501</v>
      </c>
      <c r="D28" t="s">
        <v>1717</v>
      </c>
      <c r="E28" s="519">
        <v>46097</v>
      </c>
      <c r="F28" s="519">
        <v>46203</v>
      </c>
      <c r="G28" s="519">
        <v>46097</v>
      </c>
      <c r="H28" t="s">
        <v>802</v>
      </c>
      <c r="I28" t="s">
        <v>853</v>
      </c>
      <c r="J28" s="520">
        <v>1077</v>
      </c>
      <c r="K28" s="520">
        <v>1267</v>
      </c>
      <c r="L28">
        <v>0</v>
      </c>
      <c r="M28" s="520">
        <v>7752.3</v>
      </c>
    </row>
    <row r="29" spans="1:13">
      <c r="A29" t="s">
        <v>953</v>
      </c>
      <c r="B29" t="s">
        <v>864</v>
      </c>
      <c r="C29" t="s">
        <v>1498</v>
      </c>
      <c r="D29" t="s">
        <v>1373</v>
      </c>
      <c r="E29" s="519">
        <v>46073</v>
      </c>
      <c r="F29" s="519">
        <v>46146</v>
      </c>
      <c r="G29" s="519">
        <v>46078</v>
      </c>
      <c r="H29" t="s">
        <v>802</v>
      </c>
      <c r="I29" t="s">
        <v>853</v>
      </c>
      <c r="J29" s="520">
        <v>1002</v>
      </c>
      <c r="K29" s="520">
        <v>1100</v>
      </c>
      <c r="L29">
        <v>0</v>
      </c>
      <c r="M29" s="520">
        <v>5976.83</v>
      </c>
    </row>
    <row r="30" spans="1:13">
      <c r="A30" t="s">
        <v>953</v>
      </c>
      <c r="B30" t="s">
        <v>1722</v>
      </c>
      <c r="C30" t="s">
        <v>1507</v>
      </c>
      <c r="D30" t="s">
        <v>1723</v>
      </c>
      <c r="E30" s="519">
        <v>46111</v>
      </c>
      <c r="F30" s="519">
        <v>46276</v>
      </c>
      <c r="G30" s="519">
        <v>46111</v>
      </c>
      <c r="H30" t="s">
        <v>802</v>
      </c>
      <c r="I30" t="s">
        <v>853</v>
      </c>
      <c r="J30" s="520">
        <v>1071</v>
      </c>
      <c r="K30" s="520">
        <v>1566</v>
      </c>
      <c r="L30">
        <v>0</v>
      </c>
      <c r="M30" s="520">
        <v>6455.43</v>
      </c>
    </row>
    <row r="31" spans="1:13">
      <c r="A31" t="s">
        <v>953</v>
      </c>
      <c r="B31" t="s">
        <v>1724</v>
      </c>
      <c r="C31" t="s">
        <v>1507</v>
      </c>
      <c r="D31" t="s">
        <v>1725</v>
      </c>
      <c r="E31" s="519">
        <v>46114</v>
      </c>
      <c r="F31" s="519">
        <v>46116</v>
      </c>
      <c r="G31" s="519">
        <v>46114</v>
      </c>
      <c r="H31" t="s">
        <v>6721</v>
      </c>
      <c r="I31" t="s">
        <v>853</v>
      </c>
      <c r="J31" s="520">
        <v>1096</v>
      </c>
      <c r="K31" s="520">
        <v>1520</v>
      </c>
      <c r="L31">
        <v>0</v>
      </c>
      <c r="M31" s="520">
        <v>8402.24</v>
      </c>
    </row>
    <row r="32" spans="1:13">
      <c r="A32" t="s">
        <v>953</v>
      </c>
      <c r="B32" t="s">
        <v>881</v>
      </c>
      <c r="C32" t="s">
        <v>1507</v>
      </c>
      <c r="D32" t="s">
        <v>1726</v>
      </c>
      <c r="E32" s="519">
        <v>46037</v>
      </c>
      <c r="F32" s="519">
        <v>46113</v>
      </c>
      <c r="G32" s="519">
        <v>46055</v>
      </c>
      <c r="H32" t="s">
        <v>6725</v>
      </c>
      <c r="I32" t="s">
        <v>853</v>
      </c>
      <c r="J32" s="520">
        <v>1096</v>
      </c>
      <c r="K32" s="520">
        <v>1520</v>
      </c>
      <c r="L32">
        <v>0</v>
      </c>
      <c r="M32">
        <v>308.06</v>
      </c>
    </row>
    <row r="33" spans="1:13">
      <c r="A33" t="s">
        <v>953</v>
      </c>
      <c r="B33" t="s">
        <v>2769</v>
      </c>
      <c r="C33" t="s">
        <v>1510</v>
      </c>
      <c r="D33" t="s">
        <v>6734</v>
      </c>
      <c r="E33" s="519">
        <v>45992</v>
      </c>
      <c r="F33" s="519">
        <v>46056</v>
      </c>
      <c r="G33" s="519">
        <v>46056</v>
      </c>
      <c r="H33" t="s">
        <v>6735</v>
      </c>
      <c r="I33" t="s">
        <v>858</v>
      </c>
      <c r="J33" s="520">
        <v>1232</v>
      </c>
      <c r="K33" s="520">
        <v>3404</v>
      </c>
      <c r="L33">
        <v>0</v>
      </c>
      <c r="M33">
        <v>0</v>
      </c>
    </row>
    <row r="34" spans="1:13">
      <c r="A34" t="s">
        <v>953</v>
      </c>
      <c r="B34" t="s">
        <v>1730</v>
      </c>
      <c r="C34" t="s">
        <v>1498</v>
      </c>
      <c r="D34" t="s">
        <v>1731</v>
      </c>
      <c r="E34" s="519">
        <v>46104</v>
      </c>
      <c r="F34" s="519">
        <v>46114</v>
      </c>
      <c r="G34" s="519">
        <v>46114</v>
      </c>
      <c r="H34" t="s">
        <v>6721</v>
      </c>
      <c r="I34" t="s">
        <v>858</v>
      </c>
      <c r="J34">
        <v>912</v>
      </c>
      <c r="K34" s="520">
        <v>1910</v>
      </c>
      <c r="L34">
        <v>0</v>
      </c>
      <c r="M34" s="520">
        <v>8376.2000000000007</v>
      </c>
    </row>
    <row r="35" spans="1:13">
      <c r="A35" t="s">
        <v>953</v>
      </c>
      <c r="B35" t="s">
        <v>897</v>
      </c>
      <c r="C35" t="s">
        <v>1507</v>
      </c>
      <c r="D35" t="s">
        <v>1732</v>
      </c>
      <c r="E35" s="519">
        <v>46063</v>
      </c>
      <c r="F35" s="519">
        <v>46081</v>
      </c>
      <c r="G35" s="519">
        <v>46081</v>
      </c>
      <c r="H35" t="s">
        <v>6725</v>
      </c>
      <c r="I35" t="s">
        <v>858</v>
      </c>
      <c r="J35" s="520">
        <v>1096</v>
      </c>
      <c r="K35" s="520">
        <v>1579</v>
      </c>
      <c r="L35">
        <v>0</v>
      </c>
      <c r="M35">
        <v>93.02</v>
      </c>
    </row>
    <row r="36" spans="1:13">
      <c r="A36" t="s">
        <v>953</v>
      </c>
      <c r="B36" t="s">
        <v>859</v>
      </c>
      <c r="C36" t="s">
        <v>1507</v>
      </c>
      <c r="D36" t="s">
        <v>482</v>
      </c>
      <c r="E36" s="519">
        <v>46065</v>
      </c>
      <c r="F36" s="519">
        <v>46065</v>
      </c>
      <c r="G36" s="519">
        <v>46065</v>
      </c>
      <c r="H36" t="s">
        <v>802</v>
      </c>
      <c r="I36" t="s">
        <v>858</v>
      </c>
      <c r="J36" s="520">
        <v>1071</v>
      </c>
      <c r="K36" s="520">
        <v>3280</v>
      </c>
      <c r="L36">
        <v>0</v>
      </c>
      <c r="M36" s="520">
        <v>1924.33</v>
      </c>
    </row>
    <row r="37" spans="1:13">
      <c r="A37" t="s">
        <v>953</v>
      </c>
      <c r="B37" t="s">
        <v>5388</v>
      </c>
      <c r="C37" t="s">
        <v>1510</v>
      </c>
      <c r="D37" t="s">
        <v>6673</v>
      </c>
      <c r="E37" s="519">
        <v>46125</v>
      </c>
      <c r="F37" s="519">
        <v>46406</v>
      </c>
      <c r="G37" s="519">
        <v>46125</v>
      </c>
      <c r="H37" t="s">
        <v>802</v>
      </c>
      <c r="I37" t="s">
        <v>853</v>
      </c>
      <c r="J37" s="520">
        <v>1232</v>
      </c>
      <c r="K37" s="520">
        <v>1301</v>
      </c>
      <c r="L37">
        <v>500</v>
      </c>
      <c r="M37">
        <v>-626.03</v>
      </c>
    </row>
    <row r="38" spans="1:13">
      <c r="A38" t="s">
        <v>953</v>
      </c>
      <c r="B38" t="s">
        <v>3111</v>
      </c>
      <c r="C38" t="s">
        <v>1510</v>
      </c>
      <c r="D38" t="s">
        <v>6678</v>
      </c>
      <c r="E38" s="519">
        <v>46071</v>
      </c>
      <c r="F38" s="519">
        <v>46133</v>
      </c>
      <c r="G38" s="519">
        <v>46130</v>
      </c>
      <c r="H38" t="s">
        <v>6733</v>
      </c>
      <c r="I38" t="s">
        <v>853</v>
      </c>
      <c r="J38" s="520">
        <v>1137</v>
      </c>
      <c r="K38" s="520">
        <v>1665</v>
      </c>
      <c r="L38">
        <v>0</v>
      </c>
      <c r="M38">
        <v>107.53</v>
      </c>
    </row>
    <row r="39" spans="1:13">
      <c r="A39" t="s">
        <v>953</v>
      </c>
      <c r="B39" t="s">
        <v>1735</v>
      </c>
      <c r="C39" t="s">
        <v>1503</v>
      </c>
      <c r="D39" t="s">
        <v>1736</v>
      </c>
      <c r="E39" s="519">
        <v>46052</v>
      </c>
      <c r="F39" s="519">
        <v>46112</v>
      </c>
      <c r="G39" s="519">
        <v>46112</v>
      </c>
      <c r="H39" t="s">
        <v>6727</v>
      </c>
      <c r="I39" t="s">
        <v>858</v>
      </c>
      <c r="J39" s="520">
        <v>1131</v>
      </c>
      <c r="K39" s="520">
        <v>1213</v>
      </c>
      <c r="L39">
        <v>0</v>
      </c>
      <c r="M39" s="520">
        <v>2084.2600000000002</v>
      </c>
    </row>
    <row r="40" spans="1:13">
      <c r="A40" t="s">
        <v>953</v>
      </c>
      <c r="B40" t="s">
        <v>1737</v>
      </c>
      <c r="C40" t="s">
        <v>1503</v>
      </c>
      <c r="D40" t="s">
        <v>1738</v>
      </c>
      <c r="E40" s="519">
        <v>46104</v>
      </c>
      <c r="F40" s="519">
        <v>46120</v>
      </c>
      <c r="G40" s="519">
        <v>46120</v>
      </c>
      <c r="H40" t="s">
        <v>6721</v>
      </c>
      <c r="I40" t="s">
        <v>858</v>
      </c>
      <c r="J40" s="520">
        <v>1036</v>
      </c>
      <c r="K40" s="520">
        <v>2835</v>
      </c>
      <c r="L40">
        <v>0</v>
      </c>
      <c r="M40" s="520">
        <v>7202.71</v>
      </c>
    </row>
    <row r="41" spans="1:13">
      <c r="A41" t="s">
        <v>953</v>
      </c>
      <c r="B41" t="s">
        <v>894</v>
      </c>
      <c r="C41" t="s">
        <v>425</v>
      </c>
      <c r="D41" t="s">
        <v>6736</v>
      </c>
      <c r="E41" s="519">
        <v>46053</v>
      </c>
      <c r="F41" s="519">
        <v>46053</v>
      </c>
      <c r="G41" s="519">
        <v>46053</v>
      </c>
      <c r="H41" t="s">
        <v>802</v>
      </c>
      <c r="I41" t="s">
        <v>858</v>
      </c>
      <c r="J41" s="520">
        <v>1610</v>
      </c>
      <c r="K41" s="520">
        <v>1502</v>
      </c>
      <c r="L41">
        <v>0</v>
      </c>
      <c r="M41">
        <v>0</v>
      </c>
    </row>
    <row r="42" spans="1:13">
      <c r="A42" t="s">
        <v>953</v>
      </c>
      <c r="B42" t="s">
        <v>1739</v>
      </c>
      <c r="C42" t="s">
        <v>425</v>
      </c>
      <c r="D42" t="s">
        <v>479</v>
      </c>
      <c r="E42" s="519">
        <v>46073</v>
      </c>
      <c r="F42" s="519">
        <v>46152</v>
      </c>
      <c r="G42" s="519">
        <v>46114</v>
      </c>
      <c r="H42" t="s">
        <v>6721</v>
      </c>
      <c r="I42" t="s">
        <v>853</v>
      </c>
      <c r="J42" s="520">
        <v>1705</v>
      </c>
      <c r="K42" s="520">
        <v>2095</v>
      </c>
      <c r="L42">
        <v>0</v>
      </c>
      <c r="M42" s="520">
        <v>8354.07</v>
      </c>
    </row>
    <row r="43" spans="1:13">
      <c r="A43" t="s">
        <v>953</v>
      </c>
      <c r="B43" t="s">
        <v>898</v>
      </c>
      <c r="C43" t="s">
        <v>1504</v>
      </c>
      <c r="D43" t="s">
        <v>2546</v>
      </c>
      <c r="E43" s="519">
        <v>46070</v>
      </c>
      <c r="F43" s="519">
        <v>46416</v>
      </c>
      <c r="G43" s="519">
        <v>46070</v>
      </c>
      <c r="H43" t="s">
        <v>6731</v>
      </c>
      <c r="I43" t="s">
        <v>853</v>
      </c>
      <c r="J43" s="520">
        <v>1288</v>
      </c>
      <c r="K43" s="520">
        <v>1380</v>
      </c>
      <c r="L43">
        <v>0</v>
      </c>
      <c r="M43">
        <v>0</v>
      </c>
    </row>
    <row r="44" spans="1:13">
      <c r="A44" t="s">
        <v>953</v>
      </c>
      <c r="B44" t="s">
        <v>887</v>
      </c>
      <c r="C44" t="s">
        <v>1497</v>
      </c>
      <c r="D44" t="s">
        <v>1405</v>
      </c>
      <c r="E44" s="519">
        <v>46034</v>
      </c>
      <c r="F44" s="519">
        <v>46034</v>
      </c>
      <c r="G44" s="519">
        <v>46034</v>
      </c>
      <c r="H44" t="s">
        <v>6729</v>
      </c>
      <c r="I44" t="s">
        <v>858</v>
      </c>
      <c r="J44">
        <v>933</v>
      </c>
      <c r="K44">
        <v>848</v>
      </c>
      <c r="L44">
        <v>0</v>
      </c>
      <c r="M44">
        <v>429.63</v>
      </c>
    </row>
    <row r="45" spans="1:13">
      <c r="A45" t="s">
        <v>953</v>
      </c>
      <c r="B45" t="s">
        <v>1748</v>
      </c>
      <c r="C45" t="s">
        <v>1497</v>
      </c>
      <c r="D45" t="s">
        <v>1749</v>
      </c>
      <c r="E45" s="519">
        <v>46073</v>
      </c>
      <c r="F45" s="519">
        <v>46139</v>
      </c>
      <c r="G45" s="519">
        <v>46139</v>
      </c>
      <c r="H45" t="s">
        <v>806</v>
      </c>
      <c r="I45" t="s">
        <v>858</v>
      </c>
      <c r="J45">
        <v>888</v>
      </c>
      <c r="K45" s="520">
        <v>2013.69</v>
      </c>
      <c r="L45">
        <v>150</v>
      </c>
      <c r="M45" s="520">
        <v>1345.98</v>
      </c>
    </row>
    <row r="46" spans="1:13">
      <c r="A46" t="s">
        <v>953</v>
      </c>
      <c r="B46" t="s">
        <v>1003</v>
      </c>
      <c r="C46" t="s">
        <v>1497</v>
      </c>
      <c r="D46" t="s">
        <v>5988</v>
      </c>
      <c r="E46" s="519">
        <v>45969</v>
      </c>
      <c r="F46" s="519">
        <v>46132</v>
      </c>
      <c r="G46" s="519">
        <v>46132</v>
      </c>
      <c r="H46" t="s">
        <v>6727</v>
      </c>
      <c r="I46" t="s">
        <v>858</v>
      </c>
      <c r="J46">
        <v>973</v>
      </c>
      <c r="K46" s="520">
        <v>2280</v>
      </c>
      <c r="L46">
        <v>0</v>
      </c>
      <c r="M46">
        <v>0</v>
      </c>
    </row>
    <row r="47" spans="1:13">
      <c r="A47" t="s">
        <v>953</v>
      </c>
      <c r="B47" t="s">
        <v>878</v>
      </c>
      <c r="C47" t="s">
        <v>1497</v>
      </c>
      <c r="D47" t="s">
        <v>1401</v>
      </c>
      <c r="E47" s="519">
        <v>46055</v>
      </c>
      <c r="F47" s="519">
        <v>46234</v>
      </c>
      <c r="G47" s="519">
        <v>46055</v>
      </c>
      <c r="H47" t="s">
        <v>4103</v>
      </c>
      <c r="I47" t="s">
        <v>853</v>
      </c>
      <c r="J47">
        <v>903</v>
      </c>
      <c r="K47">
        <v>874</v>
      </c>
      <c r="L47">
        <v>0</v>
      </c>
      <c r="M47" s="520">
        <v>1498.63</v>
      </c>
    </row>
    <row r="48" spans="1:13">
      <c r="A48" t="s">
        <v>953</v>
      </c>
      <c r="B48" t="s">
        <v>852</v>
      </c>
      <c r="C48" t="s">
        <v>1504</v>
      </c>
      <c r="D48" t="s">
        <v>1322</v>
      </c>
      <c r="E48" s="519">
        <v>46064</v>
      </c>
      <c r="F48" s="519">
        <v>46064</v>
      </c>
      <c r="G48" s="519">
        <v>46064</v>
      </c>
      <c r="H48" t="s">
        <v>802</v>
      </c>
      <c r="I48" t="s">
        <v>858</v>
      </c>
      <c r="J48" s="520">
        <v>1243</v>
      </c>
      <c r="K48" s="520">
        <v>2870</v>
      </c>
      <c r="L48">
        <v>0</v>
      </c>
      <c r="M48" s="520">
        <v>2571.16</v>
      </c>
    </row>
    <row r="49" spans="1:13">
      <c r="A49" t="s">
        <v>953</v>
      </c>
      <c r="B49" t="s">
        <v>893</v>
      </c>
      <c r="C49" t="s">
        <v>1497</v>
      </c>
      <c r="D49" t="s">
        <v>1757</v>
      </c>
      <c r="E49" s="519">
        <v>45994</v>
      </c>
      <c r="F49" s="519">
        <v>46055</v>
      </c>
      <c r="G49" s="519">
        <v>46055</v>
      </c>
      <c r="H49" t="s">
        <v>6725</v>
      </c>
      <c r="I49" t="s">
        <v>858</v>
      </c>
      <c r="J49">
        <v>923</v>
      </c>
      <c r="K49" s="520">
        <v>1680</v>
      </c>
      <c r="L49">
        <v>0</v>
      </c>
      <c r="M49">
        <v>150.68</v>
      </c>
    </row>
    <row r="50" spans="1:13">
      <c r="A50" t="s">
        <v>953</v>
      </c>
      <c r="B50" t="s">
        <v>1760</v>
      </c>
      <c r="C50" t="s">
        <v>1497</v>
      </c>
      <c r="D50" t="s">
        <v>1761</v>
      </c>
      <c r="E50" s="519">
        <v>46066</v>
      </c>
      <c r="F50" s="519">
        <v>46112</v>
      </c>
      <c r="G50" s="519">
        <v>46112</v>
      </c>
      <c r="H50" t="s">
        <v>6735</v>
      </c>
      <c r="I50" t="s">
        <v>858</v>
      </c>
      <c r="J50">
        <v>948</v>
      </c>
      <c r="K50" s="520">
        <v>1970</v>
      </c>
      <c r="L50">
        <v>0</v>
      </c>
      <c r="M50" s="520">
        <v>1223.83</v>
      </c>
    </row>
    <row r="51" spans="1:13">
      <c r="A51" t="s">
        <v>953</v>
      </c>
      <c r="B51" t="s">
        <v>6007</v>
      </c>
      <c r="C51" t="s">
        <v>1497</v>
      </c>
      <c r="D51" t="s">
        <v>6008</v>
      </c>
      <c r="E51" s="519">
        <v>46080</v>
      </c>
      <c r="F51" s="519">
        <v>46141</v>
      </c>
      <c r="G51" s="519">
        <v>46140</v>
      </c>
      <c r="H51" t="s">
        <v>6737</v>
      </c>
      <c r="I51" t="s">
        <v>853</v>
      </c>
      <c r="J51">
        <v>888</v>
      </c>
      <c r="K51">
        <v>925</v>
      </c>
      <c r="L51">
        <v>0</v>
      </c>
      <c r="M51">
        <v>325.70999999999998</v>
      </c>
    </row>
    <row r="52" spans="1:13">
      <c r="A52" t="s">
        <v>953</v>
      </c>
      <c r="B52" t="s">
        <v>1764</v>
      </c>
      <c r="C52" t="s">
        <v>419</v>
      </c>
      <c r="D52" t="s">
        <v>1765</v>
      </c>
      <c r="E52" s="519">
        <v>46072</v>
      </c>
      <c r="F52" s="519">
        <v>46106</v>
      </c>
      <c r="G52" s="519">
        <v>46106</v>
      </c>
      <c r="H52" t="s">
        <v>6719</v>
      </c>
      <c r="I52" t="s">
        <v>858</v>
      </c>
      <c r="J52">
        <v>798</v>
      </c>
      <c r="K52" s="520">
        <v>1556</v>
      </c>
      <c r="L52">
        <v>0</v>
      </c>
      <c r="M52" s="520">
        <v>1593.57</v>
      </c>
    </row>
    <row r="53" spans="1:13">
      <c r="A53" t="s">
        <v>953</v>
      </c>
      <c r="B53" t="s">
        <v>895</v>
      </c>
      <c r="C53" t="s">
        <v>1495</v>
      </c>
      <c r="D53" t="s">
        <v>1768</v>
      </c>
      <c r="E53" s="519">
        <v>45993</v>
      </c>
      <c r="F53" s="519">
        <v>46069</v>
      </c>
      <c r="G53" s="519">
        <v>46069</v>
      </c>
      <c r="H53" t="s">
        <v>6726</v>
      </c>
      <c r="I53" t="s">
        <v>858</v>
      </c>
      <c r="J53">
        <v>861</v>
      </c>
      <c r="K53">
        <v>975</v>
      </c>
      <c r="L53">
        <v>0</v>
      </c>
      <c r="M53">
        <v>118.22</v>
      </c>
    </row>
    <row r="54" spans="1:13">
      <c r="A54" t="s">
        <v>953</v>
      </c>
      <c r="B54" t="s">
        <v>879</v>
      </c>
      <c r="C54" t="s">
        <v>419</v>
      </c>
      <c r="D54" t="s">
        <v>1769</v>
      </c>
      <c r="E54" s="519">
        <v>46084</v>
      </c>
      <c r="F54" s="519">
        <v>46084</v>
      </c>
      <c r="G54" s="519">
        <v>46084</v>
      </c>
      <c r="H54" t="s">
        <v>6731</v>
      </c>
      <c r="I54" t="s">
        <v>858</v>
      </c>
      <c r="J54">
        <v>768</v>
      </c>
      <c r="K54" s="520">
        <v>1730</v>
      </c>
      <c r="L54">
        <v>0</v>
      </c>
      <c r="M54" s="520">
        <v>1340.57</v>
      </c>
    </row>
    <row r="55" spans="1:13">
      <c r="A55" t="s">
        <v>953</v>
      </c>
      <c r="B55" t="s">
        <v>1770</v>
      </c>
      <c r="C55" t="s">
        <v>419</v>
      </c>
      <c r="D55" t="s">
        <v>1771</v>
      </c>
      <c r="E55" s="519">
        <v>46120</v>
      </c>
      <c r="F55" s="519">
        <v>46120</v>
      </c>
      <c r="G55" s="519">
        <v>46120</v>
      </c>
      <c r="H55" t="s">
        <v>802</v>
      </c>
      <c r="I55" t="s">
        <v>858</v>
      </c>
      <c r="J55">
        <v>753</v>
      </c>
      <c r="K55" s="520">
        <v>1502</v>
      </c>
      <c r="L55">
        <v>0</v>
      </c>
      <c r="M55" s="520">
        <v>6480.04</v>
      </c>
    </row>
    <row r="56" spans="1:13">
      <c r="A56" t="s">
        <v>953</v>
      </c>
      <c r="B56" t="s">
        <v>1772</v>
      </c>
      <c r="C56" t="s">
        <v>419</v>
      </c>
      <c r="D56" t="s">
        <v>1008</v>
      </c>
      <c r="E56" s="519">
        <v>46052</v>
      </c>
      <c r="F56" s="519">
        <v>46113</v>
      </c>
      <c r="G56" s="519">
        <v>46113</v>
      </c>
      <c r="H56" t="s">
        <v>6738</v>
      </c>
      <c r="I56" t="s">
        <v>858</v>
      </c>
      <c r="J56">
        <v>753</v>
      </c>
      <c r="K56" s="520">
        <v>1895.5</v>
      </c>
      <c r="L56">
        <v>0</v>
      </c>
      <c r="M56">
        <v>0</v>
      </c>
    </row>
    <row r="57" spans="1:13">
      <c r="A57" t="s">
        <v>953</v>
      </c>
      <c r="B57" t="s">
        <v>884</v>
      </c>
      <c r="C57" t="s">
        <v>1497</v>
      </c>
      <c r="D57" t="s">
        <v>1776</v>
      </c>
      <c r="E57" s="519">
        <v>46083</v>
      </c>
      <c r="F57" s="519">
        <v>46083</v>
      </c>
      <c r="G57" s="519">
        <v>46083</v>
      </c>
      <c r="H57" t="s">
        <v>802</v>
      </c>
      <c r="I57" t="s">
        <v>858</v>
      </c>
      <c r="J57">
        <v>948</v>
      </c>
      <c r="K57" s="520">
        <v>1724</v>
      </c>
      <c r="L57">
        <v>750</v>
      </c>
      <c r="M57">
        <v>663</v>
      </c>
    </row>
    <row r="58" spans="1:13">
      <c r="A58" t="s">
        <v>953</v>
      </c>
      <c r="B58" t="s">
        <v>1777</v>
      </c>
      <c r="C58" t="s">
        <v>419</v>
      </c>
      <c r="D58" t="s">
        <v>1778</v>
      </c>
      <c r="E58" s="519">
        <v>46055</v>
      </c>
      <c r="F58" s="519">
        <v>46113</v>
      </c>
      <c r="G58" s="519">
        <v>46113</v>
      </c>
      <c r="H58" t="s">
        <v>6739</v>
      </c>
      <c r="I58" t="s">
        <v>858</v>
      </c>
      <c r="J58">
        <v>798</v>
      </c>
      <c r="K58" s="520">
        <v>1790</v>
      </c>
      <c r="L58">
        <v>0</v>
      </c>
      <c r="M58">
        <v>835.45</v>
      </c>
    </row>
    <row r="59" spans="1:13">
      <c r="A59" t="s">
        <v>953</v>
      </c>
      <c r="B59" t="s">
        <v>1781</v>
      </c>
      <c r="C59" t="s">
        <v>1495</v>
      </c>
      <c r="D59" t="s">
        <v>1782</v>
      </c>
      <c r="E59" s="519">
        <v>46114</v>
      </c>
      <c r="F59" s="519">
        <v>46276</v>
      </c>
      <c r="G59" s="519">
        <v>46118</v>
      </c>
      <c r="H59" t="s">
        <v>6721</v>
      </c>
      <c r="I59" t="s">
        <v>853</v>
      </c>
      <c r="J59">
        <v>896</v>
      </c>
      <c r="K59" s="520">
        <v>1010</v>
      </c>
      <c r="L59">
        <v>0</v>
      </c>
      <c r="M59" s="520">
        <v>13609.69</v>
      </c>
    </row>
    <row r="60" spans="1:13">
      <c r="A60" t="s">
        <v>953</v>
      </c>
      <c r="B60" t="s">
        <v>872</v>
      </c>
      <c r="C60" t="s">
        <v>1495</v>
      </c>
      <c r="D60" t="s">
        <v>1783</v>
      </c>
      <c r="E60" s="519">
        <v>46085</v>
      </c>
      <c r="F60" s="519">
        <v>46126</v>
      </c>
      <c r="G60" s="519">
        <v>46071</v>
      </c>
      <c r="H60" t="s">
        <v>802</v>
      </c>
      <c r="I60" t="s">
        <v>853</v>
      </c>
      <c r="J60">
        <v>791</v>
      </c>
      <c r="K60">
        <v>0</v>
      </c>
      <c r="L60">
        <v>0</v>
      </c>
      <c r="M60" s="520">
        <v>1778.38</v>
      </c>
    </row>
    <row r="61" spans="1:13">
      <c r="A61" t="s">
        <v>953</v>
      </c>
      <c r="B61" t="s">
        <v>868</v>
      </c>
      <c r="C61" t="s">
        <v>419</v>
      </c>
      <c r="D61" t="s">
        <v>1784</v>
      </c>
      <c r="E61" s="519">
        <v>46099</v>
      </c>
      <c r="F61" s="519">
        <v>46295</v>
      </c>
      <c r="G61" s="519">
        <v>46099</v>
      </c>
      <c r="H61" t="s">
        <v>802</v>
      </c>
      <c r="I61" t="s">
        <v>853</v>
      </c>
      <c r="J61">
        <v>768</v>
      </c>
      <c r="K61">
        <v>806</v>
      </c>
      <c r="L61">
        <v>0</v>
      </c>
      <c r="M61" s="520">
        <v>4032.04</v>
      </c>
    </row>
    <row r="62" spans="1:13">
      <c r="A62" t="s">
        <v>953</v>
      </c>
      <c r="B62" t="s">
        <v>1785</v>
      </c>
      <c r="C62" t="s">
        <v>419</v>
      </c>
      <c r="D62" t="s">
        <v>1786</v>
      </c>
      <c r="E62" s="519">
        <v>46044</v>
      </c>
      <c r="F62" s="519">
        <v>46109</v>
      </c>
      <c r="G62" s="519">
        <v>46109</v>
      </c>
      <c r="H62" t="s">
        <v>6719</v>
      </c>
      <c r="I62" t="s">
        <v>858</v>
      </c>
      <c r="J62">
        <v>743</v>
      </c>
      <c r="K62" s="520">
        <v>1632</v>
      </c>
      <c r="L62">
        <v>0</v>
      </c>
      <c r="M62" s="520">
        <v>1697.22</v>
      </c>
    </row>
    <row r="63" spans="1:13">
      <c r="A63" t="s">
        <v>953</v>
      </c>
      <c r="B63" t="s">
        <v>874</v>
      </c>
      <c r="C63" t="s">
        <v>419</v>
      </c>
      <c r="D63" t="s">
        <v>1392</v>
      </c>
      <c r="E63" s="519">
        <v>45961</v>
      </c>
      <c r="F63" s="519">
        <v>46064</v>
      </c>
      <c r="G63" s="519">
        <v>46064</v>
      </c>
      <c r="H63" t="s">
        <v>806</v>
      </c>
      <c r="I63" t="s">
        <v>858</v>
      </c>
      <c r="J63">
        <v>753</v>
      </c>
      <c r="K63" s="520">
        <v>1700</v>
      </c>
      <c r="L63">
        <v>0</v>
      </c>
      <c r="M63">
        <v>578.65</v>
      </c>
    </row>
    <row r="64" spans="1:13">
      <c r="A64" t="s">
        <v>953</v>
      </c>
      <c r="B64" t="s">
        <v>871</v>
      </c>
      <c r="C64" t="s">
        <v>1504</v>
      </c>
      <c r="D64" t="s">
        <v>1795</v>
      </c>
      <c r="E64" s="519">
        <v>46020</v>
      </c>
      <c r="F64" s="519">
        <v>46081</v>
      </c>
      <c r="G64" s="519">
        <v>46081</v>
      </c>
      <c r="H64" t="s">
        <v>6725</v>
      </c>
      <c r="I64" t="s">
        <v>858</v>
      </c>
      <c r="J64" s="520">
        <v>1218</v>
      </c>
      <c r="K64" s="520">
        <v>1265</v>
      </c>
      <c r="L64">
        <v>0</v>
      </c>
      <c r="M64" s="520">
        <v>2886.13</v>
      </c>
    </row>
    <row r="65" spans="1:13">
      <c r="A65" t="s">
        <v>953</v>
      </c>
      <c r="B65" t="s">
        <v>892</v>
      </c>
      <c r="C65" t="s">
        <v>1504</v>
      </c>
      <c r="D65" t="s">
        <v>6740</v>
      </c>
      <c r="E65" s="519">
        <v>46055</v>
      </c>
      <c r="F65" s="519">
        <v>46112</v>
      </c>
      <c r="G65" s="519">
        <v>46081</v>
      </c>
      <c r="H65" t="s">
        <v>6725</v>
      </c>
      <c r="I65" t="s">
        <v>853</v>
      </c>
      <c r="J65" s="520">
        <v>1338</v>
      </c>
      <c r="K65" s="520">
        <v>1461</v>
      </c>
      <c r="L65">
        <v>0</v>
      </c>
      <c r="M65">
        <v>0</v>
      </c>
    </row>
    <row r="66" spans="1:13">
      <c r="A66" t="s">
        <v>953</v>
      </c>
      <c r="B66" t="s">
        <v>6058</v>
      </c>
      <c r="C66" t="s">
        <v>1497</v>
      </c>
      <c r="D66" t="s">
        <v>6741</v>
      </c>
      <c r="E66" s="519">
        <v>46020</v>
      </c>
      <c r="F66" s="519">
        <v>46081</v>
      </c>
      <c r="G66" s="519">
        <v>46081</v>
      </c>
      <c r="H66" t="s">
        <v>6725</v>
      </c>
      <c r="I66" t="s">
        <v>858</v>
      </c>
      <c r="J66">
        <v>948</v>
      </c>
      <c r="K66" s="520">
        <v>1100</v>
      </c>
      <c r="L66">
        <v>0</v>
      </c>
      <c r="M66">
        <v>0</v>
      </c>
    </row>
    <row r="67" spans="1:13">
      <c r="A67" t="s">
        <v>953</v>
      </c>
      <c r="B67" t="s">
        <v>870</v>
      </c>
      <c r="C67" t="s">
        <v>1497</v>
      </c>
      <c r="D67" t="s">
        <v>488</v>
      </c>
      <c r="E67" s="519">
        <v>46084</v>
      </c>
      <c r="F67" s="519">
        <v>46234</v>
      </c>
      <c r="G67" s="519">
        <v>46084</v>
      </c>
      <c r="H67" t="s">
        <v>802</v>
      </c>
      <c r="I67" t="s">
        <v>853</v>
      </c>
      <c r="J67">
        <v>923</v>
      </c>
      <c r="K67">
        <v>948</v>
      </c>
      <c r="L67">
        <v>0</v>
      </c>
      <c r="M67" s="520">
        <v>3182.58</v>
      </c>
    </row>
    <row r="68" spans="1:13">
      <c r="A68" t="s">
        <v>953</v>
      </c>
      <c r="B68" t="s">
        <v>1800</v>
      </c>
      <c r="C68" t="s">
        <v>1497</v>
      </c>
      <c r="D68" t="s">
        <v>1801</v>
      </c>
      <c r="E68" s="519">
        <v>46073</v>
      </c>
      <c r="F68" s="519">
        <v>46106</v>
      </c>
      <c r="G68" s="519">
        <v>46106</v>
      </c>
      <c r="H68" t="s">
        <v>806</v>
      </c>
      <c r="I68" t="s">
        <v>858</v>
      </c>
      <c r="J68">
        <v>948</v>
      </c>
      <c r="K68" s="520">
        <v>2196.5500000000002</v>
      </c>
      <c r="L68">
        <v>0</v>
      </c>
      <c r="M68" s="520">
        <v>7786.81</v>
      </c>
    </row>
    <row r="69" spans="1:13">
      <c r="A69" t="s">
        <v>953</v>
      </c>
      <c r="B69" t="s">
        <v>865</v>
      </c>
      <c r="C69" t="s">
        <v>1497</v>
      </c>
      <c r="D69" t="s">
        <v>1802</v>
      </c>
      <c r="E69" s="519">
        <v>46099</v>
      </c>
      <c r="F69" s="519">
        <v>46189</v>
      </c>
      <c r="G69" s="519">
        <v>46099</v>
      </c>
      <c r="H69" t="s">
        <v>802</v>
      </c>
      <c r="I69" t="s">
        <v>853</v>
      </c>
      <c r="J69">
        <v>973</v>
      </c>
      <c r="K69" s="520">
        <v>1125</v>
      </c>
      <c r="L69">
        <v>0</v>
      </c>
      <c r="M69" s="520">
        <v>5837.96</v>
      </c>
    </row>
    <row r="70" spans="1:13">
      <c r="A70" t="s">
        <v>953</v>
      </c>
      <c r="B70" t="s">
        <v>861</v>
      </c>
      <c r="C70" t="s">
        <v>1497</v>
      </c>
      <c r="D70" t="s">
        <v>1803</v>
      </c>
      <c r="E70" s="519">
        <v>46099</v>
      </c>
      <c r="F70" s="519">
        <v>46265</v>
      </c>
      <c r="G70" s="519">
        <v>46099</v>
      </c>
      <c r="H70" t="s">
        <v>802</v>
      </c>
      <c r="I70" t="s">
        <v>853</v>
      </c>
      <c r="J70">
        <v>933</v>
      </c>
      <c r="K70" s="520">
        <v>1016</v>
      </c>
      <c r="L70">
        <v>0</v>
      </c>
      <c r="M70" s="520">
        <v>6725.93</v>
      </c>
    </row>
    <row r="71" spans="1:13">
      <c r="A71" t="s">
        <v>953</v>
      </c>
      <c r="B71" t="s">
        <v>883</v>
      </c>
      <c r="C71" t="s">
        <v>1497</v>
      </c>
      <c r="D71" t="s">
        <v>6742</v>
      </c>
      <c r="E71" s="519">
        <v>46042</v>
      </c>
      <c r="F71" s="519">
        <v>46100</v>
      </c>
      <c r="G71" s="519">
        <v>46100</v>
      </c>
      <c r="H71" t="s">
        <v>6731</v>
      </c>
      <c r="I71" t="s">
        <v>858</v>
      </c>
      <c r="J71">
        <v>998</v>
      </c>
      <c r="K71" s="520">
        <v>1090</v>
      </c>
      <c r="L71">
        <v>0</v>
      </c>
      <c r="M71">
        <v>0</v>
      </c>
    </row>
    <row r="72" spans="1:13">
      <c r="A72" t="s">
        <v>953</v>
      </c>
      <c r="B72" t="s">
        <v>862</v>
      </c>
      <c r="C72" t="s">
        <v>1506</v>
      </c>
      <c r="D72" t="s">
        <v>1369</v>
      </c>
      <c r="E72" s="519">
        <v>46073</v>
      </c>
      <c r="F72" s="519">
        <v>46111</v>
      </c>
      <c r="G72" s="519">
        <v>46078</v>
      </c>
      <c r="H72" t="s">
        <v>802</v>
      </c>
      <c r="I72" t="s">
        <v>853</v>
      </c>
      <c r="J72" s="520">
        <v>1173</v>
      </c>
      <c r="K72" s="520">
        <v>1380</v>
      </c>
      <c r="L72">
        <v>0</v>
      </c>
      <c r="M72" s="520">
        <v>6330.15</v>
      </c>
    </row>
    <row r="73" spans="1:13">
      <c r="A73" t="s">
        <v>953</v>
      </c>
      <c r="B73" t="s">
        <v>1808</v>
      </c>
      <c r="C73" t="s">
        <v>1495</v>
      </c>
      <c r="D73" t="s">
        <v>1809</v>
      </c>
      <c r="E73" s="519">
        <v>46120</v>
      </c>
      <c r="F73" s="519">
        <v>46120</v>
      </c>
      <c r="G73" s="519">
        <v>46120</v>
      </c>
      <c r="H73" t="s">
        <v>802</v>
      </c>
      <c r="I73" t="s">
        <v>858</v>
      </c>
      <c r="J73">
        <v>846</v>
      </c>
      <c r="K73" s="520">
        <v>1680</v>
      </c>
      <c r="L73">
        <v>0</v>
      </c>
      <c r="M73" s="520">
        <v>2650.6</v>
      </c>
    </row>
    <row r="74" spans="1:13">
      <c r="A74" t="s">
        <v>953</v>
      </c>
      <c r="B74" t="s">
        <v>875</v>
      </c>
      <c r="C74" t="s">
        <v>419</v>
      </c>
      <c r="D74" t="s">
        <v>1391</v>
      </c>
      <c r="E74" s="519">
        <v>46081</v>
      </c>
      <c r="F74" s="519">
        <v>46081</v>
      </c>
      <c r="G74" s="519">
        <v>46081</v>
      </c>
      <c r="H74" t="s">
        <v>6721</v>
      </c>
      <c r="I74" t="s">
        <v>858</v>
      </c>
      <c r="J74">
        <v>743</v>
      </c>
      <c r="K74" s="520">
        <v>1710</v>
      </c>
      <c r="L74">
        <v>0</v>
      </c>
      <c r="M74" s="520">
        <v>2220.71</v>
      </c>
    </row>
    <row r="75" spans="1:13">
      <c r="A75" t="s">
        <v>953</v>
      </c>
      <c r="B75" t="s">
        <v>867</v>
      </c>
      <c r="C75" t="s">
        <v>1495</v>
      </c>
      <c r="D75" t="s">
        <v>1815</v>
      </c>
      <c r="E75" s="519">
        <v>46097</v>
      </c>
      <c r="F75" s="519">
        <v>46326</v>
      </c>
      <c r="G75" s="519">
        <v>46097</v>
      </c>
      <c r="H75" t="s">
        <v>802</v>
      </c>
      <c r="I75" t="s">
        <v>853</v>
      </c>
      <c r="J75">
        <v>791</v>
      </c>
      <c r="K75">
        <v>925</v>
      </c>
      <c r="L75">
        <v>0</v>
      </c>
      <c r="M75" s="520">
        <v>4707.2700000000004</v>
      </c>
    </row>
    <row r="76" spans="1:13">
      <c r="A76" t="s">
        <v>953</v>
      </c>
      <c r="B76" t="s">
        <v>1816</v>
      </c>
      <c r="C76" t="s">
        <v>419</v>
      </c>
      <c r="D76" t="s">
        <v>1817</v>
      </c>
      <c r="E76" s="519">
        <v>46093</v>
      </c>
      <c r="F76" s="519">
        <v>46116</v>
      </c>
      <c r="G76" s="519">
        <v>46116</v>
      </c>
      <c r="H76" t="s">
        <v>6727</v>
      </c>
      <c r="I76" t="s">
        <v>858</v>
      </c>
      <c r="J76">
        <v>863</v>
      </c>
      <c r="K76" s="520">
        <v>2030</v>
      </c>
      <c r="L76">
        <v>0</v>
      </c>
      <c r="M76">
        <v>777.49</v>
      </c>
    </row>
    <row r="77" spans="1:13">
      <c r="A77" t="s">
        <v>953</v>
      </c>
      <c r="B77" t="s">
        <v>1822</v>
      </c>
      <c r="C77" t="s">
        <v>1506</v>
      </c>
      <c r="D77" t="s">
        <v>1823</v>
      </c>
      <c r="E77" s="519">
        <v>46112</v>
      </c>
      <c r="F77" s="519">
        <v>46112</v>
      </c>
      <c r="G77" s="519">
        <v>46112</v>
      </c>
      <c r="H77" t="s">
        <v>802</v>
      </c>
      <c r="I77" t="s">
        <v>858</v>
      </c>
      <c r="J77" s="520">
        <v>1163</v>
      </c>
      <c r="K77" s="520">
        <v>1304</v>
      </c>
      <c r="L77">
        <v>0</v>
      </c>
      <c r="M77" s="520">
        <v>11673.18</v>
      </c>
    </row>
    <row r="78" spans="1:13">
      <c r="A78" t="s">
        <v>953</v>
      </c>
      <c r="B78" t="s">
        <v>885</v>
      </c>
      <c r="C78" t="s">
        <v>1506</v>
      </c>
      <c r="D78" t="s">
        <v>1824</v>
      </c>
      <c r="E78" s="519">
        <v>46094</v>
      </c>
      <c r="F78" s="519">
        <v>46295</v>
      </c>
      <c r="G78" s="519">
        <v>46094</v>
      </c>
      <c r="H78" t="s">
        <v>802</v>
      </c>
      <c r="I78" t="s">
        <v>853</v>
      </c>
      <c r="J78" s="520">
        <v>1173</v>
      </c>
      <c r="K78" s="520">
        <v>1381</v>
      </c>
      <c r="L78">
        <v>0</v>
      </c>
      <c r="M78">
        <v>474.84</v>
      </c>
    </row>
    <row r="79" spans="1:13">
      <c r="A79" t="s">
        <v>953</v>
      </c>
      <c r="B79" t="s">
        <v>1825</v>
      </c>
      <c r="C79" t="s">
        <v>1495</v>
      </c>
      <c r="D79" t="s">
        <v>1826</v>
      </c>
      <c r="E79" s="519">
        <v>46120</v>
      </c>
      <c r="F79" s="519">
        <v>46120</v>
      </c>
      <c r="G79" s="519">
        <v>46120</v>
      </c>
      <c r="H79" t="s">
        <v>802</v>
      </c>
      <c r="I79" t="s">
        <v>858</v>
      </c>
      <c r="J79">
        <v>836</v>
      </c>
      <c r="K79" s="520">
        <v>1964</v>
      </c>
      <c r="L79">
        <v>0</v>
      </c>
      <c r="M79" s="520">
        <v>6235.59</v>
      </c>
    </row>
    <row r="80" spans="1:13">
      <c r="A80" t="s">
        <v>953</v>
      </c>
      <c r="B80" t="s">
        <v>1833</v>
      </c>
      <c r="C80" t="s">
        <v>1502</v>
      </c>
      <c r="D80" t="s">
        <v>1834</v>
      </c>
      <c r="E80" s="519">
        <v>46111</v>
      </c>
      <c r="F80" s="519">
        <v>46173</v>
      </c>
      <c r="G80" s="519">
        <v>46111</v>
      </c>
      <c r="H80" t="s">
        <v>802</v>
      </c>
      <c r="I80" t="s">
        <v>853</v>
      </c>
      <c r="J80">
        <v>902</v>
      </c>
      <c r="K80" s="520">
        <v>1038</v>
      </c>
      <c r="L80">
        <v>0</v>
      </c>
      <c r="M80" s="520">
        <v>3057.7</v>
      </c>
    </row>
    <row r="81" spans="1:13">
      <c r="A81" t="s">
        <v>953</v>
      </c>
      <c r="B81" t="s">
        <v>882</v>
      </c>
      <c r="C81" t="s">
        <v>1502</v>
      </c>
      <c r="D81" t="s">
        <v>1835</v>
      </c>
      <c r="E81" s="519">
        <v>45993</v>
      </c>
      <c r="F81" s="519">
        <v>46060</v>
      </c>
      <c r="G81" s="519">
        <v>46060</v>
      </c>
      <c r="H81" t="s">
        <v>6725</v>
      </c>
      <c r="I81" t="s">
        <v>858</v>
      </c>
      <c r="J81">
        <v>952</v>
      </c>
      <c r="K81" s="520">
        <v>2500</v>
      </c>
      <c r="L81">
        <v>0</v>
      </c>
      <c r="M81">
        <v>488.04</v>
      </c>
    </row>
    <row r="82" spans="1:13">
      <c r="A82" t="s">
        <v>953</v>
      </c>
      <c r="B82" t="s">
        <v>866</v>
      </c>
      <c r="C82" t="s">
        <v>1502</v>
      </c>
      <c r="D82" t="s">
        <v>1371</v>
      </c>
      <c r="E82" s="519">
        <v>46073</v>
      </c>
      <c r="F82" s="519">
        <v>46112</v>
      </c>
      <c r="G82" s="519">
        <v>46078</v>
      </c>
      <c r="H82" t="s">
        <v>802</v>
      </c>
      <c r="I82" t="s">
        <v>853</v>
      </c>
      <c r="J82">
        <v>912</v>
      </c>
      <c r="K82" s="520">
        <v>1090</v>
      </c>
      <c r="L82">
        <v>0</v>
      </c>
      <c r="M82" s="520">
        <v>4947.92</v>
      </c>
    </row>
    <row r="83" spans="1:13">
      <c r="A83" t="s">
        <v>953</v>
      </c>
      <c r="B83" t="s">
        <v>855</v>
      </c>
      <c r="C83" t="s">
        <v>1502</v>
      </c>
      <c r="D83" t="s">
        <v>1840</v>
      </c>
      <c r="E83" s="519">
        <v>46092</v>
      </c>
      <c r="F83" s="519">
        <v>46295</v>
      </c>
      <c r="G83" s="519">
        <v>46092</v>
      </c>
      <c r="H83" t="s">
        <v>802</v>
      </c>
      <c r="I83" t="s">
        <v>853</v>
      </c>
      <c r="J83">
        <v>882</v>
      </c>
      <c r="K83" s="520">
        <v>1113</v>
      </c>
      <c r="L83">
        <v>0</v>
      </c>
      <c r="M83" s="520">
        <v>11503.54</v>
      </c>
    </row>
    <row r="84" spans="1:13">
      <c r="A84" t="s">
        <v>953</v>
      </c>
      <c r="B84" t="s">
        <v>1841</v>
      </c>
      <c r="C84" t="s">
        <v>1502</v>
      </c>
      <c r="D84" t="s">
        <v>1842</v>
      </c>
      <c r="E84" s="519">
        <v>46037</v>
      </c>
      <c r="F84" s="519">
        <v>46112</v>
      </c>
      <c r="G84" s="519">
        <v>46112</v>
      </c>
      <c r="H84" t="s">
        <v>6723</v>
      </c>
      <c r="I84" t="s">
        <v>858</v>
      </c>
      <c r="J84">
        <v>882</v>
      </c>
      <c r="K84" s="520">
        <v>1117</v>
      </c>
      <c r="L84">
        <v>0</v>
      </c>
      <c r="M84">
        <v>290</v>
      </c>
    </row>
    <row r="85" spans="1:13">
      <c r="A85" t="s">
        <v>953</v>
      </c>
      <c r="B85" t="s">
        <v>876</v>
      </c>
      <c r="C85" t="s">
        <v>1509</v>
      </c>
      <c r="D85" t="s">
        <v>1843</v>
      </c>
      <c r="E85" s="519">
        <v>46071</v>
      </c>
      <c r="F85" s="519">
        <v>46080</v>
      </c>
      <c r="G85" s="519">
        <v>46080</v>
      </c>
      <c r="H85" t="s">
        <v>6733</v>
      </c>
      <c r="I85" t="s">
        <v>858</v>
      </c>
      <c r="J85" s="520">
        <v>1112</v>
      </c>
      <c r="K85" s="520">
        <v>2840</v>
      </c>
      <c r="L85">
        <v>0</v>
      </c>
      <c r="M85" s="520">
        <v>1354.14</v>
      </c>
    </row>
    <row r="86" spans="1:13">
      <c r="A86" t="s">
        <v>953</v>
      </c>
      <c r="B86" t="s">
        <v>891</v>
      </c>
      <c r="C86" t="s">
        <v>1511</v>
      </c>
      <c r="D86" t="s">
        <v>1851</v>
      </c>
      <c r="E86" s="519">
        <v>46070</v>
      </c>
      <c r="F86" s="519">
        <v>46079</v>
      </c>
      <c r="G86" s="519">
        <v>46079</v>
      </c>
      <c r="H86" t="s">
        <v>6733</v>
      </c>
      <c r="I86" t="s">
        <v>858</v>
      </c>
      <c r="J86" s="520">
        <v>1235</v>
      </c>
      <c r="K86" s="520">
        <v>1435</v>
      </c>
      <c r="L86">
        <v>0</v>
      </c>
      <c r="M86">
        <v>242.16</v>
      </c>
    </row>
    <row r="87" spans="1:13">
      <c r="A87" t="s">
        <v>953</v>
      </c>
      <c r="B87" t="s">
        <v>854</v>
      </c>
      <c r="C87" t="s">
        <v>1511</v>
      </c>
      <c r="D87" t="s">
        <v>1331</v>
      </c>
      <c r="E87" s="519">
        <v>46066</v>
      </c>
      <c r="F87" s="519">
        <v>46070</v>
      </c>
      <c r="G87" s="519">
        <v>46066</v>
      </c>
      <c r="H87" t="s">
        <v>6720</v>
      </c>
      <c r="I87" t="s">
        <v>853</v>
      </c>
      <c r="J87" s="520">
        <v>1210</v>
      </c>
      <c r="K87" s="520">
        <v>1418</v>
      </c>
      <c r="L87">
        <v>0</v>
      </c>
      <c r="M87" s="520">
        <v>13089.83</v>
      </c>
    </row>
    <row r="88" spans="1:13">
      <c r="A88" t="s">
        <v>953</v>
      </c>
      <c r="B88" t="s">
        <v>1862</v>
      </c>
      <c r="C88" t="s">
        <v>1494</v>
      </c>
      <c r="D88" t="s">
        <v>1863</v>
      </c>
      <c r="E88" s="519">
        <v>46132</v>
      </c>
      <c r="F88" s="519">
        <v>46326</v>
      </c>
      <c r="G88" s="519">
        <v>46132</v>
      </c>
      <c r="H88" t="s">
        <v>802</v>
      </c>
      <c r="I88" t="s">
        <v>853</v>
      </c>
      <c r="J88">
        <v>833</v>
      </c>
      <c r="K88">
        <v>949</v>
      </c>
      <c r="L88">
        <v>0</v>
      </c>
      <c r="M88" s="520">
        <v>1029.1300000000001</v>
      </c>
    </row>
    <row r="89" spans="1:13">
      <c r="A89" t="s">
        <v>953</v>
      </c>
      <c r="B89" t="s">
        <v>873</v>
      </c>
      <c r="C89" t="s">
        <v>1494</v>
      </c>
      <c r="D89" t="s">
        <v>491</v>
      </c>
      <c r="E89" s="519">
        <v>46076</v>
      </c>
      <c r="F89" s="519">
        <v>46076</v>
      </c>
      <c r="G89" s="519">
        <v>46076</v>
      </c>
      <c r="H89" t="s">
        <v>6739</v>
      </c>
      <c r="I89" t="s">
        <v>858</v>
      </c>
      <c r="J89">
        <v>883</v>
      </c>
      <c r="K89" s="520">
        <v>2150</v>
      </c>
      <c r="L89">
        <v>0</v>
      </c>
      <c r="M89" s="520">
        <v>1723.73</v>
      </c>
    </row>
    <row r="90" spans="1:13">
      <c r="A90" t="s">
        <v>953</v>
      </c>
      <c r="B90" t="s">
        <v>888</v>
      </c>
      <c r="C90" t="s">
        <v>1499</v>
      </c>
      <c r="D90" t="s">
        <v>1872</v>
      </c>
      <c r="E90" s="519">
        <v>46091</v>
      </c>
      <c r="F90" s="519">
        <v>46092</v>
      </c>
      <c r="G90" s="519">
        <v>46092</v>
      </c>
      <c r="H90" t="s">
        <v>6738</v>
      </c>
      <c r="I90" t="s">
        <v>858</v>
      </c>
      <c r="J90">
        <v>822</v>
      </c>
      <c r="K90" s="520">
        <v>2196</v>
      </c>
      <c r="L90">
        <v>0</v>
      </c>
      <c r="M90">
        <v>416.91</v>
      </c>
    </row>
    <row r="91" spans="1:13">
      <c r="A91" t="s">
        <v>953</v>
      </c>
      <c r="B91" t="s">
        <v>1873</v>
      </c>
      <c r="C91" t="s">
        <v>1502</v>
      </c>
      <c r="D91" t="s">
        <v>1874</v>
      </c>
      <c r="E91" s="519">
        <v>46074</v>
      </c>
      <c r="F91" s="519">
        <v>46123</v>
      </c>
      <c r="G91" s="519">
        <v>46123</v>
      </c>
      <c r="H91" t="s">
        <v>6731</v>
      </c>
      <c r="I91" t="s">
        <v>858</v>
      </c>
      <c r="J91">
        <v>927</v>
      </c>
      <c r="K91" s="520">
        <v>1112</v>
      </c>
      <c r="L91">
        <v>0</v>
      </c>
      <c r="M91">
        <v>437.21</v>
      </c>
    </row>
    <row r="92" spans="1:13">
      <c r="A92" t="s">
        <v>953</v>
      </c>
      <c r="B92" t="s">
        <v>6376</v>
      </c>
      <c r="C92" t="s">
        <v>1502</v>
      </c>
      <c r="D92" t="s">
        <v>6743</v>
      </c>
      <c r="E92" s="519">
        <v>46020</v>
      </c>
      <c r="F92" s="519">
        <v>46081</v>
      </c>
      <c r="G92" s="519">
        <v>46081</v>
      </c>
      <c r="H92" t="s">
        <v>6725</v>
      </c>
      <c r="I92" t="s">
        <v>858</v>
      </c>
      <c r="J92">
        <v>952</v>
      </c>
      <c r="K92" s="520">
        <v>1250</v>
      </c>
      <c r="L92">
        <v>0</v>
      </c>
      <c r="M92">
        <v>0</v>
      </c>
    </row>
    <row r="93" spans="1:13">
      <c r="A93" t="s">
        <v>953</v>
      </c>
      <c r="B93" t="s">
        <v>1877</v>
      </c>
      <c r="C93" t="s">
        <v>1499</v>
      </c>
      <c r="D93" t="s">
        <v>990</v>
      </c>
      <c r="E93" s="519">
        <v>46083</v>
      </c>
      <c r="F93" s="519">
        <v>46125</v>
      </c>
      <c r="G93" s="519">
        <v>46125</v>
      </c>
      <c r="H93" t="s">
        <v>6738</v>
      </c>
      <c r="I93" t="s">
        <v>858</v>
      </c>
      <c r="J93">
        <v>897</v>
      </c>
      <c r="K93" s="520">
        <v>2462</v>
      </c>
      <c r="L93">
        <v>0</v>
      </c>
      <c r="M93" s="520">
        <v>1079.67</v>
      </c>
    </row>
    <row r="94" spans="1:13">
      <c r="A94" t="s">
        <v>953</v>
      </c>
      <c r="B94" t="s">
        <v>886</v>
      </c>
      <c r="C94" t="s">
        <v>1509</v>
      </c>
      <c r="D94" t="s">
        <v>1882</v>
      </c>
      <c r="E94" s="519">
        <v>46081</v>
      </c>
      <c r="F94" s="519">
        <v>46081</v>
      </c>
      <c r="G94" s="519">
        <v>46081</v>
      </c>
      <c r="H94" t="s">
        <v>802</v>
      </c>
      <c r="I94" t="s">
        <v>858</v>
      </c>
      <c r="J94" s="520">
        <v>1042</v>
      </c>
      <c r="K94" s="520">
        <v>2256</v>
      </c>
      <c r="L94">
        <v>0</v>
      </c>
      <c r="M94">
        <v>469.06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E13670C3A1CC44A5064406F8CCD185" ma:contentTypeVersion="15" ma:contentTypeDescription="Create a new document." ma:contentTypeScope="" ma:versionID="8c2b85a346f43f39afabb5b7f0766f4a">
  <xsd:schema xmlns:xsd="http://www.w3.org/2001/XMLSchema" xmlns:xs="http://www.w3.org/2001/XMLSchema" xmlns:p="http://schemas.microsoft.com/office/2006/metadata/properties" xmlns:ns2="560d74da-75e6-4a2b-a394-f0f779b504c6" xmlns:ns3="63ed3ee1-3d89-4eab-85d8-b1edcaf37c19" targetNamespace="http://schemas.microsoft.com/office/2006/metadata/properties" ma:root="true" ma:fieldsID="6a7429014cb557a274c739c8662e52ed" ns2:_="" ns3:_="">
    <xsd:import namespace="560d74da-75e6-4a2b-a394-f0f779b504c6"/>
    <xsd:import namespace="63ed3ee1-3d89-4eab-85d8-b1edcaf37c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0d74da-75e6-4a2b-a394-f0f779b504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dd0387f-4577-41fb-adfe-45bfda24fb1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3ed3ee1-3d89-4eab-85d8-b1edcaf37c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26577b2-205d-4e3b-952a-b63065427862}" ma:internalName="TaxCatchAll" ma:showField="CatchAllData" ma:web="63ed3ee1-3d89-4eab-85d8-b1edcaf37c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3ed3ee1-3d89-4eab-85d8-b1edcaf37c19" xsi:nil="true"/>
    <lcf76f155ced4ddcb4097134ff3c332f xmlns="560d74da-75e6-4a2b-a394-f0f779b504c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EA2E38-805D-4A35-AA21-D3A67CAC90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0d74da-75e6-4a2b-a394-f0f779b504c6"/>
    <ds:schemaRef ds:uri="63ed3ee1-3d89-4eab-85d8-b1edcaf37c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BA8B3A-66F0-4A17-A5D9-456E3ECDC75D}">
  <ds:schemaRefs>
    <ds:schemaRef ds:uri="http://schemas.microsoft.com/sharepoint/v3/contenttype/forms"/>
  </ds:schemaRefs>
</ds:datastoreItem>
</file>

<file path=customXml/itemProps3.xml><?xml version="1.0" encoding="utf-8"?>
<ds:datastoreItem xmlns:ds="http://schemas.openxmlformats.org/officeDocument/2006/customXml" ds:itemID="{DB15A9F8-2B64-4AE3-88A2-6434F490AD4F}">
  <ds:schemaRefs>
    <ds:schemaRef ds:uri="http://schemas.microsoft.com/office/2006/metadata/properties"/>
    <ds:schemaRef ds:uri="http://schemas.microsoft.com/office/infopath/2007/PartnerControls"/>
    <ds:schemaRef ds:uri="63ed3ee1-3d89-4eab-85d8-b1edcaf37c19"/>
    <ds:schemaRef ds:uri="560d74da-75e6-4a2b-a394-f0f779b504c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8</vt:i4>
      </vt:variant>
    </vt:vector>
  </HeadingPairs>
  <TitlesOfParts>
    <vt:vector size="50" baseType="lpstr">
      <vt:lpstr>Claude Log</vt:lpstr>
      <vt:lpstr>Instructions</vt:lpstr>
      <vt:lpstr>Incentive_Scorecard</vt:lpstr>
      <vt:lpstr>Dashboard_1</vt:lpstr>
      <vt:lpstr>Data_2</vt:lpstr>
      <vt:lpstr>Delinquency_Detail_3</vt:lpstr>
      <vt:lpstr>App_Pipeline_Intel_4</vt:lpstr>
      <vt:lpstr>Action_Item_Tracker_5</vt:lpstr>
      <vt:lpstr>Weekly_Question_Set_6</vt:lpstr>
      <vt:lpstr>Screening_Impact_Analysis_7</vt:lpstr>
      <vt:lpstr>Eviction_Success_Rate</vt:lpstr>
      <vt:lpstr>CAF_App_Tracker</vt:lpstr>
      <vt:lpstr>CAF vs Pipeline Comparison</vt:lpstr>
      <vt:lpstr>DSO_Calculation</vt:lpstr>
      <vt:lpstr>Write_Off_Recon</vt:lpstr>
      <vt:lpstr>Targets</vt:lpstr>
      <vt:lpstr>Historical</vt:lpstr>
      <vt:lpstr>Competitors</vt:lpstr>
      <vt:lpstr>Boxscore MMR -Availability</vt:lpstr>
      <vt:lpstr>Boxscore MMR -Lead Activity</vt:lpstr>
      <vt:lpstr>Boxscore MMR- Lead Conversion</vt:lpstr>
      <vt:lpstr>Resident Retention -12 months</vt:lpstr>
      <vt:lpstr>Boxscore MMR-Property Pulse</vt:lpstr>
      <vt:lpstr>receipts by charge code-AVA</vt:lpstr>
      <vt:lpstr>trending delinquency</vt:lpstr>
      <vt:lpstr>resident aged receivable</vt:lpstr>
      <vt:lpstr>Work order summary-Maintenance </vt:lpstr>
      <vt:lpstr>T12</vt:lpstr>
      <vt:lpstr>lease trade out NER -AVA</vt:lpstr>
      <vt:lpstr>NSF -AVA</vt:lpstr>
      <vt:lpstr>Delinq Data</vt:lpstr>
      <vt:lpstr>Application_Status_Feb</vt:lpstr>
      <vt:lpstr>Application_Status_Mar</vt:lpstr>
      <vt:lpstr>Application_Status_Apr</vt:lpstr>
      <vt:lpstr>Res_Retention</vt:lpstr>
      <vt:lpstr>Evictions_RSI</vt:lpstr>
      <vt:lpstr>Move_Outs_ResMan</vt:lpstr>
      <vt:lpstr>Nationwide_JP3-1</vt:lpstr>
      <vt:lpstr>Nationwide_BRR</vt:lpstr>
      <vt:lpstr>LeaseLock</vt:lpstr>
      <vt:lpstr>RR_Unit_Details</vt:lpstr>
      <vt:lpstr>Move_Out_Reasons</vt:lpstr>
      <vt:lpstr>Action_Item_Tracker_5!Print_Area</vt:lpstr>
      <vt:lpstr>App_Pipeline_Intel_4!Print_Area</vt:lpstr>
      <vt:lpstr>Dashboard_1!Print_Area</vt:lpstr>
      <vt:lpstr>Data_2!Print_Area</vt:lpstr>
      <vt:lpstr>Delinquency_Detail_3!Print_Area</vt:lpstr>
      <vt:lpstr>Screening_Impact_Analysis_7!Print_Area</vt:lpstr>
      <vt:lpstr>Weekly_Question_Set_6!Print_Area</vt:lpstr>
      <vt:lpstr>CAF_App_Tracker!Print_Titles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Sergio Chidichimo</cp:lastModifiedBy>
  <cp:revision>0</cp:revision>
  <dcterms:created xsi:type="dcterms:W3CDTF">2026-01-06T18:14:11Z</dcterms:created>
  <dcterms:modified xsi:type="dcterms:W3CDTF">2026-04-29T16:54:45Z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0x01010062E13670C3A1CC44A5064406F8CCD185</vt:lpwstr>
  </property>
  <property fmtid="{D5CDD505-2E9C-101B-9397-08002B2CF9AE}" pid="3" name="MediaServiceImageTags">
    <vt:lpwstr/>
  </property>
</Properties>
</file>