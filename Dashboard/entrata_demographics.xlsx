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FC1ED645-EAA9-41B7-899B-8515F5ECE469}" xr6:coauthVersionLast="47" xr6:coauthVersionMax="47" xr10:uidLastSave="{00000000-0000-0000-0000-000000000000}"/>
  <bookViews>
    <workbookView xWindow="6735" yWindow="3480" windowWidth="17280" windowHeight="9930" xr2:uid="{00000000-000D-0000-FFFF-FFFF00000000}"/>
  </bookViews>
  <sheets>
    <sheet name="AVA" sheetId="1" r:id="rId1"/>
    <sheet name="Report Parameters" sheetId="2" r:id="rId2"/>
  </sheets>
  <definedNames>
    <definedName name="_xlnm.Print_Area" localSheetId="1">'Report Parameters'!$A1:$B20</definedName>
    <definedName name="_xlnm.Print_Titles" localSheetId="0">AVA!$6:$6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5" i="1" l="1"/>
  <c r="B225" i="1"/>
  <c r="C214" i="1"/>
  <c r="B214" i="1"/>
  <c r="C204" i="1"/>
  <c r="B204" i="1"/>
  <c r="C193" i="1"/>
  <c r="B193" i="1"/>
  <c r="C182" i="1"/>
  <c r="B182" i="1"/>
  <c r="C170" i="1"/>
  <c r="B170" i="1"/>
  <c r="C160" i="1"/>
  <c r="B160" i="1"/>
  <c r="C138" i="1"/>
  <c r="B138" i="1"/>
  <c r="C131" i="1"/>
  <c r="B131" i="1"/>
  <c r="C124" i="1"/>
  <c r="B124" i="1"/>
  <c r="C21" i="1"/>
  <c r="B21" i="1"/>
</calcChain>
</file>

<file path=xl/sharedStrings.xml><?xml version="1.0" encoding="utf-8"?>
<sst xmlns="http://schemas.openxmlformats.org/spreadsheetml/2006/main" count="271" uniqueCount="159">
  <si>
    <t>Resident Demographics - Summary</t>
  </si>
  <si>
    <t>AVA</t>
  </si>
  <si>
    <t>As of 08/12/2026</t>
  </si>
  <si>
    <t>Units</t>
  </si>
  <si>
    <t>Title</t>
  </si>
  <si>
    <t>Total</t>
  </si>
  <si>
    <t>Rentable Units</t>
  </si>
  <si>
    <t>Occupied Units</t>
  </si>
  <si>
    <t>Occupants</t>
  </si>
  <si>
    <t xml:space="preserve">Units with Multiple Lease </t>
  </si>
  <si>
    <t>Occupant Types</t>
  </si>
  <si>
    <t>Leads</t>
  </si>
  <si>
    <t>Residents</t>
  </si>
  <si>
    <t>Primary</t>
  </si>
  <si>
    <t>Responsible</t>
  </si>
  <si>
    <t>Not Responsible</t>
  </si>
  <si>
    <t>Guarantor</t>
  </si>
  <si>
    <t>Non-Leasing Occupant</t>
  </si>
  <si>
    <t>Household Income</t>
  </si>
  <si>
    <t>Under 10,000</t>
  </si>
  <si>
    <t>$10000 to $19999</t>
  </si>
  <si>
    <t>$20000 to $29999</t>
  </si>
  <si>
    <t>$30000 to $39999</t>
  </si>
  <si>
    <t>$40000 to $49999</t>
  </si>
  <si>
    <t>$50000 to $59999</t>
  </si>
  <si>
    <t>$60000 to $69999</t>
  </si>
  <si>
    <t>$70000 to $79999</t>
  </si>
  <si>
    <t>$80000 to $89999</t>
  </si>
  <si>
    <t>$90000 to $99999</t>
  </si>
  <si>
    <t>$100000 to $109999</t>
  </si>
  <si>
    <t>$110000 to $119999</t>
  </si>
  <si>
    <t>$120000 to $129999</t>
  </si>
  <si>
    <t>$130000 to $139999</t>
  </si>
  <si>
    <t>$140000 to $149999</t>
  </si>
  <si>
    <t>$160000 to $169999</t>
  </si>
  <si>
    <t>$170000 to $179999</t>
  </si>
  <si>
    <t>$180000 to $189999</t>
  </si>
  <si>
    <t>$200000 to $209999</t>
  </si>
  <si>
    <t>$240000 to $249999</t>
  </si>
  <si>
    <t>$350000 to $359999</t>
  </si>
  <si>
    <t>$410000 to $419999</t>
  </si>
  <si>
    <t>$610000 to $619999</t>
  </si>
  <si>
    <t>$1150000 to $1159999</t>
  </si>
  <si>
    <t>$1970000 to $1979999</t>
  </si>
  <si>
    <t>Unknown</t>
  </si>
  <si>
    <t>Mean</t>
  </si>
  <si>
    <t>Median</t>
  </si>
  <si>
    <t>Personal Income</t>
  </si>
  <si>
    <t>Household Size</t>
  </si>
  <si>
    <t>1</t>
  </si>
  <si>
    <t>2</t>
  </si>
  <si>
    <t>3</t>
  </si>
  <si>
    <t>4</t>
  </si>
  <si>
    <t>5</t>
  </si>
  <si>
    <t>6</t>
  </si>
  <si>
    <t>Age</t>
  </si>
  <si>
    <t>18 to 25</t>
  </si>
  <si>
    <t>26 to 30</t>
  </si>
  <si>
    <t>31 to 35</t>
  </si>
  <si>
    <t>36 to 40</t>
  </si>
  <si>
    <t>41 to 45</t>
  </si>
  <si>
    <t>46 to 50</t>
  </si>
  <si>
    <t>51 to 55</t>
  </si>
  <si>
    <t>56 to 60</t>
  </si>
  <si>
    <t>61 to 65</t>
  </si>
  <si>
    <t>66 to 70</t>
  </si>
  <si>
    <t>71 to 75</t>
  </si>
  <si>
    <t>76 to 80</t>
  </si>
  <si>
    <t>81 to 85</t>
  </si>
  <si>
    <t>Legal Gender</t>
  </si>
  <si>
    <t>M</t>
  </si>
  <si>
    <t>F</t>
  </si>
  <si>
    <t>Animals Per Unit</t>
  </si>
  <si>
    <t>0</t>
  </si>
  <si>
    <t>Service Animals Per Unit</t>
  </si>
  <si>
    <t>Occupation</t>
  </si>
  <si>
    <t>Education</t>
  </si>
  <si>
    <t>Finance/Insurance/RealEstate</t>
  </si>
  <si>
    <t>Other</t>
  </si>
  <si>
    <t>Corporate Apt</t>
  </si>
  <si>
    <t>Construction</t>
  </si>
  <si>
    <t>Transporation/Utilities</t>
  </si>
  <si>
    <t>High Tech/Telcomm/Internet</t>
  </si>
  <si>
    <t>Medical Services</t>
  </si>
  <si>
    <t>Government (Non-military)</t>
  </si>
  <si>
    <t>Retired</t>
  </si>
  <si>
    <t>Military</t>
  </si>
  <si>
    <t>Retail/Wholesale Trade</t>
  </si>
  <si>
    <t>Unemployed/Dependent</t>
  </si>
  <si>
    <t>Self Employed</t>
  </si>
  <si>
    <t>Manufacturing</t>
  </si>
  <si>
    <t>Services</t>
  </si>
  <si>
    <t>Student</t>
  </si>
  <si>
    <t>Marital Status</t>
  </si>
  <si>
    <t>Single</t>
  </si>
  <si>
    <t>Married</t>
  </si>
  <si>
    <t>Divorced</t>
  </si>
  <si>
    <t>Widowed</t>
  </si>
  <si>
    <t>Separated</t>
  </si>
  <si>
    <t>Relationship Code</t>
  </si>
  <si>
    <t>Co-Head</t>
  </si>
  <si>
    <t>Co-Head of Household</t>
  </si>
  <si>
    <t>Head of Household</t>
  </si>
  <si>
    <t>Other Adult Member</t>
  </si>
  <si>
    <t>Roommate (Responsible)</t>
  </si>
  <si>
    <t>Spouse</t>
  </si>
  <si>
    <t>Race</t>
  </si>
  <si>
    <t>American Indian or Alaska Native</t>
  </si>
  <si>
    <t>Chinese</t>
  </si>
  <si>
    <t>Black or African American</t>
  </si>
  <si>
    <t>White</t>
  </si>
  <si>
    <t>Declined to Report</t>
  </si>
  <si>
    <t>Ethnicity</t>
  </si>
  <si>
    <t>Hispanic</t>
  </si>
  <si>
    <t>Non-Hispanic</t>
  </si>
  <si>
    <t>Puerto Rican</t>
  </si>
  <si>
    <t>Mexican, Mexican American, Chicano/a</t>
  </si>
  <si>
    <t>Another Hispanic, Latino/a or Spanish Origin</t>
  </si>
  <si>
    <t>Citizenship Status</t>
  </si>
  <si>
    <t>Individual is a citizen or national</t>
  </si>
  <si>
    <t>Individual is a noncitizen with eligible immigration status</t>
  </si>
  <si>
    <t>Ineligible Non-Citizen</t>
  </si>
  <si>
    <t>No documentation submitted</t>
  </si>
  <si>
    <t>Pending Verification</t>
  </si>
  <si>
    <t>Special Status</t>
  </si>
  <si>
    <t>Elderly Head, Spouse, or Co-head</t>
  </si>
  <si>
    <t>Full-time Student</t>
  </si>
  <si>
    <t>Disabled</t>
  </si>
  <si>
    <t>Housed Temporarily Due To Disaster</t>
  </si>
  <si>
    <t>Part Time Student</t>
  </si>
  <si>
    <t>Police / Security Officer</t>
  </si>
  <si>
    <t>Resident Demographics</t>
  </si>
  <si>
    <t>Report Parameters</t>
  </si>
  <si>
    <t>Report Name</t>
  </si>
  <si>
    <t>Version</t>
  </si>
  <si>
    <t>2.2</t>
  </si>
  <si>
    <t>Lease Occupancy Types</t>
  </si>
  <si>
    <t>All Lease Occupancy Types</t>
  </si>
  <si>
    <t>Property Groups</t>
  </si>
  <si>
    <t>Rows With No Data</t>
  </si>
  <si>
    <t>Hide</t>
  </si>
  <si>
    <t>Roll Up Living Arrangement</t>
  </si>
  <si>
    <t>Consolidate By</t>
  </si>
  <si>
    <t>Do Not Consolidate</t>
  </si>
  <si>
    <t>Incremental Income Levels</t>
  </si>
  <si>
    <t>10,000</t>
  </si>
  <si>
    <t>Income Level Cap</t>
  </si>
  <si>
    <t>2000000000.00</t>
  </si>
  <si>
    <t>Consider Guarantor towards Household Income</t>
  </si>
  <si>
    <t/>
  </si>
  <si>
    <t>Summarize By</t>
  </si>
  <si>
    <t>Demographics</t>
  </si>
  <si>
    <t>Lease Statuses</t>
  </si>
  <si>
    <t>Guest Card : Completed, Guest Card : Archived, Pre-Qualification : Started, Pre-Qualification : Completed, Pre-Qualification : Approved, Application : Started, Application : Partially Completed, Application : Completed, Application : Approved, Lease : Started, Lease : Partially Completed, Lease : Completed, Future, Current, Notice</t>
  </si>
  <si>
    <t>Enable Drill-ins</t>
  </si>
  <si>
    <t>Yes</t>
  </si>
  <si>
    <t>Resident Demographics 2.2 generated</t>
  </si>
  <si>
    <t>08/12/2026 06:04 PM CDT</t>
  </si>
  <si>
    <t xml:space="preserve"> data as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</si>
</sst>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7">
    <font>
      <sz val="11"/>
      <color theme="1"/>
      <name val="Calibri"/>
      <family val="2"/>
      <scheme val="minor"/>
    </font>
    <font>
      <b/>
      <sz val="12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b/>
      <sz val="12"/>
      <name val="sans-serif"/>
    </font>
    <font>
      <b/>
      <sz val="10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top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25"/>
  <sheetViews>
    <sheetView tabSelected="1" workbookViewId="0">
      <pane ySplit="6" topLeftCell="A7" activePane="bottomLeft" state="frozen"/>
      <selection pane="bottomLeft"/>
    </sheetView>
  </sheetViews>
  <sheetFormatPr defaultRowHeight="14.4"/>
  <cols>
    <col min="1" max="3" width="17.88671875" customWidth="1"/>
  </cols>
  <sheetData>
    <row r="2" spans="1:3" ht="15.6">
      <c r="A2" s="1" t="s">
        <v>0</v>
      </c>
    </row>
    <row r="3" spans="1:3">
      <c r="A3" s="2" t="s">
        <v>1</v>
      </c>
    </row>
    <row r="4" spans="1:3">
      <c r="A4" s="2" t="s">
        <v>2</v>
      </c>
    </row>
    <row r="6" spans="1:3" ht="15.6">
      <c r="A6" s="3" t="s">
        <v>3</v>
      </c>
    </row>
    <row r="7" spans="1:3">
      <c r="A7" s="4" t="s">
        <v>4</v>
      </c>
      <c r="B7" s="5" t="s">
        <v>5</v>
      </c>
    </row>
    <row r="8" spans="1:3">
      <c r="A8" s="6" t="s">
        <v>3</v>
      </c>
      <c r="B8" s="7">
        <v>880</v>
      </c>
    </row>
    <row r="9" spans="1:3">
      <c r="A9" s="6" t="s">
        <v>6</v>
      </c>
      <c r="B9" s="7">
        <v>872</v>
      </c>
    </row>
    <row r="10" spans="1:3">
      <c r="A10" s="6" t="s">
        <v>7</v>
      </c>
      <c r="B10" s="7">
        <v>637</v>
      </c>
    </row>
    <row r="11" spans="1:3">
      <c r="A11" s="6" t="s">
        <v>8</v>
      </c>
      <c r="B11" s="7">
        <v>989</v>
      </c>
    </row>
    <row r="12" spans="1:3">
      <c r="A12" s="6" t="s">
        <v>9</v>
      </c>
      <c r="B12" s="7">
        <v>0</v>
      </c>
    </row>
    <row r="14" spans="1:3" ht="15.6">
      <c r="A14" s="3" t="s">
        <v>10</v>
      </c>
    </row>
    <row r="15" spans="1:3">
      <c r="A15" s="4" t="s">
        <v>10</v>
      </c>
      <c r="B15" s="5" t="s">
        <v>11</v>
      </c>
      <c r="C15" s="5" t="s">
        <v>12</v>
      </c>
    </row>
    <row r="16" spans="1:3">
      <c r="A16" s="6" t="s">
        <v>13</v>
      </c>
      <c r="B16" s="7">
        <v>155</v>
      </c>
      <c r="C16" s="7">
        <v>663</v>
      </c>
    </row>
    <row r="17" spans="1:3">
      <c r="A17" s="6" t="s">
        <v>14</v>
      </c>
      <c r="B17" s="7">
        <v>16</v>
      </c>
      <c r="C17" s="7">
        <v>275</v>
      </c>
    </row>
    <row r="18" spans="1:3">
      <c r="A18" s="6" t="s">
        <v>15</v>
      </c>
      <c r="B18" s="7">
        <v>29</v>
      </c>
      <c r="C18" s="7">
        <v>93</v>
      </c>
    </row>
    <row r="19" spans="1:3">
      <c r="A19" s="6" t="s">
        <v>16</v>
      </c>
      <c r="B19" s="7">
        <v>1</v>
      </c>
      <c r="C19" s="7">
        <v>0</v>
      </c>
    </row>
    <row r="20" spans="1:3">
      <c r="A20" s="6" t="s">
        <v>17</v>
      </c>
      <c r="B20" s="7">
        <v>1</v>
      </c>
      <c r="C20" s="7">
        <v>5</v>
      </c>
    </row>
    <row r="21" spans="1:3">
      <c r="A21" s="8" t="s">
        <v>5</v>
      </c>
      <c r="B21" s="9">
        <f>SUM(B16:B20)</f>
        <v>202</v>
      </c>
      <c r="C21" s="9">
        <f>SUM(C16:C20)</f>
        <v>1036</v>
      </c>
    </row>
    <row r="23" spans="1:3" ht="15.6">
      <c r="A23" s="3" t="s">
        <v>18</v>
      </c>
    </row>
    <row r="24" spans="1:3">
      <c r="A24" s="4" t="s">
        <v>18</v>
      </c>
      <c r="B24" s="5" t="s">
        <v>11</v>
      </c>
      <c r="C24" s="5" t="s">
        <v>12</v>
      </c>
    </row>
    <row r="25" spans="1:3">
      <c r="A25" s="6" t="s">
        <v>19</v>
      </c>
      <c r="B25" s="7">
        <v>0</v>
      </c>
      <c r="C25" s="7">
        <v>1</v>
      </c>
    </row>
    <row r="26" spans="1:3">
      <c r="A26" s="6" t="s">
        <v>20</v>
      </c>
      <c r="B26" s="7">
        <v>2</v>
      </c>
      <c r="C26" s="7">
        <v>1</v>
      </c>
    </row>
    <row r="27" spans="1:3">
      <c r="A27" s="6" t="s">
        <v>21</v>
      </c>
      <c r="B27" s="7">
        <v>7</v>
      </c>
      <c r="C27" s="7">
        <v>13</v>
      </c>
    </row>
    <row r="28" spans="1:3">
      <c r="A28" s="6" t="s">
        <v>22</v>
      </c>
      <c r="B28" s="7">
        <v>18</v>
      </c>
      <c r="C28" s="7">
        <v>42</v>
      </c>
    </row>
    <row r="29" spans="1:3">
      <c r="A29" s="6" t="s">
        <v>23</v>
      </c>
      <c r="B29" s="7">
        <v>22</v>
      </c>
      <c r="C29" s="7">
        <v>55</v>
      </c>
    </row>
    <row r="30" spans="1:3">
      <c r="A30" s="6" t="s">
        <v>24</v>
      </c>
      <c r="B30" s="7">
        <v>8</v>
      </c>
      <c r="C30" s="7">
        <v>43</v>
      </c>
    </row>
    <row r="31" spans="1:3">
      <c r="A31" s="6" t="s">
        <v>25</v>
      </c>
      <c r="B31" s="7">
        <v>11</v>
      </c>
      <c r="C31" s="7">
        <v>36</v>
      </c>
    </row>
    <row r="32" spans="1:3">
      <c r="A32" s="6" t="s">
        <v>26</v>
      </c>
      <c r="B32" s="7">
        <v>7</v>
      </c>
      <c r="C32" s="7">
        <v>14</v>
      </c>
    </row>
    <row r="33" spans="1:3">
      <c r="A33" s="6" t="s">
        <v>27</v>
      </c>
      <c r="B33" s="7">
        <v>4</v>
      </c>
      <c r="C33" s="7">
        <v>12</v>
      </c>
    </row>
    <row r="34" spans="1:3">
      <c r="A34" s="6" t="s">
        <v>28</v>
      </c>
      <c r="B34" s="7">
        <v>4</v>
      </c>
      <c r="C34" s="7">
        <v>8</v>
      </c>
    </row>
    <row r="35" spans="1:3">
      <c r="A35" s="6" t="s">
        <v>29</v>
      </c>
      <c r="B35" s="7">
        <v>2</v>
      </c>
      <c r="C35" s="7">
        <v>6</v>
      </c>
    </row>
    <row r="36" spans="1:3">
      <c r="A36" s="6" t="s">
        <v>30</v>
      </c>
      <c r="B36" s="7">
        <v>2</v>
      </c>
      <c r="C36" s="7">
        <v>4</v>
      </c>
    </row>
    <row r="37" spans="1:3">
      <c r="A37" s="6" t="s">
        <v>31</v>
      </c>
      <c r="B37" s="7">
        <v>0</v>
      </c>
      <c r="C37" s="7">
        <v>6</v>
      </c>
    </row>
    <row r="38" spans="1:3">
      <c r="A38" s="6" t="s">
        <v>32</v>
      </c>
      <c r="B38" s="7">
        <v>2</v>
      </c>
      <c r="C38" s="7">
        <v>3</v>
      </c>
    </row>
    <row r="39" spans="1:3">
      <c r="A39" s="6" t="s">
        <v>33</v>
      </c>
      <c r="B39" s="7">
        <v>2</v>
      </c>
      <c r="C39" s="7">
        <v>1</v>
      </c>
    </row>
    <row r="40" spans="1:3">
      <c r="A40" s="6" t="s">
        <v>34</v>
      </c>
      <c r="B40" s="7">
        <v>0</v>
      </c>
      <c r="C40" s="7">
        <v>1</v>
      </c>
    </row>
    <row r="41" spans="1:3">
      <c r="A41" s="6" t="s">
        <v>35</v>
      </c>
      <c r="B41" s="7">
        <v>0</v>
      </c>
      <c r="C41" s="7">
        <v>1</v>
      </c>
    </row>
    <row r="42" spans="1:3">
      <c r="A42" s="6" t="s">
        <v>36</v>
      </c>
      <c r="B42" s="7">
        <v>0</v>
      </c>
      <c r="C42" s="7">
        <v>3</v>
      </c>
    </row>
    <row r="43" spans="1:3">
      <c r="A43" s="6" t="s">
        <v>37</v>
      </c>
      <c r="B43" s="7">
        <v>0</v>
      </c>
      <c r="C43" s="7">
        <v>2</v>
      </c>
    </row>
    <row r="44" spans="1:3">
      <c r="A44" s="6" t="s">
        <v>38</v>
      </c>
      <c r="B44" s="7">
        <v>1</v>
      </c>
      <c r="C44" s="7">
        <v>0</v>
      </c>
    </row>
    <row r="45" spans="1:3">
      <c r="A45" s="6" t="s">
        <v>39</v>
      </c>
      <c r="B45" s="7">
        <v>1</v>
      </c>
      <c r="C45" s="7">
        <v>0</v>
      </c>
    </row>
    <row r="46" spans="1:3">
      <c r="A46" s="6" t="s">
        <v>40</v>
      </c>
      <c r="B46" s="7">
        <v>0</v>
      </c>
      <c r="C46" s="7">
        <v>1</v>
      </c>
    </row>
    <row r="47" spans="1:3">
      <c r="A47" s="6" t="s">
        <v>41</v>
      </c>
      <c r="B47" s="7">
        <v>1</v>
      </c>
      <c r="C47" s="7">
        <v>1</v>
      </c>
    </row>
    <row r="48" spans="1:3">
      <c r="A48" s="6" t="s">
        <v>42</v>
      </c>
      <c r="B48" s="7">
        <v>1</v>
      </c>
      <c r="C48" s="7">
        <v>0</v>
      </c>
    </row>
    <row r="49" spans="1:3">
      <c r="A49" s="6" t="s">
        <v>43</v>
      </c>
      <c r="B49" s="7">
        <v>1</v>
      </c>
      <c r="C49" s="7">
        <v>0</v>
      </c>
    </row>
    <row r="50" spans="1:3">
      <c r="A50" s="6" t="s">
        <v>44</v>
      </c>
      <c r="B50" s="7">
        <v>59</v>
      </c>
      <c r="C50" s="7">
        <v>409</v>
      </c>
    </row>
    <row r="51" spans="1:3">
      <c r="A51" s="6" t="s">
        <v>44</v>
      </c>
      <c r="B51" s="7">
        <v>59</v>
      </c>
      <c r="C51" s="7">
        <v>409</v>
      </c>
    </row>
    <row r="52" spans="1:3">
      <c r="A52" s="6" t="s">
        <v>5</v>
      </c>
      <c r="B52" s="7">
        <v>155</v>
      </c>
      <c r="C52" s="7">
        <v>663</v>
      </c>
    </row>
    <row r="53" spans="1:3">
      <c r="A53" s="6" t="s">
        <v>45</v>
      </c>
      <c r="B53" s="7">
        <v>61519</v>
      </c>
      <c r="C53" s="7">
        <v>24840</v>
      </c>
    </row>
    <row r="54" spans="1:3">
      <c r="A54" s="6" t="s">
        <v>46</v>
      </c>
      <c r="B54" s="7">
        <v>33600</v>
      </c>
      <c r="C54" s="7">
        <v>0</v>
      </c>
    </row>
    <row r="56" spans="1:3" ht="15.6">
      <c r="A56" s="3" t="s">
        <v>47</v>
      </c>
    </row>
    <row r="57" spans="1:3">
      <c r="A57" s="4" t="s">
        <v>47</v>
      </c>
      <c r="B57" s="5" t="s">
        <v>11</v>
      </c>
      <c r="C57" s="5" t="s">
        <v>12</v>
      </c>
    </row>
    <row r="58" spans="1:3">
      <c r="A58" s="6" t="s">
        <v>19</v>
      </c>
      <c r="B58" s="7">
        <v>0</v>
      </c>
      <c r="C58" s="7">
        <v>4</v>
      </c>
    </row>
    <row r="59" spans="1:3">
      <c r="A59" s="6" t="s">
        <v>20</v>
      </c>
      <c r="B59" s="7">
        <v>2</v>
      </c>
      <c r="C59" s="7">
        <v>10</v>
      </c>
    </row>
    <row r="60" spans="1:3">
      <c r="A60" s="6" t="s">
        <v>21</v>
      </c>
      <c r="B60" s="7">
        <v>12</v>
      </c>
      <c r="C60" s="7">
        <v>22</v>
      </c>
    </row>
    <row r="61" spans="1:3">
      <c r="A61" s="6" t="s">
        <v>22</v>
      </c>
      <c r="B61" s="7">
        <v>20</v>
      </c>
      <c r="C61" s="7">
        <v>59</v>
      </c>
    </row>
    <row r="62" spans="1:3">
      <c r="A62" s="6" t="s">
        <v>23</v>
      </c>
      <c r="B62" s="7">
        <v>26</v>
      </c>
      <c r="C62" s="7">
        <v>76</v>
      </c>
    </row>
    <row r="63" spans="1:3">
      <c r="A63" s="6" t="s">
        <v>24</v>
      </c>
      <c r="B63" s="7">
        <v>9</v>
      </c>
      <c r="C63" s="7">
        <v>49</v>
      </c>
    </row>
    <row r="64" spans="1:3">
      <c r="A64" s="6" t="s">
        <v>25</v>
      </c>
      <c r="B64" s="7">
        <v>8</v>
      </c>
      <c r="C64" s="7">
        <v>34</v>
      </c>
    </row>
    <row r="65" spans="1:3">
      <c r="A65" s="6" t="s">
        <v>26</v>
      </c>
      <c r="B65" s="7">
        <v>7</v>
      </c>
      <c r="C65" s="7">
        <v>14</v>
      </c>
    </row>
    <row r="66" spans="1:3">
      <c r="A66" s="6" t="s">
        <v>27</v>
      </c>
      <c r="B66" s="7">
        <v>4</v>
      </c>
      <c r="C66" s="7">
        <v>6</v>
      </c>
    </row>
    <row r="67" spans="1:3">
      <c r="A67" s="6" t="s">
        <v>28</v>
      </c>
      <c r="B67" s="7">
        <v>3</v>
      </c>
      <c r="C67" s="7">
        <v>4</v>
      </c>
    </row>
    <row r="68" spans="1:3">
      <c r="A68" s="6" t="s">
        <v>29</v>
      </c>
      <c r="B68" s="7">
        <v>2</v>
      </c>
      <c r="C68" s="7">
        <v>3</v>
      </c>
    </row>
    <row r="69" spans="1:3">
      <c r="A69" s="6" t="s">
        <v>30</v>
      </c>
      <c r="B69" s="7">
        <v>1</v>
      </c>
      <c r="C69" s="7">
        <v>1</v>
      </c>
    </row>
    <row r="70" spans="1:3">
      <c r="A70" s="6" t="s">
        <v>31</v>
      </c>
      <c r="B70" s="7">
        <v>0</v>
      </c>
      <c r="C70" s="7">
        <v>4</v>
      </c>
    </row>
    <row r="71" spans="1:3">
      <c r="A71" s="6" t="s">
        <v>32</v>
      </c>
      <c r="B71" s="7">
        <v>2</v>
      </c>
      <c r="C71" s="7">
        <v>2</v>
      </c>
    </row>
    <row r="72" spans="1:3">
      <c r="A72" s="6" t="s">
        <v>33</v>
      </c>
      <c r="B72" s="7">
        <v>2</v>
      </c>
      <c r="C72" s="7">
        <v>2</v>
      </c>
    </row>
    <row r="73" spans="1:3">
      <c r="A73" s="6" t="s">
        <v>34</v>
      </c>
      <c r="B73" s="7">
        <v>0</v>
      </c>
      <c r="C73" s="7">
        <v>1</v>
      </c>
    </row>
    <row r="74" spans="1:3">
      <c r="A74" s="6" t="s">
        <v>36</v>
      </c>
      <c r="B74" s="7">
        <v>0</v>
      </c>
      <c r="C74" s="7">
        <v>1</v>
      </c>
    </row>
    <row r="75" spans="1:3">
      <c r="A75" s="6" t="s">
        <v>37</v>
      </c>
      <c r="B75" s="7">
        <v>0</v>
      </c>
      <c r="C75" s="7">
        <v>1</v>
      </c>
    </row>
    <row r="76" spans="1:3">
      <c r="A76" s="6" t="s">
        <v>38</v>
      </c>
      <c r="B76" s="7">
        <v>1</v>
      </c>
      <c r="C76" s="7">
        <v>0</v>
      </c>
    </row>
    <row r="77" spans="1:3">
      <c r="A77" s="6" t="s">
        <v>39</v>
      </c>
      <c r="B77" s="7">
        <v>1</v>
      </c>
      <c r="C77" s="7">
        <v>0</v>
      </c>
    </row>
    <row r="78" spans="1:3">
      <c r="A78" s="6" t="s">
        <v>41</v>
      </c>
      <c r="B78" s="7">
        <v>1</v>
      </c>
      <c r="C78" s="7">
        <v>1</v>
      </c>
    </row>
    <row r="79" spans="1:3">
      <c r="A79" s="6" t="s">
        <v>42</v>
      </c>
      <c r="B79" s="7">
        <v>1</v>
      </c>
      <c r="C79" s="7">
        <v>0</v>
      </c>
    </row>
    <row r="80" spans="1:3">
      <c r="A80" s="6" t="s">
        <v>43</v>
      </c>
      <c r="B80" s="7">
        <v>1</v>
      </c>
      <c r="C80" s="7">
        <v>0</v>
      </c>
    </row>
    <row r="81" spans="1:3">
      <c r="A81" s="6" t="s">
        <v>44</v>
      </c>
      <c r="B81" s="7">
        <v>68</v>
      </c>
      <c r="C81" s="7">
        <v>644</v>
      </c>
    </row>
    <row r="82" spans="1:3">
      <c r="A82" s="6" t="s">
        <v>44</v>
      </c>
      <c r="B82" s="7">
        <v>68</v>
      </c>
      <c r="C82" s="7">
        <v>644</v>
      </c>
    </row>
    <row r="83" spans="1:3">
      <c r="A83" s="6" t="s">
        <v>5</v>
      </c>
      <c r="B83" s="7">
        <v>171</v>
      </c>
      <c r="C83" s="7">
        <v>938</v>
      </c>
    </row>
    <row r="84" spans="1:3">
      <c r="A84" s="6" t="s">
        <v>45</v>
      </c>
      <c r="B84" s="7">
        <v>55763</v>
      </c>
      <c r="C84" s="7">
        <v>16587</v>
      </c>
    </row>
    <row r="85" spans="1:3">
      <c r="A85" s="6" t="s">
        <v>46</v>
      </c>
      <c r="B85" s="7">
        <v>30591</v>
      </c>
      <c r="C85" s="7">
        <v>0</v>
      </c>
    </row>
    <row r="87" spans="1:3" ht="15.6">
      <c r="A87" s="3" t="s">
        <v>48</v>
      </c>
    </row>
    <row r="88" spans="1:3">
      <c r="A88" s="4" t="s">
        <v>48</v>
      </c>
      <c r="B88" s="5" t="s">
        <v>11</v>
      </c>
      <c r="C88" s="5" t="s">
        <v>12</v>
      </c>
    </row>
    <row r="89" spans="1:3">
      <c r="A89" s="6" t="s">
        <v>49</v>
      </c>
      <c r="B89" s="7">
        <v>124</v>
      </c>
      <c r="C89" s="7">
        <v>374</v>
      </c>
    </row>
    <row r="90" spans="1:3">
      <c r="A90" s="6" t="s">
        <v>50</v>
      </c>
      <c r="B90" s="7">
        <v>22</v>
      </c>
      <c r="C90" s="7">
        <v>224</v>
      </c>
    </row>
    <row r="91" spans="1:3">
      <c r="A91" s="6" t="s">
        <v>51</v>
      </c>
      <c r="B91" s="7">
        <v>4</v>
      </c>
      <c r="C91" s="7">
        <v>53</v>
      </c>
    </row>
    <row r="92" spans="1:3">
      <c r="A92" s="6" t="s">
        <v>52</v>
      </c>
      <c r="B92" s="7">
        <v>4</v>
      </c>
      <c r="C92" s="7">
        <v>7</v>
      </c>
    </row>
    <row r="93" spans="1:3">
      <c r="A93" s="6" t="s">
        <v>53</v>
      </c>
      <c r="B93" s="7">
        <v>1</v>
      </c>
      <c r="C93" s="7">
        <v>3</v>
      </c>
    </row>
    <row r="94" spans="1:3">
      <c r="A94" s="6" t="s">
        <v>54</v>
      </c>
      <c r="B94" s="7">
        <v>0</v>
      </c>
      <c r="C94" s="7">
        <v>2</v>
      </c>
    </row>
    <row r="95" spans="1:3">
      <c r="A95" s="6" t="s">
        <v>5</v>
      </c>
      <c r="B95" s="7">
        <v>155</v>
      </c>
      <c r="C95" s="7">
        <v>663</v>
      </c>
    </row>
    <row r="96" spans="1:3">
      <c r="A96" s="6" t="s">
        <v>45</v>
      </c>
      <c r="B96" s="7">
        <v>15</v>
      </c>
      <c r="C96" s="7">
        <v>66</v>
      </c>
    </row>
    <row r="97" spans="1:3">
      <c r="A97" s="6" t="s">
        <v>46</v>
      </c>
      <c r="B97" s="7">
        <v>1</v>
      </c>
      <c r="C97" s="7">
        <v>1</v>
      </c>
    </row>
    <row r="99" spans="1:3" ht="15.6">
      <c r="A99" s="3" t="s">
        <v>55</v>
      </c>
    </row>
    <row r="100" spans="1:3">
      <c r="A100" s="4" t="s">
        <v>55</v>
      </c>
      <c r="B100" s="5" t="s">
        <v>11</v>
      </c>
      <c r="C100" s="5" t="s">
        <v>12</v>
      </c>
    </row>
    <row r="101" spans="1:3">
      <c r="A101" s="6" t="s">
        <v>56</v>
      </c>
      <c r="B101" s="7">
        <v>49</v>
      </c>
      <c r="C101" s="7">
        <v>131</v>
      </c>
    </row>
    <row r="102" spans="1:3">
      <c r="A102" s="6" t="s">
        <v>57</v>
      </c>
      <c r="B102" s="7">
        <v>30</v>
      </c>
      <c r="C102" s="7">
        <v>113</v>
      </c>
    </row>
    <row r="103" spans="1:3">
      <c r="A103" s="6" t="s">
        <v>58</v>
      </c>
      <c r="B103" s="7">
        <v>15</v>
      </c>
      <c r="C103" s="7">
        <v>104</v>
      </c>
    </row>
    <row r="104" spans="1:3">
      <c r="A104" s="6" t="s">
        <v>59</v>
      </c>
      <c r="B104" s="7">
        <v>12</v>
      </c>
      <c r="C104" s="7">
        <v>99</v>
      </c>
    </row>
    <row r="105" spans="1:3">
      <c r="A105" s="6" t="s">
        <v>60</v>
      </c>
      <c r="B105" s="7">
        <v>7</v>
      </c>
      <c r="C105" s="7">
        <v>92</v>
      </c>
    </row>
    <row r="106" spans="1:3">
      <c r="A106" s="6" t="s">
        <v>61</v>
      </c>
      <c r="B106" s="7">
        <v>6</v>
      </c>
      <c r="C106" s="7">
        <v>67</v>
      </c>
    </row>
    <row r="107" spans="1:3">
      <c r="A107" s="6" t="s">
        <v>62</v>
      </c>
      <c r="B107" s="7">
        <v>5</v>
      </c>
      <c r="C107" s="7">
        <v>55</v>
      </c>
    </row>
    <row r="108" spans="1:3">
      <c r="A108" s="6" t="s">
        <v>63</v>
      </c>
      <c r="B108" s="7">
        <v>5</v>
      </c>
      <c r="C108" s="7">
        <v>42</v>
      </c>
    </row>
    <row r="109" spans="1:3">
      <c r="A109" s="6" t="s">
        <v>64</v>
      </c>
      <c r="B109" s="7">
        <v>1</v>
      </c>
      <c r="C109" s="7">
        <v>24</v>
      </c>
    </row>
    <row r="110" spans="1:3">
      <c r="A110" s="6" t="s">
        <v>65</v>
      </c>
      <c r="B110" s="7">
        <v>1</v>
      </c>
      <c r="C110" s="7">
        <v>16</v>
      </c>
    </row>
    <row r="111" spans="1:3">
      <c r="A111" s="6" t="s">
        <v>66</v>
      </c>
      <c r="B111" s="7">
        <v>0</v>
      </c>
      <c r="C111" s="7">
        <v>11</v>
      </c>
    </row>
    <row r="112" spans="1:3">
      <c r="A112" s="6" t="s">
        <v>67</v>
      </c>
      <c r="B112" s="7">
        <v>0</v>
      </c>
      <c r="C112" s="7">
        <v>7</v>
      </c>
    </row>
    <row r="113" spans="1:3">
      <c r="A113" s="6" t="s">
        <v>68</v>
      </c>
      <c r="B113" s="7">
        <v>0</v>
      </c>
      <c r="C113" s="7">
        <v>2</v>
      </c>
    </row>
    <row r="114" spans="1:3">
      <c r="A114" s="6" t="s">
        <v>44</v>
      </c>
      <c r="B114" s="7">
        <v>40</v>
      </c>
      <c r="C114" s="7">
        <v>175</v>
      </c>
    </row>
    <row r="115" spans="1:3">
      <c r="A115" s="6" t="s">
        <v>5</v>
      </c>
      <c r="B115" s="7">
        <v>171</v>
      </c>
      <c r="C115" s="7">
        <v>938</v>
      </c>
    </row>
    <row r="116" spans="1:3">
      <c r="A116" s="6" t="s">
        <v>45</v>
      </c>
      <c r="B116" s="7">
        <v>32</v>
      </c>
      <c r="C116" s="7">
        <v>39</v>
      </c>
    </row>
    <row r="117" spans="1:3">
      <c r="A117" s="6" t="s">
        <v>46</v>
      </c>
      <c r="B117" s="7">
        <v>29</v>
      </c>
      <c r="C117" s="7">
        <v>37</v>
      </c>
    </row>
    <row r="119" spans="1:3" ht="15.6">
      <c r="A119" s="3" t="s">
        <v>69</v>
      </c>
    </row>
    <row r="120" spans="1:3">
      <c r="A120" s="4" t="s">
        <v>69</v>
      </c>
      <c r="B120" s="5" t="s">
        <v>11</v>
      </c>
      <c r="C120" s="5" t="s">
        <v>12</v>
      </c>
    </row>
    <row r="121" spans="1:3">
      <c r="A121" s="6" t="s">
        <v>70</v>
      </c>
      <c r="B121" s="7">
        <v>20</v>
      </c>
      <c r="C121" s="7">
        <v>6</v>
      </c>
    </row>
    <row r="122" spans="1:3">
      <c r="A122" s="6" t="s">
        <v>71</v>
      </c>
      <c r="B122" s="7">
        <v>22</v>
      </c>
      <c r="C122" s="7">
        <v>0</v>
      </c>
    </row>
    <row r="123" spans="1:3">
      <c r="A123" s="6" t="s">
        <v>44</v>
      </c>
      <c r="B123" s="7">
        <v>129</v>
      </c>
      <c r="C123" s="7">
        <v>932</v>
      </c>
    </row>
    <row r="124" spans="1:3">
      <c r="A124" s="8" t="s">
        <v>5</v>
      </c>
      <c r="B124" s="9">
        <f>SUM(B121:B123)</f>
        <v>171</v>
      </c>
      <c r="C124" s="9">
        <f>SUM(C121:C123)</f>
        <v>938</v>
      </c>
    </row>
    <row r="126" spans="1:3" ht="15.6">
      <c r="A126" s="3" t="s">
        <v>72</v>
      </c>
    </row>
    <row r="127" spans="1:3">
      <c r="A127" s="4" t="s">
        <v>72</v>
      </c>
      <c r="B127" s="5" t="s">
        <v>11</v>
      </c>
      <c r="C127" s="5" t="s">
        <v>12</v>
      </c>
    </row>
    <row r="128" spans="1:3">
      <c r="A128" s="6" t="s">
        <v>73</v>
      </c>
      <c r="B128" s="7">
        <v>147</v>
      </c>
      <c r="C128" s="7">
        <v>636</v>
      </c>
    </row>
    <row r="129" spans="1:3">
      <c r="A129" s="6" t="s">
        <v>49</v>
      </c>
      <c r="B129" s="7">
        <v>6</v>
      </c>
      <c r="C129" s="7">
        <v>21</v>
      </c>
    </row>
    <row r="130" spans="1:3">
      <c r="A130" s="6" t="s">
        <v>50</v>
      </c>
      <c r="B130" s="7">
        <v>2</v>
      </c>
      <c r="C130" s="7">
        <v>6</v>
      </c>
    </row>
    <row r="131" spans="1:3">
      <c r="A131" s="8" t="s">
        <v>5</v>
      </c>
      <c r="B131" s="9">
        <f>SUM(B128:B130)</f>
        <v>155</v>
      </c>
      <c r="C131" s="9">
        <f>SUM(C128:C130)</f>
        <v>663</v>
      </c>
    </row>
    <row r="133" spans="1:3" ht="15.6">
      <c r="A133" s="3" t="s">
        <v>74</v>
      </c>
    </row>
    <row r="134" spans="1:3" ht="26.4">
      <c r="A134" s="4" t="s">
        <v>74</v>
      </c>
      <c r="B134" s="5" t="s">
        <v>11</v>
      </c>
      <c r="C134" s="5" t="s">
        <v>12</v>
      </c>
    </row>
    <row r="135" spans="1:3">
      <c r="A135" s="6" t="s">
        <v>73</v>
      </c>
      <c r="B135" s="7">
        <v>151</v>
      </c>
      <c r="C135" s="7">
        <v>652</v>
      </c>
    </row>
    <row r="136" spans="1:3">
      <c r="A136" s="6" t="s">
        <v>49</v>
      </c>
      <c r="B136" s="7">
        <v>3</v>
      </c>
      <c r="C136" s="7">
        <v>9</v>
      </c>
    </row>
    <row r="137" spans="1:3">
      <c r="A137" s="6" t="s">
        <v>50</v>
      </c>
      <c r="B137" s="7">
        <v>1</v>
      </c>
      <c r="C137" s="7">
        <v>2</v>
      </c>
    </row>
    <row r="138" spans="1:3">
      <c r="A138" s="8" t="s">
        <v>5</v>
      </c>
      <c r="B138" s="9">
        <f>SUM(B135:B137)</f>
        <v>155</v>
      </c>
      <c r="C138" s="9">
        <f>SUM(C135:C137)</f>
        <v>663</v>
      </c>
    </row>
    <row r="140" spans="1:3" ht="15.6">
      <c r="A140" s="3" t="s">
        <v>75</v>
      </c>
    </row>
    <row r="141" spans="1:3">
      <c r="A141" s="4" t="s">
        <v>75</v>
      </c>
      <c r="B141" s="5" t="s">
        <v>11</v>
      </c>
      <c r="C141" s="5" t="s">
        <v>12</v>
      </c>
    </row>
    <row r="142" spans="1:3">
      <c r="A142" s="6" t="s">
        <v>44</v>
      </c>
      <c r="B142" s="7">
        <v>54</v>
      </c>
      <c r="C142" s="7">
        <v>607</v>
      </c>
    </row>
    <row r="143" spans="1:3">
      <c r="A143" s="6" t="s">
        <v>76</v>
      </c>
      <c r="B143" s="7">
        <v>7</v>
      </c>
      <c r="C143" s="7">
        <v>10</v>
      </c>
    </row>
    <row r="144" spans="1:3">
      <c r="A144" s="6" t="s">
        <v>77</v>
      </c>
      <c r="B144" s="7">
        <v>5</v>
      </c>
      <c r="C144" s="7">
        <v>14</v>
      </c>
    </row>
    <row r="145" spans="1:3">
      <c r="A145" s="6" t="s">
        <v>78</v>
      </c>
      <c r="B145" s="7">
        <v>52</v>
      </c>
      <c r="C145" s="7">
        <v>119</v>
      </c>
    </row>
    <row r="146" spans="1:3">
      <c r="A146" s="6" t="s">
        <v>79</v>
      </c>
      <c r="B146" s="7">
        <v>2</v>
      </c>
      <c r="C146" s="7">
        <v>2</v>
      </c>
    </row>
    <row r="147" spans="1:3">
      <c r="A147" s="6" t="s">
        <v>80</v>
      </c>
      <c r="B147" s="7">
        <v>2</v>
      </c>
      <c r="C147" s="7">
        <v>15</v>
      </c>
    </row>
    <row r="148" spans="1:3">
      <c r="A148" s="6" t="s">
        <v>81</v>
      </c>
      <c r="B148" s="7">
        <v>5</v>
      </c>
      <c r="C148" s="7">
        <v>15</v>
      </c>
    </row>
    <row r="149" spans="1:3">
      <c r="A149" s="6" t="s">
        <v>82</v>
      </c>
      <c r="B149" s="7">
        <v>1</v>
      </c>
      <c r="C149" s="7">
        <v>12</v>
      </c>
    </row>
    <row r="150" spans="1:3">
      <c r="A150" s="6" t="s">
        <v>83</v>
      </c>
      <c r="B150" s="7">
        <v>8</v>
      </c>
      <c r="C150" s="7">
        <v>29</v>
      </c>
    </row>
    <row r="151" spans="1:3">
      <c r="A151" s="6" t="s">
        <v>84</v>
      </c>
      <c r="B151" s="7">
        <v>0</v>
      </c>
      <c r="C151" s="7">
        <v>10</v>
      </c>
    </row>
    <row r="152" spans="1:3">
      <c r="A152" s="6" t="s">
        <v>85</v>
      </c>
      <c r="B152" s="7">
        <v>0</v>
      </c>
      <c r="C152" s="7">
        <v>1</v>
      </c>
    </row>
    <row r="153" spans="1:3">
      <c r="A153" s="6" t="s">
        <v>86</v>
      </c>
      <c r="B153" s="7">
        <v>2</v>
      </c>
      <c r="C153" s="7">
        <v>3</v>
      </c>
    </row>
    <row r="154" spans="1:3">
      <c r="A154" s="6" t="s">
        <v>87</v>
      </c>
      <c r="B154" s="7">
        <v>7</v>
      </c>
      <c r="C154" s="7">
        <v>26</v>
      </c>
    </row>
    <row r="155" spans="1:3">
      <c r="A155" s="6" t="s">
        <v>88</v>
      </c>
      <c r="B155" s="7">
        <v>2</v>
      </c>
      <c r="C155" s="7">
        <v>17</v>
      </c>
    </row>
    <row r="156" spans="1:3">
      <c r="A156" s="6" t="s">
        <v>89</v>
      </c>
      <c r="B156" s="7">
        <v>5</v>
      </c>
      <c r="C156" s="7">
        <v>12</v>
      </c>
    </row>
    <row r="157" spans="1:3">
      <c r="A157" s="6" t="s">
        <v>90</v>
      </c>
      <c r="B157" s="7">
        <v>6</v>
      </c>
      <c r="C157" s="7">
        <v>11</v>
      </c>
    </row>
    <row r="158" spans="1:3">
      <c r="A158" s="6" t="s">
        <v>91</v>
      </c>
      <c r="B158" s="7">
        <v>6</v>
      </c>
      <c r="C158" s="7">
        <v>31</v>
      </c>
    </row>
    <row r="159" spans="1:3">
      <c r="A159" s="6" t="s">
        <v>92</v>
      </c>
      <c r="B159" s="7">
        <v>7</v>
      </c>
      <c r="C159" s="7">
        <v>4</v>
      </c>
    </row>
    <row r="160" spans="1:3">
      <c r="A160" s="8" t="s">
        <v>5</v>
      </c>
      <c r="B160" s="9">
        <f>SUM(B142:B159)</f>
        <v>171</v>
      </c>
      <c r="C160" s="9">
        <f>SUM(C142:C159)</f>
        <v>938</v>
      </c>
    </row>
    <row r="162" spans="1:3" ht="15.6">
      <c r="A162" s="3" t="s">
        <v>93</v>
      </c>
    </row>
    <row r="163" spans="1:3">
      <c r="A163" s="4" t="s">
        <v>93</v>
      </c>
      <c r="B163" s="5" t="s">
        <v>11</v>
      </c>
      <c r="C163" s="5" t="s">
        <v>12</v>
      </c>
    </row>
    <row r="164" spans="1:3">
      <c r="A164" s="6" t="s">
        <v>94</v>
      </c>
      <c r="B164" s="7">
        <v>78</v>
      </c>
      <c r="C164" s="7">
        <v>234</v>
      </c>
    </row>
    <row r="165" spans="1:3">
      <c r="A165" s="6" t="s">
        <v>95</v>
      </c>
      <c r="B165" s="7">
        <v>14</v>
      </c>
      <c r="C165" s="7">
        <v>71</v>
      </c>
    </row>
    <row r="166" spans="1:3">
      <c r="A166" s="6" t="s">
        <v>96</v>
      </c>
      <c r="B166" s="7">
        <v>4</v>
      </c>
      <c r="C166" s="7">
        <v>11</v>
      </c>
    </row>
    <row r="167" spans="1:3">
      <c r="A167" s="6" t="s">
        <v>97</v>
      </c>
      <c r="B167" s="7">
        <v>0</v>
      </c>
      <c r="C167" s="7">
        <v>1</v>
      </c>
    </row>
    <row r="168" spans="1:3">
      <c r="A168" s="6" t="s">
        <v>98</v>
      </c>
      <c r="B168" s="7">
        <v>4</v>
      </c>
      <c r="C168" s="7">
        <v>4</v>
      </c>
    </row>
    <row r="169" spans="1:3">
      <c r="A169" s="6" t="s">
        <v>44</v>
      </c>
      <c r="B169" s="7">
        <v>71</v>
      </c>
      <c r="C169" s="7">
        <v>617</v>
      </c>
    </row>
    <row r="170" spans="1:3">
      <c r="A170" s="8" t="s">
        <v>5</v>
      </c>
      <c r="B170" s="9">
        <f>SUM(B164:B169)</f>
        <v>171</v>
      </c>
      <c r="C170" s="9">
        <f>SUM(C164:C169)</f>
        <v>938</v>
      </c>
    </row>
    <row r="172" spans="1:3" ht="15.6">
      <c r="A172" s="3" t="s">
        <v>99</v>
      </c>
    </row>
    <row r="173" spans="1:3">
      <c r="A173" s="4" t="s">
        <v>99</v>
      </c>
      <c r="B173" s="5" t="s">
        <v>11</v>
      </c>
      <c r="C173" s="5" t="s">
        <v>12</v>
      </c>
    </row>
    <row r="174" spans="1:3">
      <c r="A174" s="6" t="s">
        <v>100</v>
      </c>
      <c r="B174" s="7">
        <v>0</v>
      </c>
      <c r="C174" s="7">
        <v>31</v>
      </c>
    </row>
    <row r="175" spans="1:3">
      <c r="A175" s="6" t="s">
        <v>101</v>
      </c>
      <c r="B175" s="7">
        <v>2</v>
      </c>
      <c r="C175" s="7">
        <v>185</v>
      </c>
    </row>
    <row r="176" spans="1:3">
      <c r="A176" s="6" t="s">
        <v>102</v>
      </c>
      <c r="B176" s="7">
        <v>0</v>
      </c>
      <c r="C176" s="7">
        <v>101</v>
      </c>
    </row>
    <row r="177" spans="1:3">
      <c r="A177" s="6" t="s">
        <v>103</v>
      </c>
      <c r="B177" s="7">
        <v>0</v>
      </c>
      <c r="C177" s="7">
        <v>5</v>
      </c>
    </row>
    <row r="178" spans="1:3">
      <c r="A178" s="6" t="s">
        <v>13</v>
      </c>
      <c r="B178" s="7">
        <v>155</v>
      </c>
      <c r="C178" s="7">
        <v>563</v>
      </c>
    </row>
    <row r="179" spans="1:3">
      <c r="A179" s="6" t="s">
        <v>104</v>
      </c>
      <c r="B179" s="7">
        <v>9</v>
      </c>
      <c r="C179" s="7">
        <v>34</v>
      </c>
    </row>
    <row r="180" spans="1:3">
      <c r="A180" s="6" t="s">
        <v>105</v>
      </c>
      <c r="B180" s="7">
        <v>5</v>
      </c>
      <c r="C180" s="7">
        <v>12</v>
      </c>
    </row>
    <row r="181" spans="1:3">
      <c r="A181" s="6" t="s">
        <v>105</v>
      </c>
      <c r="B181" s="7">
        <v>0</v>
      </c>
      <c r="C181" s="7">
        <v>7</v>
      </c>
    </row>
    <row r="182" spans="1:3">
      <c r="A182" s="8" t="s">
        <v>5</v>
      </c>
      <c r="B182" s="9">
        <f>SUM(B174:B181)</f>
        <v>171</v>
      </c>
      <c r="C182" s="9">
        <f>SUM(C174:C181)</f>
        <v>938</v>
      </c>
    </row>
    <row r="184" spans="1:3" ht="15.6">
      <c r="A184" s="3" t="s">
        <v>106</v>
      </c>
    </row>
    <row r="185" spans="1:3">
      <c r="A185" s="4" t="s">
        <v>106</v>
      </c>
      <c r="B185" s="5" t="s">
        <v>11</v>
      </c>
      <c r="C185" s="5" t="s">
        <v>12</v>
      </c>
    </row>
    <row r="186" spans="1:3">
      <c r="A186" s="6" t="s">
        <v>44</v>
      </c>
      <c r="B186" s="7">
        <v>169</v>
      </c>
      <c r="C186" s="7">
        <v>837</v>
      </c>
    </row>
    <row r="187" spans="1:3">
      <c r="A187" s="6" t="s">
        <v>107</v>
      </c>
      <c r="B187" s="7">
        <v>0</v>
      </c>
      <c r="C187" s="7">
        <v>1</v>
      </c>
    </row>
    <row r="188" spans="1:3">
      <c r="A188" s="6" t="s">
        <v>108</v>
      </c>
      <c r="B188" s="7">
        <v>0</v>
      </c>
      <c r="C188" s="7">
        <v>1</v>
      </c>
    </row>
    <row r="189" spans="1:3">
      <c r="A189" s="6" t="s">
        <v>109</v>
      </c>
      <c r="B189" s="7">
        <v>1</v>
      </c>
      <c r="C189" s="7">
        <v>39</v>
      </c>
    </row>
    <row r="190" spans="1:3">
      <c r="A190" s="6" t="s">
        <v>110</v>
      </c>
      <c r="B190" s="7">
        <v>1</v>
      </c>
      <c r="C190" s="7">
        <v>30</v>
      </c>
    </row>
    <row r="191" spans="1:3">
      <c r="A191" s="6" t="s">
        <v>78</v>
      </c>
      <c r="B191" s="7">
        <v>0</v>
      </c>
      <c r="C191" s="7">
        <v>17</v>
      </c>
    </row>
    <row r="192" spans="1:3">
      <c r="A192" s="6" t="s">
        <v>111</v>
      </c>
      <c r="B192" s="7">
        <v>0</v>
      </c>
      <c r="C192" s="7">
        <v>13</v>
      </c>
    </row>
    <row r="193" spans="1:3">
      <c r="A193" s="8" t="s">
        <v>5</v>
      </c>
      <c r="B193" s="9">
        <f>SUM(B186:B192)</f>
        <v>171</v>
      </c>
      <c r="C193" s="9">
        <f>SUM(C186:C192)</f>
        <v>938</v>
      </c>
    </row>
    <row r="195" spans="1:3" ht="15.6">
      <c r="A195" s="3" t="s">
        <v>112</v>
      </c>
    </row>
    <row r="196" spans="1:3">
      <c r="A196" s="4" t="s">
        <v>112</v>
      </c>
      <c r="B196" s="5" t="s">
        <v>11</v>
      </c>
      <c r="C196" s="5" t="s">
        <v>12</v>
      </c>
    </row>
    <row r="197" spans="1:3">
      <c r="A197" s="6" t="s">
        <v>111</v>
      </c>
      <c r="B197" s="7">
        <v>2</v>
      </c>
      <c r="C197" s="7">
        <v>37</v>
      </c>
    </row>
    <row r="198" spans="1:3">
      <c r="A198" s="6" t="s">
        <v>113</v>
      </c>
      <c r="B198" s="7">
        <v>0</v>
      </c>
      <c r="C198" s="7">
        <v>1</v>
      </c>
    </row>
    <row r="199" spans="1:3">
      <c r="A199" s="6" t="s">
        <v>44</v>
      </c>
      <c r="B199" s="7">
        <v>168</v>
      </c>
      <c r="C199" s="7">
        <v>826</v>
      </c>
    </row>
    <row r="200" spans="1:3">
      <c r="A200" s="6" t="s">
        <v>114</v>
      </c>
      <c r="B200" s="7">
        <v>0</v>
      </c>
      <c r="C200" s="7">
        <v>44</v>
      </c>
    </row>
    <row r="201" spans="1:3">
      <c r="A201" s="6" t="s">
        <v>115</v>
      </c>
      <c r="B201" s="7">
        <v>0</v>
      </c>
      <c r="C201" s="7">
        <v>1</v>
      </c>
    </row>
    <row r="202" spans="1:3">
      <c r="A202" s="6" t="s">
        <v>116</v>
      </c>
      <c r="B202" s="7">
        <v>1</v>
      </c>
      <c r="C202" s="7">
        <v>11</v>
      </c>
    </row>
    <row r="203" spans="1:3">
      <c r="A203" s="6" t="s">
        <v>117</v>
      </c>
      <c r="B203" s="7">
        <v>0</v>
      </c>
      <c r="C203" s="7">
        <v>18</v>
      </c>
    </row>
    <row r="204" spans="1:3">
      <c r="A204" s="8" t="s">
        <v>5</v>
      </c>
      <c r="B204" s="9">
        <f>SUM(B197:B203)</f>
        <v>171</v>
      </c>
      <c r="C204" s="9">
        <f>SUM(C197:C203)</f>
        <v>938</v>
      </c>
    </row>
    <row r="206" spans="1:3" ht="15.6">
      <c r="A206" s="3" t="s">
        <v>118</v>
      </c>
    </row>
    <row r="207" spans="1:3">
      <c r="A207" s="4" t="s">
        <v>118</v>
      </c>
      <c r="B207" s="5" t="s">
        <v>11</v>
      </c>
      <c r="C207" s="5" t="s">
        <v>12</v>
      </c>
    </row>
    <row r="208" spans="1:3">
      <c r="A208" s="6" t="s">
        <v>119</v>
      </c>
      <c r="B208" s="7">
        <v>0</v>
      </c>
      <c r="C208" s="7">
        <v>60</v>
      </c>
    </row>
    <row r="209" spans="1:3">
      <c r="A209" s="6" t="s">
        <v>120</v>
      </c>
      <c r="B209" s="7">
        <v>2</v>
      </c>
      <c r="C209" s="7">
        <v>15</v>
      </c>
    </row>
    <row r="210" spans="1:3">
      <c r="A210" s="6" t="s">
        <v>121</v>
      </c>
      <c r="B210" s="7">
        <v>0</v>
      </c>
      <c r="C210" s="7">
        <v>4</v>
      </c>
    </row>
    <row r="211" spans="1:3">
      <c r="A211" s="6" t="s">
        <v>122</v>
      </c>
      <c r="B211" s="7">
        <v>0</v>
      </c>
      <c r="C211" s="7">
        <v>3</v>
      </c>
    </row>
    <row r="212" spans="1:3">
      <c r="A212" s="6" t="s">
        <v>123</v>
      </c>
      <c r="B212" s="7">
        <v>0</v>
      </c>
      <c r="C212" s="7">
        <v>1</v>
      </c>
    </row>
    <row r="213" spans="1:3">
      <c r="A213" s="6" t="s">
        <v>44</v>
      </c>
      <c r="B213" s="7">
        <v>169</v>
      </c>
      <c r="C213" s="7">
        <v>855</v>
      </c>
    </row>
    <row r="214" spans="1:3">
      <c r="A214" s="8" t="s">
        <v>5</v>
      </c>
      <c r="B214" s="9">
        <f>SUM(B208:B213)</f>
        <v>171</v>
      </c>
      <c r="C214" s="9">
        <f>SUM(C208:C213)</f>
        <v>938</v>
      </c>
    </row>
    <row r="216" spans="1:3" ht="15.6">
      <c r="A216" s="3" t="s">
        <v>124</v>
      </c>
    </row>
    <row r="217" spans="1:3">
      <c r="A217" s="4" t="s">
        <v>124</v>
      </c>
      <c r="B217" s="5" t="s">
        <v>11</v>
      </c>
      <c r="C217" s="5" t="s">
        <v>12</v>
      </c>
    </row>
    <row r="218" spans="1:3">
      <c r="A218" s="6" t="s">
        <v>44</v>
      </c>
      <c r="B218" s="7">
        <v>170</v>
      </c>
      <c r="C218" s="7">
        <v>918</v>
      </c>
    </row>
    <row r="219" spans="1:3">
      <c r="A219" s="6" t="s">
        <v>125</v>
      </c>
      <c r="B219" s="7">
        <v>0</v>
      </c>
      <c r="C219" s="7">
        <v>2</v>
      </c>
    </row>
    <row r="220" spans="1:3">
      <c r="A220" s="6" t="s">
        <v>126</v>
      </c>
      <c r="B220" s="7">
        <v>0</v>
      </c>
      <c r="C220" s="7">
        <v>1</v>
      </c>
    </row>
    <row r="221" spans="1:3">
      <c r="A221" s="6" t="s">
        <v>127</v>
      </c>
      <c r="B221" s="7">
        <v>0</v>
      </c>
      <c r="C221" s="7">
        <v>1</v>
      </c>
    </row>
    <row r="222" spans="1:3">
      <c r="A222" s="6" t="s">
        <v>128</v>
      </c>
      <c r="B222" s="7">
        <v>0</v>
      </c>
      <c r="C222" s="7">
        <v>13</v>
      </c>
    </row>
    <row r="223" spans="1:3">
      <c r="A223" s="6" t="s">
        <v>129</v>
      </c>
      <c r="B223" s="7">
        <v>0</v>
      </c>
      <c r="C223" s="7">
        <v>1</v>
      </c>
    </row>
    <row r="224" spans="1:3">
      <c r="A224" s="6" t="s">
        <v>130</v>
      </c>
      <c r="B224" s="7">
        <v>1</v>
      </c>
      <c r="C224" s="7">
        <v>2</v>
      </c>
    </row>
    <row r="225" spans="1:3">
      <c r="A225" s="8" t="s">
        <v>5</v>
      </c>
      <c r="B225" s="9">
        <f>SUM(B218:B224)</f>
        <v>171</v>
      </c>
      <c r="C225" s="9">
        <f>SUM(C218:C224)</f>
        <v>938</v>
      </c>
    </row>
  </sheetData>
  <printOptions horizontalCentered="1"/>
  <pageMargins left="0.5" right="0.5" top="0.5" bottom="0.5" header="0.25" footer="0.25"/>
  <pageSetup fitToHeight="0" orientation="portrait" horizontalDpi="4294967295" verticalDpi="4294967295"/>
  <headerFooter>
    <oddHeader>&amp;L Resident Demographics - Summary</oddHeader>
    <oddFooter>&amp;L Page &amp;P of &amp;N &amp;R &amp;IResident Demographics 2.2 generated08/12/2026 at 6:04pm CDT&amp;I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4.4"/>
  <cols>
    <col min="1" max="1" width="20" customWidth="1"/>
    <col min="2" max="2" width="80" customWidth="1"/>
  </cols>
  <sheetData>
    <row r="1" spans="1:2" ht="15.6">
      <c r="A1" s="12" t="s">
        <v>131</v>
      </c>
      <c r="B1" s="13"/>
    </row>
    <row r="2" spans="1:2" ht="15.6">
      <c r="A2" s="12" t="s">
        <v>132</v>
      </c>
      <c r="B2" s="13"/>
    </row>
    <row r="4" spans="1:2">
      <c r="A4" s="10" t="s">
        <v>133</v>
      </c>
      <c r="B4" s="11" t="s">
        <v>131</v>
      </c>
    </row>
    <row r="5" spans="1:2">
      <c r="A5" s="10" t="s">
        <v>134</v>
      </c>
      <c r="B5" s="11" t="s">
        <v>135</v>
      </c>
    </row>
    <row r="6" spans="1:2">
      <c r="A6" s="10" t="s">
        <v>136</v>
      </c>
      <c r="B6" s="11" t="s">
        <v>137</v>
      </c>
    </row>
    <row r="7" spans="1:2">
      <c r="A7" s="10" t="s">
        <v>138</v>
      </c>
      <c r="B7" s="11" t="s">
        <v>1</v>
      </c>
    </row>
    <row r="8" spans="1:2">
      <c r="A8" s="10" t="s">
        <v>139</v>
      </c>
      <c r="B8" s="11" t="s">
        <v>140</v>
      </c>
    </row>
    <row r="9" spans="1:2">
      <c r="A9" s="10" t="s">
        <v>141</v>
      </c>
      <c r="B9" s="11" t="s">
        <v>140</v>
      </c>
    </row>
    <row r="10" spans="1:2">
      <c r="A10" s="10" t="s">
        <v>142</v>
      </c>
      <c r="B10" s="11" t="s">
        <v>143</v>
      </c>
    </row>
    <row r="11" spans="1:2">
      <c r="A11" s="10" t="s">
        <v>144</v>
      </c>
      <c r="B11" s="11" t="s">
        <v>145</v>
      </c>
    </row>
    <row r="12" spans="1:2">
      <c r="A12" s="10" t="s">
        <v>146</v>
      </c>
      <c r="B12" s="11" t="s">
        <v>147</v>
      </c>
    </row>
    <row r="13" spans="1:2">
      <c r="A13" s="10" t="s">
        <v>148</v>
      </c>
      <c r="B13" s="11" t="s">
        <v>149</v>
      </c>
    </row>
    <row r="14" spans="1:2">
      <c r="A14" s="10" t="s">
        <v>150</v>
      </c>
      <c r="B14" s="11" t="s">
        <v>151</v>
      </c>
    </row>
    <row r="15" spans="1:2" ht="57.6">
      <c r="A15" s="10" t="s">
        <v>152</v>
      </c>
      <c r="B15" s="11" t="s">
        <v>153</v>
      </c>
    </row>
    <row r="16" spans="1:2">
      <c r="A16" s="10" t="s">
        <v>154</v>
      </c>
      <c r="B16" s="11" t="s">
        <v>155</v>
      </c>
    </row>
    <row r="18" spans="1:2">
      <c r="A18" s="10" t="s">
        <v>156</v>
      </c>
      <c r="B18" s="11" t="s">
        <v>157</v>
      </c>
    </row>
    <row r="19" spans="1:2">
      <c r="A19" s="10" t="s">
        <v>158</v>
      </c>
      <c r="B19" s="11" t="s">
        <v>157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AVA</vt:lpstr>
      <vt:lpstr>Report Parameters</vt:lpstr>
      <vt:lpstr>'Report Parameters'!Print_Area</vt:lpstr>
      <vt:lpstr>AVA!Print_Titles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2026-08-12T23:19:11Z</dcterms:created>
  <dcterms:modified xsi:type="dcterms:W3CDTF">2026-08-12T23:22:36Z</dcterms:modified>
  <cp:category/>
</cp:coreProperties>
</file>