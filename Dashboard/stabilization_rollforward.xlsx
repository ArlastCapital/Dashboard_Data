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1650" documentId="8_{E0CE5E7C-C7E5-4C49-BEC9-B5BBDA9E423C}" xr6:coauthVersionLast="47" xr6:coauthVersionMax="47" xr10:uidLastSave="{69702936-B3C7-4668-83A3-2C6114476DF8}"/>
  <bookViews>
    <workbookView xWindow="-110" yWindow="-110" windowWidth="19420" windowHeight="11500" xr2:uid="{00000000-000D-0000-FFFF-FFFF00000000}"/>
  </bookViews>
  <sheets>
    <sheet name="Rollforward_Model" sheetId="1" r:id="rId1"/>
    <sheet name="Source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8" i="6" l="1"/>
  <c r="D148" i="6"/>
  <c r="E148" i="6"/>
  <c r="F148" i="6"/>
  <c r="C147" i="6"/>
  <c r="D147" i="6"/>
  <c r="E147" i="6"/>
  <c r="F147" i="6"/>
  <c r="C146" i="6"/>
  <c r="D146" i="6"/>
  <c r="E146" i="6"/>
  <c r="F146" i="6"/>
  <c r="C145" i="6"/>
  <c r="D145" i="6"/>
  <c r="E145" i="6"/>
  <c r="F145" i="6"/>
  <c r="C144" i="6"/>
  <c r="D144" i="6"/>
  <c r="E144" i="6"/>
  <c r="F144" i="6"/>
  <c r="F20" i="6"/>
  <c r="E20" i="6"/>
  <c r="D20" i="6"/>
  <c r="C20" i="6"/>
  <c r="F19" i="6"/>
  <c r="E19" i="6"/>
  <c r="D19" i="6"/>
  <c r="C19" i="6"/>
  <c r="E18" i="6"/>
  <c r="D18" i="6"/>
  <c r="C18" i="6"/>
  <c r="E17" i="6"/>
  <c r="D17" i="6"/>
  <c r="C17" i="6"/>
  <c r="F16" i="6"/>
  <c r="E16" i="6"/>
  <c r="D16" i="6"/>
  <c r="C16" i="6"/>
  <c r="F15" i="6"/>
  <c r="E15" i="6"/>
  <c r="E21" i="6" s="1"/>
  <c r="E28" i="6" s="1"/>
  <c r="D15" i="6"/>
  <c r="D21" i="6" s="1"/>
  <c r="D28" i="6" s="1"/>
  <c r="C15" i="6"/>
  <c r="F13" i="6"/>
  <c r="E13" i="6"/>
  <c r="D13" i="6"/>
  <c r="C13" i="6"/>
  <c r="E12" i="6"/>
  <c r="D12" i="6"/>
  <c r="C12" i="6"/>
  <c r="F11" i="6"/>
  <c r="E11" i="6"/>
  <c r="D11" i="6"/>
  <c r="C11" i="6"/>
  <c r="F7" i="6"/>
  <c r="F26" i="6" s="1"/>
  <c r="E7" i="6"/>
  <c r="E26" i="6" s="1"/>
  <c r="D7" i="6"/>
  <c r="D26" i="6" s="1"/>
  <c r="C7" i="6"/>
  <c r="C26" i="6" s="1"/>
  <c r="F29" i="1"/>
  <c r="F18" i="6" s="1"/>
  <c r="F28" i="1"/>
  <c r="F17" i="6" s="1"/>
  <c r="F22" i="1"/>
  <c r="F12" i="6" s="1"/>
  <c r="G31" i="1"/>
  <c r="G29" i="1"/>
  <c r="E32" i="1"/>
  <c r="E34" i="1" s="1"/>
  <c r="D32" i="1"/>
  <c r="C32" i="1"/>
  <c r="D34" i="1"/>
  <c r="C34" i="1"/>
  <c r="N30" i="1"/>
  <c r="M30" i="1"/>
  <c r="N31" i="1" s="1"/>
  <c r="L30" i="1"/>
  <c r="M31" i="1" s="1"/>
  <c r="K30" i="1"/>
  <c r="L31" i="1" s="1"/>
  <c r="J30" i="1"/>
  <c r="K31" i="1" s="1"/>
  <c r="I30" i="1"/>
  <c r="J31" i="1" s="1"/>
  <c r="N28" i="1"/>
  <c r="M28" i="1"/>
  <c r="L28" i="1"/>
  <c r="K28" i="1"/>
  <c r="J28" i="1"/>
  <c r="I28" i="1"/>
  <c r="N27" i="1"/>
  <c r="M27" i="1"/>
  <c r="L27" i="1"/>
  <c r="K27" i="1"/>
  <c r="J27" i="1"/>
  <c r="I27" i="1"/>
  <c r="H30" i="1"/>
  <c r="I31" i="1" s="1"/>
  <c r="H28" i="1"/>
  <c r="H27" i="1"/>
  <c r="G30" i="1"/>
  <c r="H31" i="1" s="1"/>
  <c r="G28" i="1"/>
  <c r="G27" i="1"/>
  <c r="N22" i="1"/>
  <c r="M22" i="1"/>
  <c r="L22" i="1"/>
  <c r="K22" i="1"/>
  <c r="J22" i="1"/>
  <c r="I22" i="1"/>
  <c r="H22" i="1"/>
  <c r="G22" i="1"/>
  <c r="N16" i="1"/>
  <c r="M16" i="1"/>
  <c r="L16" i="1"/>
  <c r="K16" i="1"/>
  <c r="J16" i="1"/>
  <c r="I16" i="1"/>
  <c r="H16" i="1"/>
  <c r="G16" i="1"/>
  <c r="F16" i="1"/>
  <c r="E16" i="1"/>
  <c r="D16" i="1"/>
  <c r="C16" i="1"/>
  <c r="C21" i="6" l="1"/>
  <c r="C28" i="6" s="1"/>
  <c r="F18" i="1"/>
  <c r="F8" i="6"/>
  <c r="F9" i="6" s="1"/>
  <c r="G26" i="6" a="1"/>
  <c r="G26" i="6" s="1"/>
  <c r="F21" i="6"/>
  <c r="F28" i="6" s="1"/>
  <c r="E8" i="6"/>
  <c r="E9" i="6" s="1"/>
  <c r="E18" i="1"/>
  <c r="D8" i="6"/>
  <c r="D9" i="6" s="1"/>
  <c r="D18" i="1"/>
  <c r="C8" i="6"/>
  <c r="C9" i="6" s="1"/>
  <c r="C18" i="1"/>
  <c r="F149" i="6"/>
  <c r="E149" i="6"/>
  <c r="D149" i="6"/>
  <c r="G146" i="6"/>
  <c r="G148" i="6"/>
  <c r="G147" i="6"/>
  <c r="G145" i="6"/>
  <c r="C149" i="6"/>
  <c r="G144" i="6"/>
  <c r="G32" i="1"/>
  <c r="F32" i="1"/>
  <c r="F34" i="1" s="1"/>
  <c r="G28" i="6" l="1" a="1"/>
  <c r="G28" i="6" s="1"/>
  <c r="G149" i="6"/>
  <c r="G34" i="1"/>
  <c r="G17" i="1"/>
  <c r="H29" i="1" l="1"/>
  <c r="H32" i="1" s="1"/>
  <c r="G18" i="1"/>
  <c r="H34" i="1" l="1"/>
  <c r="H17" i="1"/>
  <c r="H18" i="1" l="1"/>
  <c r="I29" i="1"/>
  <c r="I32" i="1" s="1"/>
  <c r="I34" i="1" l="1"/>
  <c r="I17" i="1"/>
  <c r="I18" i="1" l="1"/>
  <c r="J29" i="1"/>
  <c r="J32" i="1" s="1"/>
  <c r="J17" i="1" l="1"/>
  <c r="J34" i="1"/>
  <c r="J18" i="1" l="1"/>
  <c r="K29" i="1"/>
  <c r="K32" i="1" s="1"/>
  <c r="K34" i="1" l="1"/>
  <c r="K17" i="1"/>
  <c r="L29" i="1" l="1"/>
  <c r="L32" i="1" s="1"/>
  <c r="K18" i="1"/>
  <c r="L34" i="1" l="1"/>
  <c r="L17" i="1"/>
  <c r="L18" i="1" l="1"/>
  <c r="M29" i="1"/>
  <c r="M32" i="1" s="1"/>
  <c r="M34" i="1" l="1"/>
  <c r="M17" i="1"/>
  <c r="M18" i="1" l="1"/>
  <c r="N29" i="1"/>
  <c r="N32" i="1" s="1"/>
  <c r="N34" i="1" l="1"/>
  <c r="N17" i="1"/>
  <c r="N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3" authorId="0" shapeId="0" xr:uid="{F04AE9C0-B9E0-44A0-B035-ED350DD1EBA3}">
      <text>
        <r>
          <rPr>
            <b/>
            <sz val="9"/>
            <color indexed="81"/>
            <rFont val="Tahoma"/>
            <charset val="1"/>
          </rPr>
          <t>Sergio Chidichimo:
Monthly skips / FTP move-outs as % of occupied units. Derived from Feb-Mar 2026 ResMan Past-Skip counts (~10-14/month on 638-654 occupied). Default 1.5%. Aged delinquent flush (C11) is modeled separately as a one-time May event on top of this baseline.</t>
        </r>
      </text>
    </comment>
    <comment ref="C17" authorId="0" shapeId="0" xr:uid="{65DF4AE1-ACC3-4D1E-A005-483A143D65AD}">
      <text>
        <r>
          <rPr>
            <b/>
            <sz val="9"/>
            <color indexed="81"/>
            <rFont val="Tahoma"/>
            <charset val="1"/>
          </rPr>
          <t>Sergio Chidichimo:
Jan-26 actual Occupied Units (Dashboard_1). Feb-Dec roll forward from prior month + Net Leases − Total Move Outs.</t>
        </r>
      </text>
    </comment>
    <comment ref="D17" authorId="0" shapeId="0" xr:uid="{D7039481-3B7A-4735-BEA4-267E64BF42FF}">
      <text>
        <r>
          <rPr>
            <b/>
            <sz val="9"/>
            <color indexed="81"/>
            <rFont val="Tahoma"/>
            <charset val="1"/>
          </rPr>
          <t>Sergio Chidichimo:
Feb-26 actual Occupied Units (Dashboard_1)</t>
        </r>
      </text>
    </comment>
    <comment ref="E17" authorId="0" shapeId="0" xr:uid="{782B247B-1DED-438C-AFF3-A060A449E328}">
      <text>
        <r>
          <rPr>
            <b/>
            <sz val="9"/>
            <color indexed="81"/>
            <rFont val="Tahoma"/>
            <charset val="1"/>
          </rPr>
          <t>Sergio Chidichimo:
Mar-26 actual Occupied Units (Dashboard_1)</t>
        </r>
      </text>
    </comment>
    <comment ref="F17" authorId="0" shapeId="0" xr:uid="{0531AD3C-FAC9-4BA6-B5BF-1F607207D8D8}">
      <text>
        <r>
          <rPr>
            <b/>
            <sz val="9"/>
            <color indexed="81"/>
            <rFont val="Tahoma"/>
            <charset val="1"/>
          </rPr>
          <t>Sergio Chidichimo:
Apr-26 actual Occupied Units (Dashboard_1)</t>
        </r>
      </text>
    </comment>
    <comment ref="F21" authorId="0" shapeId="0" xr:uid="{D3F5ED9D-0B95-4937-9C21-92BC072B2C87}">
      <text>
        <r>
          <rPr>
            <b/>
            <sz val="9"/>
            <color indexed="81"/>
            <rFont val="Tahoma"/>
            <charset val="1"/>
          </rPr>
          <t>Sergio Chidichimo:
Apr-26 NL/week: ~10 leases/week implied by 25 completed through ~2.5 weeks (Entrata through 4/18). Held at run-rate for remaining ~1.83 weeks.</t>
        </r>
      </text>
    </comment>
    <comment ref="F22" authorId="0" shapeId="0" xr:uid="{916E071C-EB10-4C04-9883-AB99812A1972}">
      <text>
        <r>
          <rPr>
            <b/>
            <sz val="9"/>
            <color indexed="81"/>
            <rFont val="Tahoma"/>
            <charset val="1"/>
          </rPr>
          <t>Sergio Chidichimo:
Apr-26 Net Leases: 25 actual completed (user-provided through ~4/18) + F21*1.83 remaining-week forecast. ~1.83 weeks left in April after 4/18 report date.</t>
        </r>
      </text>
    </comment>
    <comment ref="C26" authorId="0" shapeId="0" xr:uid="{0700F908-F23B-4EE2-8B44-BCF30A6AB77E}">
      <text>
        <r>
          <rPr>
            <b/>
            <sz val="9"/>
            <color indexed="81"/>
            <rFont val="Tahoma"/>
            <charset val="1"/>
          </rPr>
          <t>Sergio Chidichimo:
Jan-26 Property Non-Renewal: Sunday Prince (S27-421). Source: AVA Weekly Metrics, Move_Out_Reasons + ResMan aged receivable cross-reference.</t>
        </r>
      </text>
    </comment>
    <comment ref="D26" authorId="0" shapeId="0" xr:uid="{F429E234-62A6-4ED9-971B-8197819CFBFD}">
      <text>
        <r>
          <rPr>
            <b/>
            <sz val="9"/>
            <color indexed="81"/>
            <rFont val="Tahoma"/>
            <charset val="1"/>
          </rPr>
          <t>Sergio Chidichimo:
Feb-26 Property Non-Renewal: Armstrong Randy (W07-1-0724).</t>
        </r>
      </text>
    </comment>
    <comment ref="E26" authorId="0" shapeId="0" xr:uid="{5120DB64-36E4-4759-AE53-06D65A60AAF6}">
      <text>
        <r>
          <rPr>
            <b/>
            <sz val="9"/>
            <color indexed="81"/>
            <rFont val="Tahoma"/>
            <charset val="1"/>
          </rPr>
          <t>Sergio Chidichimo:
Mar-26 Property Non-Renewal: Brown Tamiko (W11-1-1106).</t>
        </r>
      </text>
    </comment>
    <comment ref="F26" authorId="0" shapeId="0" xr:uid="{F5606058-A7D9-450B-94FC-D736316DA380}">
      <text>
        <r>
          <rPr>
            <b/>
            <sz val="9"/>
            <color indexed="81"/>
            <rFont val="Tahoma"/>
            <charset val="1"/>
          </rPr>
          <t>Apr-26 Property Non-Renewal: 0 per Entrata Move Out Reasons report (partial-month actual).</t>
        </r>
      </text>
    </comment>
    <comment ref="C27" authorId="0" shapeId="0" xr:uid="{2B7B4FAA-37B4-46C8-9697-DF085322DF04}">
      <text>
        <r>
          <rPr>
            <b/>
            <sz val="9"/>
            <color indexed="81"/>
            <rFont val="Tahoma"/>
            <charset val="1"/>
          </rPr>
          <t>Sergio Chidichimo:
ResMan-verified: Early termination move-outs</t>
        </r>
      </text>
    </comment>
    <comment ref="D27" authorId="0" shapeId="0" xr:uid="{5C9070C5-8269-4DA7-935C-C959505B823E}">
      <text>
        <r>
          <rPr>
            <b/>
            <sz val="9"/>
            <color indexed="81"/>
            <rFont val="Tahoma"/>
            <charset val="1"/>
          </rPr>
          <t>Sergio Chidichimo:
Feb-26 Early Terminations (6): Shrestha Bijay N19-1078 (Rental Increase), Dominguez Amanda N19-1080 (Moving out of state), Nunez Raul S31-119 (Job Transfer), Ofili Bukunmi W01-1-0101 (Need Larger), Rox Artie W02-1-0212 (Death), Sunday Akinola W10-1-1001 (Job Transfer).</t>
        </r>
      </text>
    </comment>
    <comment ref="F27" authorId="0" shapeId="0" xr:uid="{3D7CAB2F-55A3-4DBA-9B85-677EAF0D2821}">
      <text>
        <r>
          <rPr>
            <b/>
            <sz val="9"/>
            <color indexed="81"/>
            <rFont val="Tahoma"/>
            <charset val="1"/>
          </rPr>
          <t>Sergio Chidichimo:
Apr-26 Early Move Outs: 0 per Entrata Move Out Reasons report (partial-month actual). Was formula =ROUND(F25*$C$8,0).</t>
        </r>
      </text>
    </comment>
    <comment ref="C28" authorId="0" shapeId="0" xr:uid="{922DF809-7584-4E0F-9D4B-F0AA089B7CBA}">
      <text>
        <r>
          <rPr>
            <b/>
            <sz val="9"/>
            <color indexed="81"/>
            <rFont val="Tahoma"/>
            <charset val="1"/>
          </rPr>
          <t>Sergio Chidichimo:
ResMan-verified: NTV / resident lease-end move-outs</t>
        </r>
      </text>
    </comment>
    <comment ref="F28" authorId="0" shapeId="0" xr:uid="{F6F71C06-504E-4751-9C60-C7944BE78DD7}">
      <text>
        <r>
          <rPr>
            <b/>
            <sz val="9"/>
            <color indexed="81"/>
            <rFont val="Tahoma"/>
            <charset val="1"/>
          </rPr>
          <t>Apr-26 NTV MO: 7 Entrata actuals through ~4/18 + pro-rated remaining ~1.83 weeks at model rate (F25 * renewal loss * NTV%). Entrata units: N06-2028, W02-1-0207, W05-1-0524, W07-1-0701, W13-1-1319, W24-2-1038, W25-2-1029.</t>
        </r>
      </text>
    </comment>
    <comment ref="C29" authorId="0" shapeId="0" xr:uid="{B942EA93-8FCE-4F7A-808B-548F7E4E13F3}">
      <text>
        <r>
          <rPr>
            <b/>
            <sz val="9"/>
            <color indexed="81"/>
            <rFont val="Tahoma"/>
            <charset val="1"/>
          </rPr>
          <t>Sergio Chidichimo:
ResMan Past-Skip: skips / skipped without notice / failure to pay (non-formal involuntary move-outs)</t>
        </r>
      </text>
    </comment>
    <comment ref="F29" authorId="0" shapeId="0" xr:uid="{15BC03B1-7760-4599-9DA6-DC07B62E8E07}">
      <text>
        <r>
          <rPr>
            <b/>
            <sz val="9"/>
            <color indexed="81"/>
            <rFont val="Tahoma"/>
            <charset val="1"/>
          </rPr>
          <t>Apr-26 Skips/FTP: 11 Entrata actuals through ~4/18 + pro-rated remaining ~1.83 weeks at skip rate (C13).</t>
        </r>
      </text>
    </comment>
    <comment ref="G29" authorId="0" shapeId="0" xr:uid="{C51C8843-D1CF-4764-BDE9-7552FB71E5A7}">
      <text>
        <r>
          <rPr>
            <b/>
            <sz val="9"/>
            <color indexed="81"/>
            <rFont val="Tahoma"/>
            <charset val="1"/>
          </rPr>
          <t>Sergio Chidichimo:
May includes one-time aged delinquent flush of 34 (C11) + baseline skip rate on prior month occupied</t>
        </r>
      </text>
    </comment>
    <comment ref="F30" authorId="0" shapeId="0" xr:uid="{3BEB4A24-4E02-404E-813F-43D40FA3E597}">
      <text>
        <r>
          <rPr>
            <b/>
            <sz val="9"/>
            <color indexed="81"/>
            <rFont val="Tahoma"/>
            <charset val="1"/>
          </rPr>
          <t>Apr-26 Evictions Filed: 0 — no completed formal evictions in Entrata for April. Could shift in final 1.83 weeks; override if filings confirmed.</t>
        </r>
      </text>
    </comment>
    <comment ref="C31" authorId="0" shapeId="0" xr:uid="{12E86047-77E5-43AA-8861-07CE330D4A0D}">
      <text>
        <r>
          <rPr>
            <b/>
            <sz val="9"/>
            <color indexed="81"/>
            <rFont val="Tahoma"/>
            <charset val="1"/>
          </rPr>
          <t>Sergio Chidichimo:
ResMan Past-Eviction: formal evictions that completed writ / court removal</t>
        </r>
      </text>
    </comment>
    <comment ref="D31" authorId="0" shapeId="0" xr:uid="{28A2A374-3F96-4041-9DCD-3CB50F0B6D55}">
      <text>
        <r>
          <rPr>
            <b/>
            <sz val="9"/>
            <color indexed="81"/>
            <rFont val="Tahoma"/>
            <charset val="1"/>
          </rPr>
          <t>Sergio Chidichimo:
Feb-26 Formal Eviction (1): Candler Brittany (W18-2-2070). ResMan Lease Status = Past-Eviction. Note: Move_Out_Reasons Reason field shows 'Failure To Pay' and RSI has no filing for this unit — eviction tracked through ResMan workflow outside RSI service.</t>
        </r>
      </text>
    </comment>
    <comment ref="F31" authorId="0" shapeId="0" xr:uid="{62C7C748-CD05-450A-9D27-432FF9CC0BB7}">
      <text>
        <r>
          <rPr>
            <b/>
            <sz val="9"/>
            <color indexed="81"/>
            <rFont val="Tahoma"/>
            <charset val="1"/>
          </rPr>
          <t>Apr-26 Formal Evictions Move Outs: 0 Entrata actuals. Assuming no new formal completions in remaining ~1.83 weeks.</t>
        </r>
      </text>
    </comment>
    <comment ref="G31" authorId="0" shapeId="0" xr:uid="{1F04AC2F-8A66-44F8-BFFF-C11A8DDE7ECD}">
      <text>
        <r>
          <rPr>
            <b/>
            <sz val="9"/>
            <color indexed="81"/>
            <rFont val="Tahoma"/>
            <charset val="1"/>
          </rPr>
          <t>Formal evictions = prior month Evictions Filed × conversion rate. Aged flush now modeled in Skips/FTP row instead.</t>
        </r>
      </text>
    </comment>
    <comment ref="C34" authorId="0" shapeId="0" xr:uid="{73157ABB-CEA4-44A7-97C3-8FFFF25D350A}">
      <text>
        <r>
          <rPr>
            <b/>
            <sz val="9"/>
            <color indexed="81"/>
            <rFont val="Tahoma"/>
            <charset val="1"/>
          </rPr>
          <t>Sergio Chidichimo:
Net Move In/Out = Net Leases − Total Move Outs</t>
        </r>
      </text>
    </comment>
    <comment ref="D34" authorId="0" shapeId="0" xr:uid="{D3EC005E-35AA-4BC0-8423-078A80D827FE}">
      <text>
        <r>
          <rPr>
            <b/>
            <sz val="9"/>
            <color indexed="81"/>
            <rFont val="Tahoma"/>
            <charset val="1"/>
          </rPr>
          <t>Sergio Chidichimo:
Net Move In/Out = Net Leases − Total Move Outs</t>
        </r>
      </text>
    </comment>
    <comment ref="E34" authorId="0" shapeId="0" xr:uid="{E780F174-CCF8-490B-B074-E0D8A3F3FD0E}">
      <text>
        <r>
          <rPr>
            <b/>
            <sz val="9"/>
            <color indexed="81"/>
            <rFont val="Tahoma"/>
            <charset val="1"/>
          </rPr>
          <t>Sergio Chidichimo:
Net Move In/Out = Net Leases − Total Move Outs</t>
        </r>
      </text>
    </comment>
    <comment ref="F34" authorId="0" shapeId="0" xr:uid="{41B13547-1953-4102-9E5F-8215675A7F4A}">
      <text>
        <r>
          <rPr>
            <b/>
            <sz val="9"/>
            <color indexed="81"/>
            <rFont val="Tahoma"/>
            <charset val="1"/>
          </rPr>
          <t>Sergio Chidichimo:
Net Move In/Out = Net Leases − Total Move Outs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<sst xmlns="http://schemas.openxmlformats.org/spreadsheetml/2006/main" count="709" uniqueCount="352">
  <si>
    <t>Weeks per month</t>
  </si>
  <si>
    <t>Renewal rate</t>
  </si>
  <si>
    <t>Turnover rate (1 - renewal)</t>
  </si>
  <si>
    <t>Early move-out rate</t>
  </si>
  <si>
    <t>Baseline evictions filed / month</t>
  </si>
  <si>
    <t>Aged delinquent flush (all in May)</t>
  </si>
  <si>
    <t>Total units</t>
  </si>
  <si>
    <t>MODEL</t>
  </si>
  <si>
    <t>Occupied Units</t>
  </si>
  <si>
    <t>Property Summary</t>
  </si>
  <si>
    <t>Total Units</t>
  </si>
  <si>
    <t>Occupancy</t>
  </si>
  <si>
    <t>Leasing</t>
  </si>
  <si>
    <t xml:space="preserve">  NL / week (input)</t>
  </si>
  <si>
    <t xml:space="preserve">  Net Leases</t>
  </si>
  <si>
    <t>Exposure</t>
  </si>
  <si>
    <t xml:space="preserve">  Lease Expirations (input)</t>
  </si>
  <si>
    <t xml:space="preserve">  Early Move Outs</t>
  </si>
  <si>
    <t xml:space="preserve">  NTV Move Outs</t>
  </si>
  <si>
    <t xml:space="preserve">  Evictions Filed</t>
  </si>
  <si>
    <t xml:space="preserve">  Evictions Move Outs</t>
  </si>
  <si>
    <t xml:space="preserve">  Total Move Outs</t>
  </si>
  <si>
    <t>Monthly skip rate</t>
  </si>
  <si>
    <t xml:space="preserve">  Property Non-Renewal</t>
  </si>
  <si>
    <t xml:space="preserve">  Skips / FTP</t>
  </si>
  <si>
    <t>ASSUMPTIONS  (edit blue-fill cells)</t>
  </si>
  <si>
    <t xml:space="preserve">AVA Stabilization Rollforward </t>
  </si>
  <si>
    <t>Voluntary turnover share</t>
  </si>
  <si>
    <t>Eviction success rate</t>
  </si>
  <si>
    <t>Avg weeks per month (52 ÷ 12). Used to convert NL/week to monthly Net Leases.</t>
  </si>
  <si>
    <t>% of expiring leases that renew. Lower = more turnover.</t>
  </si>
  <si>
    <t>Non-renewers as % of expirations (= 1 − renewal rate).</t>
  </si>
  <si>
    <t>Of non-renewers, share who give notice and move out at lease end (vs. skip, evict, early term).</t>
  </si>
  <si>
    <t>Mid-lease break rate. % of expirations that terminate early (job transfer, death, unit issue, etc.).</t>
  </si>
  <si>
    <t>New formal eviction filings opened each month (May−Dec).</t>
  </si>
  <si>
    <t>% of filings that complete to writ / move-out. Remainder cure, pay, or extend.</t>
  </si>
  <si>
    <t>One-time May cleanup of aged delinquent accounts. Hits Skips/FTP row only.</t>
  </si>
  <si>
    <t>Property unit count (denominator for occupancy).</t>
  </si>
  <si>
    <t>Monthly skips / FTP as % of occupied units. Baseline run-rate excluding the May aged flush.</t>
  </si>
  <si>
    <t>Net Leasing Activity</t>
  </si>
  <si>
    <t>AVA Rollforward Model — Source Data</t>
  </si>
  <si>
    <t>Linked from AVA_Weekly_Metrics_2026_Report.v2.xlsx — all values mirrored as of 2026-04-20.</t>
  </si>
  <si>
    <t>1. MONTHLY ROLL-UP — Jan–Apr Actuals Used in Rollforward Model</t>
  </si>
  <si>
    <t>Line Item</t>
  </si>
  <si>
    <t>Unit</t>
  </si>
  <si>
    <t>Source</t>
  </si>
  <si>
    <t xml:space="preserve">  Occupied Units (EOM)</t>
  </si>
  <si>
    <t>units</t>
  </si>
  <si>
    <t>Dashboard_1 EOM snapshot (ResMan)</t>
  </si>
  <si>
    <t xml:space="preserve">  Total Units</t>
  </si>
  <si>
    <t>Assumption C12 (property constant)</t>
  </si>
  <si>
    <t xml:space="preserve">  Occupancy %</t>
  </si>
  <si>
    <t>%</t>
  </si>
  <si>
    <t>Calculated (Occupied ÷ Total)</t>
  </si>
  <si>
    <t>leases/wk</t>
  </si>
  <si>
    <t>Data_2 row "Net Leases" (weekly ÷ weeks)</t>
  </si>
  <si>
    <t xml:space="preserve">  Net Leases (monthly)</t>
  </si>
  <si>
    <t>leases</t>
  </si>
  <si>
    <t>Data_2 row "Net Leases" summed by month</t>
  </si>
  <si>
    <t xml:space="preserve">  Lease Expirations</t>
  </si>
  <si>
    <t>Data_2 RENEWALS section — Expirations by month</t>
  </si>
  <si>
    <t>Move-Outs (by category)</t>
  </si>
  <si>
    <t>Move_Out_Reasons: Reason = "Non-Renewal (by Property)"</t>
  </si>
  <si>
    <t>Move_Out_Reasons: Early Term = Yes &amp; not skip</t>
  </si>
  <si>
    <t>Move_Out_Reasons: regular lease-end (non-skip, non-early)</t>
  </si>
  <si>
    <t>Move_Out_Reasons: Skipped*/Failure To Pay (exc. W18-2-2070)</t>
  </si>
  <si>
    <t>filings</t>
  </si>
  <si>
    <t>Evictions_RSI: monthly filings count</t>
  </si>
  <si>
    <t xml:space="preserve">  Formal Evictions MO</t>
  </si>
  <si>
    <t>Move_Out_Reasons: formal eviction (W18-2-2070 override)</t>
  </si>
  <si>
    <t>Sum of categories (Filings excluded — not a move-out)</t>
  </si>
  <si>
    <t>2. VALIDATION — Rollforward vs. Weekly Data_2</t>
  </si>
  <si>
    <t>Check</t>
  </si>
  <si>
    <t>Status</t>
  </si>
  <si>
    <t>Note</t>
  </si>
  <si>
    <t xml:space="preserve">  Occupied Units — Data_2 week-end</t>
  </si>
  <si>
    <t>► see below</t>
  </si>
  <si>
    <t>Data_2 last week of each calendar month (2026-01-26/02-23/03-30/04-20)</t>
  </si>
  <si>
    <t xml:space="preserve">  Δ vs Rollforward (Data_2 − RM)</t>
  </si>
  <si>
    <t>Reporting-date artifact — Dashboard_1 is month-end ResMan, Data_2 is Friday week-end. Gap is expected.</t>
  </si>
  <si>
    <t xml:space="preserve">  Move-Outs — Data_2 weekly sum</t>
  </si>
  <si>
    <t>Data_2 row "Move Outs" — counts physical unit turnovers, different definition than ResMan categories</t>
  </si>
  <si>
    <t xml:space="preserve">  Δ vs Rollforward Total MO</t>
  </si>
  <si>
    <t>Expected divergence — different counting methodology (physical vs classified)</t>
  </si>
  <si>
    <t>KPI</t>
  </si>
  <si>
    <t>3. DATA_2 — Monthly Aggregation (Weekly Performance KPIs rolled up)</t>
  </si>
  <si>
    <t>Apr-26 (partial)</t>
  </si>
  <si>
    <t>Method</t>
  </si>
  <si>
    <t>Notes</t>
  </si>
  <si>
    <t>Occupancy (stocks: EOM)</t>
  </si>
  <si>
    <t>EOM</t>
  </si>
  <si>
    <t>Last week of month (Friday snapshot)</t>
  </si>
  <si>
    <t xml:space="preserve">  Occupied Units</t>
  </si>
  <si>
    <t>Last week of month</t>
  </si>
  <si>
    <t xml:space="preserve">  Exposure %</t>
  </si>
  <si>
    <t>Vacant + NTV + evicted as % of total</t>
  </si>
  <si>
    <t>Leasing Pipeline (flows: monthly sum)</t>
  </si>
  <si>
    <t xml:space="preserve">  New Prospects</t>
  </si>
  <si>
    <t>SUM</t>
  </si>
  <si>
    <t>Traffic</t>
  </si>
  <si>
    <t xml:space="preserve">  Tours</t>
  </si>
  <si>
    <t xml:space="preserve">  Submitted Apps</t>
  </si>
  <si>
    <t xml:space="preserve">  Approved Apps</t>
  </si>
  <si>
    <t xml:space="preserve">  New Leases</t>
  </si>
  <si>
    <t>New − cancelled. Feeds Rollforward Net Leases row 22</t>
  </si>
  <si>
    <t>Move Activity (flows: monthly sum)</t>
  </si>
  <si>
    <t xml:space="preserve">  Move Ins</t>
  </si>
  <si>
    <t>Physical move-ins (unit turn completions)</t>
  </si>
  <si>
    <t xml:space="preserve">  Move Outs</t>
  </si>
  <si>
    <t>Physical move-outs. Different count than ResMan-classified totals</t>
  </si>
  <si>
    <t xml:space="preserve">  Net Absorption</t>
  </si>
  <si>
    <t>Move Ins − Move Outs (physical)</t>
  </si>
  <si>
    <t>4. RENEWALS TRACKER — Cohort Progression (Data_2 Renewals blocks, latest snapshot as of Wk18 2026-04-20)</t>
  </si>
  <si>
    <t>Expiration Cohort</t>
  </si>
  <si>
    <t>Expirations</t>
  </si>
  <si>
    <t>Early MO</t>
  </si>
  <si>
    <t>NTV</t>
  </si>
  <si>
    <t>Renewal %</t>
  </si>
  <si>
    <t>Data Source</t>
  </si>
  <si>
    <t xml:space="preserve">  March 2026 expirations</t>
  </si>
  <si>
    <t>Data_2</t>
  </si>
  <si>
    <t>Cohort closed — final renewal % 65.5%</t>
  </si>
  <si>
    <t xml:space="preserve">  April 2026 expirations</t>
  </si>
  <si>
    <t>In progress — cohort closes 4/30</t>
  </si>
  <si>
    <t xml:space="preserve">  May 2026 expirations</t>
  </si>
  <si>
    <t>In progress — notice-period underway</t>
  </si>
  <si>
    <t xml:space="preserve">  June 2026 expirations</t>
  </si>
  <si>
    <t>Early — notices just starting</t>
  </si>
  <si>
    <t>5. MOVE_OUT_REASONS — Entrata per-unit detail (84 move-outs, Jan 3 – Apr 18, 2026)</t>
  </si>
  <si>
    <t>Move-Out Date</t>
  </si>
  <si>
    <t>Bldg-Unit</t>
  </si>
  <si>
    <t>Resident</t>
  </si>
  <si>
    <t>Reason</t>
  </si>
  <si>
    <t>Early Term</t>
  </si>
  <si>
    <t>Category</t>
  </si>
  <si>
    <t>Month</t>
  </si>
  <si>
    <t>S27-421</t>
  </si>
  <si>
    <t>Sunday, Prince</t>
  </si>
  <si>
    <t>Non-Renewal (by Property)</t>
  </si>
  <si>
    <t>No</t>
  </si>
  <si>
    <t>Property Non-Renewal</t>
  </si>
  <si>
    <t>2026-01</t>
  </si>
  <si>
    <t>W01-1-0111</t>
  </si>
  <si>
    <t>Mendieta, Isaac</t>
  </si>
  <si>
    <t>Moving out of state</t>
  </si>
  <si>
    <t>NTV MO</t>
  </si>
  <si>
    <t>N06-1031</t>
  </si>
  <si>
    <t>Fairley, Azreal</t>
  </si>
  <si>
    <t>Skipped Without Notice</t>
  </si>
  <si>
    <t>Skips/FTP</t>
  </si>
  <si>
    <t>N14-1063</t>
  </si>
  <si>
    <t>Catalan, Yacqueline</t>
  </si>
  <si>
    <t>S39-155</t>
  </si>
  <si>
    <t>Nwosu, Michael</t>
  </si>
  <si>
    <t>N19-1080</t>
  </si>
  <si>
    <t>Dominguez, Amanda</t>
  </si>
  <si>
    <t>Yes</t>
  </si>
  <si>
    <t>2026-02</t>
  </si>
  <si>
    <t>N20-1089</t>
  </si>
  <si>
    <t>Ihenyen, Jude</t>
  </si>
  <si>
    <t>Job Transfer / Lost Job</t>
  </si>
  <si>
    <t>S31-119</t>
  </si>
  <si>
    <t>Nunez, Raul</t>
  </si>
  <si>
    <t>W02-1-0212</t>
  </si>
  <si>
    <t>Rox, Artie</t>
  </si>
  <si>
    <t>Death</t>
  </si>
  <si>
    <t>W04-1-0410</t>
  </si>
  <si>
    <t>Beltran, Rosio</t>
  </si>
  <si>
    <t>S32-426</t>
  </si>
  <si>
    <t>Nene, Aki</t>
  </si>
  <si>
    <t>Too Far From Work</t>
  </si>
  <si>
    <t>W15-2-2089</t>
  </si>
  <si>
    <t>Palomino, Keiry</t>
  </si>
  <si>
    <t>W04-1-0401</t>
  </si>
  <si>
    <t>Renee, Breana</t>
  </si>
  <si>
    <t>W07-1-0724</t>
  </si>
  <si>
    <t>Armstrong, Randy</t>
  </si>
  <si>
    <t>S35-245</t>
  </si>
  <si>
    <t>Perez, Jocelyn</t>
  </si>
  <si>
    <t>N19-1078</t>
  </si>
  <si>
    <t>Shrestha, Bijay</t>
  </si>
  <si>
    <t>Rental Increase</t>
  </si>
  <si>
    <t>W18-2-2070</t>
  </si>
  <si>
    <t>Candler, Brittany</t>
  </si>
  <si>
    <t>Failure To Pay</t>
  </si>
  <si>
    <t>Formal Eviction</t>
  </si>
  <si>
    <t>N06-2029</t>
  </si>
  <si>
    <t>Rodriguez, Rocio</t>
  </si>
  <si>
    <t>N13-1055</t>
  </si>
  <si>
    <t>Raudales, Joser</t>
  </si>
  <si>
    <t>W05-1-0510</t>
  </si>
  <si>
    <t>Adeoye, Emmanuel</t>
  </si>
  <si>
    <t>Maintenance Issue in Unit</t>
  </si>
  <si>
    <t>W01-1-0101</t>
  </si>
  <si>
    <t>Ofili, Bukunmi</t>
  </si>
  <si>
    <t>Need Larger Apartment</t>
  </si>
  <si>
    <t>W07-1-0717</t>
  </si>
  <si>
    <t>Davila, Lisa</t>
  </si>
  <si>
    <t>W21-2-2058</t>
  </si>
  <si>
    <t>Elhakim, Ahmed</t>
  </si>
  <si>
    <t>Financial Difficulties</t>
  </si>
  <si>
    <t>N14-1060</t>
  </si>
  <si>
    <t>Odebiyi, Christiana</t>
  </si>
  <si>
    <t>S28-104</t>
  </si>
  <si>
    <t>Williams, Teresa</t>
  </si>
  <si>
    <t>W12-1-1206</t>
  </si>
  <si>
    <t>Enrique, Danny</t>
  </si>
  <si>
    <t>W15-2-3089</t>
  </si>
  <si>
    <t>Jose, Yender</t>
  </si>
  <si>
    <t>W18-2-1073</t>
  </si>
  <si>
    <t>Diaz, Noemi</t>
  </si>
  <si>
    <t>W17-2-1075</t>
  </si>
  <si>
    <t>Magarin, Sergio</t>
  </si>
  <si>
    <t>N12-1049</t>
  </si>
  <si>
    <t>Straw, Zantevia</t>
  </si>
  <si>
    <t>N25-1103</t>
  </si>
  <si>
    <t>Ugiomoh, Jude</t>
  </si>
  <si>
    <t>S34-141</t>
  </si>
  <si>
    <t>Aguilera, Angelica</t>
  </si>
  <si>
    <t>W09-1-0916</t>
  </si>
  <si>
    <t>Yazmin, Karen</t>
  </si>
  <si>
    <t>W10-1-1001</t>
  </si>
  <si>
    <t>Sunday, Akinola</t>
  </si>
  <si>
    <t>W10-1-1009</t>
  </si>
  <si>
    <t>Hercules, Jonathan</t>
  </si>
  <si>
    <t>W13-1-1305</t>
  </si>
  <si>
    <t>Edu, Almudena</t>
  </si>
  <si>
    <t>Skipped During Eviction</t>
  </si>
  <si>
    <t>W24-2-2036</t>
  </si>
  <si>
    <t>irabor, Sylvester</t>
  </si>
  <si>
    <t>W28-2-2018</t>
  </si>
  <si>
    <t>Giles, Avelaura</t>
  </si>
  <si>
    <t>W06-1-0609</t>
  </si>
  <si>
    <t>Mavungo, Ramon</t>
  </si>
  <si>
    <t>2026-03</t>
  </si>
  <si>
    <t>W05-1-0519</t>
  </si>
  <si>
    <t>Yeon, Hyo</t>
  </si>
  <si>
    <t>W10-1-1013</t>
  </si>
  <si>
    <t>Cetz, Manuel</t>
  </si>
  <si>
    <t>N14-3061</t>
  </si>
  <si>
    <t>Wiggins, Amariah</t>
  </si>
  <si>
    <t>N12-3049</t>
  </si>
  <si>
    <t>Villalba, Juan</t>
  </si>
  <si>
    <t>N06-1028</t>
  </si>
  <si>
    <t>Carrasco, Anay</t>
  </si>
  <si>
    <t>W16-2-1081</t>
  </si>
  <si>
    <t>Clark, Deborah</t>
  </si>
  <si>
    <t>W23-2-2047</t>
  </si>
  <si>
    <t>Barr, Ebony</t>
  </si>
  <si>
    <t>Transfer On-Site</t>
  </si>
  <si>
    <t>W14-1-1403</t>
  </si>
  <si>
    <t>Dennis, Christy</t>
  </si>
  <si>
    <t>S27-424</t>
  </si>
  <si>
    <t>Ogundipe, Aramide</t>
  </si>
  <si>
    <t>W13-1-1311</t>
  </si>
  <si>
    <t>Enriquez, Victor</t>
  </si>
  <si>
    <t>N07-2052</t>
  </si>
  <si>
    <t>Alejandro, Victor</t>
  </si>
  <si>
    <t>W07-1-0719</t>
  </si>
  <si>
    <t>Rangel, Juan</t>
  </si>
  <si>
    <t>W11-1-1107</t>
  </si>
  <si>
    <t>Cruz, Josue</t>
  </si>
  <si>
    <t>W11-1-1108</t>
  </si>
  <si>
    <t>Querevalu, Oscar</t>
  </si>
  <si>
    <t>W11-1-1112</t>
  </si>
  <si>
    <t>Chavez, Jessica</t>
  </si>
  <si>
    <t>W05-1-0503</t>
  </si>
  <si>
    <t>Tinoco, Jonathan</t>
  </si>
  <si>
    <t>Moving Out of Area</t>
  </si>
  <si>
    <t>W11-1-1106</t>
  </si>
  <si>
    <t>Brown, Tamiko</t>
  </si>
  <si>
    <t>N07-2050</t>
  </si>
  <si>
    <t>Fonwo, Nicholas</t>
  </si>
  <si>
    <t>W07-1-0720</t>
  </si>
  <si>
    <t>Babatope, Fakuade</t>
  </si>
  <si>
    <t>N15-3066</t>
  </si>
  <si>
    <t>Khurramy, Khatira</t>
  </si>
  <si>
    <t>S30-224</t>
  </si>
  <si>
    <t>Asuncion, Eustacio</t>
  </si>
  <si>
    <t>W15-2-2087</t>
  </si>
  <si>
    <t>Anchondo, Damian</t>
  </si>
  <si>
    <t>N03-1014</t>
  </si>
  <si>
    <t>Yousufi, Farzana</t>
  </si>
  <si>
    <t>S38-351</t>
  </si>
  <si>
    <t>Lee, Nikiya</t>
  </si>
  <si>
    <t>Relationship / Marital Change</t>
  </si>
  <si>
    <t>W04-1-0412</t>
  </si>
  <si>
    <t>Rojas, Mari</t>
  </si>
  <si>
    <t>W14-1-1402</t>
  </si>
  <si>
    <t>Oladejo, Olufemi</t>
  </si>
  <si>
    <t>W16-2-1083</t>
  </si>
  <si>
    <t>Newman, Alexandria</t>
  </si>
  <si>
    <t>Rented House</t>
  </si>
  <si>
    <t>W05-1-0524</t>
  </si>
  <si>
    <t>Ramones, Yeferson</t>
  </si>
  <si>
    <t>2026-04</t>
  </si>
  <si>
    <t>W07-1-0701</t>
  </si>
  <si>
    <t>Mendoza, Karina</t>
  </si>
  <si>
    <t>N03-2021</t>
  </si>
  <si>
    <t>Brown, Nicole</t>
  </si>
  <si>
    <t>N10-3040</t>
  </si>
  <si>
    <t>Antony, Tyler</t>
  </si>
  <si>
    <t>S31-118</t>
  </si>
  <si>
    <t>Contreras, Rocio</t>
  </si>
  <si>
    <t>S33-235</t>
  </si>
  <si>
    <t>Williams, Latesha</t>
  </si>
  <si>
    <t>S42-169</t>
  </si>
  <si>
    <t>Smiley, Brianca</t>
  </si>
  <si>
    <t>W13-1-1319</t>
  </si>
  <si>
    <t>Rodriguez, Daniel</t>
  </si>
  <si>
    <t>W07-1-0715</t>
  </si>
  <si>
    <t>Miller, Faye</t>
  </si>
  <si>
    <t>N15-3069</t>
  </si>
  <si>
    <t>Brown, Ronald</t>
  </si>
  <si>
    <t>S38-352</t>
  </si>
  <si>
    <t>Smith, Katera</t>
  </si>
  <si>
    <t>W05-1-0521</t>
  </si>
  <si>
    <t>Hugo Gonzalez, Jose</t>
  </si>
  <si>
    <t>W12-1-1209</t>
  </si>
  <si>
    <t>Moya, Cherilyn</t>
  </si>
  <si>
    <t>W14-1-1411</t>
  </si>
  <si>
    <t>Pinto, Arlin</t>
  </si>
  <si>
    <t>W24-2-1038</t>
  </si>
  <si>
    <t>Rodriguez, Mariela</t>
  </si>
  <si>
    <t>N06-2028</t>
  </si>
  <si>
    <t>Pacheco, Daylin</t>
  </si>
  <si>
    <t>W25-2-1029</t>
  </si>
  <si>
    <t>Lennan, Trevion</t>
  </si>
  <si>
    <t>W02-1-0207</t>
  </si>
  <si>
    <t>Renteria, Jorge</t>
  </si>
  <si>
    <t>6. MOVE-OUT CATEGORY PIVOT — auto-computed from Section 5 detail above</t>
  </si>
  <si>
    <t>Total</t>
  </si>
  <si>
    <t xml:space="preserve">  Early MO</t>
  </si>
  <si>
    <t xml:space="preserve">  NTV MO</t>
  </si>
  <si>
    <t xml:space="preserve">  Skips/FTP</t>
  </si>
  <si>
    <t xml:space="preserve">  Formal Eviction</t>
  </si>
  <si>
    <t xml:space="preserve">  Total</t>
  </si>
  <si>
    <t>7. EVICTIONS_RSI (Possession Partner filings)</t>
  </si>
  <si>
    <t>Source: AVA_Weekly_Metrics_2026_Report.v2.xlsx — sheet "Evictions_RSI". Filings tracked via Investors' Property Services (RSI) Possession Partner service. Columns: Issue Date, Tenant Name, Address, County (Dallas), Filed Amount, Judgment Amount, Court Date, Index Number, Status.</t>
  </si>
  <si>
    <t>Monthly filings feed Rollforward Evictions Filed (row 30). Status values: Cancelled / Awaiting Court / Judgment Issued / Writ Issued / Completed.</t>
  </si>
  <si>
    <t>NOTE: W18-2-2070 Candler Brittany is classified as Formal Eviction in Rollforward model despite not appearing in RSI — her eviction was tracked through ResMan Past-Eviction workflow outside the RSI service.</t>
  </si>
  <si>
    <t>Jan-26</t>
  </si>
  <si>
    <t>Feb-26</t>
  </si>
  <si>
    <t>Mar-26</t>
  </si>
  <si>
    <t>Apr-26</t>
  </si>
  <si>
    <t>HOW TO USE — William / PBC</t>
  </si>
  <si>
    <t>Only edit BLUE cells. Everything else is a formula.</t>
  </si>
  <si>
    <t>• Assumptions (C4:C13) — global levers for May–Dec. Hover any cell for a description.</t>
  </si>
  <si>
    <t>• Monthly inputs — NL/week (row 21) and Lease Expirations (row 25). Edit by month.</t>
  </si>
  <si>
    <t>• Month-end refresh — overwrite Occupied Units (row 17), Move-outs (rows 26–31), Net Leases (row 22) with month-end ResMan/Entrata totals.</t>
  </si>
  <si>
    <t>• Source detail — see Sources tab for the Jan–Apr tie-back and per-unit move-out list.</t>
  </si>
  <si>
    <t>• Jan–Apr actuals (cols C–F) — Entrata-verified. Replace only with a newer close.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</si>
</sst>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#,##0;[Red]\(#,##0\)"/>
    <numFmt numFmtId="166" formatCode="0.0%"/>
    <numFmt numFmtId="167" formatCode="#,##0;[Red]\(#,##0\);\-"/>
    <numFmt numFmtId="168" formatCode="\+#,##0;\-#,##0;\-"/>
    <numFmt numFmtId="169" formatCode="#,##0;\-#,##0;\-"/>
    <numFmt numFmtId="170" formatCode="mm/dd/yyyy"/>
  </numFmts>
  <fonts count="2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indexed="81"/>
      <name val="Tahoma"/>
      <charset val="1"/>
    </font>
    <font>
      <b/>
      <sz val="18"/>
      <color rgb="FF1F3864"/>
      <name val="Calibri"/>
    </font>
    <font>
      <b/>
      <sz val="9"/>
      <color rgb="FFFFFFFF"/>
      <name val="Calibri"/>
    </font>
    <font>
      <b/>
      <sz val="9"/>
      <color rgb="FFFFFFFF"/>
      <name val="Calibri"/>
      <scheme val="minor"/>
    </font>
    <font>
      <b/>
      <sz val="10"/>
      <color rgb="FF1B365D"/>
      <name val="Calibri"/>
    </font>
    <font>
      <b/>
      <sz val="10"/>
      <color rgb="FF1B365D"/>
      <name val="Calibri"/>
      <scheme val="minor"/>
    </font>
    <font>
      <b/>
      <sz val="9"/>
      <color theme="1"/>
      <name val="Calibri"/>
      <scheme val="minor"/>
    </font>
    <font>
      <b/>
      <sz val="9"/>
      <color rgb="FF000000"/>
      <name val="Calibri"/>
      <scheme val="minor"/>
    </font>
    <font>
      <sz val="11"/>
      <color theme="1"/>
      <name val="Calibri"/>
      <scheme val="minor"/>
    </font>
    <font>
      <sz val="9"/>
      <color theme="1"/>
      <name val="Calibri"/>
      <scheme val="minor"/>
    </font>
    <font>
      <sz val="9"/>
      <color rgb="FF000000"/>
      <name val="Calibri"/>
      <scheme val="minor"/>
    </font>
    <font>
      <b/>
      <sz val="9"/>
      <color rgb="FF0000FF"/>
      <name val="Calibri"/>
      <scheme val="minor"/>
    </font>
    <font>
      <sz val="9"/>
      <color rgb="FF0000FF"/>
      <name val="Calibri"/>
      <scheme val="minor"/>
    </font>
    <font>
      <b/>
      <sz val="9"/>
      <color rgb="FF000000"/>
      <name val="Calibri"/>
    </font>
    <font>
      <i/>
      <sz val="8"/>
      <color rgb="FF808080"/>
      <name val="Calibri"/>
      <family val="2"/>
      <scheme val="minor"/>
    </font>
    <font>
      <b/>
      <sz val="18"/>
      <color rgb="FF1F3864"/>
      <name val="Calibri"/>
      <family val="2"/>
      <scheme val="minor"/>
    </font>
    <font>
      <sz val="10"/>
      <color rgb="FF808080"/>
      <name val="Calibri"/>
      <family val="2"/>
      <scheme val="minor"/>
    </font>
    <font>
      <i/>
      <sz val="10"/>
      <color rgb="FF80808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1B365D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rgb="FFB8336A"/>
      <name val="Calibri"/>
      <family val="2"/>
      <scheme val="minor"/>
    </font>
    <font>
      <b/>
      <sz val="10"/>
      <color rgb="FFFFFFFF"/>
      <name val="Calibri"/>
      <scheme val="minor"/>
    </font>
    <font>
      <b/>
      <i/>
      <sz val="10"/>
      <color rgb="FFFFFFFF"/>
      <name val="Calibri"/>
      <scheme val="minor"/>
    </font>
    <font>
      <b/>
      <sz val="12"/>
      <color rgb="FFFFFFFF"/>
      <name val="Calibri"/>
      <scheme val="minor"/>
    </font>
    <font>
      <sz val="11"/>
      <color rgb="FF1B365D"/>
      <name val="Calibri"/>
      <scheme val="minor"/>
    </font>
    <font>
      <b/>
      <sz val="11"/>
      <color rgb="FF0000FF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EAED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5F8FC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1F3864"/>
      </top>
      <bottom style="medium">
        <color rgb="FF2E5090"/>
      </bottom>
      <diagonal/>
    </border>
    <border>
      <left/>
      <right/>
      <top/>
      <bottom style="medium">
        <color rgb="FF2E5090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rgb="FFD9D9D9"/>
      </right>
      <top style="thin">
        <color rgb="FF1F38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3864"/>
      </top>
      <bottom style="thin">
        <color rgb="FFD9D9D9"/>
      </bottom>
      <diagonal/>
    </border>
    <border>
      <left style="thin">
        <color rgb="FFD9D9D9"/>
      </left>
      <right/>
      <top style="thin">
        <color rgb="FF1F3864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1F38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1F3864"/>
      </bottom>
      <diagonal/>
    </border>
    <border>
      <left style="thin">
        <color rgb="FFD9D9D9"/>
      </left>
      <right/>
      <top style="thin">
        <color rgb="FFD9D9D9"/>
      </top>
      <bottom style="thin">
        <color rgb="FF1F3864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5" fillId="7" borderId="4" xfId="0" applyFont="1" applyFill="1" applyBorder="1" applyAlignment="1">
      <alignment horizontal="left"/>
    </xf>
    <xf numFmtId="0" fontId="4" fillId="7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6" fillId="3" borderId="5" xfId="0" applyFont="1" applyFill="1" applyBorder="1"/>
    <xf numFmtId="0" fontId="7" fillId="3" borderId="6" xfId="0" applyFont="1" applyFill="1" applyBorder="1"/>
    <xf numFmtId="0" fontId="9" fillId="0" borderId="0" xfId="0" applyFont="1" applyAlignment="1">
      <alignment horizontal="left"/>
    </xf>
    <xf numFmtId="0" fontId="10" fillId="0" borderId="0" xfId="0" applyFont="1"/>
    <xf numFmtId="0" fontId="12" fillId="0" borderId="0" xfId="0" applyFont="1" applyAlignment="1">
      <alignment horizontal="left"/>
    </xf>
    <xf numFmtId="2" fontId="13" fillId="8" borderId="3" xfId="0" applyNumberFormat="1" applyFont="1" applyFill="1" applyBorder="1"/>
    <xf numFmtId="9" fontId="13" fillId="8" borderId="1" xfId="0" applyNumberFormat="1" applyFont="1" applyFill="1" applyBorder="1"/>
    <xf numFmtId="1" fontId="13" fillId="8" borderId="1" xfId="0" applyNumberFormat="1" applyFont="1" applyFill="1" applyBorder="1"/>
    <xf numFmtId="166" fontId="13" fillId="8" borderId="2" xfId="0" applyNumberFormat="1" applyFont="1" applyFill="1" applyBorder="1" applyAlignment="1">
      <alignment horizontal="right"/>
    </xf>
    <xf numFmtId="0" fontId="15" fillId="0" borderId="0" xfId="0" applyFont="1"/>
    <xf numFmtId="0" fontId="9" fillId="3" borderId="0" xfId="0" applyFont="1" applyFill="1" applyAlignment="1">
      <alignment horizontal="left"/>
    </xf>
    <xf numFmtId="17" fontId="5" fillId="7" borderId="7" xfId="0" applyNumberFormat="1" applyFont="1" applyFill="1" applyBorder="1" applyAlignment="1">
      <alignment horizontal="center"/>
    </xf>
    <xf numFmtId="3" fontId="11" fillId="4" borderId="8" xfId="0" applyNumberFormat="1" applyFont="1" applyFill="1" applyBorder="1" applyAlignment="1">
      <alignment horizontal="center"/>
    </xf>
    <xf numFmtId="3" fontId="11" fillId="4" borderId="9" xfId="0" applyNumberFormat="1" applyFont="1" applyFill="1" applyBorder="1" applyAlignment="1">
      <alignment horizontal="center"/>
    </xf>
    <xf numFmtId="3" fontId="11" fillId="4" borderId="10" xfId="0" applyNumberFormat="1" applyFont="1" applyFill="1" applyBorder="1" applyAlignment="1">
      <alignment horizontal="center"/>
    </xf>
    <xf numFmtId="3" fontId="13" fillId="5" borderId="11" xfId="0" applyNumberFormat="1" applyFont="1" applyFill="1" applyBorder="1" applyAlignment="1">
      <alignment horizontal="center"/>
    </xf>
    <xf numFmtId="3" fontId="13" fillId="5" borderId="12" xfId="0" applyNumberFormat="1" applyFont="1" applyFill="1" applyBorder="1" applyAlignment="1">
      <alignment horizontal="center"/>
    </xf>
    <xf numFmtId="3" fontId="8" fillId="6" borderId="12" xfId="0" applyNumberFormat="1" applyFont="1" applyFill="1" applyBorder="1" applyAlignment="1">
      <alignment horizontal="center"/>
    </xf>
    <xf numFmtId="3" fontId="8" fillId="6" borderId="13" xfId="0" applyNumberFormat="1" applyFont="1" applyFill="1" applyBorder="1" applyAlignment="1">
      <alignment horizontal="center"/>
    </xf>
    <xf numFmtId="166" fontId="8" fillId="5" borderId="11" xfId="0" applyNumberFormat="1" applyFont="1" applyFill="1" applyBorder="1" applyAlignment="1">
      <alignment horizontal="center"/>
    </xf>
    <xf numFmtId="166" fontId="8" fillId="5" borderId="12" xfId="0" applyNumberFormat="1" applyFont="1" applyFill="1" applyBorder="1" applyAlignment="1">
      <alignment horizontal="center"/>
    </xf>
    <xf numFmtId="166" fontId="8" fillId="5" borderId="13" xfId="0" applyNumberFormat="1" applyFont="1" applyFill="1" applyBorder="1" applyAlignment="1">
      <alignment horizontal="center"/>
    </xf>
    <xf numFmtId="0" fontId="7" fillId="3" borderId="11" xfId="0" applyFont="1" applyFill="1" applyBorder="1"/>
    <xf numFmtId="0" fontId="7" fillId="3" borderId="12" xfId="0" applyFont="1" applyFill="1" applyBorder="1"/>
    <xf numFmtId="0" fontId="7" fillId="3" borderId="13" xfId="0" applyFont="1" applyFill="1" applyBorder="1"/>
    <xf numFmtId="164" fontId="13" fillId="8" borderId="11" xfId="0" applyNumberFormat="1" applyFont="1" applyFill="1" applyBorder="1" applyAlignment="1">
      <alignment horizontal="center"/>
    </xf>
    <xf numFmtId="164" fontId="13" fillId="8" borderId="12" xfId="0" applyNumberFormat="1" applyFont="1" applyFill="1" applyBorder="1" applyAlignment="1">
      <alignment horizontal="center"/>
    </xf>
    <xf numFmtId="164" fontId="13" fillId="8" borderId="13" xfId="0" applyNumberFormat="1" applyFont="1" applyFill="1" applyBorder="1" applyAlignment="1">
      <alignment horizontal="center"/>
    </xf>
    <xf numFmtId="165" fontId="13" fillId="3" borderId="11" xfId="0" applyNumberFormat="1" applyFont="1" applyFill="1" applyBorder="1" applyAlignment="1">
      <alignment horizontal="center"/>
    </xf>
    <xf numFmtId="165" fontId="13" fillId="3" borderId="12" xfId="0" applyNumberFormat="1" applyFont="1" applyFill="1" applyBorder="1" applyAlignment="1">
      <alignment horizontal="center"/>
    </xf>
    <xf numFmtId="165" fontId="8" fillId="3" borderId="12" xfId="0" applyNumberFormat="1" applyFont="1" applyFill="1" applyBorder="1" applyAlignment="1">
      <alignment horizontal="center"/>
    </xf>
    <xf numFmtId="165" fontId="13" fillId="3" borderId="13" xfId="0" applyNumberFormat="1" applyFont="1" applyFill="1" applyBorder="1" applyAlignment="1">
      <alignment horizontal="center"/>
    </xf>
    <xf numFmtId="165" fontId="13" fillId="8" borderId="11" xfId="0" applyNumberFormat="1" applyFont="1" applyFill="1" applyBorder="1" applyAlignment="1">
      <alignment horizontal="center"/>
    </xf>
    <xf numFmtId="165" fontId="13" fillId="8" borderId="12" xfId="0" applyNumberFormat="1" applyFont="1" applyFill="1" applyBorder="1" applyAlignment="1">
      <alignment horizontal="center"/>
    </xf>
    <xf numFmtId="165" fontId="13" fillId="8" borderId="13" xfId="0" applyNumberFormat="1" applyFont="1" applyFill="1" applyBorder="1" applyAlignment="1">
      <alignment horizontal="center"/>
    </xf>
    <xf numFmtId="167" fontId="14" fillId="5" borderId="11" xfId="0" applyNumberFormat="1" applyFont="1" applyFill="1" applyBorder="1" applyAlignment="1">
      <alignment horizontal="center"/>
    </xf>
    <xf numFmtId="167" fontId="14" fillId="5" borderId="12" xfId="0" applyNumberFormat="1" applyFont="1" applyFill="1" applyBorder="1" applyAlignment="1">
      <alignment horizontal="center"/>
    </xf>
    <xf numFmtId="167" fontId="14" fillId="6" borderId="12" xfId="0" applyNumberFormat="1" applyFont="1" applyFill="1" applyBorder="1" applyAlignment="1">
      <alignment horizontal="center"/>
    </xf>
    <xf numFmtId="167" fontId="14" fillId="6" borderId="13" xfId="0" applyNumberFormat="1" applyFont="1" applyFill="1" applyBorder="1" applyAlignment="1">
      <alignment horizontal="center"/>
    </xf>
    <xf numFmtId="167" fontId="11" fillId="6" borderId="12" xfId="0" applyNumberFormat="1" applyFont="1" applyFill="1" applyBorder="1" applyAlignment="1">
      <alignment horizontal="center"/>
    </xf>
    <xf numFmtId="167" fontId="11" fillId="6" borderId="13" xfId="0" applyNumberFormat="1" applyFont="1" applyFill="1" applyBorder="1" applyAlignment="1">
      <alignment horizontal="center"/>
    </xf>
    <xf numFmtId="165" fontId="14" fillId="5" borderId="11" xfId="0" applyNumberFormat="1" applyFont="1" applyFill="1" applyBorder="1" applyAlignment="1">
      <alignment horizontal="center"/>
    </xf>
    <xf numFmtId="165" fontId="14" fillId="5" borderId="12" xfId="0" applyNumberFormat="1" applyFont="1" applyFill="1" applyBorder="1" applyAlignment="1">
      <alignment horizontal="center"/>
    </xf>
    <xf numFmtId="165" fontId="11" fillId="6" borderId="12" xfId="0" applyNumberFormat="1" applyFont="1" applyFill="1" applyBorder="1" applyAlignment="1">
      <alignment horizontal="center"/>
    </xf>
    <xf numFmtId="165" fontId="11" fillId="6" borderId="13" xfId="0" applyNumberFormat="1" applyFont="1" applyFill="1" applyBorder="1" applyAlignment="1">
      <alignment horizontal="center"/>
    </xf>
    <xf numFmtId="165" fontId="9" fillId="3" borderId="11" xfId="0" applyNumberFormat="1" applyFont="1" applyFill="1" applyBorder="1" applyAlignment="1">
      <alignment horizontal="center"/>
    </xf>
    <xf numFmtId="165" fontId="9" fillId="3" borderId="12" xfId="0" applyNumberFormat="1" applyFont="1" applyFill="1" applyBorder="1" applyAlignment="1">
      <alignment horizontal="center"/>
    </xf>
    <xf numFmtId="165" fontId="9" fillId="3" borderId="13" xfId="0" applyNumberFormat="1" applyFont="1" applyFill="1" applyBorder="1" applyAlignment="1">
      <alignment horizontal="center"/>
    </xf>
    <xf numFmtId="165" fontId="8" fillId="3" borderId="14" xfId="0" applyNumberFormat="1" applyFont="1" applyFill="1" applyBorder="1" applyAlignment="1">
      <alignment horizontal="center"/>
    </xf>
    <xf numFmtId="165" fontId="8" fillId="3" borderId="15" xfId="0" applyNumberFormat="1" applyFont="1" applyFill="1" applyBorder="1" applyAlignment="1">
      <alignment horizontal="center"/>
    </xf>
    <xf numFmtId="165" fontId="8" fillId="3" borderId="16" xfId="0" applyNumberFormat="1" applyFont="1" applyFill="1" applyBorder="1" applyAlignment="1">
      <alignment horizontal="center"/>
    </xf>
    <xf numFmtId="0" fontId="10" fillId="0" borderId="11" xfId="0" applyFont="1" applyBorder="1"/>
    <xf numFmtId="0" fontId="10" fillId="0" borderId="12" xfId="0" applyFont="1" applyBorder="1"/>
    <xf numFmtId="0" fontId="10" fillId="0" borderId="13" xfId="0" applyFont="1" applyBorder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3" borderId="0" xfId="0" applyFont="1" applyFill="1"/>
    <xf numFmtId="0" fontId="21" fillId="3" borderId="0" xfId="0" applyFont="1" applyFill="1" applyAlignment="1">
      <alignment horizontal="center"/>
    </xf>
    <xf numFmtId="0" fontId="21" fillId="9" borderId="0" xfId="0" applyFont="1" applyFill="1"/>
    <xf numFmtId="0" fontId="20" fillId="9" borderId="0" xfId="0" applyFont="1" applyFill="1"/>
    <xf numFmtId="3" fontId="20" fillId="0" borderId="0" xfId="0" applyNumberFormat="1" applyFont="1"/>
    <xf numFmtId="0" fontId="18" fillId="0" borderId="0" xfId="0" applyFont="1" applyAlignment="1">
      <alignment horizontal="center"/>
    </xf>
    <xf numFmtId="166" fontId="20" fillId="0" borderId="0" xfId="0" applyNumberFormat="1" applyFont="1"/>
    <xf numFmtId="164" fontId="20" fillId="0" borderId="0" xfId="0" applyNumberFormat="1" applyFont="1"/>
    <xf numFmtId="0" fontId="22" fillId="3" borderId="0" xfId="0" applyFont="1" applyFill="1"/>
    <xf numFmtId="3" fontId="22" fillId="0" borderId="0" xfId="0" applyNumberFormat="1" applyFont="1"/>
    <xf numFmtId="3" fontId="22" fillId="3" borderId="0" xfId="0" applyNumberFormat="1" applyFont="1" applyFill="1"/>
    <xf numFmtId="0" fontId="18" fillId="3" borderId="0" xfId="0" applyFont="1" applyFill="1" applyAlignment="1">
      <alignment horizontal="center"/>
    </xf>
    <xf numFmtId="0" fontId="19" fillId="3" borderId="0" xfId="0" applyFont="1" applyFill="1"/>
    <xf numFmtId="168" fontId="20" fillId="0" borderId="0" xfId="0" applyNumberFormat="1" applyFont="1"/>
    <xf numFmtId="0" fontId="22" fillId="0" borderId="0" xfId="0" applyFont="1" applyAlignment="1">
      <alignment horizontal="center"/>
    </xf>
    <xf numFmtId="0" fontId="0" fillId="7" borderId="0" xfId="0" applyFill="1"/>
    <xf numFmtId="0" fontId="11" fillId="0" borderId="0" xfId="0" applyFont="1"/>
    <xf numFmtId="0" fontId="11" fillId="0" borderId="0" xfId="0" applyFont="1" applyAlignment="1">
      <alignment horizontal="center"/>
    </xf>
    <xf numFmtId="0" fontId="8" fillId="0" borderId="0" xfId="0" applyFont="1"/>
    <xf numFmtId="169" fontId="20" fillId="0" borderId="0" xfId="0" applyNumberFormat="1" applyFont="1"/>
    <xf numFmtId="0" fontId="23" fillId="0" borderId="0" xfId="0" applyFont="1"/>
    <xf numFmtId="170" fontId="11" fillId="0" borderId="0" xfId="0" applyNumberFormat="1" applyFont="1"/>
    <xf numFmtId="0" fontId="1" fillId="7" borderId="17" xfId="0" applyFont="1" applyFill="1" applyBorder="1"/>
    <xf numFmtId="0" fontId="20" fillId="7" borderId="17" xfId="0" applyFont="1" applyFill="1" applyBorder="1"/>
    <xf numFmtId="0" fontId="0" fillId="7" borderId="17" xfId="0" applyFill="1" applyBorder="1"/>
    <xf numFmtId="49" fontId="24" fillId="7" borderId="0" xfId="0" applyNumberFormat="1" applyFont="1" applyFill="1" applyAlignment="1">
      <alignment horizontal="center" vertical="center"/>
    </xf>
    <xf numFmtId="0" fontId="24" fillId="7" borderId="0" xfId="0" applyFont="1" applyFill="1"/>
    <xf numFmtId="0" fontId="24" fillId="7" borderId="0" xfId="0" applyFont="1" applyFill="1" applyAlignment="1">
      <alignment horizontal="center"/>
    </xf>
    <xf numFmtId="0" fontId="25" fillId="7" borderId="0" xfId="0" applyFont="1" applyFill="1" applyAlignment="1">
      <alignment horizontal="center"/>
    </xf>
    <xf numFmtId="0" fontId="26" fillId="7" borderId="0" xfId="0" applyFont="1" applyFill="1"/>
    <xf numFmtId="0" fontId="27" fillId="0" borderId="0" xfId="0" applyFont="1"/>
    <xf numFmtId="0" fontId="28" fillId="0" borderId="0" xfId="0" applyFont="1"/>
    <xf numFmtId="0" fontId="3" fillId="2" borderId="0" xfId="0" applyFont="1" applyFill="1" applyAlignment="1">
      <alignment horizontal="left"/>
    </xf>
    <xf numFmtId="0" fontId="4" fillId="7" borderId="4" xfId="0" applyFont="1" applyFill="1" applyBorder="1" applyAlignment="1">
      <alignment horizontal="left"/>
    </xf>
    <xf numFmtId="0" fontId="17" fillId="2" borderId="0" xfId="0" applyFont="1" applyFill="1"/>
    <xf numFmtId="0" fontId="19" fillId="0" borderId="0" xfId="0" applyFont="1"/>
  </cellXfs>
  <cellStyles count="1">
    <cellStyle name="Normal" xfId="0" builtinId="0"/>
  </cellStyles>
  <dxfs count="8">
    <dxf>
      <font>
        <b/>
        <i val="0"/>
        <color rgb="FF6B1E7D"/>
      </font>
      <fill>
        <patternFill patternType="solid">
          <fgColor indexed="64"/>
          <bgColor rgb="FFF6EAF8"/>
        </patternFill>
      </fill>
    </dxf>
    <dxf>
      <font>
        <b/>
        <i val="0"/>
        <color rgb="FFA01C2A"/>
      </font>
      <fill>
        <patternFill patternType="solid">
          <fgColor indexed="64"/>
          <bgColor rgb="FFFCE8EA"/>
        </patternFill>
      </fill>
    </dxf>
    <dxf>
      <font>
        <b/>
        <i val="0"/>
        <color rgb="FF2F6B2E"/>
      </font>
      <fill>
        <patternFill patternType="solid">
          <fgColor indexed="64"/>
          <bgColor rgb="FFF0F6EE"/>
        </patternFill>
      </fill>
    </dxf>
    <dxf>
      <font>
        <b/>
        <i val="0"/>
        <color rgb="FFA05A00"/>
      </font>
      <fill>
        <patternFill patternType="solid">
          <fgColor indexed="64"/>
          <bgColor rgb="FFFFF4E5"/>
        </patternFill>
      </fill>
    </dxf>
    <dxf>
      <font>
        <b/>
        <i val="0"/>
        <color rgb="FF1F3864"/>
      </font>
      <fill>
        <patternFill patternType="solid">
          <fgColor indexed="64"/>
          <bgColor rgb="FFE8F1FB"/>
        </patternFill>
      </fill>
    </dxf>
    <dxf>
      <font>
        <b/>
        <i val="0"/>
        <color rgb="FFBF8F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C263A0-7297-4FD1-A29F-32BACDDE290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69ec00c-c7fa-4b7c-bbf3-6c31592c951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4"/>
  <sheetViews>
    <sheetView showGridLines="0" tabSelected="1" workbookViewId="0">
      <selection activeCell="C7" sqref="C7"/>
    </sheetView>
  </sheetViews>
  <sheetFormatPr defaultRowHeight="14.5" x14ac:dyDescent="0.35"/>
  <cols>
    <col min="1" max="1" width="1.453125" customWidth="1"/>
    <col min="2" max="2" width="36.36328125" customWidth="1"/>
    <col min="3" max="14" width="11.26953125" customWidth="1"/>
  </cols>
  <sheetData>
    <row r="1" spans="2:14" ht="22" customHeight="1" x14ac:dyDescent="0.55000000000000004">
      <c r="B1" s="94" t="s">
        <v>26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</row>
    <row r="2" spans="2:14" ht="15" customHeight="1" x14ac:dyDescent="0.35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ht="15" customHeight="1" x14ac:dyDescent="0.35">
      <c r="B3" s="95" t="s">
        <v>25</v>
      </c>
      <c r="C3" s="95"/>
      <c r="D3" s="95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15" customHeight="1" x14ac:dyDescent="0.35">
      <c r="B4" s="13" t="s">
        <v>0</v>
      </c>
      <c r="C4" s="9">
        <v>4.33</v>
      </c>
      <c r="D4" s="58" t="s">
        <v>29</v>
      </c>
      <c r="E4" s="7"/>
      <c r="F4" s="7"/>
      <c r="G4" s="7"/>
      <c r="H4" s="7"/>
      <c r="I4" s="7"/>
      <c r="J4" s="7"/>
      <c r="K4" s="7"/>
      <c r="L4" s="7"/>
      <c r="M4" s="7"/>
      <c r="N4" s="7"/>
    </row>
    <row r="5" spans="2:14" ht="15" customHeight="1" x14ac:dyDescent="0.35">
      <c r="B5" s="13" t="s">
        <v>1</v>
      </c>
      <c r="C5" s="10">
        <v>0.65</v>
      </c>
      <c r="D5" s="58" t="s">
        <v>30</v>
      </c>
      <c r="E5" s="7"/>
      <c r="F5" s="7"/>
      <c r="G5" s="7"/>
      <c r="H5" s="7"/>
      <c r="I5" s="7"/>
      <c r="J5" s="7"/>
      <c r="K5" s="7"/>
      <c r="L5" s="7"/>
      <c r="M5" s="7"/>
      <c r="N5" s="7"/>
    </row>
    <row r="6" spans="2:14" ht="15" customHeight="1" x14ac:dyDescent="0.35">
      <c r="B6" s="13" t="s">
        <v>2</v>
      </c>
      <c r="C6" s="10">
        <v>0.35</v>
      </c>
      <c r="D6" s="58" t="s">
        <v>31</v>
      </c>
      <c r="E6" s="7"/>
      <c r="F6" s="7"/>
      <c r="G6" s="7"/>
      <c r="H6" s="7"/>
      <c r="I6" s="7"/>
      <c r="J6" s="7"/>
      <c r="K6" s="7"/>
      <c r="L6" s="7"/>
      <c r="M6" s="7"/>
      <c r="N6" s="7"/>
    </row>
    <row r="7" spans="2:14" ht="15" customHeight="1" x14ac:dyDescent="0.35">
      <c r="B7" s="13" t="s">
        <v>27</v>
      </c>
      <c r="C7" s="10">
        <v>0.85</v>
      </c>
      <c r="D7" s="58" t="s">
        <v>32</v>
      </c>
      <c r="E7" s="7"/>
      <c r="F7" s="7"/>
      <c r="G7" s="7"/>
      <c r="H7" s="7"/>
      <c r="I7" s="7"/>
      <c r="J7" s="7"/>
      <c r="K7" s="7"/>
      <c r="L7" s="7"/>
      <c r="M7" s="7"/>
      <c r="N7" s="7"/>
    </row>
    <row r="8" spans="2:14" ht="15" customHeight="1" x14ac:dyDescent="0.35">
      <c r="B8" s="13" t="s">
        <v>3</v>
      </c>
      <c r="C8" s="10">
        <v>0.1</v>
      </c>
      <c r="D8" s="58" t="s">
        <v>33</v>
      </c>
      <c r="E8" s="7"/>
      <c r="F8" s="7"/>
      <c r="G8" s="7"/>
      <c r="H8" s="7"/>
      <c r="I8" s="7"/>
      <c r="J8" s="7"/>
      <c r="K8" s="7"/>
      <c r="L8" s="7"/>
      <c r="M8" s="7"/>
      <c r="N8" s="7"/>
    </row>
    <row r="9" spans="2:14" ht="15" customHeight="1" x14ac:dyDescent="0.35">
      <c r="B9" s="13" t="s">
        <v>4</v>
      </c>
      <c r="C9" s="11">
        <v>15</v>
      </c>
      <c r="D9" s="58" t="s">
        <v>34</v>
      </c>
      <c r="E9" s="7"/>
      <c r="F9" s="7"/>
      <c r="G9" s="7"/>
      <c r="H9" s="7"/>
      <c r="I9" s="7"/>
      <c r="J9" s="7"/>
      <c r="K9" s="7"/>
      <c r="L9" s="7"/>
      <c r="M9" s="7"/>
      <c r="N9" s="7"/>
    </row>
    <row r="10" spans="2:14" ht="15" customHeight="1" x14ac:dyDescent="0.35">
      <c r="B10" s="13" t="s">
        <v>28</v>
      </c>
      <c r="C10" s="10">
        <v>0.55000000000000004</v>
      </c>
      <c r="D10" s="58" t="s">
        <v>35</v>
      </c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2:14" ht="15" customHeight="1" x14ac:dyDescent="0.35">
      <c r="B11" s="13" t="s">
        <v>5</v>
      </c>
      <c r="C11" s="11">
        <v>34</v>
      </c>
      <c r="D11" s="58" t="s">
        <v>36</v>
      </c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2:14" ht="15" customHeight="1" x14ac:dyDescent="0.35">
      <c r="B12" s="13" t="s">
        <v>6</v>
      </c>
      <c r="C12" s="11">
        <v>880</v>
      </c>
      <c r="D12" s="58" t="s">
        <v>37</v>
      </c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2:14" ht="15" customHeight="1" x14ac:dyDescent="0.35">
      <c r="B13" s="13" t="s">
        <v>22</v>
      </c>
      <c r="C13" s="12">
        <v>7.4999999999999997E-3</v>
      </c>
      <c r="D13" s="58" t="s">
        <v>38</v>
      </c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2:14" ht="15" customHeight="1" x14ac:dyDescent="0.35">
      <c r="B14" s="2" t="s">
        <v>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2:14" ht="15" customHeight="1" thickBot="1" x14ac:dyDescent="0.4">
      <c r="B15" s="4" t="s">
        <v>9</v>
      </c>
      <c r="C15" s="15">
        <v>46048</v>
      </c>
      <c r="D15" s="15">
        <v>46079</v>
      </c>
      <c r="E15" s="15">
        <v>46107</v>
      </c>
      <c r="F15" s="15">
        <v>46138</v>
      </c>
      <c r="G15" s="15">
        <v>46168</v>
      </c>
      <c r="H15" s="15">
        <v>46199</v>
      </c>
      <c r="I15" s="15">
        <v>46229</v>
      </c>
      <c r="J15" s="15">
        <v>46260</v>
      </c>
      <c r="K15" s="15">
        <v>46291</v>
      </c>
      <c r="L15" s="15">
        <v>46321</v>
      </c>
      <c r="M15" s="15">
        <v>46352</v>
      </c>
      <c r="N15" s="15">
        <v>46382</v>
      </c>
    </row>
    <row r="16" spans="2:14" ht="15" customHeight="1" x14ac:dyDescent="0.35">
      <c r="B16" s="6" t="s">
        <v>10</v>
      </c>
      <c r="C16" s="16">
        <f>$C$12</f>
        <v>880</v>
      </c>
      <c r="D16" s="17">
        <f t="shared" ref="D16:N16" si="0">$C$12</f>
        <v>880</v>
      </c>
      <c r="E16" s="17">
        <f t="shared" si="0"/>
        <v>880</v>
      </c>
      <c r="F16" s="17">
        <f t="shared" si="0"/>
        <v>880</v>
      </c>
      <c r="G16" s="17">
        <f t="shared" si="0"/>
        <v>880</v>
      </c>
      <c r="H16" s="17">
        <f t="shared" si="0"/>
        <v>880</v>
      </c>
      <c r="I16" s="17">
        <f t="shared" si="0"/>
        <v>880</v>
      </c>
      <c r="J16" s="17">
        <f t="shared" si="0"/>
        <v>880</v>
      </c>
      <c r="K16" s="17">
        <f t="shared" si="0"/>
        <v>880</v>
      </c>
      <c r="L16" s="17">
        <f t="shared" si="0"/>
        <v>880</v>
      </c>
      <c r="M16" s="17">
        <f t="shared" si="0"/>
        <v>880</v>
      </c>
      <c r="N16" s="18">
        <f t="shared" si="0"/>
        <v>880</v>
      </c>
    </row>
    <row r="17" spans="2:14" ht="15" customHeight="1" x14ac:dyDescent="0.35">
      <c r="B17" s="6" t="s">
        <v>8</v>
      </c>
      <c r="C17" s="19">
        <v>681</v>
      </c>
      <c r="D17" s="20">
        <v>654</v>
      </c>
      <c r="E17" s="20">
        <v>648</v>
      </c>
      <c r="F17" s="20">
        <v>638</v>
      </c>
      <c r="G17" s="21">
        <f t="shared" ref="G17:N17" si="1">MIN($C$16, F17+G22-G32)</f>
        <v>641</v>
      </c>
      <c r="H17" s="21">
        <f t="shared" si="1"/>
        <v>672</v>
      </c>
      <c r="I17" s="21">
        <f t="shared" si="1"/>
        <v>691</v>
      </c>
      <c r="J17" s="21">
        <f t="shared" si="1"/>
        <v>714</v>
      </c>
      <c r="K17" s="21">
        <f t="shared" si="1"/>
        <v>723</v>
      </c>
      <c r="L17" s="21">
        <f t="shared" si="1"/>
        <v>729</v>
      </c>
      <c r="M17" s="21">
        <f t="shared" si="1"/>
        <v>734</v>
      </c>
      <c r="N17" s="22">
        <f t="shared" si="1"/>
        <v>748</v>
      </c>
    </row>
    <row r="18" spans="2:14" ht="15" customHeight="1" x14ac:dyDescent="0.35">
      <c r="B18" s="6" t="s">
        <v>11</v>
      </c>
      <c r="C18" s="23">
        <f>C17/C16</f>
        <v>0.77386363636363631</v>
      </c>
      <c r="D18" s="24">
        <f t="shared" ref="D18:N18" si="2">D17/D16</f>
        <v>0.74318181818181817</v>
      </c>
      <c r="E18" s="24">
        <f t="shared" si="2"/>
        <v>0.73636363636363633</v>
      </c>
      <c r="F18" s="24">
        <f t="shared" si="2"/>
        <v>0.72499999999999998</v>
      </c>
      <c r="G18" s="24">
        <f t="shared" si="2"/>
        <v>0.72840909090909089</v>
      </c>
      <c r="H18" s="24">
        <f t="shared" si="2"/>
        <v>0.76363636363636367</v>
      </c>
      <c r="I18" s="24">
        <f t="shared" si="2"/>
        <v>0.78522727272727277</v>
      </c>
      <c r="J18" s="24">
        <f t="shared" si="2"/>
        <v>0.8113636363636364</v>
      </c>
      <c r="K18" s="24">
        <f t="shared" si="2"/>
        <v>0.82159090909090904</v>
      </c>
      <c r="L18" s="24">
        <f t="shared" si="2"/>
        <v>0.82840909090909087</v>
      </c>
      <c r="M18" s="24">
        <f t="shared" si="2"/>
        <v>0.83409090909090911</v>
      </c>
      <c r="N18" s="25">
        <f t="shared" si="2"/>
        <v>0.85</v>
      </c>
    </row>
    <row r="19" spans="2:14" ht="15" customHeight="1" x14ac:dyDescent="0.35">
      <c r="B19" s="7"/>
      <c r="C19" s="55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</row>
    <row r="20" spans="2:14" ht="15" customHeight="1" thickBot="1" x14ac:dyDescent="0.4">
      <c r="B20" s="5" t="s">
        <v>12</v>
      </c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8"/>
    </row>
    <row r="21" spans="2:14" ht="15" customHeight="1" x14ac:dyDescent="0.35">
      <c r="B21" s="6" t="s">
        <v>13</v>
      </c>
      <c r="C21" s="29">
        <v>3.2</v>
      </c>
      <c r="D21" s="30">
        <v>1.6</v>
      </c>
      <c r="E21" s="30">
        <v>7.6</v>
      </c>
      <c r="F21" s="30">
        <v>10</v>
      </c>
      <c r="G21" s="30">
        <v>15</v>
      </c>
      <c r="H21" s="30">
        <v>15</v>
      </c>
      <c r="I21" s="30">
        <v>14</v>
      </c>
      <c r="J21" s="30">
        <v>13</v>
      </c>
      <c r="K21" s="30">
        <v>10</v>
      </c>
      <c r="L21" s="30">
        <v>8</v>
      </c>
      <c r="M21" s="30">
        <v>8</v>
      </c>
      <c r="N21" s="31">
        <v>8</v>
      </c>
    </row>
    <row r="22" spans="2:14" ht="15" customHeight="1" x14ac:dyDescent="0.35">
      <c r="B22" s="14" t="s">
        <v>14</v>
      </c>
      <c r="C22" s="32">
        <v>14</v>
      </c>
      <c r="D22" s="33">
        <v>7</v>
      </c>
      <c r="E22" s="33">
        <v>33</v>
      </c>
      <c r="F22" s="33">
        <f>25+ROUND(F21*1.83,0)</f>
        <v>43</v>
      </c>
      <c r="G22" s="33">
        <f t="shared" ref="G22:N22" si="3">ROUND(G21*$C$4,0)</f>
        <v>65</v>
      </c>
      <c r="H22" s="33">
        <f t="shared" si="3"/>
        <v>65</v>
      </c>
      <c r="I22" s="33">
        <f t="shared" si="3"/>
        <v>61</v>
      </c>
      <c r="J22" s="33">
        <f t="shared" si="3"/>
        <v>56</v>
      </c>
      <c r="K22" s="34">
        <f t="shared" si="3"/>
        <v>43</v>
      </c>
      <c r="L22" s="33">
        <f t="shared" si="3"/>
        <v>35</v>
      </c>
      <c r="M22" s="33">
        <f t="shared" si="3"/>
        <v>35</v>
      </c>
      <c r="N22" s="35">
        <f t="shared" si="3"/>
        <v>35</v>
      </c>
    </row>
    <row r="23" spans="2:14" ht="15" customHeight="1" x14ac:dyDescent="0.35">
      <c r="B23" s="7"/>
      <c r="C23" s="55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7"/>
    </row>
    <row r="24" spans="2:14" ht="15" customHeight="1" thickBot="1" x14ac:dyDescent="0.4">
      <c r="B24" s="5" t="s">
        <v>15</v>
      </c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8"/>
    </row>
    <row r="25" spans="2:14" ht="15" customHeight="1" x14ac:dyDescent="0.35">
      <c r="B25" s="8" t="s">
        <v>16</v>
      </c>
      <c r="C25" s="36">
        <v>55</v>
      </c>
      <c r="D25" s="37">
        <v>63</v>
      </c>
      <c r="E25" s="37">
        <v>58</v>
      </c>
      <c r="F25" s="37">
        <v>62</v>
      </c>
      <c r="G25" s="37">
        <v>56</v>
      </c>
      <c r="H25" s="37">
        <v>54</v>
      </c>
      <c r="I25" s="37">
        <v>73</v>
      </c>
      <c r="J25" s="37">
        <v>51</v>
      </c>
      <c r="K25" s="37">
        <v>53</v>
      </c>
      <c r="L25" s="37">
        <v>39</v>
      </c>
      <c r="M25" s="37">
        <v>44</v>
      </c>
      <c r="N25" s="38">
        <v>16</v>
      </c>
    </row>
    <row r="26" spans="2:14" ht="15" customHeight="1" x14ac:dyDescent="0.35">
      <c r="B26" s="8" t="s">
        <v>23</v>
      </c>
      <c r="C26" s="39">
        <v>1</v>
      </c>
      <c r="D26" s="40">
        <v>1</v>
      </c>
      <c r="E26" s="40">
        <v>1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2">
        <v>0</v>
      </c>
    </row>
    <row r="27" spans="2:14" ht="15" customHeight="1" x14ac:dyDescent="0.35">
      <c r="B27" s="8" t="s">
        <v>17</v>
      </c>
      <c r="C27" s="39">
        <v>0</v>
      </c>
      <c r="D27" s="40">
        <v>6</v>
      </c>
      <c r="E27" s="40">
        <v>0</v>
      </c>
      <c r="F27" s="43">
        <v>0</v>
      </c>
      <c r="G27" s="43">
        <f>ROUND(G25*$C$8,0)</f>
        <v>6</v>
      </c>
      <c r="H27" s="43">
        <f>ROUND(H25*$C$8,0)</f>
        <v>5</v>
      </c>
      <c r="I27" s="43">
        <f t="shared" ref="I27:N27" si="4">ROUND(I25*$C$8,0)</f>
        <v>7</v>
      </c>
      <c r="J27" s="43">
        <f t="shared" si="4"/>
        <v>5</v>
      </c>
      <c r="K27" s="43">
        <f t="shared" si="4"/>
        <v>5</v>
      </c>
      <c r="L27" s="43">
        <f t="shared" si="4"/>
        <v>4</v>
      </c>
      <c r="M27" s="43">
        <f t="shared" si="4"/>
        <v>4</v>
      </c>
      <c r="N27" s="44">
        <f t="shared" si="4"/>
        <v>2</v>
      </c>
    </row>
    <row r="28" spans="2:14" ht="15" customHeight="1" x14ac:dyDescent="0.35">
      <c r="B28" s="8" t="s">
        <v>18</v>
      </c>
      <c r="C28" s="45">
        <v>1</v>
      </c>
      <c r="D28" s="46">
        <v>15</v>
      </c>
      <c r="E28" s="46">
        <v>13</v>
      </c>
      <c r="F28" s="47">
        <f>7+ROUND(F25*$C$6*$C$7*(1.83/4.33),0)</f>
        <v>15</v>
      </c>
      <c r="G28" s="47">
        <f>ROUND(G25*$C$6*$C$7,0)</f>
        <v>17</v>
      </c>
      <c r="H28" s="47">
        <f>ROUND(H25*$C$6*$C$7,0)</f>
        <v>16</v>
      </c>
      <c r="I28" s="47">
        <f t="shared" ref="I28:N28" si="5">ROUND(I25*$C$6*$C$7,0)</f>
        <v>22</v>
      </c>
      <c r="J28" s="47">
        <f t="shared" si="5"/>
        <v>15</v>
      </c>
      <c r="K28" s="47">
        <f t="shared" si="5"/>
        <v>16</v>
      </c>
      <c r="L28" s="47">
        <f t="shared" si="5"/>
        <v>12</v>
      </c>
      <c r="M28" s="47">
        <f t="shared" si="5"/>
        <v>13</v>
      </c>
      <c r="N28" s="48">
        <f t="shared" si="5"/>
        <v>5</v>
      </c>
    </row>
    <row r="29" spans="2:14" ht="15" customHeight="1" x14ac:dyDescent="0.35">
      <c r="B29" s="8" t="s">
        <v>24</v>
      </c>
      <c r="C29" s="39">
        <v>3</v>
      </c>
      <c r="D29" s="40">
        <v>10</v>
      </c>
      <c r="E29" s="40">
        <v>14</v>
      </c>
      <c r="F29" s="43">
        <f>11+ROUND(E17*$C$13*(1.83/4.33),0)</f>
        <v>13</v>
      </c>
      <c r="G29" s="43">
        <f>ROUND(F17*$C$13,0)+$C$11</f>
        <v>39</v>
      </c>
      <c r="H29" s="43">
        <f t="shared" ref="H29:N29" si="6">ROUND(G17*$C$13,0)</f>
        <v>5</v>
      </c>
      <c r="I29" s="43">
        <f t="shared" si="6"/>
        <v>5</v>
      </c>
      <c r="J29" s="43">
        <f t="shared" si="6"/>
        <v>5</v>
      </c>
      <c r="K29" s="43">
        <f t="shared" si="6"/>
        <v>5</v>
      </c>
      <c r="L29" s="43">
        <f t="shared" si="6"/>
        <v>5</v>
      </c>
      <c r="M29" s="43">
        <f t="shared" si="6"/>
        <v>5</v>
      </c>
      <c r="N29" s="44">
        <f t="shared" si="6"/>
        <v>6</v>
      </c>
    </row>
    <row r="30" spans="2:14" ht="15" customHeight="1" x14ac:dyDescent="0.35">
      <c r="B30" s="8" t="s">
        <v>19</v>
      </c>
      <c r="C30" s="36">
        <v>8</v>
      </c>
      <c r="D30" s="37">
        <v>59</v>
      </c>
      <c r="E30" s="37">
        <v>20</v>
      </c>
      <c r="F30" s="37">
        <v>0</v>
      </c>
      <c r="G30" s="37">
        <f>$C$9</f>
        <v>15</v>
      </c>
      <c r="H30" s="37">
        <f>$C$9</f>
        <v>15</v>
      </c>
      <c r="I30" s="37">
        <f t="shared" ref="I30:N30" si="7">$C$9</f>
        <v>15</v>
      </c>
      <c r="J30" s="37">
        <f t="shared" si="7"/>
        <v>15</v>
      </c>
      <c r="K30" s="37">
        <f t="shared" si="7"/>
        <v>15</v>
      </c>
      <c r="L30" s="37">
        <f t="shared" si="7"/>
        <v>15</v>
      </c>
      <c r="M30" s="37">
        <f t="shared" si="7"/>
        <v>15</v>
      </c>
      <c r="N30" s="38">
        <f t="shared" si="7"/>
        <v>15</v>
      </c>
    </row>
    <row r="31" spans="2:14" ht="15" customHeight="1" x14ac:dyDescent="0.35">
      <c r="B31" s="8" t="s">
        <v>20</v>
      </c>
      <c r="C31" s="39">
        <v>0</v>
      </c>
      <c r="D31" s="46">
        <v>1</v>
      </c>
      <c r="E31" s="40">
        <v>0</v>
      </c>
      <c r="F31" s="43">
        <v>0</v>
      </c>
      <c r="G31" s="43">
        <f t="shared" ref="G31:N31" si="8">ROUND(F30*$C$10,0)</f>
        <v>0</v>
      </c>
      <c r="H31" s="43">
        <f t="shared" si="8"/>
        <v>8</v>
      </c>
      <c r="I31" s="43">
        <f t="shared" si="8"/>
        <v>8</v>
      </c>
      <c r="J31" s="43">
        <f t="shared" si="8"/>
        <v>8</v>
      </c>
      <c r="K31" s="43">
        <f t="shared" si="8"/>
        <v>8</v>
      </c>
      <c r="L31" s="43">
        <f t="shared" si="8"/>
        <v>8</v>
      </c>
      <c r="M31" s="43">
        <f t="shared" si="8"/>
        <v>8</v>
      </c>
      <c r="N31" s="44">
        <f t="shared" si="8"/>
        <v>8</v>
      </c>
    </row>
    <row r="32" spans="2:14" ht="15" customHeight="1" x14ac:dyDescent="0.35">
      <c r="B32" s="14" t="s">
        <v>21</v>
      </c>
      <c r="C32" s="49">
        <f t="shared" ref="C32:N32" si="9">C26+C27+C28+C29+C31</f>
        <v>5</v>
      </c>
      <c r="D32" s="50">
        <f t="shared" si="9"/>
        <v>33</v>
      </c>
      <c r="E32" s="50">
        <f t="shared" si="9"/>
        <v>28</v>
      </c>
      <c r="F32" s="50">
        <f t="shared" si="9"/>
        <v>28</v>
      </c>
      <c r="G32" s="50">
        <f t="shared" si="9"/>
        <v>62</v>
      </c>
      <c r="H32" s="50">
        <f t="shared" si="9"/>
        <v>34</v>
      </c>
      <c r="I32" s="50">
        <f t="shared" si="9"/>
        <v>42</v>
      </c>
      <c r="J32" s="50">
        <f t="shared" si="9"/>
        <v>33</v>
      </c>
      <c r="K32" s="50">
        <f t="shared" si="9"/>
        <v>34</v>
      </c>
      <c r="L32" s="50">
        <f t="shared" si="9"/>
        <v>29</v>
      </c>
      <c r="M32" s="50">
        <f t="shared" si="9"/>
        <v>30</v>
      </c>
      <c r="N32" s="51">
        <f t="shared" si="9"/>
        <v>21</v>
      </c>
    </row>
    <row r="33" spans="2:14" ht="15" customHeight="1" x14ac:dyDescent="0.35">
      <c r="B33" s="7"/>
      <c r="C33" s="55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7"/>
    </row>
    <row r="34" spans="2:14" ht="15" customHeight="1" x14ac:dyDescent="0.35">
      <c r="B34" s="14" t="s">
        <v>39</v>
      </c>
      <c r="C34" s="52">
        <f>C22-C32</f>
        <v>9</v>
      </c>
      <c r="D34" s="53">
        <f>D22-D32</f>
        <v>-26</v>
      </c>
      <c r="E34" s="53">
        <f>E22-E32</f>
        <v>5</v>
      </c>
      <c r="F34" s="53">
        <f>F22-F32</f>
        <v>15</v>
      </c>
      <c r="G34" s="53">
        <f>G22-G32</f>
        <v>3</v>
      </c>
      <c r="H34" s="53">
        <f t="shared" ref="H34:N34" si="10">H22-H32</f>
        <v>31</v>
      </c>
      <c r="I34" s="53">
        <f t="shared" si="10"/>
        <v>19</v>
      </c>
      <c r="J34" s="53">
        <f t="shared" si="10"/>
        <v>23</v>
      </c>
      <c r="K34" s="53">
        <f t="shared" si="10"/>
        <v>9</v>
      </c>
      <c r="L34" s="53">
        <f t="shared" si="10"/>
        <v>6</v>
      </c>
      <c r="M34" s="53">
        <f t="shared" si="10"/>
        <v>5</v>
      </c>
      <c r="N34" s="54">
        <f t="shared" si="10"/>
        <v>14</v>
      </c>
    </row>
    <row r="35" spans="2:14" ht="15" customHeight="1" x14ac:dyDescent="0.3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2:14" ht="15" customHeight="1" x14ac:dyDescent="0.35">
      <c r="B36" s="91" t="s">
        <v>345</v>
      </c>
      <c r="C36" s="77"/>
      <c r="D36" s="77"/>
      <c r="E36" s="77"/>
      <c r="F36" s="77"/>
      <c r="G36" s="77"/>
      <c r="H36" s="77"/>
    </row>
    <row r="37" spans="2:14" ht="15" customHeight="1" x14ac:dyDescent="0.35">
      <c r="B37" s="93" t="s">
        <v>346</v>
      </c>
    </row>
    <row r="38" spans="2:14" ht="15" customHeight="1" x14ac:dyDescent="0.35">
      <c r="B38" s="92" t="s">
        <v>347</v>
      </c>
    </row>
    <row r="39" spans="2:14" ht="15" customHeight="1" x14ac:dyDescent="0.35">
      <c r="B39" s="92" t="s">
        <v>348</v>
      </c>
    </row>
    <row r="40" spans="2:14" ht="15" customHeight="1" x14ac:dyDescent="0.35">
      <c r="B40" s="92" t="s">
        <v>351</v>
      </c>
    </row>
    <row r="41" spans="2:14" ht="15" customHeight="1" x14ac:dyDescent="0.35">
      <c r="B41" s="92" t="s">
        <v>349</v>
      </c>
    </row>
    <row r="42" spans="2:14" ht="15" customHeight="1" x14ac:dyDescent="0.35">
      <c r="B42" s="92" t="s">
        <v>350</v>
      </c>
    </row>
    <row r="43" spans="2:14" ht="15" customHeight="1" x14ac:dyDescent="0.35"/>
    <row r="44" spans="2:14" ht="15" customHeight="1" x14ac:dyDescent="0.35"/>
  </sheetData>
  <mergeCells count="2">
    <mergeCell ref="B1:N1"/>
    <mergeCell ref="B3:D3"/>
  </mergeCells>
  <conditionalFormatting sqref="C18:N18">
    <cfRule type="cellIs" dxfId="7" priority="1" operator="greaterThanOrEqual">
      <formula>0.85</formula>
    </cfRule>
    <cfRule type="cellIs" dxfId="6" priority="2" operator="lessThan">
      <formula>0.75</formula>
    </cfRule>
    <cfRule type="cellIs" dxfId="5" priority="3" operator="between">
      <formula>0.75</formula>
      <formula>0.85</formula>
    </cfRule>
  </conditionalFormatting>
  <pageMargins left="0.7" right="0.7" top="0.75" bottom="0.75" header="0.3" footer="0.3"/>
  <pageSetup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EBA7-818E-40BB-B2AF-05C8BB6AF69D}">
  <dimension ref="A1:N194"/>
  <sheetViews>
    <sheetView showGridLines="0" topLeftCell="A145" workbookViewId="0">
      <selection activeCell="C146" sqref="C146"/>
    </sheetView>
  </sheetViews>
  <sheetFormatPr defaultRowHeight="14.5" x14ac:dyDescent="0.35"/>
  <cols>
    <col min="1" max="1" width="1.453125" customWidth="1"/>
    <col min="2" max="2" width="40" customWidth="1"/>
    <col min="3" max="7" width="13.08984375" customWidth="1"/>
    <col min="8" max="8" width="82.7265625" bestFit="1" customWidth="1"/>
    <col min="9" max="14" width="13.08984375" customWidth="1"/>
  </cols>
  <sheetData>
    <row r="1" spans="1:14" ht="26" customHeight="1" x14ac:dyDescent="0.55000000000000004">
      <c r="A1" s="61"/>
      <c r="B1" s="96" t="s">
        <v>40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spans="1:14" x14ac:dyDescent="0.35">
      <c r="A2" s="61"/>
      <c r="B2" s="97" t="s">
        <v>41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</row>
    <row r="3" spans="1:14" x14ac:dyDescent="0.35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ht="15" thickBot="1" x14ac:dyDescent="0.4">
      <c r="A4" s="61"/>
      <c r="B4" s="84" t="s">
        <v>42</v>
      </c>
      <c r="C4" s="85"/>
      <c r="D4" s="85"/>
      <c r="E4" s="85"/>
      <c r="F4" s="85"/>
      <c r="G4" s="85"/>
      <c r="H4" s="85"/>
      <c r="I4" s="61"/>
      <c r="J4" s="61"/>
      <c r="K4" s="61"/>
      <c r="L4" s="61"/>
      <c r="M4" s="61"/>
      <c r="N4" s="61"/>
    </row>
    <row r="5" spans="1:14" ht="22" customHeight="1" x14ac:dyDescent="0.35">
      <c r="A5" s="61"/>
      <c r="B5" s="88" t="s">
        <v>43</v>
      </c>
      <c r="C5" s="87" t="s">
        <v>341</v>
      </c>
      <c r="D5" s="87" t="s">
        <v>342</v>
      </c>
      <c r="E5" s="87" t="s">
        <v>343</v>
      </c>
      <c r="F5" s="87" t="s">
        <v>344</v>
      </c>
      <c r="G5" s="89" t="s">
        <v>44</v>
      </c>
      <c r="H5" s="89" t="s">
        <v>45</v>
      </c>
      <c r="I5" s="61"/>
      <c r="J5" s="61"/>
      <c r="K5" s="61"/>
      <c r="L5" s="61"/>
      <c r="M5" s="61"/>
      <c r="N5" s="61"/>
    </row>
    <row r="6" spans="1:14" x14ac:dyDescent="0.35">
      <c r="A6" s="61"/>
      <c r="B6" s="64" t="s">
        <v>11</v>
      </c>
      <c r="C6" s="65"/>
      <c r="D6" s="65"/>
      <c r="E6" s="65"/>
      <c r="F6" s="65"/>
      <c r="G6" s="65"/>
      <c r="H6" s="65"/>
      <c r="I6" s="61"/>
      <c r="J6" s="61"/>
      <c r="K6" s="61"/>
      <c r="L6" s="61"/>
      <c r="M6" s="61"/>
      <c r="N6" s="61"/>
    </row>
    <row r="7" spans="1:14" x14ac:dyDescent="0.35">
      <c r="A7" s="61"/>
      <c r="B7" s="61" t="s">
        <v>46</v>
      </c>
      <c r="C7" s="66">
        <f>Rollforward_Model!C17</f>
        <v>681</v>
      </c>
      <c r="D7" s="66">
        <f>Rollforward_Model!D17</f>
        <v>654</v>
      </c>
      <c r="E7" s="66">
        <f>Rollforward_Model!E17</f>
        <v>648</v>
      </c>
      <c r="F7" s="66">
        <f>Rollforward_Model!F17</f>
        <v>638</v>
      </c>
      <c r="G7" s="67" t="s">
        <v>47</v>
      </c>
      <c r="H7" s="60" t="s">
        <v>48</v>
      </c>
      <c r="I7" s="61"/>
      <c r="J7" s="61"/>
      <c r="K7" s="61"/>
      <c r="L7" s="61"/>
      <c r="M7" s="61"/>
      <c r="N7" s="61"/>
    </row>
    <row r="8" spans="1:14" x14ac:dyDescent="0.35">
      <c r="A8" s="61"/>
      <c r="B8" s="61" t="s">
        <v>49</v>
      </c>
      <c r="C8" s="66">
        <f>Rollforward_Model!C16</f>
        <v>880</v>
      </c>
      <c r="D8" s="66">
        <f>Rollforward_Model!D16</f>
        <v>880</v>
      </c>
      <c r="E8" s="66">
        <f>Rollforward_Model!E16</f>
        <v>880</v>
      </c>
      <c r="F8" s="66">
        <f>Rollforward_Model!F16</f>
        <v>880</v>
      </c>
      <c r="G8" s="67" t="s">
        <v>47</v>
      </c>
      <c r="H8" s="60" t="s">
        <v>50</v>
      </c>
      <c r="I8" s="61"/>
      <c r="J8" s="61"/>
      <c r="K8" s="61"/>
      <c r="L8" s="61"/>
      <c r="M8" s="61"/>
      <c r="N8" s="61"/>
    </row>
    <row r="9" spans="1:14" x14ac:dyDescent="0.35">
      <c r="A9" s="61"/>
      <c r="B9" s="61" t="s">
        <v>51</v>
      </c>
      <c r="C9" s="68">
        <f>C7/C8</f>
        <v>0.77386363636363631</v>
      </c>
      <c r="D9" s="68">
        <f>D7/D8</f>
        <v>0.74318181818181817</v>
      </c>
      <c r="E9" s="68">
        <f>E7/E8</f>
        <v>0.73636363636363633</v>
      </c>
      <c r="F9" s="68">
        <f>F7/F8</f>
        <v>0.72499999999999998</v>
      </c>
      <c r="G9" s="67" t="s">
        <v>52</v>
      </c>
      <c r="H9" s="60" t="s">
        <v>53</v>
      </c>
      <c r="I9" s="61"/>
      <c r="J9" s="61"/>
      <c r="K9" s="61"/>
      <c r="L9" s="61"/>
      <c r="M9" s="61"/>
      <c r="N9" s="61"/>
    </row>
    <row r="10" spans="1:14" x14ac:dyDescent="0.35">
      <c r="A10" s="61"/>
      <c r="B10" s="64" t="s">
        <v>12</v>
      </c>
      <c r="C10" s="65"/>
      <c r="D10" s="65"/>
      <c r="E10" s="65"/>
      <c r="F10" s="65"/>
      <c r="G10" s="65"/>
      <c r="H10" s="65"/>
      <c r="I10" s="61"/>
      <c r="J10" s="61"/>
      <c r="K10" s="61"/>
      <c r="L10" s="61"/>
      <c r="M10" s="61"/>
      <c r="N10" s="61"/>
    </row>
    <row r="11" spans="1:14" x14ac:dyDescent="0.35">
      <c r="A11" s="61"/>
      <c r="B11" s="61" t="s">
        <v>13</v>
      </c>
      <c r="C11" s="69">
        <f>Rollforward_Model!C21</f>
        <v>3.2</v>
      </c>
      <c r="D11" s="69">
        <f>Rollforward_Model!D21</f>
        <v>1.6</v>
      </c>
      <c r="E11" s="69">
        <f>Rollforward_Model!E21</f>
        <v>7.6</v>
      </c>
      <c r="F11" s="69">
        <f>Rollforward_Model!F21</f>
        <v>10</v>
      </c>
      <c r="G11" s="67" t="s">
        <v>54</v>
      </c>
      <c r="H11" s="60" t="s">
        <v>55</v>
      </c>
      <c r="I11" s="61"/>
      <c r="J11" s="61"/>
      <c r="K11" s="61"/>
      <c r="L11" s="61"/>
      <c r="M11" s="61"/>
      <c r="N11" s="61"/>
    </row>
    <row r="12" spans="1:14" x14ac:dyDescent="0.35">
      <c r="A12" s="61"/>
      <c r="B12" s="61" t="s">
        <v>56</v>
      </c>
      <c r="C12" s="66">
        <f>Rollforward_Model!C22</f>
        <v>14</v>
      </c>
      <c r="D12" s="66">
        <f>Rollforward_Model!D22</f>
        <v>7</v>
      </c>
      <c r="E12" s="66">
        <f>Rollforward_Model!E22</f>
        <v>33</v>
      </c>
      <c r="F12" s="66">
        <f>Rollforward_Model!F22</f>
        <v>43</v>
      </c>
      <c r="G12" s="67" t="s">
        <v>57</v>
      </c>
      <c r="H12" s="60" t="s">
        <v>58</v>
      </c>
      <c r="I12" s="61"/>
      <c r="J12" s="61"/>
      <c r="K12" s="61"/>
      <c r="L12" s="61"/>
      <c r="M12" s="61"/>
      <c r="N12" s="61"/>
    </row>
    <row r="13" spans="1:14" x14ac:dyDescent="0.35">
      <c r="A13" s="61"/>
      <c r="B13" s="61" t="s">
        <v>59</v>
      </c>
      <c r="C13" s="66">
        <f>Rollforward_Model!C25</f>
        <v>55</v>
      </c>
      <c r="D13" s="66">
        <f>Rollforward_Model!D25</f>
        <v>63</v>
      </c>
      <c r="E13" s="66">
        <f>Rollforward_Model!E25</f>
        <v>58</v>
      </c>
      <c r="F13" s="66">
        <f>Rollforward_Model!F25</f>
        <v>62</v>
      </c>
      <c r="G13" s="67" t="s">
        <v>57</v>
      </c>
      <c r="H13" s="60" t="s">
        <v>60</v>
      </c>
      <c r="I13" s="61"/>
      <c r="J13" s="61"/>
      <c r="K13" s="61"/>
      <c r="L13" s="61"/>
      <c r="M13" s="61"/>
      <c r="N13" s="61"/>
    </row>
    <row r="14" spans="1:14" x14ac:dyDescent="0.35">
      <c r="A14" s="61"/>
      <c r="B14" s="64" t="s">
        <v>61</v>
      </c>
      <c r="C14" s="65"/>
      <c r="D14" s="65"/>
      <c r="E14" s="65"/>
      <c r="F14" s="65"/>
      <c r="G14" s="65"/>
      <c r="H14" s="65"/>
      <c r="I14" s="61"/>
      <c r="J14" s="61"/>
      <c r="K14" s="61"/>
      <c r="L14" s="61"/>
      <c r="M14" s="61"/>
      <c r="N14" s="61"/>
    </row>
    <row r="15" spans="1:14" x14ac:dyDescent="0.35">
      <c r="A15" s="61"/>
      <c r="B15" s="61" t="s">
        <v>23</v>
      </c>
      <c r="C15" s="66">
        <f>Rollforward_Model!C26</f>
        <v>1</v>
      </c>
      <c r="D15" s="66">
        <f>Rollforward_Model!D26</f>
        <v>1</v>
      </c>
      <c r="E15" s="66">
        <f>Rollforward_Model!E26</f>
        <v>1</v>
      </c>
      <c r="F15" s="66">
        <f>Rollforward_Model!F26</f>
        <v>0</v>
      </c>
      <c r="G15" s="67" t="s">
        <v>47</v>
      </c>
      <c r="H15" s="60" t="s">
        <v>62</v>
      </c>
      <c r="I15" s="61"/>
      <c r="J15" s="61"/>
      <c r="K15" s="61"/>
      <c r="L15" s="61"/>
      <c r="M15" s="61"/>
      <c r="N15" s="61"/>
    </row>
    <row r="16" spans="1:14" x14ac:dyDescent="0.35">
      <c r="A16" s="61"/>
      <c r="B16" s="61" t="s">
        <v>17</v>
      </c>
      <c r="C16" s="66">
        <f>Rollforward_Model!C27</f>
        <v>0</v>
      </c>
      <c r="D16" s="66">
        <f>Rollforward_Model!D27</f>
        <v>6</v>
      </c>
      <c r="E16" s="66">
        <f>Rollforward_Model!E27</f>
        <v>0</v>
      </c>
      <c r="F16" s="66">
        <f>Rollforward_Model!F27</f>
        <v>0</v>
      </c>
      <c r="G16" s="67" t="s">
        <v>47</v>
      </c>
      <c r="H16" s="60" t="s">
        <v>63</v>
      </c>
      <c r="I16" s="61"/>
      <c r="J16" s="61"/>
      <c r="K16" s="61"/>
      <c r="L16" s="61"/>
      <c r="M16" s="61"/>
      <c r="N16" s="61"/>
    </row>
    <row r="17" spans="1:14" x14ac:dyDescent="0.35">
      <c r="A17" s="61"/>
      <c r="B17" s="61" t="s">
        <v>18</v>
      </c>
      <c r="C17" s="66">
        <f>Rollforward_Model!C28</f>
        <v>1</v>
      </c>
      <c r="D17" s="66">
        <f>Rollforward_Model!D28</f>
        <v>15</v>
      </c>
      <c r="E17" s="66">
        <f>Rollforward_Model!E28</f>
        <v>13</v>
      </c>
      <c r="F17" s="66">
        <f>Rollforward_Model!F28</f>
        <v>15</v>
      </c>
      <c r="G17" s="67" t="s">
        <v>47</v>
      </c>
      <c r="H17" s="60" t="s">
        <v>64</v>
      </c>
      <c r="I17" s="61"/>
      <c r="J17" s="61"/>
      <c r="K17" s="61"/>
      <c r="L17" s="61"/>
      <c r="M17" s="61"/>
      <c r="N17" s="61"/>
    </row>
    <row r="18" spans="1:14" x14ac:dyDescent="0.35">
      <c r="A18" s="61"/>
      <c r="B18" s="61" t="s">
        <v>24</v>
      </c>
      <c r="C18" s="66">
        <f>Rollforward_Model!C29</f>
        <v>3</v>
      </c>
      <c r="D18" s="66">
        <f>Rollforward_Model!D29</f>
        <v>10</v>
      </c>
      <c r="E18" s="66">
        <f>Rollforward_Model!E29</f>
        <v>14</v>
      </c>
      <c r="F18" s="66">
        <f>Rollforward_Model!F29</f>
        <v>13</v>
      </c>
      <c r="G18" s="67" t="s">
        <v>47</v>
      </c>
      <c r="H18" s="60" t="s">
        <v>65</v>
      </c>
      <c r="I18" s="61"/>
      <c r="J18" s="61"/>
      <c r="K18" s="61"/>
      <c r="L18" s="61"/>
      <c r="M18" s="61"/>
      <c r="N18" s="61"/>
    </row>
    <row r="19" spans="1:14" x14ac:dyDescent="0.35">
      <c r="A19" s="61"/>
      <c r="B19" s="61" t="s">
        <v>19</v>
      </c>
      <c r="C19" s="66">
        <f>Rollforward_Model!C30</f>
        <v>8</v>
      </c>
      <c r="D19" s="66">
        <f>Rollforward_Model!D30</f>
        <v>59</v>
      </c>
      <c r="E19" s="66">
        <f>Rollforward_Model!E30</f>
        <v>20</v>
      </c>
      <c r="F19" s="66">
        <f>Rollforward_Model!F30</f>
        <v>0</v>
      </c>
      <c r="G19" s="67" t="s">
        <v>66</v>
      </c>
      <c r="H19" s="60" t="s">
        <v>67</v>
      </c>
      <c r="I19" s="61"/>
      <c r="J19" s="61"/>
      <c r="K19" s="61"/>
      <c r="L19" s="61"/>
      <c r="M19" s="61"/>
      <c r="N19" s="61"/>
    </row>
    <row r="20" spans="1:14" x14ac:dyDescent="0.35">
      <c r="A20" s="61"/>
      <c r="B20" s="61" t="s">
        <v>68</v>
      </c>
      <c r="C20" s="66">
        <f>Rollforward_Model!C31</f>
        <v>0</v>
      </c>
      <c r="D20" s="66">
        <f>Rollforward_Model!D31</f>
        <v>1</v>
      </c>
      <c r="E20" s="66">
        <f>Rollforward_Model!E31</f>
        <v>0</v>
      </c>
      <c r="F20" s="66">
        <f>Rollforward_Model!F31</f>
        <v>0</v>
      </c>
      <c r="G20" s="67" t="s">
        <v>47</v>
      </c>
      <c r="H20" s="60" t="s">
        <v>69</v>
      </c>
      <c r="I20" s="61"/>
      <c r="J20" s="61"/>
      <c r="K20" s="61"/>
      <c r="L20" s="61"/>
      <c r="M20" s="61"/>
      <c r="N20" s="61"/>
    </row>
    <row r="21" spans="1:14" x14ac:dyDescent="0.35">
      <c r="A21" s="61"/>
      <c r="B21" s="70" t="s">
        <v>21</v>
      </c>
      <c r="C21" s="72">
        <f>SUM(C15:C20)-C19</f>
        <v>5</v>
      </c>
      <c r="D21" s="72">
        <f>SUM(D15:D20)-D19</f>
        <v>33</v>
      </c>
      <c r="E21" s="72">
        <f>SUM(E15:E20)-E19</f>
        <v>28</v>
      </c>
      <c r="F21" s="72">
        <f>SUM(F15:F20)-F19</f>
        <v>28</v>
      </c>
      <c r="G21" s="73" t="s">
        <v>47</v>
      </c>
      <c r="H21" s="74" t="s">
        <v>70</v>
      </c>
      <c r="I21" s="61"/>
      <c r="J21" s="61"/>
      <c r="K21" s="61"/>
      <c r="L21" s="61"/>
      <c r="M21" s="61"/>
      <c r="N21" s="61"/>
    </row>
    <row r="22" spans="1:14" x14ac:dyDescent="0.3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</row>
    <row r="23" spans="1:14" ht="15" thickBot="1" x14ac:dyDescent="0.4">
      <c r="A23" s="61"/>
      <c r="B23" s="84" t="s">
        <v>71</v>
      </c>
      <c r="C23" s="85"/>
      <c r="D23" s="85"/>
      <c r="E23" s="85"/>
      <c r="F23" s="85"/>
      <c r="G23" s="85"/>
      <c r="H23" s="85"/>
      <c r="I23" s="61"/>
      <c r="J23" s="61"/>
      <c r="K23" s="61"/>
      <c r="L23" s="61"/>
      <c r="M23" s="61"/>
      <c r="N23" s="61"/>
    </row>
    <row r="24" spans="1:14" ht="22" customHeight="1" x14ac:dyDescent="0.35">
      <c r="A24" s="61"/>
      <c r="B24" s="88" t="s">
        <v>72</v>
      </c>
      <c r="C24" s="87" t="s">
        <v>341</v>
      </c>
      <c r="D24" s="87" t="s">
        <v>342</v>
      </c>
      <c r="E24" s="87" t="s">
        <v>343</v>
      </c>
      <c r="F24" s="87" t="s">
        <v>344</v>
      </c>
      <c r="G24" s="89" t="s">
        <v>73</v>
      </c>
      <c r="H24" s="89" t="s">
        <v>74</v>
      </c>
      <c r="I24" s="61"/>
      <c r="J24" s="61"/>
      <c r="K24" s="61"/>
      <c r="L24" s="61"/>
      <c r="M24" s="61"/>
      <c r="N24" s="61"/>
    </row>
    <row r="25" spans="1:14" x14ac:dyDescent="0.35">
      <c r="A25" s="61"/>
      <c r="B25" s="61" t="s">
        <v>75</v>
      </c>
      <c r="C25" s="66">
        <v>681</v>
      </c>
      <c r="D25" s="66">
        <v>657</v>
      </c>
      <c r="E25" s="66">
        <v>648</v>
      </c>
      <c r="F25" s="66">
        <v>640</v>
      </c>
      <c r="G25" s="67" t="s">
        <v>76</v>
      </c>
      <c r="H25" s="60" t="s">
        <v>77</v>
      </c>
      <c r="I25" s="61"/>
      <c r="J25" s="61"/>
      <c r="K25" s="61"/>
      <c r="L25" s="61"/>
      <c r="M25" s="61"/>
      <c r="N25" s="61"/>
    </row>
    <row r="26" spans="1:14" x14ac:dyDescent="0.35">
      <c r="A26" s="61"/>
      <c r="B26" s="61" t="s">
        <v>78</v>
      </c>
      <c r="C26" s="75">
        <f>C25-C7</f>
        <v>0</v>
      </c>
      <c r="D26" s="75">
        <f>D25-D7</f>
        <v>3</v>
      </c>
      <c r="E26" s="75">
        <f>E25-E7</f>
        <v>0</v>
      </c>
      <c r="F26" s="75">
        <f>F25-F7</f>
        <v>2</v>
      </c>
      <c r="G26" s="76" t="str" cm="1">
        <f t="array" ref="G26">IF(SUMPRODUCT(ABS(C26:F26))=0,"Match","Review")</f>
        <v>Review</v>
      </c>
      <c r="H26" s="60" t="s">
        <v>79</v>
      </c>
      <c r="I26" s="61"/>
      <c r="J26" s="61"/>
      <c r="K26" s="61"/>
      <c r="L26" s="61"/>
      <c r="M26" s="61"/>
      <c r="N26" s="61"/>
    </row>
    <row r="27" spans="1:14" x14ac:dyDescent="0.35">
      <c r="A27" s="61"/>
      <c r="B27" s="61" t="s">
        <v>80</v>
      </c>
      <c r="C27" s="66">
        <v>21</v>
      </c>
      <c r="D27" s="66">
        <v>12</v>
      </c>
      <c r="E27" s="66">
        <v>23</v>
      </c>
      <c r="F27" s="66">
        <v>22</v>
      </c>
      <c r="G27" s="67" t="s">
        <v>76</v>
      </c>
      <c r="H27" s="60" t="s">
        <v>81</v>
      </c>
      <c r="I27" s="61"/>
      <c r="J27" s="61"/>
      <c r="K27" s="61"/>
      <c r="L27" s="61"/>
      <c r="M27" s="61"/>
      <c r="N27" s="61"/>
    </row>
    <row r="28" spans="1:14" x14ac:dyDescent="0.35">
      <c r="A28" s="61"/>
      <c r="B28" s="61" t="s">
        <v>82</v>
      </c>
      <c r="C28" s="75">
        <f>C27-C21</f>
        <v>16</v>
      </c>
      <c r="D28" s="75">
        <f>D27-D21</f>
        <v>-21</v>
      </c>
      <c r="E28" s="75">
        <f>E27-E21</f>
        <v>-5</v>
      </c>
      <c r="F28" s="75">
        <f>F27-F21</f>
        <v>-6</v>
      </c>
      <c r="G28" s="76" t="str" cm="1">
        <f t="array" ref="G28">IF(SUMPRODUCT(ABS(C28:F28))=0,"Match","Review")</f>
        <v>Review</v>
      </c>
      <c r="H28" s="60" t="s">
        <v>83</v>
      </c>
      <c r="I28" s="61"/>
      <c r="J28" s="61"/>
      <c r="K28" s="61"/>
      <c r="L28" s="61"/>
      <c r="M28" s="61"/>
      <c r="N28" s="61"/>
    </row>
    <row r="29" spans="1:14" x14ac:dyDescent="0.3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</row>
    <row r="30" spans="1:14" ht="15" thickBot="1" x14ac:dyDescent="0.4">
      <c r="A30" s="61"/>
      <c r="B30" s="84" t="s">
        <v>85</v>
      </c>
      <c r="C30" s="86"/>
      <c r="D30" s="86"/>
      <c r="E30" s="86"/>
      <c r="F30" s="86"/>
      <c r="G30" s="86"/>
      <c r="H30" s="86"/>
    </row>
    <row r="31" spans="1:14" ht="22" customHeight="1" x14ac:dyDescent="0.35">
      <c r="A31" s="61"/>
      <c r="B31" s="88" t="s">
        <v>84</v>
      </c>
      <c r="C31" s="87" t="s">
        <v>341</v>
      </c>
      <c r="D31" s="87" t="s">
        <v>342</v>
      </c>
      <c r="E31" s="87" t="s">
        <v>343</v>
      </c>
      <c r="F31" s="87" t="s">
        <v>86</v>
      </c>
      <c r="G31" s="89" t="s">
        <v>87</v>
      </c>
      <c r="H31" s="90" t="s">
        <v>88</v>
      </c>
    </row>
    <row r="32" spans="1:14" x14ac:dyDescent="0.35">
      <c r="A32" s="61"/>
      <c r="B32" s="64" t="s">
        <v>89</v>
      </c>
      <c r="C32" s="65"/>
      <c r="D32" s="65"/>
      <c r="E32" s="65"/>
      <c r="F32" s="65"/>
      <c r="G32" s="65"/>
      <c r="H32" s="65"/>
      <c r="I32" s="61"/>
      <c r="J32" s="61"/>
      <c r="K32" s="61"/>
      <c r="L32" s="61"/>
      <c r="M32" s="61"/>
      <c r="N32" s="61"/>
    </row>
    <row r="33" spans="1:14" x14ac:dyDescent="0.35">
      <c r="A33" s="61"/>
      <c r="B33" s="61" t="s">
        <v>51</v>
      </c>
      <c r="C33" s="68">
        <v>0.81142857142857105</v>
      </c>
      <c r="D33" s="68">
        <v>0.75629290617848999</v>
      </c>
      <c r="E33" s="68">
        <v>0.73913043478260898</v>
      </c>
      <c r="F33" s="68">
        <v>0.72311212814645298</v>
      </c>
      <c r="G33" s="67" t="s">
        <v>90</v>
      </c>
      <c r="H33" s="60" t="s">
        <v>91</v>
      </c>
      <c r="I33" s="61"/>
      <c r="J33" s="61"/>
      <c r="K33" s="61"/>
      <c r="L33" s="61"/>
      <c r="M33" s="61"/>
      <c r="N33" s="61"/>
    </row>
    <row r="34" spans="1:14" x14ac:dyDescent="0.35">
      <c r="A34" s="61"/>
      <c r="B34" s="61" t="s">
        <v>92</v>
      </c>
      <c r="C34" s="66">
        <v>681</v>
      </c>
      <c r="D34" s="66">
        <v>657</v>
      </c>
      <c r="E34" s="66">
        <v>648</v>
      </c>
      <c r="F34" s="66">
        <v>640</v>
      </c>
      <c r="G34" s="67" t="s">
        <v>90</v>
      </c>
      <c r="H34" s="60" t="s">
        <v>93</v>
      </c>
      <c r="I34" s="61"/>
      <c r="J34" s="61"/>
      <c r="K34" s="61"/>
      <c r="L34" s="61"/>
      <c r="M34" s="61"/>
      <c r="N34" s="61"/>
    </row>
    <row r="35" spans="1:14" x14ac:dyDescent="0.35">
      <c r="A35" s="61"/>
      <c r="B35" s="61" t="s">
        <v>94</v>
      </c>
      <c r="C35" s="68">
        <v>0.24228571428571399</v>
      </c>
      <c r="D35" s="68">
        <v>0.22425629290617799</v>
      </c>
      <c r="E35" s="68">
        <v>0.26773455377574401</v>
      </c>
      <c r="F35" s="68">
        <v>0.27688787185354702</v>
      </c>
      <c r="G35" s="67" t="s">
        <v>90</v>
      </c>
      <c r="H35" s="60" t="s">
        <v>95</v>
      </c>
      <c r="I35" s="61"/>
      <c r="J35" s="61"/>
      <c r="K35" s="61"/>
      <c r="L35" s="61"/>
      <c r="M35" s="61"/>
      <c r="N35" s="61"/>
    </row>
    <row r="36" spans="1:14" x14ac:dyDescent="0.35">
      <c r="A36" s="61"/>
      <c r="B36" s="64" t="s">
        <v>96</v>
      </c>
      <c r="C36" s="65"/>
      <c r="D36" s="65"/>
      <c r="E36" s="65"/>
      <c r="F36" s="65"/>
      <c r="G36" s="65"/>
      <c r="H36" s="65"/>
      <c r="I36" s="61"/>
      <c r="J36" s="61"/>
      <c r="K36" s="61"/>
      <c r="L36" s="61"/>
      <c r="M36" s="61"/>
      <c r="N36" s="61"/>
    </row>
    <row r="37" spans="1:14" x14ac:dyDescent="0.35">
      <c r="A37" s="61"/>
      <c r="B37" s="61" t="s">
        <v>97</v>
      </c>
      <c r="C37" s="66">
        <v>422</v>
      </c>
      <c r="D37" s="66">
        <v>495</v>
      </c>
      <c r="E37" s="66">
        <v>617</v>
      </c>
      <c r="F37" s="66">
        <v>515</v>
      </c>
      <c r="G37" s="67" t="s">
        <v>98</v>
      </c>
      <c r="H37" s="60" t="s">
        <v>99</v>
      </c>
      <c r="I37" s="61"/>
      <c r="J37" s="61"/>
      <c r="K37" s="61"/>
      <c r="L37" s="61"/>
      <c r="M37" s="61"/>
      <c r="N37" s="61"/>
    </row>
    <row r="38" spans="1:14" x14ac:dyDescent="0.35">
      <c r="A38" s="61"/>
      <c r="B38" s="61" t="s">
        <v>100</v>
      </c>
      <c r="C38" s="66">
        <v>72</v>
      </c>
      <c r="D38" s="66">
        <v>92</v>
      </c>
      <c r="E38" s="66">
        <v>163</v>
      </c>
      <c r="F38" s="66">
        <v>70</v>
      </c>
      <c r="G38" s="67" t="s">
        <v>98</v>
      </c>
      <c r="H38" s="59"/>
      <c r="I38" s="61"/>
      <c r="J38" s="61"/>
      <c r="K38" s="61"/>
      <c r="L38" s="61"/>
      <c r="M38" s="61"/>
      <c r="N38" s="61"/>
    </row>
    <row r="39" spans="1:14" x14ac:dyDescent="0.35">
      <c r="A39" s="61"/>
      <c r="B39" s="61" t="s">
        <v>101</v>
      </c>
      <c r="C39" s="66">
        <v>30</v>
      </c>
      <c r="D39" s="66">
        <v>80</v>
      </c>
      <c r="E39" s="66">
        <v>98</v>
      </c>
      <c r="F39" s="66">
        <v>44</v>
      </c>
      <c r="G39" s="67" t="s">
        <v>98</v>
      </c>
      <c r="H39" s="59"/>
      <c r="I39" s="61"/>
      <c r="J39" s="61"/>
      <c r="K39" s="61"/>
      <c r="L39" s="61"/>
      <c r="M39" s="61"/>
      <c r="N39" s="61"/>
    </row>
    <row r="40" spans="1:14" x14ac:dyDescent="0.35">
      <c r="A40" s="61"/>
      <c r="B40" s="61" t="s">
        <v>102</v>
      </c>
      <c r="C40" s="66">
        <v>12</v>
      </c>
      <c r="D40" s="66">
        <v>9</v>
      </c>
      <c r="E40" s="66">
        <v>38</v>
      </c>
      <c r="F40" s="66">
        <v>27</v>
      </c>
      <c r="G40" s="67" t="s">
        <v>98</v>
      </c>
      <c r="H40" s="59"/>
      <c r="I40" s="61"/>
      <c r="J40" s="61"/>
      <c r="K40" s="61"/>
      <c r="L40" s="61"/>
      <c r="M40" s="61"/>
      <c r="N40" s="61"/>
    </row>
    <row r="41" spans="1:14" x14ac:dyDescent="0.35">
      <c r="A41" s="61"/>
      <c r="B41" s="61" t="s">
        <v>103</v>
      </c>
      <c r="C41" s="66">
        <v>10</v>
      </c>
      <c r="D41" s="66">
        <v>9</v>
      </c>
      <c r="E41" s="66">
        <v>36</v>
      </c>
      <c r="F41" s="66">
        <v>25</v>
      </c>
      <c r="G41" s="67" t="s">
        <v>98</v>
      </c>
      <c r="H41" s="59"/>
      <c r="I41" s="61"/>
      <c r="J41" s="61"/>
      <c r="K41" s="61"/>
      <c r="L41" s="61"/>
      <c r="M41" s="61"/>
      <c r="N41" s="61"/>
    </row>
    <row r="42" spans="1:14" x14ac:dyDescent="0.35">
      <c r="A42" s="61"/>
      <c r="B42" s="61" t="s">
        <v>14</v>
      </c>
      <c r="C42" s="66">
        <v>9</v>
      </c>
      <c r="D42" s="66">
        <v>9</v>
      </c>
      <c r="E42" s="66">
        <v>36</v>
      </c>
      <c r="F42" s="66">
        <v>24</v>
      </c>
      <c r="G42" s="67" t="s">
        <v>98</v>
      </c>
      <c r="H42" s="60" t="s">
        <v>104</v>
      </c>
      <c r="I42" s="61"/>
      <c r="J42" s="61"/>
      <c r="K42" s="61"/>
      <c r="L42" s="61"/>
      <c r="M42" s="61"/>
      <c r="N42" s="61"/>
    </row>
    <row r="43" spans="1:14" x14ac:dyDescent="0.35">
      <c r="A43" s="61"/>
      <c r="B43" s="64" t="s">
        <v>105</v>
      </c>
      <c r="C43" s="65"/>
      <c r="D43" s="65"/>
      <c r="E43" s="65"/>
      <c r="F43" s="65"/>
      <c r="G43" s="65"/>
      <c r="H43" s="65"/>
      <c r="I43" s="61"/>
      <c r="J43" s="61"/>
      <c r="K43" s="61"/>
      <c r="L43" s="61"/>
      <c r="M43" s="61"/>
      <c r="N43" s="61"/>
    </row>
    <row r="44" spans="1:14" x14ac:dyDescent="0.35">
      <c r="A44" s="61"/>
      <c r="B44" s="61" t="s">
        <v>106</v>
      </c>
      <c r="C44" s="66">
        <v>12</v>
      </c>
      <c r="D44" s="66">
        <v>6</v>
      </c>
      <c r="E44" s="66">
        <v>29</v>
      </c>
      <c r="F44" s="66">
        <v>17</v>
      </c>
      <c r="G44" s="67" t="s">
        <v>98</v>
      </c>
      <c r="H44" s="60" t="s">
        <v>107</v>
      </c>
      <c r="I44" s="61"/>
      <c r="J44" s="61"/>
      <c r="K44" s="61"/>
      <c r="L44" s="61"/>
      <c r="M44" s="61"/>
      <c r="N44" s="61"/>
    </row>
    <row r="45" spans="1:14" x14ac:dyDescent="0.35">
      <c r="A45" s="61"/>
      <c r="B45" s="61" t="s">
        <v>108</v>
      </c>
      <c r="C45" s="66">
        <v>21</v>
      </c>
      <c r="D45" s="66">
        <v>12</v>
      </c>
      <c r="E45" s="66">
        <v>23</v>
      </c>
      <c r="F45" s="66">
        <v>22</v>
      </c>
      <c r="G45" s="67" t="s">
        <v>98</v>
      </c>
      <c r="H45" s="60" t="s">
        <v>109</v>
      </c>
      <c r="I45" s="61"/>
      <c r="J45" s="61"/>
      <c r="K45" s="61"/>
      <c r="L45" s="61"/>
      <c r="M45" s="61"/>
      <c r="N45" s="61"/>
    </row>
    <row r="46" spans="1:14" x14ac:dyDescent="0.35">
      <c r="A46" s="61"/>
      <c r="B46" s="61" t="s">
        <v>110</v>
      </c>
      <c r="C46" s="75">
        <v>-9</v>
      </c>
      <c r="D46" s="75">
        <v>-6</v>
      </c>
      <c r="E46" s="75">
        <v>6</v>
      </c>
      <c r="F46" s="75">
        <v>-5</v>
      </c>
      <c r="G46" s="67" t="s">
        <v>98</v>
      </c>
      <c r="H46" s="60" t="s">
        <v>111</v>
      </c>
      <c r="I46" s="61"/>
      <c r="J46" s="61"/>
      <c r="K46" s="61"/>
      <c r="L46" s="61"/>
      <c r="M46" s="61"/>
      <c r="N46" s="61"/>
    </row>
    <row r="47" spans="1:14" x14ac:dyDescent="0.3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</row>
    <row r="48" spans="1:14" ht="15" thickBot="1" x14ac:dyDescent="0.4">
      <c r="A48" s="61"/>
      <c r="B48" s="84" t="s">
        <v>112</v>
      </c>
      <c r="C48" s="85"/>
      <c r="D48" s="85"/>
      <c r="E48" s="85"/>
      <c r="F48" s="85"/>
      <c r="G48" s="85"/>
      <c r="H48" s="85"/>
      <c r="I48" s="61"/>
      <c r="J48" s="61"/>
      <c r="K48" s="61"/>
      <c r="L48" s="61"/>
      <c r="M48" s="61"/>
      <c r="N48" s="61"/>
    </row>
    <row r="49" spans="1:14" x14ac:dyDescent="0.35">
      <c r="A49" s="61"/>
      <c r="B49" s="62" t="s">
        <v>113</v>
      </c>
      <c r="C49" s="63" t="s">
        <v>114</v>
      </c>
      <c r="D49" s="63" t="s">
        <v>115</v>
      </c>
      <c r="E49" s="63" t="s">
        <v>116</v>
      </c>
      <c r="F49" s="63" t="s">
        <v>117</v>
      </c>
      <c r="G49" s="63" t="s">
        <v>118</v>
      </c>
      <c r="H49" s="62" t="s">
        <v>88</v>
      </c>
      <c r="I49" s="61"/>
      <c r="J49" s="61"/>
      <c r="K49" s="61"/>
      <c r="L49" s="61"/>
      <c r="M49" s="61"/>
      <c r="N49" s="61"/>
    </row>
    <row r="50" spans="1:14" x14ac:dyDescent="0.35">
      <c r="A50" s="61"/>
      <c r="B50" s="61" t="s">
        <v>119</v>
      </c>
      <c r="C50" s="66">
        <v>58</v>
      </c>
      <c r="D50" s="66">
        <v>6</v>
      </c>
      <c r="E50" s="66">
        <v>14</v>
      </c>
      <c r="F50" s="68">
        <v>0.65500000000000003</v>
      </c>
      <c r="G50" s="67" t="s">
        <v>120</v>
      </c>
      <c r="H50" s="60" t="s">
        <v>121</v>
      </c>
      <c r="I50" s="61"/>
      <c r="J50" s="61"/>
      <c r="K50" s="61"/>
      <c r="L50" s="61"/>
      <c r="M50" s="61"/>
      <c r="N50" s="61"/>
    </row>
    <row r="51" spans="1:14" x14ac:dyDescent="0.35">
      <c r="A51" s="61"/>
      <c r="B51" s="61" t="s">
        <v>122</v>
      </c>
      <c r="C51" s="66">
        <v>62</v>
      </c>
      <c r="D51" s="66">
        <v>5</v>
      </c>
      <c r="E51" s="66">
        <v>15</v>
      </c>
      <c r="F51" s="68">
        <v>0.40300000000000002</v>
      </c>
      <c r="G51" s="67" t="s">
        <v>120</v>
      </c>
      <c r="H51" s="60" t="s">
        <v>123</v>
      </c>
      <c r="I51" s="61"/>
      <c r="J51" s="61"/>
      <c r="K51" s="61"/>
      <c r="L51" s="61"/>
      <c r="M51" s="61"/>
      <c r="N51" s="61"/>
    </row>
    <row r="52" spans="1:14" x14ac:dyDescent="0.35">
      <c r="A52" s="61"/>
      <c r="B52" s="61" t="s">
        <v>124</v>
      </c>
      <c r="C52" s="66">
        <v>56</v>
      </c>
      <c r="D52" s="66">
        <v>6</v>
      </c>
      <c r="E52" s="66">
        <v>11</v>
      </c>
      <c r="F52" s="68">
        <v>0.30399999999999999</v>
      </c>
      <c r="G52" s="67" t="s">
        <v>120</v>
      </c>
      <c r="H52" s="60" t="s">
        <v>125</v>
      </c>
      <c r="I52" s="61"/>
      <c r="J52" s="61"/>
      <c r="K52" s="61"/>
      <c r="L52" s="61"/>
      <c r="M52" s="61"/>
      <c r="N52" s="61"/>
    </row>
    <row r="53" spans="1:14" x14ac:dyDescent="0.35">
      <c r="A53" s="61"/>
      <c r="B53" s="61" t="s">
        <v>126</v>
      </c>
      <c r="C53" s="66">
        <v>54</v>
      </c>
      <c r="D53" s="66">
        <v>10</v>
      </c>
      <c r="E53" s="66">
        <v>6</v>
      </c>
      <c r="F53" s="68">
        <v>0.14799999999999999</v>
      </c>
      <c r="G53" s="67" t="s">
        <v>120</v>
      </c>
      <c r="H53" s="60" t="s">
        <v>127</v>
      </c>
      <c r="I53" s="61"/>
      <c r="J53" s="61"/>
      <c r="K53" s="61"/>
      <c r="L53" s="61"/>
      <c r="M53" s="61"/>
      <c r="N53" s="61"/>
    </row>
    <row r="54" spans="1:14" x14ac:dyDescent="0.35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</row>
    <row r="55" spans="1:14" ht="15" thickBot="1" x14ac:dyDescent="0.4">
      <c r="A55" s="61"/>
      <c r="B55" s="84" t="s">
        <v>128</v>
      </c>
      <c r="C55" s="85"/>
      <c r="D55" s="85"/>
      <c r="E55" s="85"/>
      <c r="F55" s="85"/>
      <c r="G55" s="85"/>
      <c r="H55" s="85"/>
      <c r="I55" s="61"/>
      <c r="J55" s="61"/>
      <c r="K55" s="61"/>
      <c r="L55" s="61"/>
      <c r="M55" s="61"/>
      <c r="N55" s="61"/>
    </row>
    <row r="56" spans="1:14" x14ac:dyDescent="0.35">
      <c r="A56" s="61"/>
      <c r="B56" s="62" t="s">
        <v>129</v>
      </c>
      <c r="C56" s="62" t="s">
        <v>130</v>
      </c>
      <c r="D56" s="62" t="s">
        <v>131</v>
      </c>
      <c r="E56" s="62" t="s">
        <v>132</v>
      </c>
      <c r="F56" s="63" t="s">
        <v>133</v>
      </c>
      <c r="G56" s="62" t="s">
        <v>134</v>
      </c>
      <c r="H56" s="63" t="s">
        <v>135</v>
      </c>
      <c r="I56" s="61"/>
      <c r="J56" s="61"/>
      <c r="K56" s="61"/>
      <c r="L56" s="61"/>
      <c r="M56" s="61"/>
      <c r="N56" s="61"/>
    </row>
    <row r="57" spans="1:14" x14ac:dyDescent="0.35">
      <c r="A57" s="61"/>
      <c r="B57" s="83">
        <v>46025</v>
      </c>
      <c r="C57" s="78" t="s">
        <v>136</v>
      </c>
      <c r="D57" s="78" t="s">
        <v>137</v>
      </c>
      <c r="E57" s="78" t="s">
        <v>138</v>
      </c>
      <c r="F57" s="79" t="s">
        <v>139</v>
      </c>
      <c r="G57" s="80" t="s">
        <v>140</v>
      </c>
      <c r="H57" s="79" t="s">
        <v>141</v>
      </c>
      <c r="I57" s="61"/>
      <c r="J57" s="61"/>
      <c r="K57" s="61"/>
      <c r="L57" s="61"/>
      <c r="M57" s="61"/>
      <c r="N57" s="61"/>
    </row>
    <row r="58" spans="1:14" x14ac:dyDescent="0.35">
      <c r="A58" s="61"/>
      <c r="B58" s="83">
        <v>46034</v>
      </c>
      <c r="C58" s="78" t="s">
        <v>142</v>
      </c>
      <c r="D58" s="78" t="s">
        <v>143</v>
      </c>
      <c r="E58" s="78" t="s">
        <v>144</v>
      </c>
      <c r="F58" s="79" t="s">
        <v>139</v>
      </c>
      <c r="G58" s="80" t="s">
        <v>145</v>
      </c>
      <c r="H58" s="79" t="s">
        <v>141</v>
      </c>
      <c r="I58" s="61"/>
      <c r="J58" s="61"/>
      <c r="K58" s="61"/>
      <c r="L58" s="61"/>
      <c r="M58" s="61"/>
      <c r="N58" s="61"/>
    </row>
    <row r="59" spans="1:14" x14ac:dyDescent="0.35">
      <c r="A59" s="61"/>
      <c r="B59" s="83">
        <v>46053</v>
      </c>
      <c r="C59" s="78" t="s">
        <v>146</v>
      </c>
      <c r="D59" s="78" t="s">
        <v>147</v>
      </c>
      <c r="E59" s="78" t="s">
        <v>148</v>
      </c>
      <c r="F59" s="79" t="s">
        <v>139</v>
      </c>
      <c r="G59" s="80" t="s">
        <v>149</v>
      </c>
      <c r="H59" s="79" t="s">
        <v>141</v>
      </c>
      <c r="I59" s="61"/>
      <c r="J59" s="61"/>
      <c r="K59" s="61"/>
      <c r="L59" s="61"/>
      <c r="M59" s="61"/>
      <c r="N59" s="61"/>
    </row>
    <row r="60" spans="1:14" x14ac:dyDescent="0.35">
      <c r="A60" s="61"/>
      <c r="B60" s="83">
        <v>46053</v>
      </c>
      <c r="C60" s="78" t="s">
        <v>150</v>
      </c>
      <c r="D60" s="78" t="s">
        <v>151</v>
      </c>
      <c r="E60" s="78" t="s">
        <v>148</v>
      </c>
      <c r="F60" s="79" t="s">
        <v>139</v>
      </c>
      <c r="G60" s="80" t="s">
        <v>149</v>
      </c>
      <c r="H60" s="79" t="s">
        <v>141</v>
      </c>
      <c r="I60" s="61"/>
      <c r="J60" s="61"/>
      <c r="K60" s="61"/>
      <c r="L60" s="61"/>
      <c r="M60" s="61"/>
      <c r="N60" s="61"/>
    </row>
    <row r="61" spans="1:14" x14ac:dyDescent="0.35">
      <c r="A61" s="61"/>
      <c r="B61" s="83">
        <v>46053</v>
      </c>
      <c r="C61" s="78" t="s">
        <v>152</v>
      </c>
      <c r="D61" s="78" t="s">
        <v>153</v>
      </c>
      <c r="E61" s="78" t="s">
        <v>148</v>
      </c>
      <c r="F61" s="79" t="s">
        <v>139</v>
      </c>
      <c r="G61" s="80" t="s">
        <v>149</v>
      </c>
      <c r="H61" s="79" t="s">
        <v>141</v>
      </c>
      <c r="I61" s="61"/>
      <c r="J61" s="61"/>
      <c r="K61" s="61"/>
      <c r="L61" s="61"/>
      <c r="M61" s="61"/>
      <c r="N61" s="61"/>
    </row>
    <row r="62" spans="1:14" x14ac:dyDescent="0.35">
      <c r="A62" s="61"/>
      <c r="B62" s="83">
        <v>46055</v>
      </c>
      <c r="C62" s="78" t="s">
        <v>154</v>
      </c>
      <c r="D62" s="78" t="s">
        <v>155</v>
      </c>
      <c r="E62" s="78" t="s">
        <v>144</v>
      </c>
      <c r="F62" s="79" t="s">
        <v>156</v>
      </c>
      <c r="G62" s="80" t="s">
        <v>115</v>
      </c>
      <c r="H62" s="79" t="s">
        <v>157</v>
      </c>
      <c r="I62" s="61"/>
      <c r="J62" s="61"/>
      <c r="K62" s="61"/>
      <c r="L62" s="61"/>
      <c r="M62" s="61"/>
      <c r="N62" s="61"/>
    </row>
    <row r="63" spans="1:14" x14ac:dyDescent="0.35">
      <c r="A63" s="61"/>
      <c r="B63" s="83">
        <v>46055</v>
      </c>
      <c r="C63" s="78" t="s">
        <v>158</v>
      </c>
      <c r="D63" s="78" t="s">
        <v>159</v>
      </c>
      <c r="E63" s="78" t="s">
        <v>160</v>
      </c>
      <c r="F63" s="79" t="s">
        <v>139</v>
      </c>
      <c r="G63" s="80" t="s">
        <v>145</v>
      </c>
      <c r="H63" s="79" t="s">
        <v>157</v>
      </c>
      <c r="I63" s="61"/>
      <c r="J63" s="61"/>
      <c r="K63" s="61"/>
      <c r="L63" s="61"/>
      <c r="M63" s="61"/>
      <c r="N63" s="61"/>
    </row>
    <row r="64" spans="1:14" x14ac:dyDescent="0.35">
      <c r="A64" s="61"/>
      <c r="B64" s="83">
        <v>46055</v>
      </c>
      <c r="C64" s="78" t="s">
        <v>161</v>
      </c>
      <c r="D64" s="78" t="s">
        <v>162</v>
      </c>
      <c r="E64" s="78" t="s">
        <v>160</v>
      </c>
      <c r="F64" s="79" t="s">
        <v>156</v>
      </c>
      <c r="G64" s="80" t="s">
        <v>115</v>
      </c>
      <c r="H64" s="79" t="s">
        <v>157</v>
      </c>
      <c r="I64" s="61"/>
      <c r="J64" s="61"/>
      <c r="K64" s="61"/>
      <c r="L64" s="61"/>
      <c r="M64" s="61"/>
      <c r="N64" s="61"/>
    </row>
    <row r="65" spans="1:14" x14ac:dyDescent="0.35">
      <c r="A65" s="61"/>
      <c r="B65" s="83">
        <v>46055</v>
      </c>
      <c r="C65" s="78" t="s">
        <v>163</v>
      </c>
      <c r="D65" s="78" t="s">
        <v>164</v>
      </c>
      <c r="E65" s="78" t="s">
        <v>165</v>
      </c>
      <c r="F65" s="79" t="s">
        <v>156</v>
      </c>
      <c r="G65" s="80" t="s">
        <v>115</v>
      </c>
      <c r="H65" s="79" t="s">
        <v>157</v>
      </c>
      <c r="I65" s="61"/>
      <c r="J65" s="61"/>
      <c r="K65" s="61"/>
      <c r="L65" s="61"/>
      <c r="M65" s="61"/>
      <c r="N65" s="61"/>
    </row>
    <row r="66" spans="1:14" x14ac:dyDescent="0.35">
      <c r="A66" s="61"/>
      <c r="B66" s="83">
        <v>46055</v>
      </c>
      <c r="C66" s="78" t="s">
        <v>166</v>
      </c>
      <c r="D66" s="78" t="s">
        <v>167</v>
      </c>
      <c r="E66" s="78" t="s">
        <v>160</v>
      </c>
      <c r="F66" s="79" t="s">
        <v>139</v>
      </c>
      <c r="G66" s="80" t="s">
        <v>145</v>
      </c>
      <c r="H66" s="79" t="s">
        <v>157</v>
      </c>
      <c r="I66" s="61"/>
      <c r="J66" s="61"/>
      <c r="K66" s="61"/>
      <c r="L66" s="61"/>
      <c r="M66" s="61"/>
      <c r="N66" s="61"/>
    </row>
    <row r="67" spans="1:14" x14ac:dyDescent="0.35">
      <c r="A67" s="61"/>
      <c r="B67" s="83">
        <v>46056</v>
      </c>
      <c r="C67" s="78" t="s">
        <v>168</v>
      </c>
      <c r="D67" s="78" t="s">
        <v>169</v>
      </c>
      <c r="E67" s="78" t="s">
        <v>170</v>
      </c>
      <c r="F67" s="79" t="s">
        <v>139</v>
      </c>
      <c r="G67" s="80" t="s">
        <v>145</v>
      </c>
      <c r="H67" s="79" t="s">
        <v>157</v>
      </c>
      <c r="I67" s="61"/>
      <c r="J67" s="61"/>
      <c r="K67" s="61"/>
      <c r="L67" s="61"/>
      <c r="M67" s="61"/>
      <c r="N67" s="61"/>
    </row>
    <row r="68" spans="1:14" x14ac:dyDescent="0.35">
      <c r="A68" s="61"/>
      <c r="B68" s="83">
        <v>46060</v>
      </c>
      <c r="C68" s="78" t="s">
        <v>171</v>
      </c>
      <c r="D68" s="78" t="s">
        <v>172</v>
      </c>
      <c r="E68" s="78" t="s">
        <v>160</v>
      </c>
      <c r="F68" s="79" t="s">
        <v>139</v>
      </c>
      <c r="G68" s="80" t="s">
        <v>145</v>
      </c>
      <c r="H68" s="79" t="s">
        <v>157</v>
      </c>
      <c r="I68" s="61"/>
      <c r="J68" s="61"/>
      <c r="K68" s="61"/>
      <c r="L68" s="61"/>
      <c r="M68" s="61"/>
      <c r="N68" s="61"/>
    </row>
    <row r="69" spans="1:14" x14ac:dyDescent="0.35">
      <c r="A69" s="61"/>
      <c r="B69" s="83">
        <v>46064</v>
      </c>
      <c r="C69" s="78" t="s">
        <v>173</v>
      </c>
      <c r="D69" s="78" t="s">
        <v>174</v>
      </c>
      <c r="E69" s="78" t="s">
        <v>148</v>
      </c>
      <c r="F69" s="79" t="s">
        <v>139</v>
      </c>
      <c r="G69" s="80" t="s">
        <v>149</v>
      </c>
      <c r="H69" s="79" t="s">
        <v>157</v>
      </c>
      <c r="I69" s="61"/>
      <c r="J69" s="61"/>
      <c r="K69" s="61"/>
      <c r="L69" s="61"/>
      <c r="M69" s="61"/>
      <c r="N69" s="61"/>
    </row>
    <row r="70" spans="1:14" x14ac:dyDescent="0.35">
      <c r="A70" s="61"/>
      <c r="B70" s="83">
        <v>46064</v>
      </c>
      <c r="C70" s="78" t="s">
        <v>175</v>
      </c>
      <c r="D70" s="78" t="s">
        <v>176</v>
      </c>
      <c r="E70" s="78" t="s">
        <v>138</v>
      </c>
      <c r="F70" s="79" t="s">
        <v>139</v>
      </c>
      <c r="G70" s="80" t="s">
        <v>140</v>
      </c>
      <c r="H70" s="79" t="s">
        <v>157</v>
      </c>
      <c r="I70" s="61"/>
      <c r="J70" s="61"/>
      <c r="K70" s="61"/>
      <c r="L70" s="61"/>
      <c r="M70" s="61"/>
      <c r="N70" s="61"/>
    </row>
    <row r="71" spans="1:14" x14ac:dyDescent="0.35">
      <c r="A71" s="61"/>
      <c r="B71" s="83">
        <v>46065</v>
      </c>
      <c r="C71" s="78" t="s">
        <v>177</v>
      </c>
      <c r="D71" s="78" t="s">
        <v>178</v>
      </c>
      <c r="E71" s="78" t="s">
        <v>148</v>
      </c>
      <c r="F71" s="79" t="s">
        <v>139</v>
      </c>
      <c r="G71" s="80" t="s">
        <v>149</v>
      </c>
      <c r="H71" s="79" t="s">
        <v>157</v>
      </c>
      <c r="I71" s="61"/>
      <c r="J71" s="61"/>
      <c r="K71" s="61"/>
      <c r="L71" s="61"/>
      <c r="M71" s="61"/>
      <c r="N71" s="61"/>
    </row>
    <row r="72" spans="1:14" x14ac:dyDescent="0.35">
      <c r="A72" s="61"/>
      <c r="B72" s="83">
        <v>46066</v>
      </c>
      <c r="C72" s="78" t="s">
        <v>179</v>
      </c>
      <c r="D72" s="78" t="s">
        <v>180</v>
      </c>
      <c r="E72" s="78" t="s">
        <v>181</v>
      </c>
      <c r="F72" s="79" t="s">
        <v>156</v>
      </c>
      <c r="G72" s="80" t="s">
        <v>115</v>
      </c>
      <c r="H72" s="79" t="s">
        <v>157</v>
      </c>
      <c r="I72" s="61"/>
      <c r="J72" s="61"/>
      <c r="K72" s="61"/>
      <c r="L72" s="61"/>
      <c r="M72" s="61"/>
      <c r="N72" s="61"/>
    </row>
    <row r="73" spans="1:14" x14ac:dyDescent="0.35">
      <c r="A73" s="61"/>
      <c r="B73" s="83">
        <v>46066</v>
      </c>
      <c r="C73" s="78" t="s">
        <v>182</v>
      </c>
      <c r="D73" s="78" t="s">
        <v>183</v>
      </c>
      <c r="E73" s="78" t="s">
        <v>184</v>
      </c>
      <c r="F73" s="79" t="s">
        <v>156</v>
      </c>
      <c r="G73" s="80" t="s">
        <v>185</v>
      </c>
      <c r="H73" s="79" t="s">
        <v>157</v>
      </c>
      <c r="I73" s="61"/>
      <c r="J73" s="61"/>
      <c r="K73" s="61"/>
      <c r="L73" s="61"/>
      <c r="M73" s="61"/>
      <c r="N73" s="61"/>
    </row>
    <row r="74" spans="1:14" x14ac:dyDescent="0.35">
      <c r="A74" s="61"/>
      <c r="B74" s="83">
        <v>46069</v>
      </c>
      <c r="C74" s="78" t="s">
        <v>186</v>
      </c>
      <c r="D74" s="78" t="s">
        <v>187</v>
      </c>
      <c r="E74" s="78" t="s">
        <v>160</v>
      </c>
      <c r="F74" s="79" t="s">
        <v>139</v>
      </c>
      <c r="G74" s="80" t="s">
        <v>145</v>
      </c>
      <c r="H74" s="79" t="s">
        <v>157</v>
      </c>
      <c r="I74" s="61"/>
      <c r="J74" s="61"/>
      <c r="K74" s="61"/>
      <c r="L74" s="61"/>
      <c r="M74" s="61"/>
      <c r="N74" s="61"/>
    </row>
    <row r="75" spans="1:14" x14ac:dyDescent="0.35">
      <c r="A75" s="61"/>
      <c r="B75" s="83">
        <v>46069</v>
      </c>
      <c r="C75" s="78" t="s">
        <v>188</v>
      </c>
      <c r="D75" s="78" t="s">
        <v>189</v>
      </c>
      <c r="E75" s="78" t="s">
        <v>148</v>
      </c>
      <c r="F75" s="79" t="s">
        <v>156</v>
      </c>
      <c r="G75" s="80" t="s">
        <v>149</v>
      </c>
      <c r="H75" s="79" t="s">
        <v>157</v>
      </c>
      <c r="I75" s="61"/>
      <c r="J75" s="61"/>
      <c r="K75" s="61"/>
      <c r="L75" s="61"/>
      <c r="M75" s="61"/>
      <c r="N75" s="61"/>
    </row>
    <row r="76" spans="1:14" x14ac:dyDescent="0.35">
      <c r="A76" s="61"/>
      <c r="B76" s="83">
        <v>46069</v>
      </c>
      <c r="C76" s="78" t="s">
        <v>190</v>
      </c>
      <c r="D76" s="78" t="s">
        <v>191</v>
      </c>
      <c r="E76" s="78" t="s">
        <v>192</v>
      </c>
      <c r="F76" s="79" t="s">
        <v>139</v>
      </c>
      <c r="G76" s="80" t="s">
        <v>145</v>
      </c>
      <c r="H76" s="79" t="s">
        <v>157</v>
      </c>
      <c r="I76" s="61"/>
      <c r="J76" s="61"/>
      <c r="K76" s="61"/>
      <c r="L76" s="61"/>
      <c r="M76" s="61"/>
      <c r="N76" s="61"/>
    </row>
    <row r="77" spans="1:14" x14ac:dyDescent="0.35">
      <c r="A77" s="61"/>
      <c r="B77" s="83">
        <v>46070</v>
      </c>
      <c r="C77" s="78" t="s">
        <v>193</v>
      </c>
      <c r="D77" s="78" t="s">
        <v>194</v>
      </c>
      <c r="E77" s="78" t="s">
        <v>195</v>
      </c>
      <c r="F77" s="79" t="s">
        <v>156</v>
      </c>
      <c r="G77" s="80" t="s">
        <v>115</v>
      </c>
      <c r="H77" s="79" t="s">
        <v>157</v>
      </c>
      <c r="I77" s="61"/>
      <c r="J77" s="61"/>
      <c r="K77" s="61"/>
      <c r="L77" s="61"/>
      <c r="M77" s="61"/>
      <c r="N77" s="61"/>
    </row>
    <row r="78" spans="1:14" x14ac:dyDescent="0.35">
      <c r="A78" s="61"/>
      <c r="B78" s="83">
        <v>46071</v>
      </c>
      <c r="C78" s="78" t="s">
        <v>196</v>
      </c>
      <c r="D78" s="78" t="s">
        <v>197</v>
      </c>
      <c r="E78" s="78" t="s">
        <v>148</v>
      </c>
      <c r="F78" s="79" t="s">
        <v>156</v>
      </c>
      <c r="G78" s="80" t="s">
        <v>149</v>
      </c>
      <c r="H78" s="79" t="s">
        <v>157</v>
      </c>
      <c r="I78" s="61"/>
      <c r="J78" s="61"/>
      <c r="K78" s="61"/>
      <c r="L78" s="61"/>
      <c r="M78" s="61"/>
      <c r="N78" s="61"/>
    </row>
    <row r="79" spans="1:14" x14ac:dyDescent="0.35">
      <c r="A79" s="61"/>
      <c r="B79" s="83">
        <v>46076</v>
      </c>
      <c r="C79" s="78" t="s">
        <v>198</v>
      </c>
      <c r="D79" s="78" t="s">
        <v>199</v>
      </c>
      <c r="E79" s="78" t="s">
        <v>200</v>
      </c>
      <c r="F79" s="79" t="s">
        <v>139</v>
      </c>
      <c r="G79" s="80" t="s">
        <v>145</v>
      </c>
      <c r="H79" s="79" t="s">
        <v>157</v>
      </c>
      <c r="I79" s="61"/>
      <c r="J79" s="61"/>
      <c r="K79" s="61"/>
      <c r="L79" s="61"/>
      <c r="M79" s="61"/>
      <c r="N79" s="61"/>
    </row>
    <row r="80" spans="1:14" x14ac:dyDescent="0.35">
      <c r="A80" s="61"/>
      <c r="B80" s="83">
        <v>46078</v>
      </c>
      <c r="C80" s="78" t="s">
        <v>201</v>
      </c>
      <c r="D80" s="78" t="s">
        <v>202</v>
      </c>
      <c r="E80" s="78" t="s">
        <v>148</v>
      </c>
      <c r="F80" s="79" t="s">
        <v>156</v>
      </c>
      <c r="G80" s="80" t="s">
        <v>149</v>
      </c>
      <c r="H80" s="79" t="s">
        <v>157</v>
      </c>
      <c r="I80" s="61"/>
      <c r="J80" s="61"/>
      <c r="K80" s="61"/>
      <c r="L80" s="61"/>
      <c r="M80" s="61"/>
      <c r="N80" s="61"/>
    </row>
    <row r="81" spans="1:14" x14ac:dyDescent="0.35">
      <c r="A81" s="61"/>
      <c r="B81" s="83">
        <v>46078</v>
      </c>
      <c r="C81" s="78" t="s">
        <v>203</v>
      </c>
      <c r="D81" s="78" t="s">
        <v>204</v>
      </c>
      <c r="E81" s="78" t="s">
        <v>148</v>
      </c>
      <c r="F81" s="79" t="s">
        <v>156</v>
      </c>
      <c r="G81" s="80" t="s">
        <v>149</v>
      </c>
      <c r="H81" s="79" t="s">
        <v>157</v>
      </c>
      <c r="I81" s="61"/>
      <c r="J81" s="61"/>
      <c r="K81" s="61"/>
      <c r="L81" s="61"/>
      <c r="M81" s="61"/>
      <c r="N81" s="61"/>
    </row>
    <row r="82" spans="1:14" x14ac:dyDescent="0.35">
      <c r="A82" s="61"/>
      <c r="B82" s="83">
        <v>46078</v>
      </c>
      <c r="C82" s="78" t="s">
        <v>205</v>
      </c>
      <c r="D82" s="78" t="s">
        <v>206</v>
      </c>
      <c r="E82" s="78" t="s">
        <v>148</v>
      </c>
      <c r="F82" s="79" t="s">
        <v>156</v>
      </c>
      <c r="G82" s="80" t="s">
        <v>149</v>
      </c>
      <c r="H82" s="79" t="s">
        <v>157</v>
      </c>
      <c r="I82" s="61"/>
      <c r="J82" s="61"/>
      <c r="K82" s="61"/>
      <c r="L82" s="61"/>
      <c r="M82" s="61"/>
      <c r="N82" s="61"/>
    </row>
    <row r="83" spans="1:14" x14ac:dyDescent="0.35">
      <c r="A83" s="61"/>
      <c r="B83" s="83">
        <v>46078</v>
      </c>
      <c r="C83" s="78" t="s">
        <v>207</v>
      </c>
      <c r="D83" s="78" t="s">
        <v>208</v>
      </c>
      <c r="E83" s="78" t="s">
        <v>148</v>
      </c>
      <c r="F83" s="79" t="s">
        <v>156</v>
      </c>
      <c r="G83" s="80" t="s">
        <v>149</v>
      </c>
      <c r="H83" s="79" t="s">
        <v>157</v>
      </c>
      <c r="I83" s="61"/>
      <c r="J83" s="61"/>
      <c r="K83" s="61"/>
      <c r="L83" s="61"/>
      <c r="M83" s="61"/>
      <c r="N83" s="61"/>
    </row>
    <row r="84" spans="1:14" x14ac:dyDescent="0.35">
      <c r="A84" s="61"/>
      <c r="B84" s="83">
        <v>46079</v>
      </c>
      <c r="C84" s="78" t="s">
        <v>209</v>
      </c>
      <c r="D84" s="78" t="s">
        <v>210</v>
      </c>
      <c r="E84" s="78" t="s">
        <v>181</v>
      </c>
      <c r="F84" s="79" t="s">
        <v>139</v>
      </c>
      <c r="G84" s="80" t="s">
        <v>145</v>
      </c>
      <c r="H84" s="79" t="s">
        <v>157</v>
      </c>
      <c r="I84" s="61"/>
      <c r="J84" s="61"/>
      <c r="K84" s="61"/>
      <c r="L84" s="61"/>
      <c r="M84" s="61"/>
      <c r="N84" s="61"/>
    </row>
    <row r="85" spans="1:14" x14ac:dyDescent="0.35">
      <c r="A85" s="61"/>
      <c r="B85" s="83">
        <v>46080</v>
      </c>
      <c r="C85" s="78" t="s">
        <v>211</v>
      </c>
      <c r="D85" s="78" t="s">
        <v>212</v>
      </c>
      <c r="E85" s="78" t="s">
        <v>181</v>
      </c>
      <c r="F85" s="79" t="s">
        <v>139</v>
      </c>
      <c r="G85" s="80" t="s">
        <v>145</v>
      </c>
      <c r="H85" s="79" t="s">
        <v>157</v>
      </c>
      <c r="I85" s="61"/>
      <c r="J85" s="61"/>
      <c r="K85" s="61"/>
      <c r="L85" s="61"/>
      <c r="M85" s="61"/>
      <c r="N85" s="61"/>
    </row>
    <row r="86" spans="1:14" x14ac:dyDescent="0.35">
      <c r="A86" s="61"/>
      <c r="B86" s="83">
        <v>46081</v>
      </c>
      <c r="C86" s="78" t="s">
        <v>213</v>
      </c>
      <c r="D86" s="78" t="s">
        <v>214</v>
      </c>
      <c r="E86" s="78" t="s">
        <v>160</v>
      </c>
      <c r="F86" s="79" t="s">
        <v>139</v>
      </c>
      <c r="G86" s="80" t="s">
        <v>145</v>
      </c>
      <c r="H86" s="79" t="s">
        <v>157</v>
      </c>
      <c r="I86" s="61"/>
      <c r="J86" s="61"/>
      <c r="K86" s="61"/>
      <c r="L86" s="61"/>
      <c r="M86" s="61"/>
      <c r="N86" s="61"/>
    </row>
    <row r="87" spans="1:14" x14ac:dyDescent="0.35">
      <c r="A87" s="61"/>
      <c r="B87" s="83">
        <v>46081</v>
      </c>
      <c r="C87" s="78" t="s">
        <v>215</v>
      </c>
      <c r="D87" s="78" t="s">
        <v>216</v>
      </c>
      <c r="E87" s="78" t="s">
        <v>195</v>
      </c>
      <c r="F87" s="79" t="s">
        <v>139</v>
      </c>
      <c r="G87" s="80" t="s">
        <v>145</v>
      </c>
      <c r="H87" s="79" t="s">
        <v>157</v>
      </c>
      <c r="I87" s="61"/>
      <c r="J87" s="61"/>
      <c r="K87" s="61"/>
      <c r="L87" s="61"/>
      <c r="M87" s="61"/>
      <c r="N87" s="61"/>
    </row>
    <row r="88" spans="1:14" x14ac:dyDescent="0.35">
      <c r="A88" s="61"/>
      <c r="B88" s="83">
        <v>46081</v>
      </c>
      <c r="C88" s="78" t="s">
        <v>217</v>
      </c>
      <c r="D88" s="78" t="s">
        <v>218</v>
      </c>
      <c r="E88" s="78" t="s">
        <v>160</v>
      </c>
      <c r="F88" s="79" t="s">
        <v>139</v>
      </c>
      <c r="G88" s="80" t="s">
        <v>145</v>
      </c>
      <c r="H88" s="79" t="s">
        <v>157</v>
      </c>
      <c r="I88" s="61"/>
      <c r="J88" s="61"/>
      <c r="K88" s="61"/>
      <c r="L88" s="61"/>
      <c r="M88" s="61"/>
      <c r="N88" s="61"/>
    </row>
    <row r="89" spans="1:14" x14ac:dyDescent="0.35">
      <c r="A89" s="61"/>
      <c r="B89" s="83">
        <v>46081</v>
      </c>
      <c r="C89" s="78" t="s">
        <v>219</v>
      </c>
      <c r="D89" s="78" t="s">
        <v>220</v>
      </c>
      <c r="E89" s="78" t="s">
        <v>160</v>
      </c>
      <c r="F89" s="79" t="s">
        <v>139</v>
      </c>
      <c r="G89" s="80" t="s">
        <v>145</v>
      </c>
      <c r="H89" s="79" t="s">
        <v>157</v>
      </c>
      <c r="I89" s="61"/>
      <c r="J89" s="61"/>
      <c r="K89" s="61"/>
      <c r="L89" s="61"/>
      <c r="M89" s="61"/>
      <c r="N89" s="61"/>
    </row>
    <row r="90" spans="1:14" x14ac:dyDescent="0.35">
      <c r="A90" s="61"/>
      <c r="B90" s="83">
        <v>46081</v>
      </c>
      <c r="C90" s="78" t="s">
        <v>221</v>
      </c>
      <c r="D90" s="78" t="s">
        <v>222</v>
      </c>
      <c r="E90" s="78" t="s">
        <v>160</v>
      </c>
      <c r="F90" s="79" t="s">
        <v>156</v>
      </c>
      <c r="G90" s="80" t="s">
        <v>115</v>
      </c>
      <c r="H90" s="79" t="s">
        <v>157</v>
      </c>
      <c r="I90" s="61"/>
      <c r="J90" s="61"/>
      <c r="K90" s="61"/>
      <c r="L90" s="61"/>
      <c r="M90" s="61"/>
      <c r="N90" s="61"/>
    </row>
    <row r="91" spans="1:14" x14ac:dyDescent="0.35">
      <c r="A91" s="61"/>
      <c r="B91" s="83">
        <v>46081</v>
      </c>
      <c r="C91" s="78" t="s">
        <v>223</v>
      </c>
      <c r="D91" s="78" t="s">
        <v>224</v>
      </c>
      <c r="E91" s="78" t="s">
        <v>160</v>
      </c>
      <c r="F91" s="79" t="s">
        <v>139</v>
      </c>
      <c r="G91" s="80" t="s">
        <v>145</v>
      </c>
      <c r="H91" s="79" t="s">
        <v>157</v>
      </c>
      <c r="I91" s="61"/>
      <c r="J91" s="61"/>
      <c r="K91" s="61"/>
      <c r="L91" s="61"/>
      <c r="M91" s="61"/>
      <c r="N91" s="61"/>
    </row>
    <row r="92" spans="1:14" x14ac:dyDescent="0.35">
      <c r="A92" s="61"/>
      <c r="B92" s="83">
        <v>46081</v>
      </c>
      <c r="C92" s="78" t="s">
        <v>225</v>
      </c>
      <c r="D92" s="78" t="s">
        <v>226</v>
      </c>
      <c r="E92" s="78" t="s">
        <v>227</v>
      </c>
      <c r="F92" s="79" t="s">
        <v>139</v>
      </c>
      <c r="G92" s="80" t="s">
        <v>149</v>
      </c>
      <c r="H92" s="79" t="s">
        <v>157</v>
      </c>
      <c r="I92" s="61"/>
      <c r="J92" s="61"/>
      <c r="K92" s="61"/>
      <c r="L92" s="61"/>
      <c r="M92" s="61"/>
      <c r="N92" s="61"/>
    </row>
    <row r="93" spans="1:14" x14ac:dyDescent="0.35">
      <c r="A93" s="61"/>
      <c r="B93" s="83">
        <v>46081</v>
      </c>
      <c r="C93" s="78" t="s">
        <v>228</v>
      </c>
      <c r="D93" s="78" t="s">
        <v>229</v>
      </c>
      <c r="E93" s="78" t="s">
        <v>160</v>
      </c>
      <c r="F93" s="79" t="s">
        <v>139</v>
      </c>
      <c r="G93" s="80" t="s">
        <v>145</v>
      </c>
      <c r="H93" s="79" t="s">
        <v>157</v>
      </c>
      <c r="I93" s="61"/>
      <c r="J93" s="61"/>
      <c r="K93" s="61"/>
      <c r="L93" s="61"/>
      <c r="M93" s="61"/>
      <c r="N93" s="61"/>
    </row>
    <row r="94" spans="1:14" x14ac:dyDescent="0.35">
      <c r="A94" s="61"/>
      <c r="B94" s="83">
        <v>46081</v>
      </c>
      <c r="C94" s="78" t="s">
        <v>230</v>
      </c>
      <c r="D94" s="78" t="s">
        <v>231</v>
      </c>
      <c r="E94" s="78" t="s">
        <v>148</v>
      </c>
      <c r="F94" s="79" t="s">
        <v>139</v>
      </c>
      <c r="G94" s="80" t="s">
        <v>149</v>
      </c>
      <c r="H94" s="79" t="s">
        <v>157</v>
      </c>
      <c r="I94" s="61"/>
      <c r="J94" s="61"/>
      <c r="K94" s="61"/>
      <c r="L94" s="61"/>
      <c r="M94" s="61"/>
      <c r="N94" s="61"/>
    </row>
    <row r="95" spans="1:14" x14ac:dyDescent="0.35">
      <c r="A95" s="61"/>
      <c r="B95" s="83">
        <v>46083</v>
      </c>
      <c r="C95" s="78" t="s">
        <v>232</v>
      </c>
      <c r="D95" s="78" t="s">
        <v>233</v>
      </c>
      <c r="E95" s="78" t="s">
        <v>148</v>
      </c>
      <c r="F95" s="79" t="s">
        <v>139</v>
      </c>
      <c r="G95" s="80" t="s">
        <v>149</v>
      </c>
      <c r="H95" s="79" t="s">
        <v>234</v>
      </c>
      <c r="I95" s="61"/>
      <c r="J95" s="61"/>
      <c r="K95" s="61"/>
      <c r="L95" s="61"/>
      <c r="M95" s="61"/>
      <c r="N95" s="61"/>
    </row>
    <row r="96" spans="1:14" x14ac:dyDescent="0.35">
      <c r="A96" s="61"/>
      <c r="B96" s="83">
        <v>46084</v>
      </c>
      <c r="C96" s="78" t="s">
        <v>235</v>
      </c>
      <c r="D96" s="78" t="s">
        <v>236</v>
      </c>
      <c r="E96" s="78" t="s">
        <v>195</v>
      </c>
      <c r="F96" s="79" t="s">
        <v>139</v>
      </c>
      <c r="G96" s="80" t="s">
        <v>145</v>
      </c>
      <c r="H96" s="79" t="s">
        <v>234</v>
      </c>
      <c r="I96" s="61"/>
      <c r="J96" s="61"/>
      <c r="K96" s="61"/>
      <c r="L96" s="61"/>
      <c r="M96" s="61"/>
      <c r="N96" s="61"/>
    </row>
    <row r="97" spans="1:14" x14ac:dyDescent="0.35">
      <c r="A97" s="61"/>
      <c r="B97" s="83">
        <v>46084</v>
      </c>
      <c r="C97" s="78" t="s">
        <v>237</v>
      </c>
      <c r="D97" s="78" t="s">
        <v>238</v>
      </c>
      <c r="E97" s="78" t="s">
        <v>148</v>
      </c>
      <c r="F97" s="79" t="s">
        <v>156</v>
      </c>
      <c r="G97" s="80" t="s">
        <v>149</v>
      </c>
      <c r="H97" s="79" t="s">
        <v>234</v>
      </c>
      <c r="I97" s="61"/>
      <c r="J97" s="61"/>
      <c r="K97" s="61"/>
      <c r="L97" s="61"/>
      <c r="M97" s="61"/>
      <c r="N97" s="61"/>
    </row>
    <row r="98" spans="1:14" x14ac:dyDescent="0.35">
      <c r="A98" s="61"/>
      <c r="B98" s="83">
        <v>46086</v>
      </c>
      <c r="C98" s="78" t="s">
        <v>239</v>
      </c>
      <c r="D98" s="78" t="s">
        <v>240</v>
      </c>
      <c r="E98" s="78" t="s">
        <v>148</v>
      </c>
      <c r="F98" s="79" t="s">
        <v>156</v>
      </c>
      <c r="G98" s="80" t="s">
        <v>149</v>
      </c>
      <c r="H98" s="79" t="s">
        <v>234</v>
      </c>
      <c r="I98" s="61"/>
      <c r="J98" s="61"/>
      <c r="K98" s="61"/>
      <c r="L98" s="61"/>
      <c r="M98" s="61"/>
      <c r="N98" s="61"/>
    </row>
    <row r="99" spans="1:14" x14ac:dyDescent="0.35">
      <c r="A99" s="61"/>
      <c r="B99" s="83">
        <v>46087</v>
      </c>
      <c r="C99" s="78" t="s">
        <v>241</v>
      </c>
      <c r="D99" s="78" t="s">
        <v>242</v>
      </c>
      <c r="E99" s="78" t="s">
        <v>144</v>
      </c>
      <c r="F99" s="79" t="s">
        <v>139</v>
      </c>
      <c r="G99" s="80" t="s">
        <v>145</v>
      </c>
      <c r="H99" s="79" t="s">
        <v>234</v>
      </c>
      <c r="I99" s="61"/>
      <c r="J99" s="61"/>
      <c r="K99" s="61"/>
      <c r="L99" s="61"/>
      <c r="M99" s="61"/>
      <c r="N99" s="61"/>
    </row>
    <row r="100" spans="1:14" x14ac:dyDescent="0.35">
      <c r="A100" s="61"/>
      <c r="B100" s="83">
        <v>46092</v>
      </c>
      <c r="C100" s="78" t="s">
        <v>243</v>
      </c>
      <c r="D100" s="78" t="s">
        <v>244</v>
      </c>
      <c r="E100" s="78" t="s">
        <v>148</v>
      </c>
      <c r="F100" s="79" t="s">
        <v>156</v>
      </c>
      <c r="G100" s="80" t="s">
        <v>149</v>
      </c>
      <c r="H100" s="79" t="s">
        <v>234</v>
      </c>
      <c r="I100" s="61"/>
      <c r="J100" s="61"/>
      <c r="K100" s="61"/>
      <c r="L100" s="61"/>
      <c r="M100" s="61"/>
      <c r="N100" s="61"/>
    </row>
    <row r="101" spans="1:14" x14ac:dyDescent="0.35">
      <c r="A101" s="61"/>
      <c r="B101" s="83">
        <v>46092</v>
      </c>
      <c r="C101" s="78" t="s">
        <v>245</v>
      </c>
      <c r="D101" s="78" t="s">
        <v>246</v>
      </c>
      <c r="E101" s="78" t="s">
        <v>148</v>
      </c>
      <c r="F101" s="79" t="s">
        <v>156</v>
      </c>
      <c r="G101" s="80" t="s">
        <v>149</v>
      </c>
      <c r="H101" s="79" t="s">
        <v>234</v>
      </c>
      <c r="I101" s="61"/>
      <c r="J101" s="61"/>
      <c r="K101" s="61"/>
      <c r="L101" s="61"/>
      <c r="M101" s="61"/>
      <c r="N101" s="61"/>
    </row>
    <row r="102" spans="1:14" x14ac:dyDescent="0.35">
      <c r="A102" s="61"/>
      <c r="B102" s="83">
        <v>46092</v>
      </c>
      <c r="C102" s="78" t="s">
        <v>247</v>
      </c>
      <c r="D102" s="78" t="s">
        <v>248</v>
      </c>
      <c r="E102" s="78" t="s">
        <v>249</v>
      </c>
      <c r="F102" s="79" t="s">
        <v>139</v>
      </c>
      <c r="G102" s="80" t="s">
        <v>145</v>
      </c>
      <c r="H102" s="79" t="s">
        <v>234</v>
      </c>
      <c r="I102" s="61"/>
      <c r="J102" s="61"/>
      <c r="K102" s="61"/>
      <c r="L102" s="61"/>
      <c r="M102" s="61"/>
      <c r="N102" s="61"/>
    </row>
    <row r="103" spans="1:14" x14ac:dyDescent="0.35">
      <c r="A103" s="61"/>
      <c r="B103" s="83">
        <v>46094</v>
      </c>
      <c r="C103" s="78" t="s">
        <v>250</v>
      </c>
      <c r="D103" s="78" t="s">
        <v>251</v>
      </c>
      <c r="E103" s="78" t="s">
        <v>148</v>
      </c>
      <c r="F103" s="79" t="s">
        <v>156</v>
      </c>
      <c r="G103" s="80" t="s">
        <v>149</v>
      </c>
      <c r="H103" s="79" t="s">
        <v>234</v>
      </c>
      <c r="I103" s="61"/>
      <c r="J103" s="61"/>
      <c r="K103" s="61"/>
      <c r="L103" s="61"/>
      <c r="M103" s="61"/>
      <c r="N103" s="61"/>
    </row>
    <row r="104" spans="1:14" x14ac:dyDescent="0.35">
      <c r="A104" s="61"/>
      <c r="B104" s="83">
        <v>46097</v>
      </c>
      <c r="C104" s="78" t="s">
        <v>252</v>
      </c>
      <c r="D104" s="78" t="s">
        <v>253</v>
      </c>
      <c r="E104" s="78" t="s">
        <v>148</v>
      </c>
      <c r="F104" s="79" t="s">
        <v>156</v>
      </c>
      <c r="G104" s="80" t="s">
        <v>149</v>
      </c>
      <c r="H104" s="79" t="s">
        <v>234</v>
      </c>
      <c r="I104" s="61"/>
      <c r="J104" s="61"/>
      <c r="K104" s="61"/>
      <c r="L104" s="61"/>
      <c r="M104" s="61"/>
      <c r="N104" s="61"/>
    </row>
    <row r="105" spans="1:14" x14ac:dyDescent="0.35">
      <c r="A105" s="61"/>
      <c r="B105" s="83">
        <v>46097</v>
      </c>
      <c r="C105" s="78" t="s">
        <v>254</v>
      </c>
      <c r="D105" s="78" t="s">
        <v>255</v>
      </c>
      <c r="E105" s="78" t="s">
        <v>148</v>
      </c>
      <c r="F105" s="79" t="s">
        <v>156</v>
      </c>
      <c r="G105" s="80" t="s">
        <v>149</v>
      </c>
      <c r="H105" s="79" t="s">
        <v>234</v>
      </c>
      <c r="I105" s="61"/>
      <c r="J105" s="61"/>
      <c r="K105" s="61"/>
      <c r="L105" s="61"/>
      <c r="M105" s="61"/>
      <c r="N105" s="61"/>
    </row>
    <row r="106" spans="1:14" x14ac:dyDescent="0.35">
      <c r="A106" s="61"/>
      <c r="B106" s="83">
        <v>46099</v>
      </c>
      <c r="C106" s="78" t="s">
        <v>256</v>
      </c>
      <c r="D106" s="78" t="s">
        <v>257</v>
      </c>
      <c r="E106" s="78" t="s">
        <v>192</v>
      </c>
      <c r="F106" s="79" t="s">
        <v>139</v>
      </c>
      <c r="G106" s="80" t="s">
        <v>145</v>
      </c>
      <c r="H106" s="79" t="s">
        <v>234</v>
      </c>
      <c r="I106" s="61"/>
      <c r="J106" s="61"/>
      <c r="K106" s="61"/>
      <c r="L106" s="61"/>
      <c r="M106" s="61"/>
      <c r="N106" s="61"/>
    </row>
    <row r="107" spans="1:14" x14ac:dyDescent="0.35">
      <c r="A107" s="61"/>
      <c r="B107" s="83">
        <v>46099</v>
      </c>
      <c r="C107" s="78" t="s">
        <v>258</v>
      </c>
      <c r="D107" s="78" t="s">
        <v>259</v>
      </c>
      <c r="E107" s="78" t="s">
        <v>148</v>
      </c>
      <c r="F107" s="79" t="s">
        <v>156</v>
      </c>
      <c r="G107" s="80" t="s">
        <v>149</v>
      </c>
      <c r="H107" s="79" t="s">
        <v>234</v>
      </c>
      <c r="I107" s="61"/>
      <c r="J107" s="61"/>
      <c r="K107" s="61"/>
      <c r="L107" s="61"/>
      <c r="M107" s="61"/>
      <c r="N107" s="61"/>
    </row>
    <row r="108" spans="1:14" x14ac:dyDescent="0.35">
      <c r="A108" s="61"/>
      <c r="B108" s="83">
        <v>46099</v>
      </c>
      <c r="C108" s="78" t="s">
        <v>260</v>
      </c>
      <c r="D108" s="78" t="s">
        <v>261</v>
      </c>
      <c r="E108" s="78" t="s">
        <v>148</v>
      </c>
      <c r="F108" s="79" t="s">
        <v>156</v>
      </c>
      <c r="G108" s="80" t="s">
        <v>149</v>
      </c>
      <c r="H108" s="79" t="s">
        <v>234</v>
      </c>
      <c r="I108" s="61"/>
      <c r="J108" s="61"/>
      <c r="K108" s="61"/>
      <c r="L108" s="61"/>
      <c r="M108" s="61"/>
      <c r="N108" s="61"/>
    </row>
    <row r="109" spans="1:14" x14ac:dyDescent="0.35">
      <c r="A109" s="61"/>
      <c r="B109" s="83">
        <v>46099</v>
      </c>
      <c r="C109" s="78" t="s">
        <v>262</v>
      </c>
      <c r="D109" s="78" t="s">
        <v>263</v>
      </c>
      <c r="E109" s="78" t="s">
        <v>148</v>
      </c>
      <c r="F109" s="79" t="s">
        <v>156</v>
      </c>
      <c r="G109" s="80" t="s">
        <v>149</v>
      </c>
      <c r="H109" s="79" t="s">
        <v>234</v>
      </c>
      <c r="I109" s="61"/>
      <c r="J109" s="61"/>
      <c r="K109" s="61"/>
      <c r="L109" s="61"/>
      <c r="M109" s="61"/>
      <c r="N109" s="61"/>
    </row>
    <row r="110" spans="1:14" x14ac:dyDescent="0.35">
      <c r="A110" s="61"/>
      <c r="B110" s="83">
        <v>46100</v>
      </c>
      <c r="C110" s="78" t="s">
        <v>264</v>
      </c>
      <c r="D110" s="78" t="s">
        <v>265</v>
      </c>
      <c r="E110" s="78" t="s">
        <v>195</v>
      </c>
      <c r="F110" s="79" t="s">
        <v>139</v>
      </c>
      <c r="G110" s="80" t="s">
        <v>145</v>
      </c>
      <c r="H110" s="79" t="s">
        <v>234</v>
      </c>
      <c r="I110" s="61"/>
      <c r="J110" s="61"/>
      <c r="K110" s="61"/>
      <c r="L110" s="61"/>
      <c r="M110" s="61"/>
      <c r="N110" s="61"/>
    </row>
    <row r="111" spans="1:14" x14ac:dyDescent="0.35">
      <c r="A111" s="61"/>
      <c r="B111" s="83">
        <v>46106</v>
      </c>
      <c r="C111" s="78" t="s">
        <v>266</v>
      </c>
      <c r="D111" s="78" t="s">
        <v>267</v>
      </c>
      <c r="E111" s="78" t="s">
        <v>268</v>
      </c>
      <c r="F111" s="79" t="s">
        <v>139</v>
      </c>
      <c r="G111" s="80" t="s">
        <v>145</v>
      </c>
      <c r="H111" s="79" t="s">
        <v>234</v>
      </c>
      <c r="I111" s="61"/>
      <c r="J111" s="61"/>
      <c r="K111" s="61"/>
      <c r="L111" s="61"/>
      <c r="M111" s="61"/>
      <c r="N111" s="61"/>
    </row>
    <row r="112" spans="1:14" x14ac:dyDescent="0.35">
      <c r="A112" s="61"/>
      <c r="B112" s="83">
        <v>46106</v>
      </c>
      <c r="C112" s="78" t="s">
        <v>269</v>
      </c>
      <c r="D112" s="78" t="s">
        <v>270</v>
      </c>
      <c r="E112" s="78" t="s">
        <v>138</v>
      </c>
      <c r="F112" s="79" t="s">
        <v>139</v>
      </c>
      <c r="G112" s="80" t="s">
        <v>140</v>
      </c>
      <c r="H112" s="79" t="s">
        <v>234</v>
      </c>
      <c r="I112" s="61"/>
      <c r="J112" s="61"/>
      <c r="K112" s="61"/>
      <c r="L112" s="61"/>
      <c r="M112" s="61"/>
      <c r="N112" s="61"/>
    </row>
    <row r="113" spans="1:14" x14ac:dyDescent="0.35">
      <c r="A113" s="61"/>
      <c r="B113" s="83">
        <v>46109</v>
      </c>
      <c r="C113" s="78" t="s">
        <v>271</v>
      </c>
      <c r="D113" s="78" t="s">
        <v>272</v>
      </c>
      <c r="E113" s="78" t="s">
        <v>268</v>
      </c>
      <c r="F113" s="79" t="s">
        <v>139</v>
      </c>
      <c r="G113" s="80" t="s">
        <v>145</v>
      </c>
      <c r="H113" s="79" t="s">
        <v>234</v>
      </c>
      <c r="I113" s="61"/>
      <c r="J113" s="61"/>
      <c r="K113" s="61"/>
      <c r="L113" s="61"/>
      <c r="M113" s="61"/>
      <c r="N113" s="61"/>
    </row>
    <row r="114" spans="1:14" x14ac:dyDescent="0.35">
      <c r="A114" s="61"/>
      <c r="B114" s="83">
        <v>46109</v>
      </c>
      <c r="C114" s="78" t="s">
        <v>273</v>
      </c>
      <c r="D114" s="78" t="s">
        <v>274</v>
      </c>
      <c r="E114" s="78" t="s">
        <v>268</v>
      </c>
      <c r="F114" s="79" t="s">
        <v>139</v>
      </c>
      <c r="G114" s="80" t="s">
        <v>145</v>
      </c>
      <c r="H114" s="79" t="s">
        <v>234</v>
      </c>
      <c r="I114" s="61"/>
      <c r="J114" s="61"/>
      <c r="K114" s="61"/>
      <c r="L114" s="61"/>
      <c r="M114" s="61"/>
      <c r="N114" s="61"/>
    </row>
    <row r="115" spans="1:14" x14ac:dyDescent="0.35">
      <c r="A115" s="61"/>
      <c r="B115" s="83">
        <v>46111</v>
      </c>
      <c r="C115" s="78" t="s">
        <v>275</v>
      </c>
      <c r="D115" s="78" t="s">
        <v>276</v>
      </c>
      <c r="E115" s="78" t="s">
        <v>160</v>
      </c>
      <c r="F115" s="79" t="s">
        <v>139</v>
      </c>
      <c r="G115" s="80" t="s">
        <v>145</v>
      </c>
      <c r="H115" s="79" t="s">
        <v>234</v>
      </c>
      <c r="I115" s="61"/>
      <c r="J115" s="61"/>
      <c r="K115" s="61"/>
      <c r="L115" s="61"/>
      <c r="M115" s="61"/>
      <c r="N115" s="61"/>
    </row>
    <row r="116" spans="1:14" x14ac:dyDescent="0.35">
      <c r="A116" s="61"/>
      <c r="B116" s="83">
        <v>46111</v>
      </c>
      <c r="C116" s="78" t="s">
        <v>277</v>
      </c>
      <c r="D116" s="78" t="s">
        <v>278</v>
      </c>
      <c r="E116" s="78" t="s">
        <v>148</v>
      </c>
      <c r="F116" s="79" t="s">
        <v>156</v>
      </c>
      <c r="G116" s="80" t="s">
        <v>149</v>
      </c>
      <c r="H116" s="79" t="s">
        <v>234</v>
      </c>
      <c r="I116" s="61"/>
      <c r="J116" s="61"/>
      <c r="K116" s="61"/>
      <c r="L116" s="61"/>
      <c r="M116" s="61"/>
      <c r="N116" s="61"/>
    </row>
    <row r="117" spans="1:14" x14ac:dyDescent="0.35">
      <c r="A117" s="61"/>
      <c r="B117" s="83">
        <v>46111</v>
      </c>
      <c r="C117" s="78" t="s">
        <v>279</v>
      </c>
      <c r="D117" s="78" t="s">
        <v>280</v>
      </c>
      <c r="E117" s="78" t="s">
        <v>148</v>
      </c>
      <c r="F117" s="79" t="s">
        <v>156</v>
      </c>
      <c r="G117" s="80" t="s">
        <v>149</v>
      </c>
      <c r="H117" s="79" t="s">
        <v>234</v>
      </c>
      <c r="I117" s="61"/>
      <c r="J117" s="61"/>
      <c r="K117" s="61"/>
      <c r="L117" s="61"/>
      <c r="M117" s="61"/>
      <c r="N117" s="61"/>
    </row>
    <row r="118" spans="1:14" x14ac:dyDescent="0.35">
      <c r="A118" s="61"/>
      <c r="B118" s="83">
        <v>46112</v>
      </c>
      <c r="C118" s="78" t="s">
        <v>281</v>
      </c>
      <c r="D118" s="78" t="s">
        <v>282</v>
      </c>
      <c r="E118" s="78" t="s">
        <v>268</v>
      </c>
      <c r="F118" s="79" t="s">
        <v>139</v>
      </c>
      <c r="G118" s="80" t="s">
        <v>145</v>
      </c>
      <c r="H118" s="79" t="s">
        <v>234</v>
      </c>
      <c r="I118" s="61"/>
      <c r="J118" s="61"/>
      <c r="K118" s="61"/>
      <c r="L118" s="61"/>
      <c r="M118" s="61"/>
      <c r="N118" s="61"/>
    </row>
    <row r="119" spans="1:14" x14ac:dyDescent="0.35">
      <c r="A119" s="61"/>
      <c r="B119" s="83">
        <v>46112</v>
      </c>
      <c r="C119" s="78" t="s">
        <v>283</v>
      </c>
      <c r="D119" s="78" t="s">
        <v>284</v>
      </c>
      <c r="E119" s="78" t="s">
        <v>285</v>
      </c>
      <c r="F119" s="79" t="s">
        <v>139</v>
      </c>
      <c r="G119" s="80" t="s">
        <v>145</v>
      </c>
      <c r="H119" s="79" t="s">
        <v>234</v>
      </c>
      <c r="I119" s="61"/>
      <c r="J119" s="61"/>
      <c r="K119" s="61"/>
      <c r="L119" s="61"/>
      <c r="M119" s="61"/>
      <c r="N119" s="61"/>
    </row>
    <row r="120" spans="1:14" x14ac:dyDescent="0.35">
      <c r="A120" s="61"/>
      <c r="B120" s="83">
        <v>46112</v>
      </c>
      <c r="C120" s="78" t="s">
        <v>286</v>
      </c>
      <c r="D120" s="78" t="s">
        <v>287</v>
      </c>
      <c r="E120" s="78" t="s">
        <v>170</v>
      </c>
      <c r="F120" s="79" t="s">
        <v>139</v>
      </c>
      <c r="G120" s="80" t="s">
        <v>145</v>
      </c>
      <c r="H120" s="79" t="s">
        <v>234</v>
      </c>
      <c r="I120" s="61"/>
      <c r="J120" s="61"/>
      <c r="K120" s="61"/>
      <c r="L120" s="61"/>
      <c r="M120" s="61"/>
      <c r="N120" s="61"/>
    </row>
    <row r="121" spans="1:14" x14ac:dyDescent="0.35">
      <c r="A121" s="61"/>
      <c r="B121" s="83">
        <v>46112</v>
      </c>
      <c r="C121" s="78" t="s">
        <v>288</v>
      </c>
      <c r="D121" s="78" t="s">
        <v>289</v>
      </c>
      <c r="E121" s="78" t="s">
        <v>148</v>
      </c>
      <c r="F121" s="79" t="s">
        <v>139</v>
      </c>
      <c r="G121" s="80" t="s">
        <v>149</v>
      </c>
      <c r="H121" s="79" t="s">
        <v>234</v>
      </c>
      <c r="I121" s="61"/>
      <c r="J121" s="61"/>
      <c r="K121" s="61"/>
      <c r="L121" s="61"/>
      <c r="M121" s="61"/>
      <c r="N121" s="61"/>
    </row>
    <row r="122" spans="1:14" x14ac:dyDescent="0.35">
      <c r="A122" s="61"/>
      <c r="B122" s="83">
        <v>46112</v>
      </c>
      <c r="C122" s="78" t="s">
        <v>290</v>
      </c>
      <c r="D122" s="78" t="s">
        <v>291</v>
      </c>
      <c r="E122" s="78" t="s">
        <v>292</v>
      </c>
      <c r="F122" s="79" t="s">
        <v>139</v>
      </c>
      <c r="G122" s="80" t="s">
        <v>145</v>
      </c>
      <c r="H122" s="79" t="s">
        <v>234</v>
      </c>
      <c r="I122" s="61"/>
      <c r="J122" s="61"/>
      <c r="K122" s="61"/>
      <c r="L122" s="61"/>
      <c r="M122" s="61"/>
      <c r="N122" s="61"/>
    </row>
    <row r="123" spans="1:14" x14ac:dyDescent="0.35">
      <c r="A123" s="61"/>
      <c r="B123" s="83">
        <v>46113</v>
      </c>
      <c r="C123" s="78" t="s">
        <v>293</v>
      </c>
      <c r="D123" s="78" t="s">
        <v>294</v>
      </c>
      <c r="E123" s="78" t="s">
        <v>249</v>
      </c>
      <c r="F123" s="79" t="s">
        <v>139</v>
      </c>
      <c r="G123" s="80" t="s">
        <v>145</v>
      </c>
      <c r="H123" s="79" t="s">
        <v>295</v>
      </c>
      <c r="I123" s="61"/>
      <c r="J123" s="61"/>
      <c r="K123" s="61"/>
      <c r="L123" s="61"/>
      <c r="M123" s="61"/>
      <c r="N123" s="61"/>
    </row>
    <row r="124" spans="1:14" x14ac:dyDescent="0.35">
      <c r="A124" s="61"/>
      <c r="B124" s="83">
        <v>46113</v>
      </c>
      <c r="C124" s="78" t="s">
        <v>296</v>
      </c>
      <c r="D124" s="78" t="s">
        <v>297</v>
      </c>
      <c r="E124" s="78" t="s">
        <v>200</v>
      </c>
      <c r="F124" s="79" t="s">
        <v>139</v>
      </c>
      <c r="G124" s="80" t="s">
        <v>145</v>
      </c>
      <c r="H124" s="79" t="s">
        <v>295</v>
      </c>
      <c r="I124" s="61"/>
      <c r="J124" s="61"/>
      <c r="K124" s="61"/>
      <c r="L124" s="61"/>
      <c r="M124" s="61"/>
      <c r="N124" s="61"/>
    </row>
    <row r="125" spans="1:14" x14ac:dyDescent="0.35">
      <c r="A125" s="61"/>
      <c r="B125" s="83">
        <v>46114</v>
      </c>
      <c r="C125" s="78" t="s">
        <v>298</v>
      </c>
      <c r="D125" s="78" t="s">
        <v>299</v>
      </c>
      <c r="E125" s="78" t="s">
        <v>227</v>
      </c>
      <c r="F125" s="79" t="s">
        <v>156</v>
      </c>
      <c r="G125" s="80" t="s">
        <v>149</v>
      </c>
      <c r="H125" s="79" t="s">
        <v>295</v>
      </c>
      <c r="I125" s="61"/>
      <c r="J125" s="61"/>
      <c r="K125" s="61"/>
      <c r="L125" s="61"/>
      <c r="M125" s="61"/>
      <c r="N125" s="61"/>
    </row>
    <row r="126" spans="1:14" x14ac:dyDescent="0.35">
      <c r="A126" s="61"/>
      <c r="B126" s="83">
        <v>46114</v>
      </c>
      <c r="C126" s="78" t="s">
        <v>300</v>
      </c>
      <c r="D126" s="78" t="s">
        <v>301</v>
      </c>
      <c r="E126" s="78" t="s">
        <v>148</v>
      </c>
      <c r="F126" s="79" t="s">
        <v>139</v>
      </c>
      <c r="G126" s="80" t="s">
        <v>149</v>
      </c>
      <c r="H126" s="79" t="s">
        <v>295</v>
      </c>
      <c r="I126" s="61"/>
      <c r="J126" s="61"/>
      <c r="K126" s="61"/>
      <c r="L126" s="61"/>
      <c r="M126" s="61"/>
      <c r="N126" s="61"/>
    </row>
    <row r="127" spans="1:14" x14ac:dyDescent="0.35">
      <c r="A127" s="61"/>
      <c r="B127" s="83">
        <v>46114</v>
      </c>
      <c r="C127" s="78" t="s">
        <v>302</v>
      </c>
      <c r="D127" s="78" t="s">
        <v>303</v>
      </c>
      <c r="E127" s="78" t="s">
        <v>227</v>
      </c>
      <c r="F127" s="79" t="s">
        <v>156</v>
      </c>
      <c r="G127" s="80" t="s">
        <v>149</v>
      </c>
      <c r="H127" s="79" t="s">
        <v>295</v>
      </c>
      <c r="I127" s="61"/>
      <c r="J127" s="61"/>
      <c r="K127" s="61"/>
      <c r="L127" s="61"/>
      <c r="M127" s="61"/>
      <c r="N127" s="61"/>
    </row>
    <row r="128" spans="1:14" x14ac:dyDescent="0.35">
      <c r="A128" s="61"/>
      <c r="B128" s="83">
        <v>46114</v>
      </c>
      <c r="C128" s="78" t="s">
        <v>304</v>
      </c>
      <c r="D128" s="78" t="s">
        <v>305</v>
      </c>
      <c r="E128" s="78" t="s">
        <v>227</v>
      </c>
      <c r="F128" s="79" t="s">
        <v>139</v>
      </c>
      <c r="G128" s="80" t="s">
        <v>149</v>
      </c>
      <c r="H128" s="79" t="s">
        <v>295</v>
      </c>
      <c r="I128" s="61"/>
      <c r="J128" s="61"/>
      <c r="K128" s="61"/>
      <c r="L128" s="61"/>
      <c r="M128" s="61"/>
      <c r="N128" s="61"/>
    </row>
    <row r="129" spans="1:14" x14ac:dyDescent="0.35">
      <c r="A129" s="61"/>
      <c r="B129" s="83">
        <v>46114</v>
      </c>
      <c r="C129" s="78" t="s">
        <v>306</v>
      </c>
      <c r="D129" s="78" t="s">
        <v>307</v>
      </c>
      <c r="E129" s="78" t="s">
        <v>227</v>
      </c>
      <c r="F129" s="79" t="s">
        <v>156</v>
      </c>
      <c r="G129" s="80" t="s">
        <v>149</v>
      </c>
      <c r="H129" s="79" t="s">
        <v>295</v>
      </c>
      <c r="I129" s="61"/>
      <c r="J129" s="61"/>
      <c r="K129" s="61"/>
      <c r="L129" s="61"/>
      <c r="M129" s="61"/>
      <c r="N129" s="61"/>
    </row>
    <row r="130" spans="1:14" x14ac:dyDescent="0.35">
      <c r="A130" s="61"/>
      <c r="B130" s="83">
        <v>46116</v>
      </c>
      <c r="C130" s="78" t="s">
        <v>308</v>
      </c>
      <c r="D130" s="78" t="s">
        <v>309</v>
      </c>
      <c r="E130" s="78" t="s">
        <v>285</v>
      </c>
      <c r="F130" s="79" t="s">
        <v>139</v>
      </c>
      <c r="G130" s="80" t="s">
        <v>145</v>
      </c>
      <c r="H130" s="79" t="s">
        <v>295</v>
      </c>
      <c r="I130" s="61"/>
      <c r="J130" s="61"/>
      <c r="K130" s="61"/>
      <c r="L130" s="61"/>
      <c r="M130" s="61"/>
      <c r="N130" s="61"/>
    </row>
    <row r="131" spans="1:14" x14ac:dyDescent="0.35">
      <c r="A131" s="61"/>
      <c r="B131" s="83">
        <v>46118</v>
      </c>
      <c r="C131" s="78" t="s">
        <v>310</v>
      </c>
      <c r="D131" s="78" t="s">
        <v>311</v>
      </c>
      <c r="E131" s="78" t="s">
        <v>227</v>
      </c>
      <c r="F131" s="79" t="s">
        <v>156</v>
      </c>
      <c r="G131" s="80" t="s">
        <v>149</v>
      </c>
      <c r="H131" s="79" t="s">
        <v>295</v>
      </c>
      <c r="I131" s="61"/>
      <c r="J131" s="61"/>
      <c r="K131" s="61"/>
      <c r="L131" s="61"/>
      <c r="M131" s="61"/>
      <c r="N131" s="61"/>
    </row>
    <row r="132" spans="1:14" x14ac:dyDescent="0.35">
      <c r="A132" s="61"/>
      <c r="B132" s="83">
        <v>46119</v>
      </c>
      <c r="C132" s="78" t="s">
        <v>312</v>
      </c>
      <c r="D132" s="78" t="s">
        <v>313</v>
      </c>
      <c r="E132" s="78" t="s">
        <v>148</v>
      </c>
      <c r="F132" s="79" t="s">
        <v>156</v>
      </c>
      <c r="G132" s="80" t="s">
        <v>149</v>
      </c>
      <c r="H132" s="79" t="s">
        <v>295</v>
      </c>
      <c r="I132" s="61"/>
      <c r="J132" s="61"/>
      <c r="K132" s="61"/>
      <c r="L132" s="61"/>
      <c r="M132" s="61"/>
      <c r="N132" s="61"/>
    </row>
    <row r="133" spans="1:14" x14ac:dyDescent="0.35">
      <c r="A133" s="61"/>
      <c r="B133" s="83">
        <v>46120</v>
      </c>
      <c r="C133" s="78" t="s">
        <v>314</v>
      </c>
      <c r="D133" s="78" t="s">
        <v>315</v>
      </c>
      <c r="E133" s="78" t="s">
        <v>227</v>
      </c>
      <c r="F133" s="79" t="s">
        <v>139</v>
      </c>
      <c r="G133" s="80" t="s">
        <v>149</v>
      </c>
      <c r="H133" s="79" t="s">
        <v>295</v>
      </c>
      <c r="I133" s="61"/>
      <c r="J133" s="61"/>
      <c r="K133" s="61"/>
      <c r="L133" s="61"/>
      <c r="M133" s="61"/>
      <c r="N133" s="61"/>
    </row>
    <row r="134" spans="1:14" x14ac:dyDescent="0.35">
      <c r="A134" s="61"/>
      <c r="B134" s="83">
        <v>46120</v>
      </c>
      <c r="C134" s="78" t="s">
        <v>316</v>
      </c>
      <c r="D134" s="78" t="s">
        <v>317</v>
      </c>
      <c r="E134" s="78" t="s">
        <v>148</v>
      </c>
      <c r="F134" s="79" t="s">
        <v>139</v>
      </c>
      <c r="G134" s="80" t="s">
        <v>149</v>
      </c>
      <c r="H134" s="79" t="s">
        <v>295</v>
      </c>
      <c r="I134" s="61"/>
      <c r="J134" s="61"/>
      <c r="K134" s="61"/>
      <c r="L134" s="61"/>
      <c r="M134" s="61"/>
      <c r="N134" s="61"/>
    </row>
    <row r="135" spans="1:14" x14ac:dyDescent="0.35">
      <c r="A135" s="61"/>
      <c r="B135" s="83">
        <v>46120</v>
      </c>
      <c r="C135" s="78" t="s">
        <v>318</v>
      </c>
      <c r="D135" s="78" t="s">
        <v>319</v>
      </c>
      <c r="E135" s="78" t="s">
        <v>148</v>
      </c>
      <c r="F135" s="79" t="s">
        <v>139</v>
      </c>
      <c r="G135" s="80" t="s">
        <v>149</v>
      </c>
      <c r="H135" s="79" t="s">
        <v>295</v>
      </c>
      <c r="I135" s="61"/>
      <c r="J135" s="61"/>
      <c r="K135" s="61"/>
      <c r="L135" s="61"/>
      <c r="M135" s="61"/>
      <c r="N135" s="61"/>
    </row>
    <row r="136" spans="1:14" x14ac:dyDescent="0.35">
      <c r="A136" s="61"/>
      <c r="B136" s="83">
        <v>46120</v>
      </c>
      <c r="C136" s="78" t="s">
        <v>320</v>
      </c>
      <c r="D136" s="78" t="s">
        <v>321</v>
      </c>
      <c r="E136" s="78" t="s">
        <v>148</v>
      </c>
      <c r="F136" s="79" t="s">
        <v>139</v>
      </c>
      <c r="G136" s="80" t="s">
        <v>149</v>
      </c>
      <c r="H136" s="79" t="s">
        <v>295</v>
      </c>
      <c r="I136" s="61"/>
      <c r="J136" s="61"/>
      <c r="K136" s="61"/>
      <c r="L136" s="61"/>
      <c r="M136" s="61"/>
      <c r="N136" s="61"/>
    </row>
    <row r="137" spans="1:14" x14ac:dyDescent="0.35">
      <c r="A137" s="61"/>
      <c r="B137" s="83">
        <v>46123</v>
      </c>
      <c r="C137" s="78" t="s">
        <v>322</v>
      </c>
      <c r="D137" s="78" t="s">
        <v>323</v>
      </c>
      <c r="E137" s="78" t="s">
        <v>195</v>
      </c>
      <c r="F137" s="79" t="s">
        <v>139</v>
      </c>
      <c r="G137" s="80" t="s">
        <v>145</v>
      </c>
      <c r="H137" s="79" t="s">
        <v>295</v>
      </c>
      <c r="I137" s="61"/>
      <c r="J137" s="61"/>
      <c r="K137" s="61"/>
      <c r="L137" s="61"/>
      <c r="M137" s="61"/>
      <c r="N137" s="61"/>
    </row>
    <row r="138" spans="1:14" x14ac:dyDescent="0.35">
      <c r="A138" s="61"/>
      <c r="B138" s="83">
        <v>46125</v>
      </c>
      <c r="C138" s="78" t="s">
        <v>324</v>
      </c>
      <c r="D138" s="78" t="s">
        <v>325</v>
      </c>
      <c r="E138" s="78" t="s">
        <v>292</v>
      </c>
      <c r="F138" s="79" t="s">
        <v>139</v>
      </c>
      <c r="G138" s="80" t="s">
        <v>145</v>
      </c>
      <c r="H138" s="79" t="s">
        <v>295</v>
      </c>
      <c r="I138" s="61"/>
      <c r="J138" s="61"/>
      <c r="K138" s="61"/>
      <c r="L138" s="61"/>
      <c r="M138" s="61"/>
      <c r="N138" s="61"/>
    </row>
    <row r="139" spans="1:14" x14ac:dyDescent="0.35">
      <c r="A139" s="61"/>
      <c r="B139" s="83">
        <v>46125</v>
      </c>
      <c r="C139" s="78" t="s">
        <v>326</v>
      </c>
      <c r="D139" s="78" t="s">
        <v>327</v>
      </c>
      <c r="E139" s="78" t="s">
        <v>249</v>
      </c>
      <c r="F139" s="79" t="s">
        <v>139</v>
      </c>
      <c r="G139" s="80" t="s">
        <v>145</v>
      </c>
      <c r="H139" s="79" t="s">
        <v>295</v>
      </c>
      <c r="I139" s="61"/>
      <c r="J139" s="61"/>
      <c r="K139" s="61"/>
      <c r="L139" s="61"/>
      <c r="M139" s="61"/>
      <c r="N139" s="61"/>
    </row>
    <row r="140" spans="1:14" x14ac:dyDescent="0.35">
      <c r="A140" s="61"/>
      <c r="B140" s="83">
        <v>46130</v>
      </c>
      <c r="C140" s="78" t="s">
        <v>328</v>
      </c>
      <c r="D140" s="78" t="s">
        <v>329</v>
      </c>
      <c r="E140" s="78" t="s">
        <v>285</v>
      </c>
      <c r="F140" s="79" t="s">
        <v>139</v>
      </c>
      <c r="G140" s="80" t="s">
        <v>145</v>
      </c>
      <c r="H140" s="79" t="s">
        <v>295</v>
      </c>
      <c r="I140" s="61"/>
      <c r="J140" s="61"/>
      <c r="K140" s="61"/>
      <c r="L140" s="61"/>
      <c r="M140" s="61"/>
      <c r="N140" s="61"/>
    </row>
    <row r="141" spans="1:14" x14ac:dyDescent="0.35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</row>
    <row r="142" spans="1:14" ht="15" thickBot="1" x14ac:dyDescent="0.4">
      <c r="A142" s="61"/>
      <c r="B142" s="84" t="s">
        <v>330</v>
      </c>
      <c r="C142" s="85"/>
      <c r="D142" s="85"/>
      <c r="E142" s="85"/>
      <c r="F142" s="85"/>
      <c r="G142" s="85"/>
      <c r="H142" s="85"/>
      <c r="I142" s="61"/>
      <c r="J142" s="61"/>
      <c r="K142" s="61"/>
      <c r="L142" s="61"/>
      <c r="M142" s="61"/>
      <c r="N142" s="61"/>
    </row>
    <row r="143" spans="1:14" ht="22" customHeight="1" x14ac:dyDescent="0.35">
      <c r="A143" s="61"/>
      <c r="B143" s="88" t="s">
        <v>134</v>
      </c>
      <c r="C143" s="87" t="s">
        <v>341</v>
      </c>
      <c r="D143" s="87" t="s">
        <v>342</v>
      </c>
      <c r="E143" s="87" t="s">
        <v>343</v>
      </c>
      <c r="F143" s="87" t="s">
        <v>344</v>
      </c>
      <c r="G143" s="89" t="s">
        <v>331</v>
      </c>
      <c r="H143" s="89"/>
      <c r="I143" s="61"/>
      <c r="J143" s="61"/>
      <c r="K143" s="61"/>
      <c r="L143" s="61"/>
      <c r="M143" s="61"/>
      <c r="N143" s="61"/>
    </row>
    <row r="144" spans="1:14" x14ac:dyDescent="0.35">
      <c r="A144" s="61"/>
      <c r="B144" s="61" t="s">
        <v>23</v>
      </c>
      <c r="C144" s="81">
        <f>COUNTIFS($G$57:$G$140,"Property Non-Renewal",$H$57:$H$140,"2026-01")</f>
        <v>1</v>
      </c>
      <c r="D144" s="81">
        <f>COUNTIFS($G$57:$G$140,"Property Non-Renewal",$H$57:$H$140,"2026-02")</f>
        <v>1</v>
      </c>
      <c r="E144" s="81">
        <f>COUNTIFS($G$57:$G$140,"Property Non-Renewal",$H$57:$H$140,"2026-03")</f>
        <v>1</v>
      </c>
      <c r="F144" s="81">
        <f>COUNTIFS($G$57:$G$140,"Property Non-Renewal",$H$57:$H$140,"2026-04")</f>
        <v>0</v>
      </c>
      <c r="G144" s="71">
        <f>SUM(C144:F144)</f>
        <v>3</v>
      </c>
      <c r="H144" s="61"/>
      <c r="I144" s="61"/>
      <c r="J144" s="61"/>
      <c r="K144" s="61"/>
      <c r="L144" s="61"/>
      <c r="M144" s="61"/>
      <c r="N144" s="61"/>
    </row>
    <row r="145" spans="1:14" x14ac:dyDescent="0.35">
      <c r="A145" s="61"/>
      <c r="B145" s="61" t="s">
        <v>332</v>
      </c>
      <c r="C145" s="81">
        <f>COUNTIFS($G$57:$G$140,"Early MO",$H$57:$H$140,"2026-01")</f>
        <v>0</v>
      </c>
      <c r="D145" s="81">
        <f>COUNTIFS($G$57:$G$140,"Early MO",$H$57:$H$140,"2026-02")</f>
        <v>6</v>
      </c>
      <c r="E145" s="81">
        <f>COUNTIFS($G$57:$G$140,"Early MO",$H$57:$H$140,"2026-03")</f>
        <v>0</v>
      </c>
      <c r="F145" s="81">
        <f>COUNTIFS($G$57:$G$140,"Early MO",$H$57:$H$140,"2026-04")</f>
        <v>0</v>
      </c>
      <c r="G145" s="71">
        <f>SUM(C145:F145)</f>
        <v>6</v>
      </c>
      <c r="H145" s="61"/>
      <c r="I145" s="61"/>
      <c r="J145" s="61"/>
      <c r="K145" s="61"/>
      <c r="L145" s="61"/>
      <c r="M145" s="61"/>
      <c r="N145" s="61"/>
    </row>
    <row r="146" spans="1:14" x14ac:dyDescent="0.35">
      <c r="A146" s="61"/>
      <c r="B146" s="61" t="s">
        <v>333</v>
      </c>
      <c r="C146" s="81">
        <f>COUNTIFS($G$57:$G$140,"NTV MO",$H$57:$H$140,"2026-01")</f>
        <v>1</v>
      </c>
      <c r="D146" s="81">
        <f>COUNTIFS($G$57:$G$140,"NTV MO",$H$57:$H$140,"2026-02")</f>
        <v>15</v>
      </c>
      <c r="E146" s="81">
        <f>COUNTIFS($G$57:$G$140,"NTV MO",$H$57:$H$140,"2026-03")</f>
        <v>13</v>
      </c>
      <c r="F146" s="81">
        <f>COUNTIFS($G$57:$G$140,"NTV MO",$H$57:$H$140,"2026-04")</f>
        <v>7</v>
      </c>
      <c r="G146" s="71">
        <f>SUM(C146:F146)</f>
        <v>36</v>
      </c>
      <c r="H146" s="61"/>
      <c r="I146" s="61"/>
      <c r="J146" s="61"/>
      <c r="K146" s="61"/>
      <c r="L146" s="61"/>
      <c r="M146" s="61"/>
      <c r="N146" s="61"/>
    </row>
    <row r="147" spans="1:14" x14ac:dyDescent="0.35">
      <c r="A147" s="61"/>
      <c r="B147" s="61" t="s">
        <v>334</v>
      </c>
      <c r="C147" s="81">
        <f>COUNTIFS($G$57:$G$140,"Skips/FTP",$H$57:$H$140,"2026-01")</f>
        <v>3</v>
      </c>
      <c r="D147" s="81">
        <f>COUNTIFS($G$57:$G$140,"Skips/FTP",$H$57:$H$140,"2026-02")</f>
        <v>10</v>
      </c>
      <c r="E147" s="81">
        <f>COUNTIFS($G$57:$G$140,"Skips/FTP",$H$57:$H$140,"2026-03")</f>
        <v>14</v>
      </c>
      <c r="F147" s="81">
        <f>COUNTIFS($G$57:$G$140,"Skips/FTP",$H$57:$H$140,"2026-04")</f>
        <v>11</v>
      </c>
      <c r="G147" s="71">
        <f>SUM(C147:F147)</f>
        <v>38</v>
      </c>
      <c r="H147" s="61"/>
      <c r="I147" s="61"/>
      <c r="J147" s="61"/>
      <c r="K147" s="61"/>
      <c r="L147" s="61"/>
      <c r="M147" s="61"/>
      <c r="N147" s="61"/>
    </row>
    <row r="148" spans="1:14" x14ac:dyDescent="0.35">
      <c r="A148" s="61"/>
      <c r="B148" s="61" t="s">
        <v>335</v>
      </c>
      <c r="C148" s="81">
        <f>COUNTIFS($G$57:$G$140,"Formal Eviction",$H$57:$H$140,"2026-01")</f>
        <v>0</v>
      </c>
      <c r="D148" s="81">
        <f>COUNTIFS($G$57:$G$140,"Formal Eviction",$H$57:$H$140,"2026-02")</f>
        <v>1</v>
      </c>
      <c r="E148" s="81">
        <f>COUNTIFS($G$57:$G$140,"Formal Eviction",$H$57:$H$140,"2026-03")</f>
        <v>0</v>
      </c>
      <c r="F148" s="81">
        <f>COUNTIFS($G$57:$G$140,"Formal Eviction",$H$57:$H$140,"2026-04")</f>
        <v>0</v>
      </c>
      <c r="G148" s="71">
        <f>SUM(C148:F148)</f>
        <v>1</v>
      </c>
      <c r="H148" s="61"/>
      <c r="I148" s="61"/>
      <c r="J148" s="61"/>
      <c r="K148" s="61"/>
      <c r="L148" s="61"/>
      <c r="M148" s="61"/>
      <c r="N148" s="61"/>
    </row>
    <row r="149" spans="1:14" x14ac:dyDescent="0.35">
      <c r="A149" s="61"/>
      <c r="B149" s="70" t="s">
        <v>336</v>
      </c>
      <c r="C149" s="72">
        <f>SUM(C144:C148)</f>
        <v>5</v>
      </c>
      <c r="D149" s="72">
        <f>SUM(D144:D148)</f>
        <v>33</v>
      </c>
      <c r="E149" s="72">
        <f>SUM(E144:E148)</f>
        <v>28</v>
      </c>
      <c r="F149" s="72">
        <f>SUM(F144:F148)</f>
        <v>18</v>
      </c>
      <c r="G149" s="72">
        <f>SUM(G144:G148)</f>
        <v>84</v>
      </c>
      <c r="H149" s="61"/>
      <c r="I149" s="61"/>
      <c r="J149" s="61"/>
      <c r="K149" s="61"/>
      <c r="L149" s="61"/>
      <c r="M149" s="61"/>
      <c r="N149" s="61"/>
    </row>
    <row r="150" spans="1:14" x14ac:dyDescent="0.3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</row>
    <row r="151" spans="1:14" ht="15" thickBot="1" x14ac:dyDescent="0.4">
      <c r="A151" s="61"/>
      <c r="B151" s="84" t="s">
        <v>337</v>
      </c>
      <c r="C151" s="85"/>
      <c r="D151" s="85"/>
      <c r="E151" s="85"/>
      <c r="F151" s="85"/>
      <c r="G151" s="85"/>
      <c r="H151" s="85"/>
      <c r="I151" s="61"/>
      <c r="J151" s="61"/>
      <c r="K151" s="61"/>
      <c r="L151" s="61"/>
      <c r="M151" s="61"/>
      <c r="N151" s="61"/>
    </row>
    <row r="152" spans="1:14" x14ac:dyDescent="0.35">
      <c r="A152" s="61"/>
      <c r="B152" s="60" t="s">
        <v>338</v>
      </c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</row>
    <row r="153" spans="1:14" x14ac:dyDescent="0.35">
      <c r="A153" s="61"/>
      <c r="B153" s="60" t="s">
        <v>339</v>
      </c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</row>
    <row r="154" spans="1:14" x14ac:dyDescent="0.35">
      <c r="A154" s="61"/>
      <c r="B154" s="82" t="s">
        <v>340</v>
      </c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</row>
    <row r="155" spans="1:14" x14ac:dyDescent="0.3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</row>
    <row r="156" spans="1:14" x14ac:dyDescent="0.35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</row>
    <row r="157" spans="1:14" x14ac:dyDescent="0.3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</row>
    <row r="158" spans="1:14" x14ac:dyDescent="0.35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</row>
    <row r="159" spans="1:14" x14ac:dyDescent="0.35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</row>
    <row r="160" spans="1:14" x14ac:dyDescent="0.35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</row>
    <row r="161" spans="1:14" x14ac:dyDescent="0.35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</row>
    <row r="162" spans="1:14" x14ac:dyDescent="0.35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</row>
    <row r="163" spans="1:14" x14ac:dyDescent="0.35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</row>
    <row r="164" spans="1:14" x14ac:dyDescent="0.3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</row>
    <row r="165" spans="1:14" x14ac:dyDescent="0.3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</row>
    <row r="166" spans="1:14" x14ac:dyDescent="0.35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</row>
    <row r="167" spans="1:14" x14ac:dyDescent="0.35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</row>
    <row r="168" spans="1:14" x14ac:dyDescent="0.35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</row>
    <row r="169" spans="1:14" x14ac:dyDescent="0.35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</row>
    <row r="170" spans="1:14" x14ac:dyDescent="0.35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</row>
    <row r="171" spans="1:14" x14ac:dyDescent="0.3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</row>
    <row r="172" spans="1:14" x14ac:dyDescent="0.35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</row>
    <row r="173" spans="1:14" x14ac:dyDescent="0.35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</row>
    <row r="174" spans="1:14" x14ac:dyDescent="0.35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</row>
    <row r="175" spans="1:14" x14ac:dyDescent="0.3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</row>
    <row r="176" spans="1:14" x14ac:dyDescent="0.35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</row>
    <row r="177" spans="1:14" x14ac:dyDescent="0.35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</row>
    <row r="178" spans="1:14" x14ac:dyDescent="0.3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</row>
    <row r="179" spans="1:14" x14ac:dyDescent="0.35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</row>
    <row r="180" spans="1:14" x14ac:dyDescent="0.35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</row>
    <row r="181" spans="1:14" x14ac:dyDescent="0.35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</row>
    <row r="182" spans="1:14" x14ac:dyDescent="0.35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</row>
    <row r="183" spans="1:14" x14ac:dyDescent="0.35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</row>
    <row r="184" spans="1:14" x14ac:dyDescent="0.35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</row>
    <row r="185" spans="1:14" x14ac:dyDescent="0.3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</row>
    <row r="186" spans="1:14" x14ac:dyDescent="0.35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</row>
    <row r="187" spans="1:14" x14ac:dyDescent="0.35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</row>
    <row r="188" spans="1:14" x14ac:dyDescent="0.35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</row>
    <row r="189" spans="1:14" x14ac:dyDescent="0.35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</row>
    <row r="190" spans="1:14" x14ac:dyDescent="0.35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</row>
    <row r="191" spans="1:14" x14ac:dyDescent="0.35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</row>
    <row r="192" spans="1:14" x14ac:dyDescent="0.3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</row>
    <row r="193" spans="1:14" x14ac:dyDescent="0.35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</row>
    <row r="194" spans="1:14" x14ac:dyDescent="0.35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</row>
  </sheetData>
  <mergeCells count="2">
    <mergeCell ref="B1:N1"/>
    <mergeCell ref="B2:N2"/>
  </mergeCells>
  <conditionalFormatting sqref="G57:G140">
    <cfRule type="cellIs" dxfId="4" priority="1" operator="equal">
      <formula>"Property Non-Renewal"</formula>
    </cfRule>
    <cfRule type="cellIs" dxfId="3" priority="2" operator="equal">
      <formula>"Early MO"</formula>
    </cfRule>
    <cfRule type="cellIs" dxfId="2" priority="3" operator="equal">
      <formula>"NTV MO"</formula>
    </cfRule>
    <cfRule type="cellIs" dxfId="1" priority="4" operator="equal">
      <formula>"Skips/FTP"</formula>
    </cfRule>
    <cfRule type="cellIs" dxfId="0" priority="5" operator="equal">
      <formula>"Formal Eviction"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E13670C3A1CC44A5064406F8CCD185" ma:contentTypeVersion="15" ma:contentTypeDescription="Create a new document." ma:contentTypeScope="" ma:versionID="8c2b85a346f43f39afabb5b7f0766f4a">
  <xsd:schema xmlns:xsd="http://www.w3.org/2001/XMLSchema" xmlns:xs="http://www.w3.org/2001/XMLSchema" xmlns:p="http://schemas.microsoft.com/office/2006/metadata/properties" xmlns:ns2="560d74da-75e6-4a2b-a394-f0f779b504c6" xmlns:ns3="63ed3ee1-3d89-4eab-85d8-b1edcaf37c19" targetNamespace="http://schemas.microsoft.com/office/2006/metadata/properties" ma:root="true" ma:fieldsID="6a7429014cb557a274c739c8662e52ed" ns2:_="" ns3:_="">
    <xsd:import namespace="560d74da-75e6-4a2b-a394-f0f779b504c6"/>
    <xsd:import namespace="63ed3ee1-3d89-4eab-85d8-b1edcaf37c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0d74da-75e6-4a2b-a394-f0f779b504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dd0387f-4577-41fb-adfe-45bfda24fb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d3ee1-3d89-4eab-85d8-b1edcaf37c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26577b2-205d-4e3b-952a-b63065427862}" ma:internalName="TaxCatchAll" ma:showField="CatchAllData" ma:web="63ed3ee1-3d89-4eab-85d8-b1edcaf37c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ed3ee1-3d89-4eab-85d8-b1edcaf37c19" xsi:nil="true"/>
    <lcf76f155ced4ddcb4097134ff3c332f xmlns="560d74da-75e6-4a2b-a394-f0f779b504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24A0CB-8D05-4CB5-A463-22DB2868CA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0d74da-75e6-4a2b-a394-f0f779b504c6"/>
    <ds:schemaRef ds:uri="63ed3ee1-3d89-4eab-85d8-b1edcaf37c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49BBBE-D5F1-4011-9A8E-E49427C6D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EF9E5B-A511-4BD4-AEDC-C519DE946B75}">
  <ds:schemaRefs>
    <ds:schemaRef ds:uri="http://schemas.microsoft.com/office/2006/metadata/properties"/>
    <ds:schemaRef ds:uri="http://schemas.microsoft.com/office/infopath/2007/PartnerControls"/>
    <ds:schemaRef ds:uri="63ed3ee1-3d89-4eab-85d8-b1edcaf37c19"/>
    <ds:schemaRef ds:uri="560d74da-75e6-4a2b-a394-f0f779b504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Rollforward_Model</vt:lpstr>
      <vt:lpstr>Sources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2026-04-19T20:19:03Z</dcterms:created>
  <dcterms:modified xsi:type="dcterms:W3CDTF">2026-04-24T17:32:57Z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0x01010062E13670C3A1CC44A5064406F8CCD185</vt:lpwstr>
  </property>
  <property fmtid="{D5CDD505-2E9C-101B-9397-08002B2CF9AE}" pid="3" name="MediaServiceImageTags">
    <vt:lpwstr/>
  </property>
</Properties>
</file>